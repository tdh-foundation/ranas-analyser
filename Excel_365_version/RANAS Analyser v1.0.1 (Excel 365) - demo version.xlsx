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drawings/drawing5.xml" ContentType="application/vnd.openxmlformats-officedocument.drawing+xml"/>
  <Override PartName="/xl/ctrlProps/ctrlProp1.xml" ContentType="application/vnd.ms-excel.controlproperties+xml"/>
  <Override PartName="/xl/tables/table19.xml" ContentType="application/vnd.openxmlformats-officedocument.spreadsheetml.table+xml"/>
  <Override PartName="/xl/tables/table20.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tables/table21.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tdhch-my.sharepoint.com/personal/sebastien_mercier_tdh_ch/Documents/Gravit'eau/RANAS/RANAS Analyser/Current published versions/"/>
    </mc:Choice>
  </mc:AlternateContent>
  <xr:revisionPtr revIDLastSave="17553" documentId="8_{0D220551-2BE6-4D46-A044-3A706D0A2BAB}" xr6:coauthVersionLast="47" xr6:coauthVersionMax="47" xr10:uidLastSave="{1E90C811-3CDA-40F5-9CA5-9825CDBFB208}"/>
  <bookViews>
    <workbookView xWindow="2145" yWindow="-18120" windowWidth="24240" windowHeight="17520" tabRatio="697" firstSheet="2" activeTab="2" xr2:uid="{85543DA6-F95A-4457-9F61-0C74C53DF323}"/>
  </bookViews>
  <sheets>
    <sheet name="dataCopy" sheetId="54" state="veryHidden" r:id="rId1"/>
    <sheet name="HiddenTables" sheetId="41" state="veryHidden" r:id="rId2"/>
    <sheet name="Introduction" sheetId="48" r:id="rId3"/>
    <sheet name="Demo" sheetId="50" r:id="rId4"/>
    <sheet name="Configuration" sheetId="39" r:id="rId5"/>
    <sheet name="Cutoff - Seuil" sheetId="42" r:id="rId6"/>
    <sheet name="Analysis" sheetId="43" r:id="rId7"/>
    <sheet name="data" sheetId="49" r:id="rId8"/>
  </sheets>
  <definedNames>
    <definedName name="_xlnm._FilterDatabase" localSheetId="7" hidden="1">data!$A$1:$AD$259</definedName>
    <definedName name="behaviourColNumColumn" comment="Reference to the behaviourColNum column in behaviourTable. Used to be able to reference that column in conditional formatting rules.">behaviourTable[behaviourColNum]</definedName>
    <definedName name="behaviourData1" comment="Copy of the &quot;data&quot; column for behaviour header #1. Used to simplify formulae.">_xlfn.ANCHORARRAY(HiddenTables!$BM$4)</definedName>
    <definedName name="behaviourData2" comment="Copy of the &quot;data&quot; column for behaviour header #2. Used to simplify formulae.">_xlfn.ANCHORARRAY(HiddenTables!$BN$4)</definedName>
    <definedName name="behaviourData3" comment="Copy of the &quot;data&quot; column for behaviour header #3. Used to simplify formulae.">_xlfn.ANCHORARRAY(HiddenTables!$BO$4)</definedName>
    <definedName name="behaviourData4" comment="Copy of the &quot;data&quot; column for behaviour header #4. Used to simplify formulae.">_xlfn.ANCHORARRAY(HiddenTables!$BP$4)</definedName>
    <definedName name="behaviourData5" comment="Copy of the &quot;data&quot; column for behaviour header #5. Used to simplify formulae.">_xlfn.ANCHORARRAY(HiddenTables!$BQ$4)</definedName>
    <definedName name="behaviourDataForIndex" comment="User-defined function that takes as argument a &quot;behaviourIndex&quot; and returns the corresponding data column from dataRange.">_xlfn.LAMBDA(_xlpm.behaviourIndex,     IF(       ISNA(INDEX(dataRange,1,1)),       NA(),       _xlfn.LET(         _xlpm.behaviourColNum,         _xlfn.XLOOKUP(_xlpm.behaviourIndex, behaviourTable[index], behaviourTable[behaviourColNum]),         _xlpm.behaviourData,         IF(           _xlpm.behaviourColNum = "",           "",           INDEX(dataRange, , _xlpm.behaviourColNum)         ),         _xlpm.behaviourData       )     )   )</definedName>
    <definedName name="behaviourInclude1" comment="Value of the &quot;include&quot; parameter for behaviour header #1, combining the user selection in the &quot;Include?&quot; column and whether a data header for that question is defined or not. Used to simplify formulae.">behaviourIncludeForIndex(1)</definedName>
    <definedName name="behaviourInclude2" comment="Value of the &quot;include&quot; parameter for behaviour header #2, combining the user selection in the &quot;Include?&quot; column and whether a data header for that question is defined or not. Used to simplify formulae.">behaviourIncludeForIndex(2)</definedName>
    <definedName name="behaviourInclude3" comment="Value of the &quot;include&quot; parameter for behaviour header #3, combining the user selection in the &quot;Include?&quot; column and whether a data header for that question is defined or not. Used to simplify formulae.">behaviourIncludeForIndex(3)</definedName>
    <definedName name="behaviourInclude4" comment="Value of the &quot;include&quot; parameter for behaviour header #4, combining the user selection in the &quot;Include?&quot; column and whether a data header for that question is defined or not. Used to simplify formulae.">behaviourIncludeForIndex(4)</definedName>
    <definedName name="behaviourInclude5" comment="Value of the &quot;include&quot; parameter for behaviour header #5, combining the user selection in the &quot;Include?&quot; column and whether a data header for that question is defined or not. Used to simplify formulae.">behaviourIncludeForIndex(5)</definedName>
    <definedName name="behaviourIncludeForIndex" comment="User-defined function that takes as argument a &quot;behaviourIndex&quot; and returns the corresponding &quot;include&quot; value from behaviourTable. Used to simplify formulae.">_xlfn.LAMBDA(_xlpm.behaviourIndex,     _xlfn.XLOOKUP(_xlpm.behaviourIndex, behaviourTable[index], behaviourTable[include])   )</definedName>
    <definedName name="behaviourMaxOutOfRangeColumn" comment="Reference to the maxOutOfRange column in behaviourTable. Used to be able to reference that column in conditional formatting rules.">behaviourTable[maxOutOfRange]</definedName>
    <definedName name="behaviourMaxScore1" comment="Reference to the maximum score for behaviour header #1. Used to simplify formulae.">behaviourMaxScoreForIndex(1)</definedName>
    <definedName name="behaviourMaxScore2" comment="Reference to the maximum score for behaviour header #2. Used to simplify formulae.">behaviourMaxScoreForIndex(2)</definedName>
    <definedName name="behaviourMaxScore3" comment="Reference to the maximum score for behaviour header #3. Used to simplify formulae.">behaviourMaxScoreForIndex(3)</definedName>
    <definedName name="behaviourMaxScore4" comment="Reference to the maximum score for behaviour header #4. Used to simplify formulae.">behaviourMaxScoreForIndex(4)</definedName>
    <definedName name="behaviourMaxScore5" comment="Reference to the maximum score for behaviour header #5. Used to simplify formulae.">behaviourMaxScoreForIndex(5)</definedName>
    <definedName name="behaviourMaxScoreForIndex" comment="User-defined function that takes as argument a &quot;behaviourIndex&quot; and returns the corresponding &quot;maxScore&quot; value from behaviourTable. Used to simplify formulae.">_xlfn.LAMBDA(_xlpm.behaviourIndex,     _xlfn.XLOOKUP(_xlpm.behaviourIndex, behaviourTable[index], behaviourTable[maxScore])   )</definedName>
    <definedName name="behaviourMinOutOfRangeColumn" comment="Reference to the minOutOfRange column in behaviourTable. Used to be able to reference that column in conditional formatting rules.">behaviourTable[minOutOfRange]</definedName>
    <definedName name="behaviourMinScore1" comment="Reference to the minimum score for behaviour header #1. Used to simplify formulae.">behaviourMinScoreForIndex(1)</definedName>
    <definedName name="behaviourMinScore2" comment="Reference to the minimum score for behaviour header #2. Used to simplify formulae.">behaviourMinScoreForIndex(2)</definedName>
    <definedName name="behaviourMinScore3" comment="Reference to the minimum score for behaviour header #3. Used to simplify formulae.">behaviourMinScoreForIndex(3)</definedName>
    <definedName name="behaviourMinScore4" comment="Reference to the minimum score for behaviour header #4. Used to simplify formulae.">behaviourMinScoreForIndex(4)</definedName>
    <definedName name="behaviourMinScore5" comment="Reference to the minimum score for behaviour header #5. Used to simplify formulae.">behaviourMinScoreForIndex(5)</definedName>
    <definedName name="behaviourMinScoreForIndex" comment="User-defined function that takes as argument a &quot;behaviourIndex&quot; and returns the corresponding &quot;minScore&quot; value from behaviourTable. Used to simplify formulae.">_xlfn.LAMBDA(_xlpm.behaviourIndex,     _xlfn.XLOOKUP(_xlpm.behaviourIndex, behaviourTable[index], behaviourTable[minScore])   )</definedName>
    <definedName name="behaviourScore" comment="Array containing the normalized behaviour score (0-100%) for each data entry for which a score can be computed.">_xlfn.ANCHORARRAY(HiddenTables!$BT$4)</definedName>
    <definedName name="behaviourScoreDenominator" comment="Array containing the denominator of the behaviour score for each data entry. It is computed on its own to simplify the overall formula for the behaviour score.">_xlfn.ANCHORARRAY(HiddenTables!$BS$4)</definedName>
    <definedName name="behaviourScoreNumerator" comment="Array containing the numerator of the behaviour score for each data entry. It is computed on its own to simplify the overall formula for the behaviour score.">_xlfn.ANCHORARRAY(HiddenTables!$BR$4)</definedName>
    <definedName name="chartDifferenceRange1" comment="List of &quot;Difference&quot; values for the first chart in the &quot;Analysis&quot; sheet, defined as a dynamic named range to include only the number of factors defined by &quot;numFactorsChart1&quot;.">INDEX(analysisChartTable[sortedDifference], 1)  :INDEX(analysisChartTable[sortedDifference], numFactorsChart1)</definedName>
    <definedName name="chartDifferenceRange2" comment="List of &quot;Difference&quot; values for the second chart in the &quot;Analysis&quot; sheet, defined as a dynamic named range to include only the number of factors defined by &quot;numFactorsChart2&quot;.">INDEX(analysisChartTable[sortedDifference], numFactorsChart1 + 1)  :INDEX(     analysisChartTable[sortedDifference],     numFactorsChart1     + IF(         numFactorsChart2 = 0,         1,         numFactorsChart2       )   )</definedName>
    <definedName name="chartDoersRange1" comment="List of &quot;Doers&quot; values for the first chart in the &quot;Analysis&quot; sheet, defined as a dynamic named range to include only the number of factors defined by &quot;numFactorsChart1&quot;.">INDEX(analysisChartTable[sortedDoers], 1)  :INDEX(analysisChartTable[sortedDoers], numFactorsChart1)</definedName>
    <definedName name="chartDoersRange2" comment="List of &quot;Doers&quot; values for the second chart in the &quot;Analysis&quot; sheet, defined as a dynamic named range to include only the number of factors defined by &quot;numFactorsChart2&quot;.">INDEX(analysisChartTable[sortedDoers], numFactorsChart1 + 1)  :INDEX(     analysisChartTable[sortedDoers],     numFactorsChart1     + IF(         numFactorsChart2 = 0,         1,         numFactorsChart2       )   )</definedName>
    <definedName name="chartFactorRange1" comment="List of &quot;Factor&quot; values for the first chart in the &quot;Analysis&quot; sheet, defined as a dynamic named range to include only the number of factors defined by &quot;numFactorsChart1&quot;.">INDEX(analysisChartTable[chartLabel], 1)  :INDEX(analysisChartTable[chartLabel], numFactorsChart1)</definedName>
    <definedName name="chartFactorRange2" comment="List of &quot;Factor&quot; values for the second chart in the &quot;Analysis&quot; sheet, defined as a dynamic named range to include only the number of factors defined by &quot;numFactorsChart2&quot;.">INDEX(analysisChartTable[chartLabel], numFactorsChart1 + 1)  :INDEX(     analysisChartTable[chartLabel],     numFactorsChart1     + IF(         numFactorsChart2 = 0,         1,         numFactorsChart2       )   )</definedName>
    <definedName name="chartLanguage" comment="Language selected to be displayed in the charts (and corresponding tables) among the languages defined in the &quot;Factors configuration table&quot; (&quot;Configuration&quot; tab).">Introduction!$I$5</definedName>
    <definedName name="chartLanguageList" comment="List of languages that the user can choose from for text elements in the charts. It starts with the languages already available for the user interface (UI), followed by languages that the user can define in the &quot;Configuration&quot; tab.">INDEX(languageTable[languageList], 1)  :INDEX(languageTable[languageList], numLanguages)</definedName>
    <definedName name="chartNondoersRange1" comment="List of &quot;Non-doers&quot; values for the first chart in the &quot;Analysis&quot; sheet, defined as a dynamic named range to include only the number of factors defined by &quot;numFactorsChart1&quot;.">INDEX(analysisChartTable[sortedNondoers], 1)  :INDEX(analysisChartTable[sortedNondoers], numFactorsChart1)</definedName>
    <definedName name="chartNondoersRange2" comment="List of &quot;Non-doers&quot; values for the second chart in the &quot;Analysis&quot; sheet, defined as a dynamic named range to include only the number of factors defined by &quot;numFactorsChart2&quot;.">INDEX(analysisChartTable[sortedNondoers], numFactorsChart1 + 1)  :INDEX(     analysisChartTable[sortedNondoers],     numFactorsChart1     + IF(         numFactorsChart2 = 0,         1,         numFactorsChart2       )   )</definedName>
    <definedName name="cutoffLevel" comment="Doer/non-doer cutoff level selected by the user on the user interface.">'Cutoff - Seuil'!$H$6/100</definedName>
    <definedName name="cutoffLevelColumn" comment="Reference to the cutoffLevel column in cutoffTable. Used to be able to reference that column in conditional formatting rules.">cutoffTable[cutoffLevel]</definedName>
    <definedName name="cutoffLevelRecommended" comment="Recommended cutoff level that minimizes the absolute difference between the number of doers and the number of non-doers.">_xlfn.LET(     _xlpm.minAbsDiff,     MIN(recommendedCutoffTable[absDiff]),     _xlpm.firstMatch,     MATCH(       _xlpm.minAbsDiff,       recommendedCutoffTable[absDiff],       0     ),     _xlpm.lastMatch,     _xlfn.XMATCH(       _xlpm.minAbsDiff,       recommendedCutoffTable[absDiff],       0,       -1     ),     _xlpm.recommendedCutoff,     INDEX(       recommendedCutoffTable[cutoffLevel],       ROUND(         AVERAGE(           _xlpm.firstMatch,           _xlpm.lastMatch         ),         0       )     ),     _xlpm.recommendedCutoff   )</definedName>
    <definedName name="dataFirstRow" comment="Copy of the first row of the &quot;data&quot; sheet, up to column 'maxColNum'. Used to eventually define dataHeaders and dataRange.">_xlfn.ANCHORARRAY(dataCopy!$A$2)</definedName>
    <definedName name="dataHeaders" comment="Copy of the row of column headers in the &quot;data&quot; sheet. Used in various formula to look up / reference column headers.">_xlfn.ANCHORARRAY(dataCopy!$D$4)</definedName>
    <definedName name="dataLastColNum" comment="Column number of the last non-empty cell (up to maxColNum) in dataFirstRow. Used to define dataHeaders.">IF(     errorNoDataSheet,     NA(),     MAX(     COLUMN(dataFirstRow)     * (dataFirstRow &lt;&gt; "")     )   )</definedName>
    <definedName name="dataRange" comment="Copy of the range of the &quot;data&quot; sheet from row 2 (i.e., without the column headers) and 'numEntries'-row high, and from columns 1 to dataLastColNum. Used to then reference data columns with the INDEX() function.">_xlfn.ANCHORARRAY(dataCopy!$D$5)</definedName>
    <definedName name="dataRefCol" comment="Copy (down to row 'maxRowNum') of the data column from the &quot;data&quot; sheet that serves as an index for the survey submissions. Used to count the total number of data entries.">_xlfn.ANCHORARRAY(dataCopy!$A$5)</definedName>
    <definedName name="dataRefColNum" comment="Column number of the data column that serves as an index for the survey submissions. Used to copy that column (as dataRefCol) and count the total number of data entries.">_xlfn.IFNA(     MATCH("_uuid", dataHeaders, 0),     _xlfn.IFNA(       MATCH("instanceID", dataHeaders, 0),       MATCH("*-"&amp;"instanceID", dataHeaders, 0)     )   )</definedName>
    <definedName name="editableAreas" comment="Union of all yellow user-editable areas in the tables of the &quot;Configuration&quot; sheet. Used as a shortcut to quickly select them with &quot;Go To...&quot; and define their &quot;locked/hidden&quot; settings. /!\ If these areas change, check if the range resized accordingly /!\">Configuration!$C$16:$C$20,Configuration!$E$16:$G$20,Configuration!$C$39:$C$68,Configuration!$E$39:$G$68,Configuration!$I$39:$N$68,Configuration!$L$37:$N$37,Configuration!$L$77:$N$91</definedName>
    <definedName name="errorBehaviourHeader" comment="Error that evaluates to TRUE if any selected behaviour header in behaviourConfigTable is not found in the &quot;data&quot; sheet.">AND(     NOT(errorNoDataSheet),     SUMPRODUCT(       (behaviourTable[includeConfig] = "yes") * ISNA(behaviourTable[behaviourColNum])     )   )</definedName>
    <definedName name="errorBehaviourInclude" comment="Error that evaluates to TRUE if the &quot;Include?&quot; value for a non-empty behaviour header in behaviourConfigTable is missing or invalid.">AND(     NOT(errorNoDataSheet),     SUMPRODUCT(       (behaviourTable[includeConfig] &lt;&gt; "yes") * (behaviourTable[includeConfig] &lt;&gt; "no") * (behaviourTable[behaviourHeader] &lt;&gt; "")     )   )</definedName>
    <definedName name="errorBehaviourMinMaxInvalid" comment="Error that evaluates to TRUE if a min. or max. score for a selected, non-empty behaviour header in behaviourConfigTable is missing or invalid (e.g., min &gt;= max).">AND(     NOT(errorNoDataSheet),     SUMPRODUCT(       (behaviourTable[includeConfig] = "yes")       * (behaviourTable[behaviourHeader] &lt;&gt; "")       * IF(            NOT(ISNUMBER(behaviourTable[minScore]))            + NOT(ISNUMBER(behaviourTable[maxScore])),            1,            (behaviourTable[minScore] &gt;= behaviourTable[maxScore])         )     )   )</definedName>
    <definedName name="errorBehaviourNoneSelected" comment="Error that evaluates to TRUE if none of the valid behaviour headers in behaviourConfigTable (i.e. headers successfully found in the &quot;data&quot; sheet) is selected in the &quot;Include?&quot; column.">AND(     NOT(errorNoDataSheet),     SUMPRODUCT(--ISNUMBER(behaviourTable[behaviourColNum])),     SUMPRODUCT(       (behaviourTable[includeConfig] = "yes") * ISNUMBER(behaviourTable[behaviourColNum])     ) = 0   )</definedName>
    <definedName name="errorBehaviourOutOfRange" comment="Error that evaluates to TRUE if any value in the &quot;data&quot; sheet for the selected behaviour headers falls outside of the corresponding &quot;Min. score&quot;-&quot;Max. score&quot; range defined in behaviourConfigTable.">OR(OR(behaviourTable[minOutOfRange]), OR(behaviourTable[maxOutOfRange]))</definedName>
    <definedName name="errorChartLanguage" comment="Error that evaluates to TRUE if the selected chartLanguage is not from the allowed chartLanguageList.">ISERROR(MATCH(chartLanguage, chartLanguageList, 0))</definedName>
    <definedName name="errorChartTranslationMissing" comment="Error that evaluates to TRUE if the translation into chartLanguage for any entry in chartTranslationTable is missing.">AND(     NOT(errorNoDataSheet),     IF(       errorChartLanguage,       0,       SUMPRODUCT(         (chartTranslationTable[tag] &lt;&gt; "") * (chartTranslationTable[langSpecText] = "")       )     )   )</definedName>
    <definedName name="errorCutoffLevel" comment="Error that evaluates to TRUE if the value entered for cutoffLevel is invalid (i.e., not an integer between 0 and 100%).">AND(     NOT(errorNoDataSheet),     (cutoffLevel &lt; 0) + (cutoffLevel &gt; 1) + (MOD('Cutoff - Seuil'!$H$6, 1) &lt;&gt; 0)   )</definedName>
    <definedName name="errorDataHeaderSpace" comment="Error that evaluates to TRUE if any space character is found in the first row of the &quot;data&quot; sheet. Spaces in column headers could cause problems when referencing those columns.">AND(     NOT(errorNoDataSheet),     NOT(       ISNA(         MATCH("* *", dataHeaders, 0)       )     )   )</definedName>
    <definedName name="errorDataSorting" comment="Error that evaluates to TRUE if the selected sortingMethod is not from the allowed sortMenuList.">AND(     NOT(errorNoDataSheet),     ISERROR(MATCH(sortingMethod, sortMenuList, 0))   )</definedName>
    <definedName name="errorFactorDisplay" comment="Error that evaluates to TRUE if the &quot;Display?&quot; value for a non-empty factor header in factorConfigTable is missing or invalid.">AND(     NOT(errorNoDataSheet),     SUMPRODUCT(       (factorsTable[displayConfig] &lt;&gt; "yes") * (factorsTable[displayConfig] &lt;&gt; "no") * (factorsTable[factorHeader] &lt;&gt; "")     )   )</definedName>
    <definedName name="errorFactorHeader" comment="Error that evaluates to TRUE if any selected factor header in factorConfigTable is not found in the &quot;data&quot; sheet.">AND(     NOT(errorNoDataSheet),     SUMPRODUCT(       (factorsTable[displayConfig] = "yes") * ISNA(factorsTable[factorColNum])     )   )</definedName>
    <definedName name="errorFactorMinMaxInvalid" comment="Error that evaluates to TRUE if a min. or max. score for a selected, non-empty factor header in factorConfigTable is missing or invalid (e.g., min &gt;= max).">AND(     NOT(errorNoDataSheet),     SUMPRODUCT(       (factorsTable[displayConfig] = "yes")       * (factorsTable[factorHeader] &lt;&gt; "")       * IF(            NOT(ISNUMBER(factorsTable[minScore]))            + NOT(ISNUMBER(factorsTable[maxScore])),            1,            (factorsTable[minScore] &gt;= factorsTable[maxScore])         )     )   )</definedName>
    <definedName name="errorFactorNoneSelected" comment="Error that evaluates to TRUE if none of the valid factor headers in factorConfigTable (i.e. headers successfully found in the &quot;data&quot; sheet) is selected in the &quot;Display?&quot; column.">AND(     NOT(errorNoDataSheet),     SUMPRODUCT(--ISNUMBER(factorsTable[factorColNum])),     SUMPRODUCT(       (factorsTable[displayConfig] = "yes") * ISNUMBER(factorsTable[factorColNum])     ) = 0   )</definedName>
    <definedName name="errorFactorOutOfRange" comment="Error that evaluates to TRUE if any value in the &quot;data&quot; sheet for the selected factor headers falls outside of the corresponding &quot;Min. score&quot;-&quot;Max. score&quot; range defined in factorConfigTable.">OR(OR(factorsTable[minOutOfRange]), OR(factorsTable[maxOutOfRange]))</definedName>
    <definedName name="errorFactorTranslationMissing" comment="Error that evaluates to TRUE if the translation into chartLanguage for a selected, non-empty factor header in factorConfigTable is missing.">AND(     NOT(errorNoDataSheet),     IF(       errorChartLanguage,       0,       SUMPRODUCT(         (factorsTable[sortedIndex] &lt;&gt; "") * (factorsTable[langSpecFactor] = "")       )     )   )</definedName>
    <definedName name="errorMessages" comment="List of error messages displayed to the user in the &quot;Configuration&quot; sheet, concatenated from a list of possible messages defined in the hidden &quot;Error messages&quot; table.">_xlfn.TEXTJOIN(CHAR(10) &amp; CHAR(10), TRUE, errorMessagesTable[langSpecError])</definedName>
    <definedName name="errorNoDataRefCol" comment="Error that evaluates to TRUE if none of the predefined headers for a reference column is found in the &quot;data&quot; sheet.">AND(     NOT(errorNoDataSheet),     ISNA(dataRefColNum)   )</definedName>
    <definedName name="errorNoDataSheet" comment="Error that evaluates to TRUE if the &quot;data&quot; sheet does not exist.">NOT(     ISREF(       INDIRECT(ADDRESS(1, 1, 1, 0, sheetNameData), FALSE)     )   )</definedName>
    <definedName name="errorRANASBlockMissing" comment="Error that evaluates to TRUE if a RANAS block for a selected, non-empty factor header in factorConfigTable is missing or invalid.">AND(     NOT(errorNoDataSheet),     SUMPRODUCT(--ISNA(factorsTable[RANASTag])) &gt; 0   )</definedName>
    <definedName name="errorUILanguage" comment="Error that evaluates to TRUE if the selected UILanguage is not from the allowed UILanguageList.">ISERROR(MATCH(UILanguage, UILanguageList, 0))</definedName>
    <definedName name="factorColNumColumn" comment="Reference to the factorColNum column in factorsTable. Used to be able to reference that column in conditional formatting rules.">factorsTable[factorColNum]</definedName>
    <definedName name="factorsMaxOutOfRangeColumn" comment="Reference to the maxOutOfRange column in factorsTable. Used to be able to reference that column in conditional formatting rules.">factorsTable[maxOutOfRange]</definedName>
    <definedName name="factorsMinOutOfRangeColumn" comment="Reference to the minOutOfRange column in factorsTable. Used to be able to reference that column in conditional formatting rules.">factorsTable[minOutOfRange]</definedName>
    <definedName name="FilterTrueColumn" comment="User-defined function to be used in an Excel table. The table contains an index column and a column with TRUE/FALSE values. The function is entered in a filteredIndexCol column and returns the list of indices corresponding to TRUE values, without blanks.">_xlfn.LAMBDA(_xlpm.currentIndex,_xlpm.indexCol,_xlpm.filteredIndexCol,_xlpm.trueFalseCol,     _xlfn.LET(       _xlpm.previousIndex,       IF(         _xlpm.currentIndex = 1,         0,         INDEX(_xlpm.filteredIndexCol, _xlpm.currentIndex - 1)       ),       _xlpm.firstCell,       INDEX(_xlpm.trueFalseCol, _xlpm.previousIndex + 1),       _xlpm.lastCell,       INDEX(_xlpm.trueFalseCol, MAX(_xlpm.indexCol)),       _xlpm.filteredIndex,       IF(         _xlpm.previousIndex &gt;= MAX(_xlpm.indexCol),         "",         IFERROR(           MATCH(             TRUE,             _xlpm.firstCell:_xlpm.lastCell,             0           )           + _xlpm.previousIndex,           ""         )       ),       _xlpm.filteredIndex     )   )</definedName>
    <definedName name="isDoer" comment="Array containing a TRUE/FALSE value for each data entry, indicating a doer/non-doer, or an empty value if a behaviour score cannot be computed.">_xlfn.ANCHORARRAY(HiddenTables!$BU$4)</definedName>
    <definedName name="KeepBlanksFunction" comment="User-defined function that takes as argument any value and returns that same value, even if it is blank (i.e. the empty string &quot;&quot; or from an empty cell). Used to keep empty values as such, e.g. to prevent the XLOOKUP of an empty cell being converted to 0.">_xlfn.LAMBDA(_xlpm.value,     IF(       _xlpm.value = "",       "",       _xlpm.value     )   )</definedName>
    <definedName name="langSpecBehaviourScore" comment="Translation of &quot;Behaviour score&quot; into the chartLanguage selected by the user. Used mostly for the axis label on the chart, which can accept a named variable, but not a complex formula.">_xlfn.XLOOKUP("behaviourScore", chartTranslationTable[tag], chartTranslationTable[displayedText])</definedName>
    <definedName name="langSpecCutoff" comment="Translation of &quot;Cutoff level&quot; into the chartLanguage selected by the user. Used mostly for the axis label on the chart, which can accept a named variable, but not a complex formula.">_xlfn.XLOOKUP("cutoffLevel", chartTranslationTable[tag], chartTranslationTable[displayedText])</definedName>
    <definedName name="langSpecMeanScore" comment="Translation of &quot;Normalized mean score&quot; into the chartLanguage selected by the user. Used mostly for the axis label on the chart, which can accept a named variable, but not a complex formula.">_xlfn.XLOOKUP("meanScore", chartTranslationTable[tag], chartTranslationTable[displayedText])  &amp; " (0"  &amp; _xlfn.UNICHAR(8209)  &amp; "100%)"</definedName>
    <definedName name="langSpecNumResponses" comment="Translation of &quot;# of responses&quot; into the chartLanguage selected by the user. Used mostly for the axis label on the chart, which can accept a named variable, but not a complex formula.">_xlfn.XLOOKUP("numResponses", chartTranslationTable[tag], chartTranslationTable[displayedText])</definedName>
    <definedName name="langSpecPercentResponses" comment="Translation of &quot;% of responses&quot; into the chartLanguage selected by the user. Used mostly for the axis label on the chart, which can accept a named variable, but not a complex formula.">_xlfn.XLOOKUP("percentResponses", chartTranslationTable[tag], chartTranslationTable[displayedText])</definedName>
    <definedName name="languageHeadersList" comment="List of the user-interface + user-defined languages in the header of the &quot;Factors configuration table&quot;. Used to compute the &quot;chartLanguageList&quot; and to look up various text values in the selected chartLanguage.">Configuration!$J$37:$N$37</definedName>
    <definedName name="localAddressParameter" comment="Local equivalent of the &quot;address&quot; parameter for the CELL() function, which is specific to the language version of Excel. CELL() is used to dynamically reference the sheets' names, in case they change in the future.">IF(NOT(ISERROR(CELL("address",HiddenTables!XEM1048575))), "address",     IF(NOT(ISERROR(CELL("adresse",HiddenTables!XEM1048575))), "adresse",       IF(NOT(ISERROR(CELL("Adresse",HiddenTables!XEM1048575))), "Adresse",         IF(NOT(ISERROR(CELL("DIRECCIÓN",HiddenTables!XEM1048575))), "DIRECCIÓN", NA())       )     )   )</definedName>
    <definedName name="maxAbsDiff" comment="Maximum doers/non-doers difference (in absolute value) used to define the lower and upper limits of the colour scale in Conditional formatting for the &quot;Difference&quot; column of the &quot;analysisChartTable&quot;.">MAX(factorsTable[absDiff])</definedName>
    <definedName name="maxColNum" comment="Maximum number of columns allowed in the &quot;data&quot; sheet (used to prevent slow calculations).">_xlfn.XLOOKUP("maxColNum", manualEntryVariablesTable[name], manualEntryVariablesTable[value], 1000, 0)</definedName>
    <definedName name="maxRowNum" comment="Maximum number of rows allowed in the &quot;data&quot; sheet (used to prevent slow calculations).">_xlfn.XLOOKUP("maxRowNum", manualEntryVariablesTable[name], manualEntryVariablesTable[value], 1000, 0)</definedName>
    <definedName name="noLabel" comment="Reference to the label meaning &quot;no&quot; in the drop-down menus of the &quot;Include?&quot; and &quot;Display?&quot; columns of the &quot;Behaviour&quot; and &quot;Factors&quot; configuration tables. Used in UI text.">_xlfn.XLOOKUP("no", yesNoTable[tag], yesNoTable[label])</definedName>
    <definedName name="numEntries" comment="Number of entries in the &quot;data&quot; sheet. It is counted as the number of values in the &quot;index&quot; column dataRefCol.">IF(     ISNA(dataRefColNum),     NA(),     SUMPRODUCT(--(dataRefCol &lt;&gt; ""))   )</definedName>
    <definedName name="numFactors" comment="Number of factors selected for display by the user in the Configuration tab (up to 30). Used to calculate the number of factors displayed in each chart of the &quot;Analysis&quot; sheet (&quot;numFactorsChart1&quot; and &quot;numFactorsChart2&quot;).">SUMPRODUCT(--(factorsTable[sortedIndex] &lt;&gt; ""))</definedName>
    <definedName name="numFactorsChart1" comment="Number of factors that will be displayed in the first chart of the &quot;Analysis&quot; sheet. It depends on &quot;numFactors&quot; and &quot;numFactorsThreshold&quot; in order to split the factors across both charts. Used to define a dynamic range for the chart data.">IF(     numFactors &lt;= numFactorsThreshold,     numFactors,     ROUNDUP(numFactors/2,0)   )</definedName>
    <definedName name="numFactorsChart2" comment="Number of factors that will be displayed in the second chart of the &quot;Analysis&quot; sheet. It depends on &quot;numFactors&quot; and &quot;numFactorsThreshold&quot; in order to split the factors across both charts. Used to define a dynamic range for the chart data.">IF(     numFactors &lt;= numFactorsThreshold,     0,     ROUNDDOWN(numFactors/2,0)   )</definedName>
    <definedName name="numFactorsThreshold" comment="If the number of factors selected for display by the user is less than or equal to this threshold, all factors will be displayed in the first chart. If it is above the threshold, the factors will be evenly split across both charts.">_xlfn.XLOOKUP("numFactorsThreshold", manualEntryVariablesTable[name], manualEntryVariablesTable[value], 10, 0)</definedName>
    <definedName name="numLanguages" comment="Number of languages available to display chart/table text (it includes the UI + the user-defined languages). Used mostly to define a dynamic range for the &quot;Chart language&quot; drop-down menu.">SUMPRODUCT(--(languageTable[languageList] &lt;&gt; ""))</definedName>
    <definedName name="numScores" comment="Number of scores, i.e. number of &quot;data&quot; entries having at least one non-empty value among the selected &quot;behaviour&quot; questions and for which a behaviour score can be computed.">SUMPRODUCT(--(behaviourScoreDenominator &lt;&gt; 0))</definedName>
    <definedName name="ranasAnalyserLink" comment="Permanent link to the webpage that hosts the reference version of this file available to the public (plus possibly documentation and archived versions).">_xlfn.XLOOKUP("ranasAnalyserLink", manualEntryVariablesTable[name], manualEntryVariablesTable[value], HiddenTables!#REF!, 0)</definedName>
    <definedName name="RANASList" comment="List of RANAS blocks in (currently) both UI languages (English, Français) used in drop-down menus in the &quot;Factors configuration table&quot;.">RANASBlocksTable[label]</definedName>
    <definedName name="ranasWebsiteLink" comment="Link to the RANAS website.">_xlfn.XLOOKUP("ranasWebsiteLink", manualEntryVariablesTable[name], manualEntryVariablesTable[value], HiddenTables!#REF!, 0)</definedName>
    <definedName name="sheetNameAnalysis" comment="Dynamic reference to the &quot;Analysis&quot; sheet name (in case it changes in the future), used mostly in UI text.">SheetNameForReference(sortingMethod, "Analysis")</definedName>
    <definedName name="sheetNameConfiguration" comment="Dynamic reference to the &quot;Configuration&quot; sheet name (in case it changes in the future), used mostly in UI text.">SheetNameForReference(behaviourConfigTable[], "Configuration")</definedName>
    <definedName name="sheetNameCutoff" comment="Dynamic reference to the &quot;Cutoff&quot; sheet name (in case it changes in the future), used mostly in UI text.">SheetNameForReference(cutoffLevel, "Cutoff - Seuil")</definedName>
    <definedName name="sheetNameData" comment="Name of the &quot;data&quot; sheet, used in UI text and to reference the data columns. Its value (currently &quot;data&quot;) is hard-coded in the &quot;Manual-entry variables table&quot; and can be changed there if wanted.">_xlfn.XLOOKUP("sheetNameData", manualEntryVariablesTable[name], manualEntryVariablesTable[value], "data", 0)</definedName>
    <definedName name="SheetNameForReference" comment="User-defined function that takes as arguments a &quot;reference&quot; on a worksheet (e.g., cell address, named range) and a &quot;defaultName&quot;, and returns the name of that worksheet (or the defaultName).">_xlfn.LAMBDA(_xlpm.reference,_xlpm.defaultName,     _xlfn.LET(       _xlpm.cellAddress,       CELL(localAddressParameter,_xlpm.reference),       _xlpm.sheetName,       IFERROR(         SUBSTITUTE(           _xlfn.TEXTBEFORE(             _xlfn.TEXTAFTER(_xlpm.cellAddress, "]", -1),             IF(               LEFT(_xlpm.cellAddress) = "'",               "'!",               "!"             ),             -1           ),           "''",           "'"         ),         _xlpm.defaultName       ),       _xlpm.sheetName     )   )</definedName>
    <definedName name="sheetNameHiddenTables" comment="Dynamic reference to the &quot;HiddenTables&quot; sheet name (in case it changes in the future).">SheetNameForReference(behaviourTable[], "HiddenTables")</definedName>
    <definedName name="sheetNameIntroduction" comment="Dynamic reference to the &quot;Introduction&quot; sheet name (in case it changes in the future), used mostly in UI text.">SheetNameForReference(UILanguage, "Introduction")</definedName>
    <definedName name="sortingMethod" comment="Sorting method selected from a drop-down menu by the user for the data in the &quot;Factors analysis chart&quot;.">Analysis!$E$8</definedName>
    <definedName name="sortingMethodTag" comment="Tag associated with the selected sorting method for the data in the &quot;Factors analysis chart&quot;. Used to simplify the formula that sorts the data according to the selected method.">_xlfn.XLOOKUP(sortingMethod, sortMenuTable[label], sortMenuTable[tag])</definedName>
    <definedName name="sortMenuList" comment="List of sorting options for the &quot;Factors analysis chart&quot;. Using symbols to make it (sort of) language-independent, so the options must be described in the UI language next to the menu.">sortMenuTable[label]</definedName>
    <definedName name="UILanguage" comment="Selected language for the user interface.">Introduction!$C$5</definedName>
    <definedName name="UILanguageList" comment="List of available languages for the user interface. New languages must be added as new columns in UITranslationTable, errorMessagesTable, factorsConfigTable and chartTranslationTable, completed with all corresponding translations.">UITranslationTable[[#Headers],[English]]  :INDEX(UITranslationTable[#Headers], 1, COLUMNS(UITranslationTable[#Headers]))</definedName>
    <definedName name="UITranslateForValueTable" comment="User-defined function that takes as arguments a &quot;value&quot; and references to a translation table (reference column, table itself, and table header), and returns the translation of that value into the selected UI language.">_xlfn.LAMBDA(_xlpm.valueRef,_xlpm.referenceCol,_xlpm.table,_xlpm.tableHeader,     IF(       _xlpm.valueRef = "",       "",       _xlfn.LET(         _xlpm.translationColIndex,         IFERROR(           MATCH(UILanguage, _xlpm.tableHeader, 0),           MATCH("English", _xlpm.tableHeader, 0)         ),         _xlpm.translationCol,         INDEX(_xlpm.table, 0, _xlpm.translationColIndex),         _xlpm.valueTranslated,         KeepBlanksFunction(           _xlfn.XLOOKUP(             _xlpm.valueRef,             _xlpm.referenceCol,             _xlpm.translationCol,HiddenTables!#REF!,             0           )         ),         _xlpm.valueTranslated       )     )   )</definedName>
    <definedName name="versionNumber" comment="Version number of the RANAS Analyser. Set in the &quot;HiddenTables&quot; sheet and used in various places.">_xlfn.XLOOKUP("versionNumber", manualEntryVariablesTable[name], manualEntryVariablesTable[value], HiddenTables!#REF!, 0)</definedName>
    <definedName name="yesLabel" comment="Reference to the label meaning &quot;yes&quot; in the drop-down menus of the &quot;Include?&quot; and &quot;Display?&quot; columns of the &quot;Behaviour&quot; and &quot;Factors&quot; configuration tables.  Used in UI text and conditional formatting rules.">_xlfn.XLOOKUP("yes", yesNoTable[tag], yesNoTable[label])</definedName>
    <definedName name="yesNoList" comment="List of yes/no values (check mark/cross mark) used in drop-down menus in the &quot;Behaviour configuration table&quot; and &quot;Factors configuration table&quot; to include behaviour questions/factors in the behaviour score/analysis chart.">yesNoTable[label]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3" i="41" l="1" a="1"/>
  <c r="AY3" i="41" s="1"/>
  <c r="AY4" i="41" l="1" a="1"/>
  <c r="AY4" i="41" s="1"/>
  <c r="AY5" i="41" l="1" a="1"/>
  <c r="AY5" i="41" s="1"/>
  <c r="AY6" i="41" l="1" a="1"/>
  <c r="AY6" i="41" s="1"/>
  <c r="AY7" i="41" l="1" a="1"/>
  <c r="AY7" i="41" s="1"/>
  <c r="CM3" i="41" l="1" a="1"/>
  <c r="CM3" i="41" s="1"/>
  <c r="A2" i="54" a="1"/>
  <c r="A2" i="54" l="1"/>
  <c r="CM4" i="41" l="1" a="1"/>
  <c r="CM4" i="41" s="1"/>
  <c r="D4" i="54" a="1"/>
  <c r="D4" i="54" l="1"/>
  <c r="A5" i="54" a="1"/>
  <c r="A5" i="54" l="1"/>
  <c r="CM5" i="41" a="1"/>
  <c r="CM5" i="41" s="1"/>
  <c r="CM6" i="41" l="1" a="1"/>
  <c r="CM6" i="41" s="1"/>
  <c r="CM7" i="41" l="1" a="1"/>
  <c r="CM7" i="41" s="1"/>
  <c r="CM8" i="41" l="1" a="1"/>
  <c r="CM8" i="41" s="1"/>
  <c r="CM9" i="41" l="1" a="1"/>
  <c r="CM9" i="41" s="1"/>
  <c r="CM10" i="41" a="1"/>
  <c r="CM10" i="41" s="1"/>
  <c r="CM11" i="41" a="1"/>
  <c r="CM11" i="41" s="1"/>
  <c r="CM12" i="41" a="1"/>
  <c r="CM12" i="41" s="1"/>
  <c r="CM13" i="41" a="1"/>
  <c r="CM13" i="41" s="1"/>
  <c r="CM14" i="41" a="1"/>
  <c r="CM14" i="41" s="1"/>
  <c r="CM15" i="41" a="1"/>
  <c r="CM15" i="41" s="1"/>
  <c r="CM16" i="41" a="1"/>
  <c r="CM16" i="41" s="1"/>
  <c r="CM17" i="41" a="1"/>
  <c r="CM17" i="41" s="1"/>
  <c r="CM18" i="41" a="1"/>
  <c r="CM18" i="41" s="1"/>
  <c r="CM19" i="41" a="1"/>
  <c r="CM19" i="41" s="1"/>
  <c r="CM20" i="41" a="1"/>
  <c r="CM20" i="41" s="1"/>
  <c r="CM21" i="41" l="1" a="1"/>
  <c r="CM21" i="41" s="1"/>
  <c r="CM22" i="41" l="1" a="1"/>
  <c r="CM22" i="41" s="1"/>
  <c r="CM23" i="41" l="1" a="1"/>
  <c r="CM23" i="41" s="1"/>
  <c r="CM24" i="41" l="1" a="1"/>
  <c r="CM24" i="41" s="1"/>
  <c r="CM25" i="41" l="1" a="1"/>
  <c r="CM25" i="41" s="1"/>
  <c r="CM26" i="41" l="1" a="1"/>
  <c r="CM26" i="41" s="1"/>
  <c r="CM27" i="41" l="1" a="1"/>
  <c r="CM27" i="41" s="1"/>
  <c r="CM28" i="41" l="1" a="1"/>
  <c r="CM28" i="41" s="1"/>
  <c r="CM29" i="41" l="1" a="1"/>
  <c r="CM29" i="41" s="1"/>
  <c r="CM30" i="41" l="1" a="1"/>
  <c r="CM30" i="41" s="1"/>
  <c r="CM31" i="41" l="1" a="1"/>
  <c r="CM31" i="41" s="1"/>
  <c r="CM32" i="41" l="1" a="1"/>
  <c r="CM32" i="41" s="1"/>
  <c r="BW3" i="41" l="1" a="1"/>
  <c r="BW3" i="41" s="1"/>
  <c r="BW4" i="41" a="1"/>
  <c r="BW4" i="41" s="1"/>
  <c r="BW5" i="41" a="1"/>
  <c r="BW5" i="41" s="1"/>
  <c r="BW6" i="41" a="1"/>
  <c r="BW6" i="41" s="1"/>
  <c r="BW7" i="41" a="1"/>
  <c r="BW7" i="41" s="1"/>
  <c r="BW8" i="41" a="1"/>
  <c r="BW8" i="41" s="1"/>
  <c r="BW9" i="41" a="1"/>
  <c r="BW9" i="41" s="1"/>
  <c r="BW10" i="41" a="1"/>
  <c r="BW10" i="41" s="1"/>
  <c r="BW11" i="41" a="1"/>
  <c r="BW11" i="41" s="1"/>
  <c r="BW12" i="41" a="1"/>
  <c r="BW12" i="41" s="1"/>
  <c r="CH3" i="41" l="1" a="1"/>
  <c r="CH3" i="41" s="1"/>
  <c r="CD3" i="41" a="1"/>
  <c r="CD3" i="41" s="1"/>
  <c r="CE3" i="41" s="1"/>
  <c r="CD4" i="41" l="1" a="1"/>
  <c r="CD4" i="41" s="1"/>
  <c r="CE4" i="41" s="1"/>
  <c r="CD5" i="41" l="1" a="1"/>
  <c r="CD5" i="41" s="1"/>
  <c r="CE5" i="41" s="1"/>
  <c r="CD6" i="41" l="1" a="1"/>
  <c r="CD6" i="41" s="1"/>
  <c r="CE6" i="41" s="1"/>
  <c r="CD7" i="41" l="1" a="1"/>
  <c r="CD7" i="41" s="1"/>
  <c r="CE7" i="41" s="1"/>
  <c r="CD8" i="41" l="1" a="1"/>
  <c r="CD8" i="41" s="1"/>
  <c r="CE8" i="41" s="1"/>
  <c r="CD9" i="41" l="1" a="1"/>
  <c r="CD9" i="41" s="1"/>
  <c r="CE9" i="41" s="1"/>
  <c r="CD10" i="41" l="1" a="1"/>
  <c r="CD10" i="41" s="1"/>
  <c r="CE10" i="41" s="1"/>
  <c r="CD11" i="41" l="1" a="1"/>
  <c r="CD11" i="41" s="1"/>
  <c r="CE11" i="41" s="1"/>
  <c r="CD12" i="41" l="1" a="1"/>
  <c r="CD12" i="41" s="1"/>
  <c r="CE12" i="41" s="1"/>
  <c r="CD13" i="41" l="1" a="1"/>
  <c r="CD13" i="41" s="1"/>
  <c r="CE13" i="41" s="1"/>
  <c r="CD14" i="41" l="1" a="1"/>
  <c r="CD14" i="41" s="1"/>
  <c r="CE14" i="41" s="1"/>
  <c r="CD15" i="41" l="1" a="1"/>
  <c r="CD15" i="41" s="1"/>
  <c r="CE15" i="41" s="1"/>
  <c r="CD16" i="41" l="1" a="1"/>
  <c r="CD16" i="41" s="1"/>
  <c r="CE16" i="41" s="1"/>
  <c r="CD17" i="41" l="1" a="1"/>
  <c r="CD17" i="41" s="1"/>
  <c r="CE17" i="41" s="1"/>
  <c r="CD18" i="41" l="1" a="1"/>
  <c r="CD18" i="41" s="1"/>
  <c r="CE18" i="41" s="1"/>
  <c r="CD19" i="41" l="1" a="1"/>
  <c r="CD19" i="41" s="1"/>
  <c r="CE19" i="41" s="1"/>
  <c r="CD20" i="41" l="1" a="1"/>
  <c r="CD20" i="41" s="1"/>
  <c r="CE20" i="41" s="1"/>
  <c r="CD21" i="41" l="1" a="1"/>
  <c r="CD21" i="41" s="1"/>
  <c r="CE21" i="41" s="1"/>
  <c r="CD22" i="41" l="1" a="1"/>
  <c r="CD22" i="41" s="1"/>
  <c r="CE22" i="41" s="1"/>
  <c r="CD23" i="41" l="1" a="1"/>
  <c r="CD23" i="41" s="1"/>
  <c r="CE23" i="41" s="1"/>
  <c r="CD24" i="41" l="1" a="1"/>
  <c r="CD24" i="41" s="1"/>
  <c r="CE24" i="41" s="1"/>
  <c r="CD25" i="41" l="1" a="1"/>
  <c r="CD25" i="41" s="1"/>
  <c r="CE25" i="41" s="1"/>
  <c r="CD26" i="41" l="1" a="1"/>
  <c r="CD26" i="41" s="1"/>
  <c r="CE26" i="41" s="1"/>
  <c r="CD27" i="41" l="1" a="1"/>
  <c r="CD27" i="41" s="1"/>
  <c r="CE27" i="41" s="1"/>
  <c r="CD28" i="41" l="1" a="1"/>
  <c r="CD28" i="41" s="1"/>
  <c r="CE28" i="41" s="1"/>
  <c r="CD29" i="41" l="1" a="1"/>
  <c r="CD29" i="41" s="1"/>
  <c r="CE29" i="41" s="1"/>
  <c r="CD30" i="41" l="1" a="1"/>
  <c r="CD30" i="41" s="1"/>
  <c r="CE30" i="41" s="1"/>
  <c r="CD31" i="41" l="1" a="1"/>
  <c r="CD31" i="41" s="1"/>
  <c r="CE31" i="41" s="1"/>
  <c r="CD32" i="41" l="1" a="1"/>
  <c r="CD32" i="41" s="1"/>
  <c r="CE32" i="41" s="1"/>
  <c r="CD33" i="41" l="1" a="1"/>
  <c r="CD33" i="41" s="1"/>
  <c r="CE33" i="41" s="1"/>
  <c r="CD34" i="41" a="1"/>
  <c r="CD34" i="41" s="1"/>
  <c r="CE34" i="41" s="1"/>
  <c r="CD35" i="41" a="1"/>
  <c r="CD35" i="41" s="1"/>
  <c r="CE35" i="41" s="1"/>
  <c r="CD36" i="41" a="1"/>
  <c r="CD36" i="41" s="1"/>
  <c r="CE36" i="41" s="1"/>
  <c r="CD37" i="41" a="1"/>
  <c r="CD37" i="41" s="1"/>
  <c r="CE37" i="41" s="1"/>
  <c r="CD38" i="41" a="1"/>
  <c r="CD38" i="41" s="1"/>
  <c r="CE38" i="41" s="1"/>
  <c r="CD39" i="41" a="1"/>
  <c r="CD39" i="41" s="1"/>
  <c r="CE39" i="41" s="1"/>
  <c r="CD40" i="41" a="1"/>
  <c r="CD40" i="41" s="1"/>
  <c r="CE40" i="41" s="1"/>
  <c r="CD41" i="41" a="1"/>
  <c r="CD41" i="41" s="1"/>
  <c r="CE41" i="41" s="1"/>
  <c r="CD42" i="41" a="1"/>
  <c r="CD42" i="41" s="1"/>
  <c r="CE42" i="41" s="1"/>
  <c r="CD43" i="41" a="1"/>
  <c r="CD43" i="41" s="1"/>
  <c r="CE43" i="41" s="1"/>
  <c r="CD44" i="41" a="1"/>
  <c r="CD44" i="41" s="1"/>
  <c r="CE44" i="41" s="1"/>
  <c r="CD45" i="41" a="1"/>
  <c r="CD45" i="41" s="1"/>
  <c r="CE45" i="41" s="1"/>
  <c r="CD46" i="41" a="1"/>
  <c r="CD46" i="41" s="1"/>
  <c r="CE46" i="41" s="1"/>
  <c r="CD47" i="41" a="1"/>
  <c r="CD47" i="41" s="1"/>
  <c r="CE47" i="41" s="1"/>
  <c r="CD48" i="41" a="1"/>
  <c r="CD48" i="41" s="1"/>
  <c r="CE48" i="41" s="1"/>
  <c r="CD49" i="41" a="1"/>
  <c r="CD49" i="41" s="1"/>
  <c r="CE49" i="41" s="1"/>
  <c r="CD50" i="41" a="1"/>
  <c r="CD50" i="41" s="1"/>
  <c r="CE50" i="41" s="1"/>
  <c r="CD51" i="41" a="1"/>
  <c r="CD51" i="41" s="1"/>
  <c r="CE51" i="41" s="1"/>
  <c r="CD52" i="41" a="1"/>
  <c r="CD52" i="41" s="1"/>
  <c r="CE52" i="41" s="1"/>
  <c r="CD53" i="41" a="1"/>
  <c r="CD53" i="41" s="1"/>
  <c r="CE53" i="41" s="1"/>
  <c r="CD54" i="41" a="1"/>
  <c r="CD54" i="41" s="1"/>
  <c r="CE54" i="41" s="1"/>
  <c r="CD55" i="41" a="1"/>
  <c r="CD55" i="41" s="1"/>
  <c r="CE55" i="41" s="1"/>
  <c r="CD56" i="41" a="1"/>
  <c r="CD56" i="41" s="1"/>
  <c r="CE56" i="41" s="1"/>
  <c r="CD57" i="41" a="1"/>
  <c r="CD57" i="41" s="1"/>
  <c r="CE57" i="41" s="1"/>
  <c r="CD58" i="41" a="1"/>
  <c r="CD58" i="41" s="1"/>
  <c r="CE58" i="41" s="1"/>
  <c r="CD59" i="41" a="1"/>
  <c r="CD59" i="41" s="1"/>
  <c r="CE59" i="41" s="1"/>
  <c r="CD60" i="41" a="1"/>
  <c r="CD60" i="41" s="1"/>
  <c r="CE60" i="41" s="1"/>
  <c r="CD61" i="41" a="1"/>
  <c r="CD61" i="41" s="1"/>
  <c r="CE61" i="41" s="1"/>
  <c r="CD62" i="41" a="1"/>
  <c r="CD62" i="41" s="1"/>
  <c r="CE62" i="41" s="1"/>
  <c r="CD63" i="41" a="1"/>
  <c r="CD63" i="41" s="1"/>
  <c r="CE63" i="41" s="1"/>
  <c r="CD64" i="41" a="1"/>
  <c r="CD64" i="41" s="1"/>
  <c r="CE64" i="41" s="1"/>
  <c r="CD65" i="41" a="1"/>
  <c r="CD65" i="41" s="1"/>
  <c r="CE65" i="41" s="1"/>
  <c r="CD66" i="41" a="1"/>
  <c r="CD66" i="41" s="1"/>
  <c r="CE66" i="41" s="1"/>
  <c r="CD67" i="41" a="1"/>
  <c r="CD67" i="41" s="1"/>
  <c r="CE67" i="41" s="1"/>
  <c r="CD68" i="41" a="1"/>
  <c r="CD68" i="41" s="1"/>
  <c r="CE68" i="41" s="1"/>
  <c r="CD69" i="41" a="1"/>
  <c r="CD69" i="41" s="1"/>
  <c r="CE69" i="41" s="1"/>
  <c r="CD70" i="41" a="1"/>
  <c r="CD70" i="41" s="1"/>
  <c r="CE70" i="41" s="1"/>
  <c r="CD71" i="41" a="1"/>
  <c r="CD71" i="41" s="1"/>
  <c r="CE71" i="41" s="1"/>
  <c r="CD72" i="41" a="1"/>
  <c r="CD72" i="41" s="1"/>
  <c r="CE72" i="41" s="1"/>
  <c r="CD73" i="41" a="1"/>
  <c r="CD73" i="41" s="1"/>
  <c r="CE73" i="41" s="1"/>
  <c r="CD74" i="41" a="1"/>
  <c r="CD74" i="41" s="1"/>
  <c r="CE74" i="41" s="1"/>
  <c r="CD75" i="41" a="1"/>
  <c r="CD75" i="41" s="1"/>
  <c r="CE75" i="41" s="1"/>
  <c r="CD76" i="41" a="1"/>
  <c r="CD76" i="41" s="1"/>
  <c r="CE76" i="41" s="1"/>
  <c r="CD77" i="41" a="1"/>
  <c r="CD77" i="41" s="1"/>
  <c r="CE77" i="41" s="1"/>
  <c r="CD78" i="41" a="1"/>
  <c r="CD78" i="41" s="1"/>
  <c r="CE78" i="41" s="1"/>
  <c r="CD79" i="41" a="1"/>
  <c r="CD79" i="41" s="1"/>
  <c r="CE79" i="41" s="1"/>
  <c r="CD80" i="41" a="1"/>
  <c r="CD80" i="41" s="1"/>
  <c r="CE80" i="41" s="1"/>
  <c r="CD81" i="41" a="1"/>
  <c r="CD81" i="41" s="1"/>
  <c r="CE81" i="41" s="1"/>
  <c r="CD82" i="41" a="1"/>
  <c r="CD82" i="41" s="1"/>
  <c r="CE82" i="41" s="1"/>
  <c r="CD83" i="41" a="1"/>
  <c r="CD83" i="41" s="1"/>
  <c r="CE83" i="41" s="1"/>
  <c r="CD84" i="41" a="1"/>
  <c r="CD84" i="41" s="1"/>
  <c r="CE84" i="41" s="1"/>
  <c r="CD85" i="41" a="1"/>
  <c r="CD85" i="41" s="1"/>
  <c r="CE85" i="41" s="1"/>
  <c r="CD86" i="41" a="1"/>
  <c r="CD86" i="41" s="1"/>
  <c r="CE86" i="41" s="1"/>
  <c r="CD87" i="41" a="1"/>
  <c r="CD87" i="41" s="1"/>
  <c r="CE87" i="41" s="1"/>
  <c r="CD88" i="41" a="1"/>
  <c r="CD88" i="41" s="1"/>
  <c r="CE88" i="41" s="1"/>
  <c r="CD89" i="41" a="1"/>
  <c r="CD89" i="41" s="1"/>
  <c r="CE89" i="41" s="1"/>
  <c r="CD90" i="41" a="1"/>
  <c r="CD90" i="41" s="1"/>
  <c r="CE90" i="41" s="1"/>
  <c r="CD91" i="41" a="1"/>
  <c r="CD91" i="41" s="1"/>
  <c r="CE91" i="41" s="1"/>
  <c r="CD92" i="41" a="1"/>
  <c r="CD92" i="41" s="1"/>
  <c r="CE92" i="41" s="1"/>
  <c r="CD93" i="41" a="1"/>
  <c r="CD93" i="41" s="1"/>
  <c r="CE93" i="41" s="1"/>
  <c r="CD94" i="41" a="1"/>
  <c r="CD94" i="41" s="1"/>
  <c r="CE94" i="41" s="1"/>
  <c r="CD95" i="41" a="1"/>
  <c r="CD95" i="41" s="1"/>
  <c r="CE95" i="41" s="1"/>
  <c r="CD96" i="41" a="1"/>
  <c r="CD96" i="41" s="1"/>
  <c r="CE96" i="41" s="1"/>
  <c r="CD97" i="41" a="1"/>
  <c r="CD97" i="41" s="1"/>
  <c r="CE97" i="41" s="1"/>
  <c r="CD98" i="41" a="1"/>
  <c r="CD98" i="41" s="1"/>
  <c r="CE98" i="41" s="1"/>
  <c r="CD99" i="41" a="1"/>
  <c r="CD99" i="41" s="1"/>
  <c r="CE99" i="41" s="1"/>
  <c r="CD100" i="41" a="1"/>
  <c r="CD100" i="41" s="1"/>
  <c r="CE100" i="41" s="1"/>
  <c r="CD101" i="41" a="1"/>
  <c r="CD101" i="41" s="1"/>
  <c r="CE101" i="41" s="1"/>
  <c r="CD102" i="41" a="1"/>
  <c r="CD102" i="41" s="1"/>
  <c r="CE102" i="41" s="1"/>
  <c r="CD103" i="41" a="1"/>
  <c r="CD103" i="41" s="1"/>
  <c r="CE103" i="41" s="1"/>
  <c r="E3" i="41" a="1"/>
  <c r="E3" i="41" s="1"/>
  <c r="J3" i="41" a="1"/>
  <c r="J3" i="41" s="1"/>
  <c r="L3" i="41" a="1"/>
  <c r="L3" i="41" s="1"/>
  <c r="S3" i="41" a="1"/>
  <c r="S3" i="41" s="1"/>
  <c r="W3" i="41" a="1"/>
  <c r="W3" i="41" s="1"/>
  <c r="AD3" i="41" a="1"/>
  <c r="AD3" i="41" s="1"/>
  <c r="AJ3" i="41" a="1"/>
  <c r="AJ3" i="41" s="1"/>
  <c r="AN3" i="41" a="1"/>
  <c r="AN3" i="41" s="1"/>
  <c r="AP3" i="41"/>
  <c r="AS3" i="41" a="1"/>
  <c r="AS3" i="41" s="1"/>
  <c r="N3" i="41" a="1"/>
  <c r="M3" i="41" a="1"/>
  <c r="N3" i="41" l="1"/>
  <c r="M3" i="41"/>
  <c r="E4" i="41" l="1" a="1"/>
  <c r="E4" i="41" s="1"/>
  <c r="J4" i="41" a="1"/>
  <c r="J4" i="41" s="1"/>
  <c r="L4" i="41" a="1"/>
  <c r="L4" i="41" l="1"/>
  <c r="M4" i="41" a="1"/>
  <c r="M4" i="41" s="1"/>
  <c r="N4" i="41" a="1"/>
  <c r="N4" i="41" s="1"/>
  <c r="S4" i="41" a="1"/>
  <c r="S4" i="41" s="1"/>
  <c r="W4" i="41" a="1"/>
  <c r="W4" i="41" s="1"/>
  <c r="AD4" i="41" a="1"/>
  <c r="AD4" i="41" s="1"/>
  <c r="AJ4" i="41" a="1"/>
  <c r="AJ4" i="41" s="1"/>
  <c r="AN4" i="41" a="1"/>
  <c r="AN4" i="41" s="1"/>
  <c r="AP4" i="41"/>
  <c r="AS4" i="41" a="1"/>
  <c r="AS4" i="41" s="1"/>
  <c r="E5" i="41" l="1" a="1"/>
  <c r="E5" i="41" s="1"/>
  <c r="J5" i="41" a="1"/>
  <c r="J5" i="41" s="1"/>
  <c r="L5" i="41" a="1"/>
  <c r="L5" i="41" l="1"/>
  <c r="M5" i="41" a="1"/>
  <c r="M5" i="41" s="1"/>
  <c r="N5" i="41" a="1"/>
  <c r="N5" i="41" s="1"/>
  <c r="S5" i="41" a="1"/>
  <c r="S5" i="41" s="1"/>
  <c r="W5" i="41" a="1"/>
  <c r="W5" i="41" s="1"/>
  <c r="AD5" i="41" a="1"/>
  <c r="AD5" i="41" s="1"/>
  <c r="AE5" i="41" s="1" a="1"/>
  <c r="AE5" i="41" s="1"/>
  <c r="AF5" i="41" s="1"/>
  <c r="AN5" i="41" a="1"/>
  <c r="AN5" i="41" s="1"/>
  <c r="AP5" i="41"/>
  <c r="AS5" i="41" a="1"/>
  <c r="AS5" i="41" s="1"/>
  <c r="E6" i="41" l="1" a="1"/>
  <c r="E6" i="41" s="1"/>
  <c r="J6" i="41" a="1"/>
  <c r="J6" i="41" s="1"/>
  <c r="L6" i="41" a="1"/>
  <c r="L6" i="41" l="1"/>
  <c r="M6" i="41" a="1"/>
  <c r="M6" i="41" s="1"/>
  <c r="N6" i="41" a="1"/>
  <c r="N6" i="41" s="1"/>
  <c r="S6" i="41" a="1"/>
  <c r="S6" i="41" s="1"/>
  <c r="W6" i="41" a="1"/>
  <c r="W6" i="41" s="1"/>
  <c r="AD6" i="41" a="1"/>
  <c r="AD6" i="41" s="1"/>
  <c r="AE6" i="41" s="1" a="1"/>
  <c r="AE6" i="41" s="1"/>
  <c r="AF6" i="41" s="1"/>
  <c r="AN6" i="41" a="1"/>
  <c r="AN6" i="41" s="1"/>
  <c r="AP6" i="41"/>
  <c r="AS6" i="41" a="1"/>
  <c r="AS6" i="41" s="1"/>
  <c r="E7" i="41" l="1" a="1"/>
  <c r="E7" i="41" s="1"/>
  <c r="J7" i="41" a="1"/>
  <c r="J7" i="41" s="1"/>
  <c r="M7" i="41" a="1"/>
  <c r="M7" i="41" s="1"/>
  <c r="N7" i="41" a="1"/>
  <c r="N7" i="41" s="1"/>
  <c r="S7" i="41" a="1"/>
  <c r="S7" i="41" s="1"/>
  <c r="W7" i="41" a="1"/>
  <c r="W7" i="41" s="1"/>
  <c r="AD7" i="41" a="1"/>
  <c r="AD7" i="41" s="1"/>
  <c r="AE7" i="41" s="1" a="1"/>
  <c r="AE7" i="41" s="1"/>
  <c r="AF7" i="41" s="1"/>
  <c r="AN7" i="41" a="1"/>
  <c r="AN7" i="41" s="1"/>
  <c r="AP7" i="41"/>
  <c r="E8" i="41" l="1" a="1"/>
  <c r="E8" i="41" s="1"/>
  <c r="J8" i="41" a="1"/>
  <c r="J8" i="41" s="1"/>
  <c r="S8" i="41" l="1" a="1"/>
  <c r="S8" i="41" s="1"/>
  <c r="W8" i="41" a="1"/>
  <c r="W8" i="41" s="1"/>
  <c r="E9" i="41" a="1"/>
  <c r="E9" i="41" s="1"/>
  <c r="G9" i="41" a="1"/>
  <c r="G9" i="41" l="1"/>
  <c r="H9" i="41" a="1"/>
  <c r="H9" i="41" l="1"/>
  <c r="J9" i="41" a="1"/>
  <c r="J9" i="41" s="1"/>
  <c r="M9" i="41" l="1" a="1"/>
  <c r="M9" i="41" s="1"/>
  <c r="N9" i="41" a="1"/>
  <c r="N9" i="41" s="1"/>
  <c r="S9" i="41" a="1"/>
  <c r="S9" i="41" s="1"/>
  <c r="W9" i="41" a="1"/>
  <c r="W9" i="41" s="1"/>
  <c r="E10" i="41" a="1"/>
  <c r="E10" i="41" s="1"/>
  <c r="J10" i="41" a="1"/>
  <c r="J10" i="41" s="1"/>
  <c r="W10" i="41" l="1" a="1"/>
  <c r="W10" i="41" s="1"/>
  <c r="E11" i="41" a="1"/>
  <c r="E11" i="41" s="1"/>
  <c r="G11" i="41"/>
  <c r="H11" i="41"/>
  <c r="J11" i="41" a="1"/>
  <c r="J11" i="41" s="1"/>
  <c r="M11" i="41" a="1"/>
  <c r="M11" i="41" s="1"/>
  <c r="N11" i="41" a="1"/>
  <c r="N11" i="41" s="1"/>
  <c r="E12" i="41" a="1"/>
  <c r="E12" i="41" s="1"/>
  <c r="G12" i="41" a="1"/>
  <c r="G12" i="41" l="1"/>
  <c r="H12" i="41" a="1"/>
  <c r="H12" i="41" l="1"/>
  <c r="J12" i="41" a="1"/>
  <c r="J12" i="41" s="1"/>
  <c r="M12" i="41" a="1"/>
  <c r="M12" i="41" s="1"/>
  <c r="N12" i="41" a="1"/>
  <c r="N12" i="41" s="1"/>
  <c r="E13" i="41" a="1"/>
  <c r="E13" i="41" s="1"/>
  <c r="J13" i="41" a="1"/>
  <c r="J13" i="41" s="1"/>
  <c r="E14" i="41" a="1"/>
  <c r="E14" i="41" s="1"/>
  <c r="J14" i="41" a="1"/>
  <c r="J14" i="41" s="1"/>
  <c r="M14" i="41" a="1"/>
  <c r="M14" i="41" s="1"/>
  <c r="N14" i="41" a="1"/>
  <c r="N14" i="41" s="1"/>
  <c r="E15" i="41" a="1"/>
  <c r="E15" i="41" s="1"/>
  <c r="J15" i="41" a="1"/>
  <c r="J15" i="41" s="1"/>
  <c r="E16" i="41" a="1"/>
  <c r="E16" i="41" s="1"/>
  <c r="J16" i="41" a="1"/>
  <c r="J16" i="41" s="1"/>
  <c r="M16" i="41" a="1"/>
  <c r="M16" i="41" s="1"/>
  <c r="N16" i="41" a="1"/>
  <c r="N16" i="41" s="1"/>
  <c r="W11" i="41" a="1"/>
  <c r="W11" i="41" s="1"/>
  <c r="E17" i="41" a="1"/>
  <c r="E17" i="41" s="1"/>
  <c r="J17" i="41" a="1"/>
  <c r="J17" i="41" s="1"/>
  <c r="H13" i="41" a="1"/>
  <c r="G13" i="41" a="1"/>
  <c r="M17" i="41" a="1"/>
  <c r="G13" i="41" l="1"/>
  <c r="H13" i="41"/>
  <c r="M17" i="41"/>
  <c r="W12" i="41" a="1"/>
  <c r="W12" i="41" s="1"/>
  <c r="E18" i="41" a="1"/>
  <c r="E18" i="41" s="1"/>
  <c r="J18" i="41" a="1"/>
  <c r="J18" i="41" s="1"/>
  <c r="W13" i="41" a="1"/>
  <c r="W13" i="41" s="1"/>
  <c r="E19" i="41" a="1"/>
  <c r="E19" i="41" s="1"/>
  <c r="J19" i="41" a="1"/>
  <c r="J19" i="41" s="1"/>
  <c r="W14" i="41" a="1"/>
  <c r="W14" i="41" s="1"/>
  <c r="E20" i="41" a="1"/>
  <c r="E20" i="41" s="1"/>
  <c r="G20" i="41"/>
  <c r="H20" i="41"/>
  <c r="J20" i="41" a="1"/>
  <c r="J20" i="41" s="1"/>
  <c r="W15" i="41" a="1"/>
  <c r="W15" i="41" s="1"/>
  <c r="E21" i="41" a="1"/>
  <c r="E21" i="41" s="1"/>
  <c r="J21" i="41" a="1"/>
  <c r="J21" i="41" s="1"/>
  <c r="M21" i="41" a="1"/>
  <c r="M21" i="41" s="1"/>
  <c r="N21" i="41" a="1"/>
  <c r="N21" i="41" s="1"/>
  <c r="W16" i="41" a="1"/>
  <c r="W16" i="41" s="1"/>
  <c r="E22" i="41" a="1"/>
  <c r="E22" i="41" s="1"/>
  <c r="J22" i="41" a="1"/>
  <c r="J22" i="41" s="1"/>
  <c r="N17" i="41" a="1"/>
  <c r="L22" i="41" a="1"/>
  <c r="L21" i="41" a="1"/>
  <c r="L21" i="41" l="1"/>
  <c r="N17" i="41"/>
  <c r="L22" i="41"/>
  <c r="W17" i="41" a="1"/>
  <c r="W17" i="41" s="1"/>
  <c r="E23" i="41" a="1"/>
  <c r="E23" i="41" s="1"/>
  <c r="G23" i="41"/>
  <c r="H23" i="41"/>
  <c r="W18" i="41" a="1"/>
  <c r="W18" i="41" s="1"/>
  <c r="E24" i="41" a="1"/>
  <c r="E24" i="41" s="1"/>
  <c r="G24" i="41"/>
  <c r="H24" i="41"/>
  <c r="W19" i="41" a="1"/>
  <c r="W19" i="41" s="1"/>
  <c r="E25" i="41" a="1"/>
  <c r="E25" i="41" s="1"/>
  <c r="G25" i="41" a="1"/>
  <c r="G25" i="41" s="1"/>
  <c r="H25" i="41" a="1"/>
  <c r="H25" i="41" s="1"/>
  <c r="W20" i="41" a="1"/>
  <c r="W20" i="41" s="1"/>
  <c r="E26" i="41" a="1"/>
  <c r="E26" i="41" s="1"/>
  <c r="G26" i="41" a="1"/>
  <c r="G26" i="41" s="1"/>
  <c r="H26" i="41" a="1"/>
  <c r="H26" i="41" s="1"/>
  <c r="W21" i="41" a="1"/>
  <c r="W21" i="41" s="1"/>
  <c r="E27" i="41" a="1"/>
  <c r="E27" i="41" s="1"/>
  <c r="G27" i="41"/>
  <c r="G49" i="41" s="1"/>
  <c r="H27" i="41"/>
  <c r="H49" i="41" s="1"/>
  <c r="W22" i="41" a="1"/>
  <c r="W22" i="41" s="1"/>
  <c r="E28" i="41" a="1"/>
  <c r="E28" i="41" s="1"/>
  <c r="W23" i="41" a="1"/>
  <c r="W23" i="41" s="1"/>
  <c r="E29" i="41" a="1"/>
  <c r="E29" i="41" s="1"/>
  <c r="G29" i="41"/>
  <c r="W24" i="41" a="1"/>
  <c r="W24" i="41" s="1"/>
  <c r="E30" i="41" a="1"/>
  <c r="E30" i="41" s="1"/>
  <c r="W25" i="41" a="1"/>
  <c r="W25" i="41" s="1"/>
  <c r="E31" i="41" a="1"/>
  <c r="E31" i="41" s="1"/>
  <c r="G31" i="41" a="1"/>
  <c r="G31" i="41" s="1"/>
  <c r="H31" i="41" a="1"/>
  <c r="H31" i="41" s="1"/>
  <c r="E32" i="41" a="1"/>
  <c r="E32" i="41" s="1"/>
  <c r="G32" i="41"/>
  <c r="H32" i="41"/>
  <c r="E33" i="41" a="1"/>
  <c r="E33" i="41" s="1"/>
  <c r="G33" i="41" a="1"/>
  <c r="G33" i="41" s="1"/>
  <c r="H33" i="41" a="1"/>
  <c r="H33" i="41" s="1"/>
  <c r="E34" i="41" a="1"/>
  <c r="E34" i="41" s="1"/>
  <c r="W26" i="41" a="1"/>
  <c r="W26" i="41" s="1"/>
  <c r="E35" i="41" a="1"/>
  <c r="E35" i="41" s="1"/>
  <c r="W27" i="41" a="1"/>
  <c r="W27" i="41" s="1"/>
  <c r="E36" i="41" a="1"/>
  <c r="E36" i="41" s="1"/>
  <c r="W28" i="41" a="1"/>
  <c r="W28" i="41" s="1"/>
  <c r="E37" i="41" a="1"/>
  <c r="E37" i="41" s="1"/>
  <c r="W29" i="41" a="1"/>
  <c r="W29" i="41" s="1"/>
  <c r="E38" i="41" a="1"/>
  <c r="E38" i="41" s="1"/>
  <c r="W30" i="41" a="1"/>
  <c r="W30" i="41" s="1"/>
  <c r="E39" i="41" a="1"/>
  <c r="E39" i="41" s="1"/>
  <c r="W31" i="41" a="1"/>
  <c r="W31" i="41" s="1"/>
  <c r="E40" i="41" a="1"/>
  <c r="E40" i="41" s="1"/>
  <c r="W32" i="41" a="1"/>
  <c r="W32" i="41" s="1"/>
  <c r="E41" i="41" a="1"/>
  <c r="E41" i="41" s="1"/>
  <c r="W33" i="41" a="1"/>
  <c r="W33" i="41" s="1"/>
  <c r="E42" i="41" a="1"/>
  <c r="E42" i="41" s="1"/>
  <c r="W34" i="41" a="1"/>
  <c r="W34" i="41" s="1"/>
  <c r="E43" i="41" a="1"/>
  <c r="E43" i="41" s="1"/>
  <c r="W35" i="41" a="1"/>
  <c r="W35" i="41" s="1"/>
  <c r="E44" i="41" a="1"/>
  <c r="E44" i="41" s="1"/>
  <c r="E45" i="41" a="1"/>
  <c r="E45" i="41" s="1"/>
  <c r="W36" i="41" a="1"/>
  <c r="W36" i="41" s="1"/>
  <c r="E46" i="41" a="1"/>
  <c r="E46" i="41" s="1"/>
  <c r="G46" i="41"/>
  <c r="H46" i="41"/>
  <c r="E47" i="41" a="1"/>
  <c r="E47" i="41" s="1"/>
  <c r="E48" i="41" a="1"/>
  <c r="E48" i="41" s="1"/>
  <c r="G48" i="41" a="1"/>
  <c r="G48" i="41" s="1"/>
  <c r="H48" i="41" a="1"/>
  <c r="H48" i="41" s="1"/>
  <c r="W37" i="41" a="1"/>
  <c r="W37" i="41" s="1"/>
  <c r="E49" i="41" a="1"/>
  <c r="E49" i="41" s="1"/>
  <c r="W38" i="41" a="1"/>
  <c r="W38" i="41" s="1"/>
  <c r="E50" i="41" a="1"/>
  <c r="E50" i="41" s="1"/>
  <c r="W39" i="41" a="1"/>
  <c r="W39" i="41" s="1"/>
  <c r="E51" i="41" a="1"/>
  <c r="E51" i="41" s="1"/>
  <c r="G51" i="41" a="1"/>
  <c r="G51" i="41" s="1"/>
  <c r="H51" i="41" a="1"/>
  <c r="H51" i="41" s="1"/>
  <c r="W40" i="41" a="1"/>
  <c r="W40" i="41" s="1"/>
  <c r="E52" i="41" a="1"/>
  <c r="E52" i="41" s="1"/>
  <c r="W41" i="41" a="1"/>
  <c r="W41" i="41" s="1"/>
  <c r="E53" i="41" a="1"/>
  <c r="E53" i="41" s="1"/>
  <c r="W42" i="41" a="1"/>
  <c r="W42" i="41" s="1"/>
  <c r="E54" i="41" a="1"/>
  <c r="E54" i="41" s="1"/>
  <c r="W43" i="41" a="1"/>
  <c r="W43" i="41" s="1"/>
  <c r="E55" i="41" a="1"/>
  <c r="E55" i="41" s="1"/>
  <c r="W44" i="41" a="1"/>
  <c r="W44" i="41" s="1"/>
  <c r="E56" i="41" a="1"/>
  <c r="E56" i="41" s="1"/>
  <c r="W45" i="41" a="1"/>
  <c r="W45" i="41" s="1"/>
  <c r="E57" i="41" a="1"/>
  <c r="E57" i="41" s="1"/>
  <c r="G57" i="41"/>
  <c r="H57" i="41"/>
  <c r="W46" i="41" a="1"/>
  <c r="W46" i="41" s="1"/>
  <c r="E58" i="41" a="1"/>
  <c r="E58" i="41" s="1"/>
  <c r="W47" i="41" a="1"/>
  <c r="W47" i="41" s="1"/>
  <c r="E59" i="41" a="1"/>
  <c r="E59" i="41" s="1"/>
  <c r="W48" i="41" a="1"/>
  <c r="W48" i="41" s="1"/>
  <c r="E60" i="41" a="1"/>
  <c r="E60" i="41" s="1"/>
  <c r="W49" i="41" a="1"/>
  <c r="W49" i="41" s="1"/>
  <c r="E61" i="41" a="1"/>
  <c r="E61" i="41" s="1"/>
  <c r="W50" i="41" a="1"/>
  <c r="W50" i="41" s="1"/>
  <c r="E62" i="41" a="1"/>
  <c r="E62" i="41" s="1"/>
  <c r="W51" i="41" a="1"/>
  <c r="W51" i="41" s="1"/>
  <c r="E63" i="41" a="1"/>
  <c r="E63" i="41" s="1"/>
  <c r="W52" i="41" a="1"/>
  <c r="W52" i="41" s="1"/>
  <c r="E64" i="41" a="1"/>
  <c r="E64" i="41" s="1"/>
  <c r="W53" i="41" a="1"/>
  <c r="W53" i="41" s="1"/>
  <c r="E65" i="41" a="1"/>
  <c r="E65" i="41" s="1"/>
  <c r="W54" i="41" a="1"/>
  <c r="W54" i="41" s="1"/>
  <c r="E66" i="41" a="1"/>
  <c r="E66" i="41" s="1"/>
  <c r="W55" i="41" a="1"/>
  <c r="W55" i="41" s="1"/>
  <c r="E67" i="41" a="1"/>
  <c r="E67" i="41" s="1"/>
  <c r="W56" i="41" a="1"/>
  <c r="W56" i="41" s="1"/>
  <c r="E68" i="41" a="1"/>
  <c r="E68" i="41" s="1"/>
  <c r="W57" i="41" a="1"/>
  <c r="W57" i="41" s="1"/>
  <c r="E69" i="41" a="1"/>
  <c r="E69" i="41" s="1"/>
  <c r="W58" i="41" a="1"/>
  <c r="W58" i="41" s="1"/>
  <c r="E70" i="41" a="1"/>
  <c r="E70" i="41" s="1"/>
  <c r="W59" i="41" a="1"/>
  <c r="W59" i="41" s="1"/>
  <c r="Z59" i="41" a="1"/>
  <c r="Z59" i="41" s="1"/>
  <c r="E71" i="41" a="1"/>
  <c r="E71" i="41" s="1"/>
  <c r="E72" i="41" a="1"/>
  <c r="E72" i="41" s="1"/>
  <c r="W60" i="41" a="1"/>
  <c r="W60" i="41" s="1"/>
  <c r="E73" i="41" a="1"/>
  <c r="E73" i="41" s="1"/>
  <c r="W61" i="41" a="1"/>
  <c r="W61" i="41" s="1"/>
  <c r="E74" i="41" a="1"/>
  <c r="E74" i="41" s="1"/>
  <c r="W62" i="41" a="1"/>
  <c r="W62" i="41" s="1"/>
  <c r="E75" i="41" a="1"/>
  <c r="E75" i="41" s="1"/>
  <c r="W63" i="41" a="1"/>
  <c r="W63" i="41" s="1"/>
  <c r="E76" i="41" a="1"/>
  <c r="E76" i="41" s="1"/>
  <c r="W64" i="41" a="1"/>
  <c r="W64" i="41" s="1"/>
  <c r="E77" i="41" a="1"/>
  <c r="E77" i="41" s="1"/>
  <c r="W65" i="41" a="1"/>
  <c r="W65" i="41" s="1"/>
  <c r="E78" i="41" a="1"/>
  <c r="E78" i="41" s="1"/>
  <c r="W66" i="41" a="1"/>
  <c r="W66" i="41" s="1"/>
  <c r="Z66" i="41" a="1"/>
  <c r="Z66" i="41" s="1"/>
  <c r="E79" i="41" a="1"/>
  <c r="E79" i="41" s="1"/>
  <c r="W67" i="41" a="1"/>
  <c r="W67" i="41" s="1"/>
  <c r="E80" i="41" a="1"/>
  <c r="E80" i="41" s="1"/>
  <c r="W68" i="41" a="1"/>
  <c r="W68" i="41" s="1"/>
  <c r="Z68" i="41" a="1"/>
  <c r="Z68" i="41" s="1"/>
  <c r="E81" i="41" a="1"/>
  <c r="E81" i="41" s="1"/>
  <c r="W69" i="41" a="1"/>
  <c r="W69" i="41" s="1"/>
  <c r="E82" i="41" a="1"/>
  <c r="E82" i="41" s="1"/>
  <c r="W70" i="41" a="1"/>
  <c r="W70" i="41" s="1"/>
  <c r="E83" i="41" a="1"/>
  <c r="E83" i="41" s="1"/>
  <c r="W71" i="41" a="1"/>
  <c r="W71" i="41" s="1"/>
  <c r="E84" i="41" a="1"/>
  <c r="E84" i="41" s="1"/>
  <c r="G84" i="41" a="1"/>
  <c r="G84" i="41" s="1"/>
  <c r="H84" i="41" a="1"/>
  <c r="H84" i="41" s="1"/>
  <c r="W72" i="41" a="1"/>
  <c r="W72" i="41" s="1"/>
  <c r="E85" i="41" a="1"/>
  <c r="E85" i="41" s="1"/>
  <c r="W73" i="41" a="1"/>
  <c r="W73" i="41" s="1"/>
  <c r="E86" i="41" a="1"/>
  <c r="E86" i="41" s="1"/>
  <c r="G86" i="41" a="1"/>
  <c r="G86" i="41" s="1"/>
  <c r="H86" i="41" a="1"/>
  <c r="H86" i="41" s="1"/>
  <c r="W74" i="41" a="1"/>
  <c r="W74" i="41" s="1"/>
  <c r="E87" i="41" a="1"/>
  <c r="E87" i="41" s="1"/>
  <c r="W75" i="41" a="1"/>
  <c r="W75" i="41" s="1"/>
  <c r="E88" i="41" a="1"/>
  <c r="E88" i="41" s="1"/>
  <c r="G88" i="41" a="1"/>
  <c r="G88" i="41" s="1"/>
  <c r="H88" i="41" a="1"/>
  <c r="H88" i="41" s="1"/>
  <c r="W76" i="41" a="1"/>
  <c r="W76" i="41" s="1"/>
  <c r="E89" i="41" a="1"/>
  <c r="E89" i="41" s="1"/>
  <c r="W77" i="41" a="1"/>
  <c r="W77" i="41" s="1"/>
  <c r="E90" i="41" a="1"/>
  <c r="E90" i="41" s="1"/>
  <c r="G90" i="41" a="1"/>
  <c r="G90" i="41" s="1"/>
  <c r="H90" i="41" a="1"/>
  <c r="H90" i="41" s="1"/>
  <c r="W78" i="41" a="1"/>
  <c r="W78" i="41" s="1"/>
  <c r="Z78" i="41" a="1"/>
  <c r="Z78" i="41" s="1"/>
  <c r="E91" i="41" a="1"/>
  <c r="E91" i="41" s="1"/>
  <c r="W79" i="41" a="1"/>
  <c r="W79" i="41" s="1"/>
  <c r="Z79" i="41" a="1"/>
  <c r="Z79" i="41" s="1"/>
  <c r="E92" i="41" a="1"/>
  <c r="E92" i="41" s="1"/>
  <c r="W80" i="41" a="1"/>
  <c r="W80" i="41" s="1"/>
  <c r="E93" i="41" a="1"/>
  <c r="E93" i="41" s="1"/>
  <c r="W81" i="41" a="1"/>
  <c r="W81" i="41" s="1"/>
  <c r="Z81" i="41" a="1"/>
  <c r="Z81" i="41" s="1"/>
  <c r="W82" i="41" a="1"/>
  <c r="W82" i="41" s="1"/>
  <c r="W83" i="41" a="1"/>
  <c r="W83" i="41"/>
  <c r="W84" i="41" a="1"/>
  <c r="W84" i="41" s="1"/>
  <c r="Z84" i="41" a="1"/>
  <c r="Z84" i="41" s="1"/>
  <c r="W85" i="41" a="1"/>
  <c r="W85" i="41" s="1"/>
  <c r="W86" i="41" a="1"/>
  <c r="W86" i="41" s="1"/>
  <c r="W87" i="41" a="1"/>
  <c r="W87" i="41" s="1"/>
  <c r="W88" i="41" a="1"/>
  <c r="W88" i="41" s="1"/>
  <c r="W89" i="41" a="1"/>
  <c r="W89" i="41" s="1"/>
  <c r="W90" i="41" a="1"/>
  <c r="W90" i="41" s="1"/>
  <c r="W91" i="41" a="1"/>
  <c r="W91" i="41" s="1"/>
  <c r="W92" i="41" a="1"/>
  <c r="W92" i="41" s="1"/>
  <c r="W93" i="41" a="1"/>
  <c r="W93" i="41" s="1"/>
  <c r="W94" i="41" a="1"/>
  <c r="W94" i="41" s="1"/>
  <c r="W95" i="41" a="1"/>
  <c r="W95" i="41" s="1"/>
  <c r="W96" i="41" a="1"/>
  <c r="W96" i="41" s="1"/>
  <c r="W97" i="41" a="1"/>
  <c r="W97" i="41" s="1"/>
  <c r="W98" i="41" a="1"/>
  <c r="W98" i="41" s="1"/>
  <c r="W99" i="41" a="1"/>
  <c r="W99" i="41" s="1"/>
  <c r="W100" i="41" a="1"/>
  <c r="W100" i="41" s="1"/>
  <c r="W101" i="41" a="1"/>
  <c r="W101" i="41" s="1"/>
  <c r="W102" i="41" a="1"/>
  <c r="W102" i="41" s="1"/>
  <c r="W103" i="41" a="1"/>
  <c r="W103" i="41" s="1"/>
  <c r="W104" i="41" a="1"/>
  <c r="W104" i="41" s="1"/>
  <c r="W105" i="41" a="1"/>
  <c r="W105" i="41" s="1"/>
  <c r="W106" i="41" a="1"/>
  <c r="W106" i="41" s="1"/>
  <c r="W107" i="41" a="1"/>
  <c r="W107" i="41" s="1"/>
  <c r="W108" i="41" a="1"/>
  <c r="W108" i="41" s="1"/>
  <c r="W109" i="41" a="1"/>
  <c r="W109" i="41" s="1"/>
  <c r="W110" i="41" a="1"/>
  <c r="W110" i="41" s="1"/>
  <c r="W111" i="41" a="1"/>
  <c r="W111" i="41" s="1"/>
  <c r="W112" i="41" a="1"/>
  <c r="W112" i="41" s="1"/>
  <c r="W113" i="41" a="1"/>
  <c r="W113" i="41" s="1"/>
  <c r="W114" i="41" a="1"/>
  <c r="W114" i="41" s="1"/>
  <c r="W115" i="41" a="1"/>
  <c r="W115" i="41" s="1"/>
  <c r="W116" i="41" a="1"/>
  <c r="W116" i="41" s="1"/>
  <c r="W117" i="41" a="1"/>
  <c r="W117" i="41" s="1"/>
  <c r="W118" i="41" a="1"/>
  <c r="W118" i="41" s="1"/>
  <c r="Z37" i="41" a="1"/>
  <c r="Z69" i="41" a="1"/>
  <c r="H87" i="41" a="1"/>
  <c r="G83" i="41" a="1"/>
  <c r="G66" i="41" a="1"/>
  <c r="G82" i="41" a="1"/>
  <c r="Z48" i="41" a="1"/>
  <c r="H66" i="41" a="1"/>
  <c r="H85" i="41" a="1"/>
  <c r="H52" i="41" a="1"/>
  <c r="Z76" i="41" a="1"/>
  <c r="H82" i="41" a="1"/>
  <c r="H75" i="41" a="1"/>
  <c r="Z46" i="41" a="1"/>
  <c r="Z56" i="41" a="1"/>
  <c r="H83" i="41" a="1"/>
  <c r="N22" i="41" a="1"/>
  <c r="Z77" i="41" a="1"/>
  <c r="G85" i="41" a="1"/>
  <c r="H92" i="41" a="1"/>
  <c r="Z57" i="41" a="1"/>
  <c r="G52" i="41" a="1"/>
  <c r="H53" i="41" a="1"/>
  <c r="Z47" i="41" a="1"/>
  <c r="G92" i="41" a="1"/>
  <c r="M22" i="41" a="1"/>
  <c r="G53" i="41" a="1"/>
  <c r="G87" i="41" a="1"/>
  <c r="G75" i="41" a="1"/>
  <c r="Z80" i="41" a="1"/>
  <c r="Z36" i="41" a="1"/>
  <c r="Z77" i="41" l="1"/>
  <c r="H92" i="41"/>
  <c r="H85" i="41"/>
  <c r="G83" i="41"/>
  <c r="H66" i="41"/>
  <c r="Z48" i="41"/>
  <c r="Z46" i="41"/>
  <c r="Z37" i="41"/>
  <c r="N22" i="41"/>
  <c r="G82" i="41"/>
  <c r="H87" i="41"/>
  <c r="G85" i="41"/>
  <c r="Z56" i="41"/>
  <c r="G66" i="41"/>
  <c r="Z36" i="41"/>
  <c r="M22" i="41"/>
  <c r="Z76" i="41"/>
  <c r="H75" i="41"/>
  <c r="G92" i="41"/>
  <c r="Z80" i="41"/>
  <c r="Z47" i="41"/>
  <c r="H53" i="41"/>
  <c r="H52" i="41"/>
  <c r="Z69" i="41"/>
  <c r="G75" i="41"/>
  <c r="G87" i="41"/>
  <c r="H83" i="41"/>
  <c r="Z57" i="41"/>
  <c r="G53" i="41"/>
  <c r="G52" i="41"/>
  <c r="H82" i="41"/>
  <c r="D49" i="39" a="1"/>
  <c r="D49" i="39" s="1"/>
  <c r="I8" i="43" l="1" a="1"/>
  <c r="I8" i="43" s="1"/>
  <c r="I7" i="43" a="1"/>
  <c r="I7" i="43" s="1"/>
  <c r="I6" i="43" a="1"/>
  <c r="I6" i="43" s="1"/>
  <c r="I4" i="43" a="1"/>
  <c r="I4" i="43" s="1"/>
  <c r="D8" i="43" a="1"/>
  <c r="D8" i="43" s="1"/>
  <c r="B6" i="43" a="1"/>
  <c r="B6" i="43" s="1"/>
  <c r="B4" i="43" a="1"/>
  <c r="B4" i="43" s="1"/>
  <c r="B3" i="43" a="1"/>
  <c r="B3" i="43" s="1"/>
  <c r="B2" i="43" a="1"/>
  <c r="B2" i="43" s="1"/>
  <c r="L66" i="43" a="1"/>
  <c r="L66" i="43" s="1"/>
  <c r="H28" i="42" a="1"/>
  <c r="H28" i="42" s="1"/>
  <c r="L49" i="43" a="1"/>
  <c r="L49" i="43" s="1"/>
  <c r="B24" i="42" a="1"/>
  <c r="B24" i="42" s="1"/>
  <c r="G6" i="42" a="1"/>
  <c r="G6" i="42" s="1"/>
  <c r="B5" i="42" a="1"/>
  <c r="B5" i="42" s="1"/>
  <c r="B4" i="42" a="1"/>
  <c r="B4" i="42" s="1"/>
  <c r="B3" i="42" a="1"/>
  <c r="B3" i="42" s="1"/>
  <c r="B2" i="42" a="1"/>
  <c r="B2" i="42" s="1"/>
  <c r="I74" i="39" a="1"/>
  <c r="I74" i="39" s="1"/>
  <c r="I37" i="39" a="1"/>
  <c r="I37" i="39" s="1"/>
  <c r="D37" i="39" a="1"/>
  <c r="D37" i="39" s="1"/>
  <c r="C37" i="39" a="1"/>
  <c r="C37" i="39" s="1"/>
  <c r="C33" i="39" a="1"/>
  <c r="C33" i="39" s="1"/>
  <c r="C29" i="39" a="1"/>
  <c r="C29" i="39" s="1"/>
  <c r="I22" i="39" a="1"/>
  <c r="I22" i="39" s="1"/>
  <c r="H22" i="39" a="1"/>
  <c r="H22" i="39" s="1"/>
  <c r="I14" i="39" a="1"/>
  <c r="I14" i="39" s="1"/>
  <c r="H14" i="39" a="1"/>
  <c r="H14" i="39" s="1"/>
  <c r="H37" i="39" a="1"/>
  <c r="H37" i="39" s="1"/>
  <c r="G37" i="39" a="1"/>
  <c r="G37" i="39" s="1"/>
  <c r="G14" i="39" a="1"/>
  <c r="G14" i="39" s="1"/>
  <c r="F37" i="39" a="1"/>
  <c r="F37" i="39" s="1"/>
  <c r="F14" i="39" a="1"/>
  <c r="F14" i="39" s="1"/>
  <c r="E37" i="39" a="1"/>
  <c r="E37" i="39" s="1"/>
  <c r="E14" i="39" a="1"/>
  <c r="E14" i="39" s="1"/>
  <c r="D14" i="39" a="1"/>
  <c r="D14" i="39" s="1"/>
  <c r="C14" i="39" a="1"/>
  <c r="C14" i="39" s="1"/>
  <c r="C21" i="39" a="1"/>
  <c r="C21" i="39" s="1"/>
  <c r="J14" i="39" a="1"/>
  <c r="J14" i="39" s="1"/>
  <c r="C71" i="39" a="1"/>
  <c r="C71" i="39" s="1"/>
  <c r="L7" i="39" a="1"/>
  <c r="L7" i="39" s="1"/>
  <c r="I73" i="39" a="1"/>
  <c r="I73" i="39" s="1"/>
  <c r="C30" i="39" a="1"/>
  <c r="C30" i="39" s="1"/>
  <c r="C10" i="39" a="1"/>
  <c r="C10" i="39" s="1"/>
  <c r="I72" i="39" a="1"/>
  <c r="I72" i="39" s="1"/>
  <c r="C28" i="39" a="1"/>
  <c r="C28" i="39" s="1"/>
  <c r="C8" i="39" a="1"/>
  <c r="C8" i="39" s="1"/>
  <c r="B17" i="50" a="1"/>
  <c r="B17" i="50" s="1"/>
  <c r="B15" i="50" a="1"/>
  <c r="B15" i="50" s="1"/>
  <c r="B12" i="50" a="1"/>
  <c r="B12" i="50" s="1"/>
  <c r="B2" i="50" a="1"/>
  <c r="B2" i="50" s="1"/>
  <c r="H22" i="48" a="1"/>
  <c r="H22" i="48" s="1"/>
  <c r="B21" i="48" a="1"/>
  <c r="B21" i="48" s="1"/>
  <c r="B19" i="48" a="1"/>
  <c r="B19" i="48" s="1"/>
  <c r="G18" i="48" a="1"/>
  <c r="G18" i="48" s="1"/>
  <c r="B18" i="48" a="1"/>
  <c r="B18" i="48" s="1"/>
  <c r="B16" i="48" a="1"/>
  <c r="B16" i="48" s="1"/>
  <c r="B13" i="48" a="1"/>
  <c r="B13" i="48" s="1"/>
  <c r="B8" i="48" a="1"/>
  <c r="B8" i="48" s="1"/>
  <c r="H5" i="48" a="1"/>
  <c r="H5" i="48" s="1"/>
  <c r="D4" i="48" a="1"/>
  <c r="D4" i="48" s="1"/>
  <c r="K37" i="39" l="1"/>
  <c r="AE4" i="41" s="1" a="1"/>
  <c r="AE4" i="41" s="1"/>
  <c r="AF4" i="41" s="1"/>
  <c r="J37" i="39"/>
  <c r="AE3" i="41" s="1" a="1"/>
  <c r="AE3" i="41" s="1"/>
  <c r="AF3" i="41" s="1"/>
  <c r="AG3" i="41" s="1" a="1"/>
  <c r="AG3" i="41" s="1"/>
  <c r="AH3" i="41" l="1" a="1"/>
  <c r="AH3" i="41" s="1"/>
  <c r="AG4" i="41" a="1"/>
  <c r="AG4" i="41" s="1"/>
  <c r="B3" i="50" a="1"/>
  <c r="B3" i="50" s="1"/>
  <c r="AH4" i="41" l="1" a="1"/>
  <c r="AH4" i="41" s="1"/>
  <c r="AG5" i="41" a="1"/>
  <c r="AG5" i="41" s="1"/>
  <c r="D5" i="54" a="1"/>
  <c r="D5" i="54" l="1"/>
  <c r="AH5" i="41" a="1"/>
  <c r="AH5" i="41" s="1"/>
  <c r="AG6" i="41" a="1"/>
  <c r="AG6" i="41" s="1"/>
  <c r="B6" i="50" a="1"/>
  <c r="B6" i="50" s="1"/>
  <c r="AG7" i="41" l="1" a="1"/>
  <c r="AG7" i="41" s="1"/>
  <c r="AH7" i="41" s="1" a="1"/>
  <c r="AH7" i="41" s="1"/>
  <c r="AH6" i="41" a="1"/>
  <c r="AH6" i="41" s="1"/>
  <c r="B10" i="50" a="1"/>
  <c r="B10" i="50" s="1"/>
  <c r="B8" i="50" a="1"/>
  <c r="B8" i="50" s="1"/>
  <c r="C27" i="39" a="1"/>
  <c r="C27" i="39" s="1"/>
  <c r="C9" i="39" a="1"/>
  <c r="C9" i="39" s="1"/>
  <c r="B9" i="48" a="1"/>
  <c r="B9" i="48" s="1"/>
  <c r="H19" i="48" a="1"/>
  <c r="H19" i="48" s="1"/>
  <c r="B22" i="48"/>
  <c r="B20" i="48"/>
  <c r="L17" i="41" l="1" a="1"/>
  <c r="L17" i="41" s="1"/>
  <c r="Z73" i="41" a="1"/>
  <c r="Z73" i="41" s="1"/>
  <c r="Z44" i="41" a="1"/>
  <c r="Z44" i="41" s="1"/>
  <c r="C12" i="39" a="1"/>
  <c r="C12" i="39" s="1"/>
  <c r="I71" i="39" a="1"/>
  <c r="I71" i="39" s="1"/>
  <c r="C7" i="39" a="1"/>
  <c r="C7" i="39" s="1"/>
  <c r="C2" i="39" a="1"/>
  <c r="C2" i="39" s="1"/>
  <c r="C4" i="39" a="1"/>
  <c r="C4" i="39" s="1"/>
  <c r="C3" i="39" a="1"/>
  <c r="C3" i="39" s="1"/>
  <c r="C5" i="39" a="1"/>
  <c r="C5" i="39" s="1"/>
  <c r="L3" i="39" a="1"/>
  <c r="L3" i="39" s="1"/>
  <c r="C32" i="39" l="1" a="1"/>
  <c r="C32" i="39" s="1"/>
  <c r="B1" i="48" a="1"/>
  <c r="B1" i="48" s="1"/>
  <c r="C31" i="42" l="1" a="1"/>
  <c r="C31" i="42" s="1"/>
  <c r="C32" i="42" a="1"/>
  <c r="C32" i="42" s="1"/>
  <c r="C33" i="42" a="1"/>
  <c r="C33" i="42" s="1"/>
  <c r="C34" i="42" a="1"/>
  <c r="C34" i="42" s="1"/>
  <c r="C35" i="42" a="1"/>
  <c r="C35" i="42" s="1"/>
  <c r="C34" i="39" a="1"/>
  <c r="C34" i="39" s="1"/>
  <c r="C13" i="39" a="1"/>
  <c r="C13" i="39" s="1"/>
  <c r="C31" i="39" a="1"/>
  <c r="C31" i="39" s="1"/>
  <c r="C11" i="39" a="1"/>
  <c r="C11" i="39" s="1"/>
  <c r="C53" i="43" l="1" a="1"/>
  <c r="C53" i="43" s="1"/>
  <c r="B11" i="48" l="1" a="1"/>
  <c r="B11" i="48" s="1"/>
  <c r="B7" i="50" a="1"/>
  <c r="B7" i="50" s="1"/>
  <c r="B5" i="50" a="1"/>
  <c r="B5" i="50" s="1"/>
  <c r="C36" i="39" l="1" a="1"/>
  <c r="C36" i="39" s="1"/>
  <c r="I5" i="43" a="1"/>
  <c r="I5" i="43" s="1"/>
  <c r="J4" i="48" a="1"/>
  <c r="J4" i="48" s="1"/>
  <c r="B9" i="50" a="1"/>
  <c r="B9" i="50" s="1"/>
  <c r="C35" i="39" a="1"/>
  <c r="C35" i="39" s="1"/>
  <c r="B13" i="50" a="1"/>
  <c r="B13" i="50" s="1"/>
  <c r="B16" i="50" l="1" a="1"/>
  <c r="B16" i="50" s="1"/>
  <c r="B10" i="48" a="1"/>
  <c r="B10" i="48" s="1"/>
  <c r="D16" i="39" a="1"/>
  <c r="D16" i="39" s="1"/>
  <c r="D17" i="39" a="1"/>
  <c r="D17" i="39" s="1"/>
  <c r="D18" i="39" a="1"/>
  <c r="D18" i="39" s="1"/>
  <c r="D19" i="39" a="1"/>
  <c r="D19" i="39" s="1"/>
  <c r="D20" i="39" a="1"/>
  <c r="D20" i="39" s="1"/>
  <c r="AZ3" i="41" l="1" a="1"/>
  <c r="AZ3" i="41" s="1"/>
  <c r="AZ4" i="41" a="1"/>
  <c r="AZ4" i="41" s="1"/>
  <c r="AZ5" i="41" a="1"/>
  <c r="AZ5" i="41" s="1"/>
  <c r="AZ6" i="41" a="1"/>
  <c r="AZ6" i="41" s="1"/>
  <c r="AZ7" i="41" a="1"/>
  <c r="AZ7" i="41" s="1"/>
  <c r="N75" i="39"/>
  <c r="L75" i="39"/>
  <c r="M75" i="39"/>
  <c r="BD3" i="41" l="1"/>
  <c r="BA3" i="41"/>
  <c r="BB3" i="41" s="1"/>
  <c r="BC3" i="41"/>
  <c r="BJ3" i="41" s="1" a="1"/>
  <c r="BJ3" i="41" s="1"/>
  <c r="BK3" i="41" s="1" a="1"/>
  <c r="BK3" i="41" s="1"/>
  <c r="BE3" i="41"/>
  <c r="Z16" i="41" s="1" a="1"/>
  <c r="Z16" i="41" s="1"/>
  <c r="BA4" i="41"/>
  <c r="BB4" i="41" s="1"/>
  <c r="BE4" i="41"/>
  <c r="BD4" i="41"/>
  <c r="Z22" i="41" s="1" a="1"/>
  <c r="Z22" i="41" s="1"/>
  <c r="BC4" i="41"/>
  <c r="BJ4" i="41" s="1" a="1"/>
  <c r="BJ4" i="41" s="1"/>
  <c r="BG7" i="41"/>
  <c r="BA7" i="41"/>
  <c r="BB7" i="41"/>
  <c r="Z15" i="41" s="1" a="1"/>
  <c r="Z15" i="41" s="1"/>
  <c r="BC7" i="41"/>
  <c r="BD7" i="41"/>
  <c r="Z25" i="41" s="1" a="1"/>
  <c r="Z25" i="41" s="1"/>
  <c r="BF7" i="41"/>
  <c r="BE7" i="41"/>
  <c r="Z20" i="41" s="1" a="1"/>
  <c r="Z20" i="41" s="1"/>
  <c r="BK7" i="41" a="1"/>
  <c r="BK7" i="41" s="1"/>
  <c r="BJ7" i="41" a="1"/>
  <c r="BJ7" i="41" s="1"/>
  <c r="BD6" i="41"/>
  <c r="BE6" i="41"/>
  <c r="Z19" i="41" s="1" a="1"/>
  <c r="Z19" i="41" s="1"/>
  <c r="BC6" i="41"/>
  <c r="BA6" i="41"/>
  <c r="BB6" i="41" s="1"/>
  <c r="BE5" i="41"/>
  <c r="BA5" i="41"/>
  <c r="BB5" i="41" s="1"/>
  <c r="BC5" i="41"/>
  <c r="BD5" i="41"/>
  <c r="Z23" i="41" s="1" a="1"/>
  <c r="Z23" i="41" s="1"/>
  <c r="Z24" i="41" a="1"/>
  <c r="Z24" i="41" s="1"/>
  <c r="Z21" i="41" a="1"/>
  <c r="Z21" i="41" s="1"/>
  <c r="Z18" i="41" a="1"/>
  <c r="Z18" i="41" s="1"/>
  <c r="Z17" i="41" a="1"/>
  <c r="Z17" i="41" s="1"/>
  <c r="Q86" i="39" a="1"/>
  <c r="Q86" i="39" s="1"/>
  <c r="BH7" i="41" a="1"/>
  <c r="Z41" i="41" a="1"/>
  <c r="L8" i="41" a="1"/>
  <c r="Z40" i="41" a="1"/>
  <c r="Z42" i="41" a="1"/>
  <c r="BI7" i="41" a="1"/>
  <c r="L10" i="41" a="1"/>
  <c r="BF3" i="41" l="1"/>
  <c r="BG3" i="41"/>
  <c r="BI7" i="41"/>
  <c r="BH7" i="41"/>
  <c r="BP4" i="41" a="1"/>
  <c r="BP4" i="41" s="1"/>
  <c r="BK4" i="41" a="1"/>
  <c r="BK4" i="41" s="1"/>
  <c r="BO4" i="41" a="1"/>
  <c r="BO4" i="41" s="1"/>
  <c r="BN4" i="41" a="1"/>
  <c r="BN4" i="41" s="1"/>
  <c r="BF6" i="41"/>
  <c r="BQ4" i="41" a="1"/>
  <c r="BQ4" i="41" s="1"/>
  <c r="BF5" i="41"/>
  <c r="BM4" i="41" a="1"/>
  <c r="BM4" i="41" s="1"/>
  <c r="BG5" i="41"/>
  <c r="BJ5" i="41" a="1"/>
  <c r="BJ5" i="41" s="1"/>
  <c r="BK5" i="41" s="1" a="1"/>
  <c r="BK5" i="41" s="1"/>
  <c r="BJ6" i="41" a="1"/>
  <c r="BJ6" i="41" s="1"/>
  <c r="BK6" i="41" s="1" a="1"/>
  <c r="BK6" i="41" s="1"/>
  <c r="BG4" i="41"/>
  <c r="BG6" i="41"/>
  <c r="BF4" i="41"/>
  <c r="Z42" i="41"/>
  <c r="L8" i="41"/>
  <c r="L10" i="41"/>
  <c r="Z41" i="41"/>
  <c r="Z40" i="41"/>
  <c r="Z12" i="41" a="1"/>
  <c r="Z12" i="41" s="1"/>
  <c r="Z13" i="41" a="1"/>
  <c r="Z13" i="41" s="1"/>
  <c r="Z14" i="41" a="1"/>
  <c r="Z14" i="41" s="1"/>
  <c r="Q85" i="39" a="1"/>
  <c r="Q85" i="39" s="1"/>
  <c r="Q87" i="39" a="1"/>
  <c r="Q87" i="39" s="1"/>
  <c r="Q88" i="39" a="1"/>
  <c r="Q88" i="39" s="1"/>
  <c r="Q89" i="39" a="1"/>
  <c r="Q89" i="39" s="1"/>
  <c r="Z39" i="41" a="1"/>
  <c r="BI3" i="41" a="1"/>
  <c r="L7" i="41" a="1"/>
  <c r="BH3" i="41" a="1"/>
  <c r="BI4" i="41" a="1"/>
  <c r="BI6" i="41" a="1"/>
  <c r="BH5" i="41" a="1"/>
  <c r="BH6" i="41" a="1"/>
  <c r="BI5" i="41" a="1"/>
  <c r="BH4" i="41" a="1"/>
  <c r="L9" i="41" a="1"/>
  <c r="BS4" i="41" l="1" a="1"/>
  <c r="BS4" i="41" s="1"/>
  <c r="BI3" i="41"/>
  <c r="BH3" i="41"/>
  <c r="BI4" i="41"/>
  <c r="BH4" i="41"/>
  <c r="BH5" i="41"/>
  <c r="BI5" i="41"/>
  <c r="BI6" i="41"/>
  <c r="BH6" i="41"/>
  <c r="BR4" i="41" a="1"/>
  <c r="BR4" i="41" s="1"/>
  <c r="BT4" i="41" s="1" a="1"/>
  <c r="BT4" i="41" s="1"/>
  <c r="BU4" i="41" s="1" a="1"/>
  <c r="BU4" i="41" s="1"/>
  <c r="L7" i="41"/>
  <c r="L9" i="41"/>
  <c r="Z39" i="41"/>
  <c r="Z11" i="41" a="1"/>
  <c r="Z11" i="41" s="1"/>
  <c r="C68" i="43" a="1"/>
  <c r="C68" i="43" s="1"/>
  <c r="C69" i="43" a="1"/>
  <c r="C69" i="43" s="1"/>
  <c r="C70" i="43" a="1"/>
  <c r="C70" i="43" s="1"/>
  <c r="C71" i="43" a="1"/>
  <c r="C71" i="43" s="1"/>
  <c r="C72" i="43" a="1"/>
  <c r="C72" i="43" s="1"/>
  <c r="C73" i="43" a="1"/>
  <c r="C73" i="43" s="1"/>
  <c r="C74" i="43" a="1"/>
  <c r="C74" i="43" s="1"/>
  <c r="C75" i="43" a="1"/>
  <c r="C75" i="43" s="1"/>
  <c r="C76" i="43" a="1"/>
  <c r="C76" i="43" s="1"/>
  <c r="C77" i="43" a="1"/>
  <c r="C77" i="43" s="1"/>
  <c r="C78" i="43" a="1"/>
  <c r="C78" i="43" s="1"/>
  <c r="C79" i="43" a="1"/>
  <c r="C79" i="43" s="1"/>
  <c r="C80" i="43" a="1"/>
  <c r="C80" i="43" s="1"/>
  <c r="C61" i="43" a="1"/>
  <c r="C61" i="43" s="1"/>
  <c r="C62" i="43" a="1"/>
  <c r="C62" i="43" s="1"/>
  <c r="C63" i="43" a="1"/>
  <c r="C63" i="43" s="1"/>
  <c r="C64" i="43" a="1"/>
  <c r="C64" i="43" s="1"/>
  <c r="C65" i="43" a="1"/>
  <c r="C65" i="43" s="1"/>
  <c r="C66" i="43" a="1"/>
  <c r="C66" i="43" s="1"/>
  <c r="C67" i="43" a="1"/>
  <c r="C67" i="43" s="1"/>
  <c r="CF69" i="41" l="1" a="1"/>
  <c r="CF69" i="41" s="1"/>
  <c r="Z74" i="41" a="1"/>
  <c r="Z74" i="41" s="1"/>
  <c r="L11" i="41" a="1"/>
  <c r="L11" i="41" s="1"/>
  <c r="Z43" i="41" a="1"/>
  <c r="Z43" i="41" s="1"/>
  <c r="J75" i="39"/>
  <c r="C60" i="43" a="1"/>
  <c r="C60" i="43" s="1"/>
  <c r="C59" i="43" a="1"/>
  <c r="C59" i="43" s="1"/>
  <c r="C58" i="43" a="1"/>
  <c r="C58" i="43" s="1"/>
  <c r="C57" i="43" a="1"/>
  <c r="C57" i="43" s="1"/>
  <c r="C56" i="43" a="1"/>
  <c r="C56" i="43" s="1"/>
  <c r="C55" i="43" a="1"/>
  <c r="C55" i="43" s="1"/>
  <c r="C54" i="43" a="1"/>
  <c r="C54" i="43" s="1"/>
  <c r="C52" i="43" a="1"/>
  <c r="C52" i="43" s="1"/>
  <c r="C51" i="43" a="1"/>
  <c r="C51" i="43" s="1"/>
  <c r="CF65" i="41" l="1" a="1"/>
  <c r="CF65" i="41" s="1"/>
  <c r="CF57" i="41" a="1"/>
  <c r="CF57" i="41" s="1"/>
  <c r="CF13" i="41" a="1"/>
  <c r="CF13" i="41" s="1"/>
  <c r="CF40" i="41" a="1"/>
  <c r="CF40" i="41" s="1"/>
  <c r="CF8" i="41" a="1"/>
  <c r="CF8" i="41" s="1"/>
  <c r="CF83" i="41" a="1"/>
  <c r="CF83" i="41" s="1"/>
  <c r="CF27" i="41" a="1"/>
  <c r="CF27" i="41" s="1"/>
  <c r="CF71" i="41" a="1"/>
  <c r="CF71" i="41" s="1"/>
  <c r="CF3" i="41" a="1"/>
  <c r="CF3" i="41" s="1"/>
  <c r="CF46" i="41" a="1"/>
  <c r="CF46" i="41" s="1"/>
  <c r="CF6" i="41" a="1"/>
  <c r="CF6" i="41" s="1"/>
  <c r="CF70" i="41" a="1"/>
  <c r="CF70" i="41" s="1"/>
  <c r="CF85" i="41" a="1"/>
  <c r="CF85" i="41" s="1"/>
  <c r="CF81" i="41" a="1"/>
  <c r="CF81" i="41" s="1"/>
  <c r="CF49" i="41" a="1"/>
  <c r="CF49" i="41" s="1"/>
  <c r="CF5" i="41" a="1"/>
  <c r="CF5" i="41" s="1"/>
  <c r="CF36" i="41" a="1"/>
  <c r="CF36" i="41" s="1"/>
  <c r="CF4" i="41" a="1"/>
  <c r="CF4" i="41" s="1"/>
  <c r="CF75" i="41" a="1"/>
  <c r="CF75" i="41" s="1"/>
  <c r="CF23" i="41" a="1"/>
  <c r="CF23" i="41" s="1"/>
  <c r="CF63" i="41" a="1"/>
  <c r="CF63" i="41" s="1"/>
  <c r="CF88" i="41" a="1"/>
  <c r="CF88" i="41" s="1"/>
  <c r="CF42" i="41" a="1"/>
  <c r="CF42" i="41" s="1"/>
  <c r="CF84" i="41" a="1"/>
  <c r="CF84" i="41" s="1"/>
  <c r="CF66" i="41" a="1"/>
  <c r="CF66" i="41" s="1"/>
  <c r="CF77" i="41" a="1"/>
  <c r="CF77" i="41" s="1"/>
  <c r="CF45" i="41" a="1"/>
  <c r="CF45" i="41" s="1"/>
  <c r="CF100" i="41" a="1"/>
  <c r="CF100" i="41" s="1"/>
  <c r="CF32" i="41" a="1"/>
  <c r="CF32" i="41" s="1"/>
  <c r="CF96" i="41" a="1"/>
  <c r="CF96" i="41" s="1"/>
  <c r="CF67" i="41" a="1"/>
  <c r="CF67" i="41" s="1"/>
  <c r="CF19" i="41" a="1"/>
  <c r="CF19" i="41" s="1"/>
  <c r="CF55" i="41" a="1"/>
  <c r="CF55" i="41" s="1"/>
  <c r="CF72" i="41" a="1"/>
  <c r="CF72" i="41" s="1"/>
  <c r="CF34" i="41" a="1"/>
  <c r="CF34" i="41" s="1"/>
  <c r="CF64" i="41" a="1"/>
  <c r="CF64" i="41" s="1"/>
  <c r="CF58" i="41" a="1"/>
  <c r="CF58" i="41" s="1"/>
  <c r="BZ4" i="41" a="1"/>
  <c r="BZ4" i="41" s="1"/>
  <c r="BZ6" i="41" a="1"/>
  <c r="BZ6" i="41" s="1"/>
  <c r="BZ9" i="41" a="1"/>
  <c r="BZ9" i="41" s="1"/>
  <c r="BZ11" i="41" a="1"/>
  <c r="BZ11" i="41" s="1"/>
  <c r="CA3" i="41" a="1"/>
  <c r="CA3" i="41" s="1"/>
  <c r="CA5" i="41" a="1"/>
  <c r="CA5" i="41" s="1"/>
  <c r="CA7" i="41" a="1"/>
  <c r="CA7" i="41" s="1"/>
  <c r="CA8" i="41" a="1"/>
  <c r="CA8" i="41" s="1"/>
  <c r="CA10" i="41" a="1"/>
  <c r="CA10" i="41" s="1"/>
  <c r="CA12" i="41" a="1"/>
  <c r="CA12" i="41" s="1"/>
  <c r="CB7" i="41" a="1"/>
  <c r="CB7" i="41" s="1"/>
  <c r="CB11" i="41" a="1"/>
  <c r="CB11" i="41" s="1"/>
  <c r="CA4" i="41" a="1"/>
  <c r="CA4" i="41" s="1"/>
  <c r="CA6" i="41" a="1"/>
  <c r="CA6" i="41" s="1"/>
  <c r="CA9" i="41" a="1"/>
  <c r="CA9" i="41" s="1"/>
  <c r="CA11" i="41" a="1"/>
  <c r="CA11" i="41" s="1"/>
  <c r="CB10" i="41" a="1"/>
  <c r="CB10" i="41" s="1"/>
  <c r="CB4" i="41" a="1"/>
  <c r="CB4" i="41" s="1"/>
  <c r="CB6" i="41" a="1"/>
  <c r="CB6" i="41" s="1"/>
  <c r="CB9" i="41" a="1"/>
  <c r="CB9" i="41" s="1"/>
  <c r="CB3" i="41" a="1"/>
  <c r="CB3" i="41" s="1"/>
  <c r="CB5" i="41" a="1"/>
  <c r="CB5" i="41" s="1"/>
  <c r="CB8" i="41" a="1"/>
  <c r="CB8" i="41" s="1"/>
  <c r="CB12" i="41" a="1"/>
  <c r="CB12" i="41" s="1"/>
  <c r="BZ12" i="41" a="1"/>
  <c r="BZ12" i="41" s="1"/>
  <c r="BZ3" i="41" a="1"/>
  <c r="BZ3" i="41" s="1"/>
  <c r="BZ5" i="41" a="1"/>
  <c r="BZ5" i="41" s="1"/>
  <c r="BZ7" i="41" a="1"/>
  <c r="BZ7" i="41" s="1"/>
  <c r="BZ8" i="41" a="1"/>
  <c r="BZ8" i="41" s="1"/>
  <c r="BZ10" i="41" a="1"/>
  <c r="BZ10" i="41" s="1"/>
  <c r="CF97" i="41" a="1"/>
  <c r="CF97" i="41" s="1"/>
  <c r="CF37" i="41" a="1"/>
  <c r="CF37" i="41" s="1"/>
  <c r="CF80" i="41" a="1"/>
  <c r="CF80" i="41" s="1"/>
  <c r="CF28" i="41" a="1"/>
  <c r="CF28" i="41" s="1"/>
  <c r="CF76" i="41" a="1"/>
  <c r="CF76" i="41" s="1"/>
  <c r="CF59" i="41" a="1"/>
  <c r="CF59" i="41" s="1"/>
  <c r="CF60" i="41" a="1"/>
  <c r="CF60" i="41" s="1"/>
  <c r="CF47" i="41" a="1"/>
  <c r="CF47" i="41" s="1"/>
  <c r="CF102" i="41" a="1"/>
  <c r="CF102" i="41" s="1"/>
  <c r="CF30" i="41" a="1"/>
  <c r="CF30" i="41" s="1"/>
  <c r="CF98" i="41" a="1"/>
  <c r="CF98" i="41" s="1"/>
  <c r="CF50" i="41" a="1"/>
  <c r="CF50" i="41" s="1"/>
  <c r="CF61" i="41" a="1"/>
  <c r="CF61" i="41" s="1"/>
  <c r="CF89" i="41" a="1"/>
  <c r="CF89" i="41" s="1"/>
  <c r="CF33" i="41" a="1"/>
  <c r="CF33" i="41" s="1"/>
  <c r="CF56" i="41" a="1"/>
  <c r="CF56" i="41" s="1"/>
  <c r="CF24" i="41" a="1"/>
  <c r="CF24" i="41" s="1"/>
  <c r="CF92" i="41" a="1"/>
  <c r="CF92" i="41" s="1"/>
  <c r="CF51" i="41" a="1"/>
  <c r="CF51" i="41" s="1"/>
  <c r="CF103" i="41" a="1"/>
  <c r="CF103" i="41" s="1"/>
  <c r="CF35" i="41" a="1"/>
  <c r="CF35" i="41" s="1"/>
  <c r="CF90" i="41" a="1"/>
  <c r="CF90" i="41" s="1"/>
  <c r="CF26" i="41" a="1"/>
  <c r="CF26" i="41" s="1"/>
  <c r="CF94" i="41" a="1"/>
  <c r="CF94" i="41" s="1"/>
  <c r="CF38" i="41" a="1"/>
  <c r="CF38" i="41" s="1"/>
  <c r="CF53" i="41" a="1"/>
  <c r="CF53" i="41" s="1"/>
  <c r="CF29" i="41" a="1"/>
  <c r="CF29" i="41" s="1"/>
  <c r="CF52" i="41" a="1"/>
  <c r="CF52" i="41" s="1"/>
  <c r="CF20" i="41" a="1"/>
  <c r="CF20" i="41" s="1"/>
  <c r="CF68" i="41" a="1"/>
  <c r="CF68" i="41" s="1"/>
  <c r="CF43" i="41" a="1"/>
  <c r="CF43" i="41" s="1"/>
  <c r="CF95" i="41" a="1"/>
  <c r="CF95" i="41" s="1"/>
  <c r="CF15" i="41" a="1"/>
  <c r="CF15" i="41" s="1"/>
  <c r="CF74" i="41" a="1"/>
  <c r="CF74" i="41" s="1"/>
  <c r="CF18" i="41" a="1"/>
  <c r="CF18" i="41" s="1"/>
  <c r="CF86" i="41" a="1"/>
  <c r="CF86" i="41" s="1"/>
  <c r="CF22" i="41" a="1"/>
  <c r="CF22" i="41" s="1"/>
  <c r="CF41" i="41" a="1"/>
  <c r="CF41" i="41" s="1"/>
  <c r="CF73" i="41" a="1"/>
  <c r="CF73" i="41" s="1"/>
  <c r="CF25" i="41" a="1"/>
  <c r="CF25" i="41" s="1"/>
  <c r="CF48" i="41" a="1"/>
  <c r="CF48" i="41" s="1"/>
  <c r="CF16" i="41" a="1"/>
  <c r="CF16" i="41" s="1"/>
  <c r="CF99" i="41" a="1"/>
  <c r="CF99" i="41" s="1"/>
  <c r="CF39" i="41" a="1"/>
  <c r="CF39" i="41" s="1"/>
  <c r="CF87" i="41" a="1"/>
  <c r="CF87" i="41" s="1"/>
  <c r="CF11" i="41" a="1"/>
  <c r="CF11" i="41" s="1"/>
  <c r="CF62" i="41" a="1"/>
  <c r="CF62" i="41" s="1"/>
  <c r="CF14" i="41" a="1"/>
  <c r="CF14" i="41" s="1"/>
  <c r="CF82" i="41" a="1"/>
  <c r="CF82" i="41" s="1"/>
  <c r="CF101" i="41" a="1"/>
  <c r="CF101" i="41" s="1"/>
  <c r="CF21" i="41" a="1"/>
  <c r="CF21" i="41" s="1"/>
  <c r="CF17" i="41" a="1"/>
  <c r="CF17" i="41" s="1"/>
  <c r="CF44" i="41" a="1"/>
  <c r="CF44" i="41" s="1"/>
  <c r="CF12" i="41" a="1"/>
  <c r="CF12" i="41" s="1"/>
  <c r="CF91" i="41" a="1"/>
  <c r="CF91" i="41" s="1"/>
  <c r="CF31" i="41" a="1"/>
  <c r="CF31" i="41" s="1"/>
  <c r="CF79" i="41" a="1"/>
  <c r="CF79" i="41" s="1"/>
  <c r="CF7" i="41" a="1"/>
  <c r="CF7" i="41" s="1"/>
  <c r="CF54" i="41" a="1"/>
  <c r="CF54" i="41" s="1"/>
  <c r="CF10" i="41" a="1"/>
  <c r="CF10" i="41" s="1"/>
  <c r="CF78" i="41" a="1"/>
  <c r="CF78" i="41" s="1"/>
  <c r="CF93" i="41" a="1"/>
  <c r="CF93" i="41" s="1"/>
  <c r="CF9" i="41" a="1"/>
  <c r="CF9" i="41" s="1"/>
  <c r="D50" i="39" a="1"/>
  <c r="D50" i="39" s="1"/>
  <c r="D51" i="39" a="1"/>
  <c r="D51" i="39" s="1"/>
  <c r="D52" i="39" a="1"/>
  <c r="D52" i="39" s="1"/>
  <c r="D53" i="39" a="1"/>
  <c r="D53" i="39" s="1"/>
  <c r="D54" i="39" a="1"/>
  <c r="D54" i="39" s="1"/>
  <c r="D55" i="39" a="1"/>
  <c r="D55" i="39" s="1"/>
  <c r="D56" i="39" a="1"/>
  <c r="D56" i="39" s="1"/>
  <c r="D57" i="39" a="1"/>
  <c r="D57" i="39" s="1"/>
  <c r="D58" i="39" a="1"/>
  <c r="D58" i="39" s="1"/>
  <c r="D59" i="39" a="1"/>
  <c r="D59" i="39" s="1"/>
  <c r="D60" i="39" a="1"/>
  <c r="D60" i="39" s="1"/>
  <c r="D61" i="39" a="1"/>
  <c r="D61" i="39" s="1"/>
  <c r="D62" i="39" a="1"/>
  <c r="D62" i="39" s="1"/>
  <c r="D63" i="39" a="1"/>
  <c r="D63" i="39" s="1"/>
  <c r="D64" i="39" a="1"/>
  <c r="D64" i="39" s="1"/>
  <c r="D65" i="39" a="1"/>
  <c r="D65" i="39" s="1"/>
  <c r="D66" i="39" a="1"/>
  <c r="D66" i="39" s="1"/>
  <c r="D67" i="39" a="1"/>
  <c r="D67" i="39" s="1"/>
  <c r="D68" i="39" a="1"/>
  <c r="D68" i="39" s="1"/>
  <c r="C29" i="42" a="1"/>
  <c r="C29" i="42" s="1"/>
  <c r="C30" i="42" a="1"/>
  <c r="C30" i="42" s="1"/>
  <c r="C26" i="42" l="1" a="1"/>
  <c r="C26" i="42" s="1"/>
  <c r="C27" i="42" a="1"/>
  <c r="C27" i="42" s="1"/>
  <c r="C28" i="42" a="1"/>
  <c r="C28" i="42" s="1"/>
  <c r="Q77" i="39" a="1"/>
  <c r="Q77" i="39" s="1"/>
  <c r="Q78" i="39" a="1"/>
  <c r="Q78" i="39" s="1"/>
  <c r="Q79" i="39" a="1"/>
  <c r="Q79" i="39" s="1"/>
  <c r="Q80" i="39" a="1"/>
  <c r="Q80" i="39" s="1"/>
  <c r="Q81" i="39" a="1"/>
  <c r="Q81" i="39" s="1"/>
  <c r="Q82" i="39" a="1"/>
  <c r="Q82" i="39" s="1"/>
  <c r="Q83" i="39" a="1"/>
  <c r="Q83" i="39" s="1"/>
  <c r="Q84" i="39" a="1"/>
  <c r="Q84" i="39" s="1"/>
  <c r="Q90" i="39" a="1"/>
  <c r="Q90" i="39" s="1"/>
  <c r="Q91" i="39" a="1"/>
  <c r="Q91" i="39" s="1"/>
  <c r="D39" i="39" a="1"/>
  <c r="D39" i="39" s="1"/>
  <c r="D40" i="39" a="1"/>
  <c r="D40" i="39" s="1"/>
  <c r="D41" i="39" a="1"/>
  <c r="D41" i="39" s="1"/>
  <c r="D42" i="39" a="1"/>
  <c r="D42" i="39" s="1"/>
  <c r="D43" i="39" a="1"/>
  <c r="D43" i="39" s="1"/>
  <c r="D44" i="39" a="1"/>
  <c r="D44" i="39" s="1"/>
  <c r="D45" i="39" a="1"/>
  <c r="D45" i="39" s="1"/>
  <c r="D46" i="39" a="1"/>
  <c r="D46" i="39" s="1"/>
  <c r="D47" i="39" a="1"/>
  <c r="D47" i="39" s="1"/>
  <c r="D48" i="39" a="1"/>
  <c r="D48" i="39" s="1"/>
  <c r="CN3" i="41" l="1" a="1"/>
  <c r="CN3" i="41" s="1"/>
  <c r="CN4" i="41" a="1"/>
  <c r="CN4" i="41" s="1"/>
  <c r="CO4" i="41" s="1"/>
  <c r="CN5" i="41" a="1"/>
  <c r="CN5" i="41" s="1"/>
  <c r="CO5" i="41" s="1"/>
  <c r="CN6" i="41" a="1"/>
  <c r="CN6" i="41" s="1"/>
  <c r="CN7" i="41" a="1"/>
  <c r="CN7" i="41" s="1"/>
  <c r="CN8" i="41" a="1"/>
  <c r="CN8" i="41" s="1"/>
  <c r="CN9" i="41" a="1"/>
  <c r="CN9" i="41" s="1"/>
  <c r="CO9" i="41" s="1"/>
  <c r="CN10" i="41" a="1"/>
  <c r="CN10" i="41" s="1"/>
  <c r="CO10" i="41" s="1"/>
  <c r="CN11" i="41" a="1"/>
  <c r="CN11" i="41" s="1"/>
  <c r="CN12" i="41" a="1"/>
  <c r="CN12" i="41" s="1"/>
  <c r="CO12" i="41" s="1"/>
  <c r="CN13" i="41" a="1"/>
  <c r="CN13" i="41" s="1"/>
  <c r="CN14" i="41" a="1"/>
  <c r="CN14" i="41" s="1"/>
  <c r="CN15" i="41" a="1"/>
  <c r="CN15" i="41" s="1"/>
  <c r="CN16" i="41" a="1"/>
  <c r="CN16" i="41" s="1"/>
  <c r="CO16" i="41" s="1"/>
  <c r="CN17" i="41" a="1"/>
  <c r="CN17" i="41" s="1"/>
  <c r="CO17" i="41" s="1"/>
  <c r="CN18" i="41" a="1"/>
  <c r="CN18" i="41" s="1"/>
  <c r="CO18" i="41" s="1"/>
  <c r="CN19" i="41" a="1"/>
  <c r="CN19" i="41" s="1"/>
  <c r="CO19" i="41" s="1"/>
  <c r="CN20" i="41" a="1"/>
  <c r="CN20" i="41" s="1"/>
  <c r="CN21" i="41" a="1"/>
  <c r="CN21" i="41" s="1"/>
  <c r="CN22" i="41" a="1"/>
  <c r="CN22" i="41" s="1"/>
  <c r="CN23" i="41" a="1"/>
  <c r="CN23" i="41" s="1"/>
  <c r="CN24" i="41" a="1"/>
  <c r="CN24" i="41" s="1"/>
  <c r="CN25" i="41" a="1"/>
  <c r="CN25" i="41" s="1"/>
  <c r="CN26" i="41" a="1"/>
  <c r="CN26" i="41" s="1"/>
  <c r="CN27" i="41" a="1"/>
  <c r="CN27" i="41" s="1"/>
  <c r="CN28" i="41" a="1"/>
  <c r="CN28" i="41" s="1"/>
  <c r="CN29" i="41" a="1"/>
  <c r="CN29" i="41" s="1"/>
  <c r="CN30" i="41" a="1"/>
  <c r="CN30" i="41" s="1"/>
  <c r="CN31" i="41" a="1"/>
  <c r="CN31" i="41" s="1"/>
  <c r="CN32" i="41" a="1"/>
  <c r="CN32" i="41" s="1"/>
  <c r="D27" i="42"/>
  <c r="D35" i="42"/>
  <c r="D28" i="42"/>
  <c r="D29" i="42"/>
  <c r="D30" i="42"/>
  <c r="D34" i="42"/>
  <c r="D31" i="42"/>
  <c r="D33" i="42"/>
  <c r="D32" i="42"/>
  <c r="D26" i="42"/>
  <c r="H20" i="39"/>
  <c r="CO3" i="41"/>
  <c r="CO11" i="41"/>
  <c r="CO13" i="41"/>
  <c r="CO6" i="41"/>
  <c r="CO14" i="41"/>
  <c r="CO7" i="41"/>
  <c r="CO15" i="41"/>
  <c r="CO8" i="41"/>
  <c r="CS25" i="41" l="1"/>
  <c r="CV25" i="41" a="1"/>
  <c r="CV25" i="41" s="1"/>
  <c r="CY25" i="41" a="1"/>
  <c r="CY25" i="41" s="1"/>
  <c r="CZ25" i="41" a="1"/>
  <c r="CZ25" i="41" s="1"/>
  <c r="CW25" i="41" a="1"/>
  <c r="CW25" i="41" s="1"/>
  <c r="CR25" i="41"/>
  <c r="CY26" i="41" a="1"/>
  <c r="CY26" i="41" s="1"/>
  <c r="CS26" i="41"/>
  <c r="CZ26" i="41" a="1"/>
  <c r="CZ26" i="41" s="1"/>
  <c r="CW26" i="41" a="1"/>
  <c r="CW26" i="41" s="1"/>
  <c r="CV26" i="41" a="1"/>
  <c r="CV26" i="41" s="1"/>
  <c r="CR26" i="41"/>
  <c r="CY32" i="41" a="1"/>
  <c r="CY32" i="41" s="1"/>
  <c r="CS32" i="41"/>
  <c r="CV32" i="41" a="1"/>
  <c r="CV32" i="41" s="1"/>
  <c r="CZ32" i="41" a="1"/>
  <c r="CZ32" i="41" s="1"/>
  <c r="CW32" i="41" a="1"/>
  <c r="CW32" i="41" s="1"/>
  <c r="CR32" i="41"/>
  <c r="CS24" i="41"/>
  <c r="CV24" i="41" a="1"/>
  <c r="CV24" i="41" s="1"/>
  <c r="CZ24" i="41" a="1"/>
  <c r="CZ24" i="41" s="1"/>
  <c r="CW24" i="41" a="1"/>
  <c r="CW24" i="41" s="1"/>
  <c r="CR24" i="41"/>
  <c r="CY24" i="41" a="1"/>
  <c r="CY24" i="41" s="1"/>
  <c r="CY31" i="41" a="1"/>
  <c r="CY31" i="41" s="1"/>
  <c r="CS31" i="41"/>
  <c r="CV31" i="41" a="1"/>
  <c r="CV31" i="41" s="1"/>
  <c r="CW31" i="41" a="1"/>
  <c r="CW31" i="41" s="1"/>
  <c r="CR31" i="41"/>
  <c r="CZ31" i="41" a="1"/>
  <c r="CZ31" i="41" s="1"/>
  <c r="CS23" i="41"/>
  <c r="CV23" i="41" a="1"/>
  <c r="CV23" i="41" s="1"/>
  <c r="CZ23" i="41" a="1"/>
  <c r="CZ23" i="41" s="1"/>
  <c r="CW23" i="41" a="1"/>
  <c r="CW23" i="41" s="1"/>
  <c r="CR23" i="41"/>
  <c r="CY23" i="41" a="1"/>
  <c r="CY23" i="41" s="1"/>
  <c r="CV30" i="41" a="1"/>
  <c r="CV30" i="41" s="1"/>
  <c r="CW30" i="41" a="1"/>
  <c r="CW30" i="41" s="1"/>
  <c r="CR30" i="41"/>
  <c r="CZ30" i="41" a="1"/>
  <c r="CZ30" i="41" s="1"/>
  <c r="CY30" i="41" a="1"/>
  <c r="CY30" i="41" s="1"/>
  <c r="CS30" i="41"/>
  <c r="CV22" i="41" a="1"/>
  <c r="CV22" i="41" s="1"/>
  <c r="CZ22" i="41" a="1"/>
  <c r="CZ22" i="41" s="1"/>
  <c r="CY22" i="41" a="1"/>
  <c r="CY22" i="41" s="1"/>
  <c r="CW22" i="41" a="1"/>
  <c r="CW22" i="41" s="1"/>
  <c r="CR22" i="41"/>
  <c r="CS22" i="41"/>
  <c r="CV29" i="41" a="1"/>
  <c r="CV29" i="41" s="1"/>
  <c r="CW29" i="41" a="1"/>
  <c r="CW29" i="41" s="1"/>
  <c r="CR29" i="41"/>
  <c r="CZ29" i="41" a="1"/>
  <c r="CZ29" i="41" s="1"/>
  <c r="CY29" i="41" a="1"/>
  <c r="CY29" i="41" s="1"/>
  <c r="CS29" i="41"/>
  <c r="CZ21" i="41" a="1"/>
  <c r="CZ21" i="41" s="1"/>
  <c r="CY21" i="41" a="1"/>
  <c r="CY21" i="41" s="1"/>
  <c r="CV21" i="41" a="1"/>
  <c r="CV21" i="41" s="1"/>
  <c r="CW21" i="41" a="1"/>
  <c r="CW21" i="41" s="1"/>
  <c r="CR21" i="41"/>
  <c r="CS21" i="41"/>
  <c r="CW28" i="41" a="1"/>
  <c r="CW28" i="41" s="1"/>
  <c r="CR28" i="41"/>
  <c r="CZ28" i="41" a="1"/>
  <c r="CZ28" i="41" s="1"/>
  <c r="CV28" i="41" a="1"/>
  <c r="CV28" i="41" s="1"/>
  <c r="CY28" i="41" a="1"/>
  <c r="CY28" i="41" s="1"/>
  <c r="CS28" i="41"/>
  <c r="CZ20" i="41" a="1"/>
  <c r="CZ20" i="41" s="1"/>
  <c r="CY20" i="41" a="1"/>
  <c r="CY20" i="41" s="1"/>
  <c r="CW20" i="41" a="1"/>
  <c r="CW20" i="41" s="1"/>
  <c r="CR20" i="41"/>
  <c r="CS20" i="41"/>
  <c r="CV20" i="41" a="1"/>
  <c r="CV20" i="41" s="1"/>
  <c r="CW27" i="41" a="1"/>
  <c r="CW27" i="41" s="1"/>
  <c r="CR27" i="41"/>
  <c r="CZ27" i="41" a="1"/>
  <c r="CZ27" i="41" s="1"/>
  <c r="CY27" i="41" a="1"/>
  <c r="CY27" i="41" s="1"/>
  <c r="CS27" i="41"/>
  <c r="CV27" i="41" a="1"/>
  <c r="CV27" i="41" s="1"/>
  <c r="CV10" i="41" a="1"/>
  <c r="CV10" i="41" s="1"/>
  <c r="CW10" i="41" a="1"/>
  <c r="CW10" i="41" s="1"/>
  <c r="CV5" i="41" a="1"/>
  <c r="CV5" i="41" s="1"/>
  <c r="CW5" i="41" a="1"/>
  <c r="CW5" i="41" s="1"/>
  <c r="CV9" i="41" a="1"/>
  <c r="CV9" i="41" s="1"/>
  <c r="CW9" i="41" a="1"/>
  <c r="CW9" i="41" s="1"/>
  <c r="CV16" i="41" a="1"/>
  <c r="CV16" i="41" s="1"/>
  <c r="CW16" i="41" a="1"/>
  <c r="CW16" i="41" s="1"/>
  <c r="CV17" i="41" a="1"/>
  <c r="CV17" i="41" s="1"/>
  <c r="CW17" i="41" a="1"/>
  <c r="CW17" i="41" s="1"/>
  <c r="CV8" i="41" a="1"/>
  <c r="CV8" i="41" s="1"/>
  <c r="CW8" i="41" a="1"/>
  <c r="CW8" i="41" s="1"/>
  <c r="CV12" i="41" a="1"/>
  <c r="CV12" i="41" s="1"/>
  <c r="CW12" i="41" a="1"/>
  <c r="CW12" i="41" s="1"/>
  <c r="CV6" i="41" a="1"/>
  <c r="CV6" i="41" s="1"/>
  <c r="CW6" i="41" a="1"/>
  <c r="CW6" i="41" s="1"/>
  <c r="CV4" i="41" a="1"/>
  <c r="CV4" i="41" s="1"/>
  <c r="CW4" i="41" a="1"/>
  <c r="CW4" i="41" s="1"/>
  <c r="CV14" i="41" a="1"/>
  <c r="CV14" i="41" s="1"/>
  <c r="CW14" i="41" a="1"/>
  <c r="CW14" i="41" s="1"/>
  <c r="CV15" i="41" a="1"/>
  <c r="CV15" i="41" s="1"/>
  <c r="CW15" i="41" a="1"/>
  <c r="CW15" i="41" s="1"/>
  <c r="CV7" i="41" a="1"/>
  <c r="CV7" i="41" s="1"/>
  <c r="CW7" i="41" a="1"/>
  <c r="CW7" i="41" s="1"/>
  <c r="CV19" i="41" a="1"/>
  <c r="CV19" i="41" s="1"/>
  <c r="CW19" i="41" a="1"/>
  <c r="CW19" i="41" s="1"/>
  <c r="CV11" i="41" a="1"/>
  <c r="CV11" i="41" s="1"/>
  <c r="CW11" i="41" a="1"/>
  <c r="CW11" i="41" s="1"/>
  <c r="CV3" i="41" a="1"/>
  <c r="CV3" i="41" s="1"/>
  <c r="CW3" i="41" a="1"/>
  <c r="CW3" i="41" s="1"/>
  <c r="CV18" i="41" a="1"/>
  <c r="CV18" i="41" s="1"/>
  <c r="CW18" i="41" a="1"/>
  <c r="CW18" i="41" s="1"/>
  <c r="CV13" i="41" a="1"/>
  <c r="CV13" i="41" s="1"/>
  <c r="CY13" i="41" s="1" a="1"/>
  <c r="CY13" i="41" s="1"/>
  <c r="CW13" i="41" a="1"/>
  <c r="CW13" i="41" s="1"/>
  <c r="CZ13" i="41" s="1" a="1"/>
  <c r="CZ13" i="41" s="1"/>
  <c r="CS12" i="41"/>
  <c r="CS9" i="41"/>
  <c r="CS15" i="41"/>
  <c r="CS4" i="41"/>
  <c r="CS14" i="41"/>
  <c r="CS11" i="41"/>
  <c r="CS18" i="41"/>
  <c r="CS3" i="41"/>
  <c r="CS10" i="41"/>
  <c r="CS13" i="41"/>
  <c r="CR6" i="41"/>
  <c r="CS6" i="41"/>
  <c r="CR5" i="41"/>
  <c r="CS5" i="41"/>
  <c r="CR16" i="41"/>
  <c r="CS16" i="41"/>
  <c r="CR17" i="41"/>
  <c r="CS17" i="41"/>
  <c r="CR8" i="41"/>
  <c r="CS8" i="41"/>
  <c r="CR7" i="41"/>
  <c r="CS7" i="41"/>
  <c r="CR19" i="41"/>
  <c r="CS19" i="41"/>
  <c r="CR9" i="41"/>
  <c r="CR12" i="41"/>
  <c r="CR15" i="41"/>
  <c r="CR4" i="41"/>
  <c r="CR14" i="41"/>
  <c r="CR11" i="41"/>
  <c r="CR18" i="41"/>
  <c r="CR3" i="41"/>
  <c r="CR10" i="41"/>
  <c r="CR13" i="41"/>
  <c r="CX32" i="41" a="1"/>
  <c r="CX32" i="41" s="1"/>
  <c r="H68" i="39" s="1"/>
  <c r="CP32" i="41"/>
  <c r="DA32" i="41"/>
  <c r="CO32" i="41"/>
  <c r="DB32" i="41"/>
  <c r="DC32" i="41"/>
  <c r="CQ32" i="41"/>
  <c r="CX27" i="41" a="1"/>
  <c r="CX27" i="41" s="1"/>
  <c r="H63" i="39" s="1"/>
  <c r="CQ27" i="41"/>
  <c r="DA27" i="41"/>
  <c r="DB27" i="41"/>
  <c r="CO27" i="41"/>
  <c r="DC27" i="41"/>
  <c r="CP27" i="41"/>
  <c r="CP26" i="41"/>
  <c r="CQ26" i="41"/>
  <c r="DA26" i="41"/>
  <c r="DB26" i="41"/>
  <c r="DC26" i="41"/>
  <c r="CX26" i="41" a="1"/>
  <c r="CX26" i="41" s="1"/>
  <c r="H62" i="39" s="1"/>
  <c r="CO26" i="41"/>
  <c r="CP18" i="41"/>
  <c r="CQ18" i="41"/>
  <c r="DB18" i="41"/>
  <c r="DC18" i="41" s="1"/>
  <c r="CP10" i="41"/>
  <c r="CQ10" i="41"/>
  <c r="DB10" i="41"/>
  <c r="DC10" i="41" s="1"/>
  <c r="CP25" i="41"/>
  <c r="CO25" i="41"/>
  <c r="CQ25" i="41"/>
  <c r="DC25" i="41"/>
  <c r="CX25" i="41" a="1"/>
  <c r="CX25" i="41" s="1"/>
  <c r="H61" i="39" s="1"/>
  <c r="DB25" i="41"/>
  <c r="DA25" i="41"/>
  <c r="CP17" i="41"/>
  <c r="CQ17" i="41"/>
  <c r="DB17" i="41"/>
  <c r="DC17" i="41" s="1"/>
  <c r="CP9" i="41"/>
  <c r="CQ9" i="41"/>
  <c r="DB9" i="41"/>
  <c r="DC9" i="41" s="1"/>
  <c r="CX24" i="41" a="1"/>
  <c r="CX24" i="41" s="1"/>
  <c r="H60" i="39" s="1"/>
  <c r="DA24" i="41"/>
  <c r="DB24" i="41"/>
  <c r="CP24" i="41"/>
  <c r="DC24" i="41"/>
  <c r="CQ24" i="41"/>
  <c r="CO24" i="41"/>
  <c r="CP8" i="41"/>
  <c r="DB8" i="41"/>
  <c r="DC8" i="41" s="1"/>
  <c r="CQ8" i="41"/>
  <c r="CX31" i="41" a="1"/>
  <c r="CX31" i="41" s="1"/>
  <c r="H67" i="39" s="1"/>
  <c r="CP31" i="41"/>
  <c r="DA31" i="41"/>
  <c r="CQ31" i="41"/>
  <c r="CO31" i="41"/>
  <c r="DC31" i="41"/>
  <c r="DB31" i="41"/>
  <c r="CX23" i="41" a="1"/>
  <c r="CX23" i="41" s="1"/>
  <c r="H59" i="39" s="1"/>
  <c r="CP23" i="41"/>
  <c r="CQ23" i="41"/>
  <c r="CO23" i="41"/>
  <c r="DA23" i="41"/>
  <c r="DB23" i="41"/>
  <c r="DC23" i="41"/>
  <c r="CQ15" i="41"/>
  <c r="CP15" i="41"/>
  <c r="DB15" i="41"/>
  <c r="DC15" i="41" s="1"/>
  <c r="CP7" i="41"/>
  <c r="CQ7" i="41"/>
  <c r="DB7" i="41"/>
  <c r="DC7" i="41" s="1"/>
  <c r="DB22" i="41"/>
  <c r="DC22" i="41"/>
  <c r="CX22" i="41" a="1"/>
  <c r="CX22" i="41" s="1"/>
  <c r="H58" i="39" s="1"/>
  <c r="CO22" i="41"/>
  <c r="CP22" i="41"/>
  <c r="CQ22" i="41"/>
  <c r="DA22" i="41"/>
  <c r="CP14" i="41"/>
  <c r="CQ14" i="41"/>
  <c r="DB14" i="41"/>
  <c r="DC14" i="41" s="1"/>
  <c r="CQ6" i="41"/>
  <c r="CP6" i="41"/>
  <c r="DB6" i="41"/>
  <c r="DC6" i="41" s="1"/>
  <c r="CO30" i="41"/>
  <c r="CQ30" i="41"/>
  <c r="DC30" i="41"/>
  <c r="CX30" i="41" a="1"/>
  <c r="CX30" i="41" s="1"/>
  <c r="H66" i="39" s="1"/>
  <c r="DA30" i="41"/>
  <c r="DB30" i="41"/>
  <c r="CP30" i="41"/>
  <c r="CX29" i="41" a="1"/>
  <c r="CX29" i="41" s="1"/>
  <c r="H65" i="39" s="1"/>
  <c r="CQ29" i="41"/>
  <c r="CO29" i="41"/>
  <c r="CP29" i="41"/>
  <c r="DB29" i="41"/>
  <c r="DC29" i="41"/>
  <c r="DA29" i="41"/>
  <c r="CX21" i="41" a="1"/>
  <c r="CX21" i="41" s="1"/>
  <c r="H57" i="39" s="1"/>
  <c r="CO21" i="41"/>
  <c r="CP21" i="41"/>
  <c r="DA21" i="41"/>
  <c r="DB21" i="41"/>
  <c r="DC21" i="41"/>
  <c r="CQ21" i="41"/>
  <c r="CP13" i="41"/>
  <c r="CQ13" i="41"/>
  <c r="DB13" i="41"/>
  <c r="DC13" i="41" s="1"/>
  <c r="CQ5" i="41"/>
  <c r="CP5" i="41"/>
  <c r="DB5" i="41"/>
  <c r="DC5" i="41" s="1"/>
  <c r="CP16" i="41"/>
  <c r="CQ16" i="41"/>
  <c r="DB16" i="41"/>
  <c r="DC16" i="41" s="1"/>
  <c r="CX28" i="41" a="1"/>
  <c r="CX28" i="41" s="1"/>
  <c r="H64" i="39" s="1"/>
  <c r="CP28" i="41"/>
  <c r="CO28" i="41"/>
  <c r="DB28" i="41"/>
  <c r="CQ28" i="41"/>
  <c r="DC28" i="41"/>
  <c r="DA28" i="41"/>
  <c r="CX20" i="41" a="1"/>
  <c r="CX20" i="41" s="1"/>
  <c r="H56" i="39" s="1"/>
  <c r="CO20" i="41"/>
  <c r="CP20" i="41"/>
  <c r="DA20" i="41"/>
  <c r="CQ20" i="41"/>
  <c r="DB20" i="41"/>
  <c r="DC20" i="41"/>
  <c r="CP12" i="41"/>
  <c r="CQ12" i="41"/>
  <c r="DB12" i="41"/>
  <c r="DC12" i="41" s="1"/>
  <c r="CP4" i="41"/>
  <c r="CQ4" i="41"/>
  <c r="DB4" i="41"/>
  <c r="DC4" i="41" s="1"/>
  <c r="CP19" i="41"/>
  <c r="CQ19" i="41"/>
  <c r="DB19" i="41"/>
  <c r="DC19" i="41" s="1"/>
  <c r="CP11" i="41"/>
  <c r="CQ11" i="41"/>
  <c r="DB11" i="41"/>
  <c r="DC11" i="41" s="1"/>
  <c r="CP3" i="41"/>
  <c r="CQ3" i="41"/>
  <c r="DB3" i="41"/>
  <c r="DC3" i="41" s="1"/>
  <c r="H18" i="39"/>
  <c r="I20" i="39"/>
  <c r="CU9" i="41" a="1"/>
  <c r="CU5" i="41" a="1"/>
  <c r="CT14" i="41" a="1"/>
  <c r="CU22" i="41" a="1"/>
  <c r="L15" i="41" a="1"/>
  <c r="CU20" i="41" a="1"/>
  <c r="CU12" i="41" a="1"/>
  <c r="CU7" i="41" a="1"/>
  <c r="Z49" i="41" a="1"/>
  <c r="CU26" i="41" a="1"/>
  <c r="CT16" i="41" a="1"/>
  <c r="CT17" i="41" a="1"/>
  <c r="CU21" i="41" a="1"/>
  <c r="CU29" i="41" a="1"/>
  <c r="L14" i="41" a="1"/>
  <c r="CU14" i="41" a="1"/>
  <c r="CU23" i="41" a="1"/>
  <c r="CU3" i="41" a="1"/>
  <c r="CU8" i="41" a="1"/>
  <c r="CT19" i="41" a="1"/>
  <c r="CU10" i="41" a="1"/>
  <c r="CT10" i="41" a="1"/>
  <c r="CU32" i="41" a="1"/>
  <c r="CU13" i="41" a="1"/>
  <c r="CT15" i="41" a="1"/>
  <c r="CT24" i="41" a="1"/>
  <c r="CU4" i="41" a="1"/>
  <c r="CT11" i="41" a="1"/>
  <c r="CU28" i="41" a="1"/>
  <c r="CU30" i="41" a="1"/>
  <c r="CU17" i="41" a="1"/>
  <c r="CT27" i="41" a="1"/>
  <c r="CT30" i="41" a="1"/>
  <c r="CU24" i="41" a="1"/>
  <c r="CT5" i="41" a="1"/>
  <c r="CT23" i="41" a="1"/>
  <c r="CU19" i="41" a="1"/>
  <c r="CT4" i="41" a="1"/>
  <c r="CU6" i="41" a="1"/>
  <c r="L13" i="41" a="1"/>
  <c r="CT7" i="41" a="1"/>
  <c r="CT18" i="41" a="1"/>
  <c r="CU16" i="41" a="1"/>
  <c r="CT29" i="41" a="1"/>
  <c r="CU25" i="41" a="1"/>
  <c r="CT8" i="41" a="1"/>
  <c r="CT3" i="41" a="1"/>
  <c r="Z51" i="41" a="1"/>
  <c r="CU27" i="41" a="1"/>
  <c r="CT13" i="41" a="1"/>
  <c r="CU18" i="41" a="1"/>
  <c r="CT6" i="41" a="1"/>
  <c r="CT12" i="41" a="1"/>
  <c r="CT26" i="41" a="1"/>
  <c r="CU11" i="41" a="1"/>
  <c r="CU31" i="41" a="1"/>
  <c r="CT25" i="41" a="1"/>
  <c r="CU15" i="41" a="1"/>
  <c r="CT9" i="41" a="1"/>
  <c r="CT22" i="41" a="1"/>
  <c r="CT28" i="41" a="1"/>
  <c r="L12" i="41" a="1"/>
  <c r="CT20" i="41" a="1"/>
  <c r="CY3" i="41" l="1" a="1"/>
  <c r="CY3" i="41" s="1"/>
  <c r="CZ19" i="41" a="1"/>
  <c r="CZ19" i="41" s="1"/>
  <c r="CZ4" i="41" a="1"/>
  <c r="CZ4" i="41" s="1"/>
  <c r="CZ17" i="41" a="1"/>
  <c r="CZ17" i="41" s="1"/>
  <c r="CZ10" i="41" a="1"/>
  <c r="CZ10" i="41" s="1"/>
  <c r="CY19" i="41" a="1"/>
  <c r="CY19" i="41" s="1"/>
  <c r="CY4" i="41" a="1"/>
  <c r="CY4" i="41" s="1"/>
  <c r="CY17" i="41" a="1"/>
  <c r="CY17" i="41" s="1"/>
  <c r="CY10" i="41" a="1"/>
  <c r="CY10" i="41" s="1"/>
  <c r="CZ18" i="41" a="1"/>
  <c r="CZ18" i="41" s="1"/>
  <c r="CZ7" i="41" a="1"/>
  <c r="CZ7" i="41" s="1"/>
  <c r="CZ6" i="41" a="1"/>
  <c r="CZ6" i="41" s="1"/>
  <c r="CZ16" i="41" a="1"/>
  <c r="CZ16" i="41" s="1"/>
  <c r="CY18" i="41" a="1"/>
  <c r="CY18" i="41" s="1"/>
  <c r="CY7" i="41" a="1"/>
  <c r="CY7" i="41" s="1"/>
  <c r="CY6" i="41" a="1"/>
  <c r="CY6" i="41" s="1"/>
  <c r="CY16" i="41" a="1"/>
  <c r="CY16" i="41" s="1"/>
  <c r="CZ3" i="41" a="1"/>
  <c r="CZ3" i="41" s="1"/>
  <c r="CZ15" i="41" a="1"/>
  <c r="CZ15" i="41" s="1"/>
  <c r="CZ12" i="41" a="1"/>
  <c r="CZ12" i="41" s="1"/>
  <c r="CZ9" i="41" a="1"/>
  <c r="CZ9" i="41" s="1"/>
  <c r="CY15" i="41" a="1"/>
  <c r="CY15" i="41" s="1"/>
  <c r="CY12" i="41" a="1"/>
  <c r="CY12" i="41" s="1"/>
  <c r="CY9" i="41" a="1"/>
  <c r="CY9" i="41" s="1"/>
  <c r="CZ11" i="41" a="1"/>
  <c r="CZ11" i="41" s="1"/>
  <c r="CZ14" i="41" a="1"/>
  <c r="CZ14" i="41" s="1"/>
  <c r="CZ8" i="41" a="1"/>
  <c r="CZ8" i="41" s="1"/>
  <c r="CZ5" i="41" a="1"/>
  <c r="CZ5" i="41" s="1"/>
  <c r="CY11" i="41" a="1"/>
  <c r="CY11" i="41" s="1"/>
  <c r="CY14" i="41" a="1"/>
  <c r="CY14" i="41" s="1"/>
  <c r="CY8" i="41" a="1"/>
  <c r="CY8" i="41" s="1"/>
  <c r="CY5" i="41" a="1"/>
  <c r="CY5" i="41" s="1"/>
  <c r="CX12" i="41" a="1"/>
  <c r="CX12" i="41" s="1"/>
  <c r="CX8" i="41" a="1"/>
  <c r="CX8" i="41" s="1"/>
  <c r="CX15" i="41" a="1"/>
  <c r="CX15" i="41" s="1"/>
  <c r="CX3" i="41" a="1"/>
  <c r="CX3" i="41" s="1"/>
  <c r="CX18" i="41" a="1"/>
  <c r="CX18" i="41" s="1"/>
  <c r="CX6" i="41" a="1"/>
  <c r="CX6" i="41" s="1"/>
  <c r="CX4" i="41" a="1"/>
  <c r="CX4" i="41" s="1"/>
  <c r="CX10" i="41" a="1"/>
  <c r="CX10" i="41" s="1"/>
  <c r="CX14" i="41" a="1"/>
  <c r="CX14" i="41" s="1"/>
  <c r="CX16" i="41" a="1"/>
  <c r="CX16" i="41" s="1"/>
  <c r="CX19" i="41" a="1"/>
  <c r="CX19" i="41" s="1"/>
  <c r="CX5" i="41" a="1"/>
  <c r="CX5" i="41" s="1"/>
  <c r="CX7" i="41" a="1"/>
  <c r="CX7" i="41" s="1"/>
  <c r="CX17" i="41" a="1"/>
  <c r="CX17" i="41" s="1"/>
  <c r="CU14" i="41"/>
  <c r="CT14" i="41"/>
  <c r="CU7" i="41"/>
  <c r="CT7" i="41"/>
  <c r="CU9" i="41"/>
  <c r="CT9" i="41"/>
  <c r="CU3" i="41"/>
  <c r="CT3" i="41"/>
  <c r="CU13" i="41"/>
  <c r="CT13" i="41"/>
  <c r="CU8" i="41"/>
  <c r="CT8" i="41"/>
  <c r="CT27" i="41"/>
  <c r="CU27" i="41"/>
  <c r="CT22" i="41"/>
  <c r="CU22" i="41"/>
  <c r="CU4" i="41"/>
  <c r="CT4" i="41"/>
  <c r="CT20" i="41"/>
  <c r="CU20" i="41"/>
  <c r="CT28" i="41"/>
  <c r="CU28" i="41"/>
  <c r="CU16" i="41"/>
  <c r="CT16" i="41"/>
  <c r="CT30" i="41"/>
  <c r="CU30" i="41"/>
  <c r="CU15" i="41"/>
  <c r="CT15" i="41"/>
  <c r="CT23" i="41"/>
  <c r="CU23" i="41"/>
  <c r="CU17" i="41"/>
  <c r="CT17" i="41"/>
  <c r="CU10" i="41"/>
  <c r="CT10" i="41"/>
  <c r="CU11" i="41"/>
  <c r="CT11" i="41"/>
  <c r="CT24" i="41"/>
  <c r="CU24" i="41"/>
  <c r="CU6" i="41"/>
  <c r="CT6" i="41"/>
  <c r="CT25" i="41"/>
  <c r="CU25" i="41"/>
  <c r="CT26" i="41"/>
  <c r="CU26" i="41"/>
  <c r="CU12" i="41"/>
  <c r="CT12" i="41"/>
  <c r="CU5" i="41"/>
  <c r="CT5" i="41"/>
  <c r="CU21" i="41"/>
  <c r="CU18" i="41"/>
  <c r="CT18" i="41"/>
  <c r="CU19" i="41"/>
  <c r="CT19" i="41"/>
  <c r="CT29" i="41"/>
  <c r="CU29" i="41"/>
  <c r="CU31" i="41"/>
  <c r="CU32" i="41"/>
  <c r="DD3" i="41" a="1"/>
  <c r="DD3" i="41" s="1"/>
  <c r="CX11" i="41" a="1"/>
  <c r="CX11" i="41" s="1"/>
  <c r="CX9" i="41" a="1"/>
  <c r="CX9" i="41" s="1"/>
  <c r="CX13" i="41" a="1"/>
  <c r="CX13" i="41" s="1"/>
  <c r="L14" i="41"/>
  <c r="L12" i="41"/>
  <c r="L15" i="41"/>
  <c r="L13" i="41"/>
  <c r="Z51" i="41"/>
  <c r="Z49" i="41"/>
  <c r="H17" i="39"/>
  <c r="H16" i="39"/>
  <c r="H19" i="39"/>
  <c r="I24" i="39" a="1"/>
  <c r="Z50" i="41" a="1"/>
  <c r="CT21" i="41" a="1"/>
  <c r="CT32" i="41" a="1"/>
  <c r="Z52" i="41" a="1"/>
  <c r="CT31" i="41" a="1"/>
  <c r="Z50" i="41" l="1"/>
  <c r="CT31" i="41"/>
  <c r="CT21" i="41"/>
  <c r="Z52" i="41"/>
  <c r="CT32" i="41"/>
  <c r="DA15" i="41"/>
  <c r="DA19" i="41"/>
  <c r="DA10" i="41"/>
  <c r="DA14" i="41"/>
  <c r="DA18" i="41"/>
  <c r="DA8" i="41"/>
  <c r="DA16" i="41"/>
  <c r="DA6" i="41"/>
  <c r="DA11" i="41"/>
  <c r="DA12" i="41"/>
  <c r="DA5" i="41"/>
  <c r="DA9" i="41"/>
  <c r="DD4" i="41" a="1"/>
  <c r="DD4" i="41" s="1"/>
  <c r="DG3" i="41"/>
  <c r="DA4" i="41"/>
  <c r="DA13" i="41"/>
  <c r="DA3" i="41"/>
  <c r="DE3" i="41" s="1"/>
  <c r="DF3" i="41" s="1"/>
  <c r="DA17" i="41"/>
  <c r="DA7" i="41"/>
  <c r="I24" i="39"/>
  <c r="I18" i="39"/>
  <c r="DE4" i="41" l="1"/>
  <c r="DD5" i="41" a="1"/>
  <c r="DD5" i="41" s="1"/>
  <c r="DG4" i="41"/>
  <c r="L16" i="41" a="1"/>
  <c r="L16" i="41" s="1"/>
  <c r="Z53" i="41" a="1"/>
  <c r="Z53" i="41" s="1"/>
  <c r="I17" i="39"/>
  <c r="I19" i="39"/>
  <c r="I16" i="39"/>
  <c r="DF4" i="41" l="1"/>
  <c r="DD6" i="41" a="1"/>
  <c r="DD6" i="41" s="1"/>
  <c r="DG5" i="41"/>
  <c r="DE5" i="41"/>
  <c r="DF5" i="41" s="1"/>
  <c r="K75" i="39"/>
  <c r="H24" i="39" a="1"/>
  <c r="DD7" i="41" l="1" a="1"/>
  <c r="DD7" i="41" s="1"/>
  <c r="DG6" i="41"/>
  <c r="DE6" i="41"/>
  <c r="DF6" i="41" s="1"/>
  <c r="H24" i="39"/>
  <c r="DD8" i="41" l="1" a="1"/>
  <c r="DD8" i="41" s="1"/>
  <c r="DG7" i="41"/>
  <c r="DE7" i="41"/>
  <c r="DF7" i="41" s="1"/>
  <c r="R84" i="39" a="1"/>
  <c r="R84" i="39" s="1"/>
  <c r="S84" i="39" s="1" a="1"/>
  <c r="S84" i="39" s="1"/>
  <c r="Z60" i="41" s="1" a="1"/>
  <c r="Z60" i="41" s="1"/>
  <c r="R87" i="39" a="1"/>
  <c r="R87" i="39" s="1"/>
  <c r="R86" i="39" a="1"/>
  <c r="R86" i="39" s="1"/>
  <c r="S86" i="39" s="1" a="1"/>
  <c r="S86" i="39" s="1"/>
  <c r="G49" i="43" s="1"/>
  <c r="R90" i="39" a="1"/>
  <c r="R90" i="39" s="1"/>
  <c r="R85" i="39" a="1"/>
  <c r="R85" i="39" s="1"/>
  <c r="S85" i="39" s="1" a="1"/>
  <c r="S85" i="39" s="1"/>
  <c r="Z62" i="41" s="1" a="1"/>
  <c r="Z62" i="41" s="1"/>
  <c r="R80" i="39" a="1"/>
  <c r="R80" i="39" s="1"/>
  <c r="S80" i="39" s="1" a="1"/>
  <c r="S80" i="39" s="1"/>
  <c r="R77" i="39" a="1"/>
  <c r="R77" i="39" s="1"/>
  <c r="R83" i="39" a="1"/>
  <c r="R83" i="39" s="1"/>
  <c r="S83" i="39" s="1" a="1"/>
  <c r="S83" i="39" s="1"/>
  <c r="Z61" i="41" s="1" a="1"/>
  <c r="Z61" i="41" s="1"/>
  <c r="R81" i="39" a="1"/>
  <c r="R81" i="39" s="1"/>
  <c r="S81" i="39" s="1" a="1"/>
  <c r="S81" i="39" s="1"/>
  <c r="Z63" i="41" s="1" a="1"/>
  <c r="Z63" i="41" s="1"/>
  <c r="R82" i="39" a="1"/>
  <c r="R82" i="39" s="1"/>
  <c r="S82" i="39" s="1" a="1"/>
  <c r="S82" i="39" s="1"/>
  <c r="Z64" i="41" s="1" a="1"/>
  <c r="Z64" i="41" s="1"/>
  <c r="R79" i="39" a="1"/>
  <c r="R79" i="39" s="1"/>
  <c r="S79" i="39" s="1" a="1"/>
  <c r="S79" i="39" s="1"/>
  <c r="R89" i="39" a="1"/>
  <c r="R89" i="39" s="1"/>
  <c r="R91" i="39" a="1"/>
  <c r="R91" i="39" s="1"/>
  <c r="R78" i="39" a="1"/>
  <c r="R78" i="39" s="1"/>
  <c r="S78" i="39" s="1" a="1"/>
  <c r="S78" i="39" s="1"/>
  <c r="R88" i="39" a="1"/>
  <c r="R88" i="39" s="1"/>
  <c r="DD9" i="41" l="1" a="1"/>
  <c r="DD9" i="41" s="1"/>
  <c r="DG8" i="41"/>
  <c r="DE8" i="41"/>
  <c r="S88" i="39" a="1"/>
  <c r="S88" i="39" s="1"/>
  <c r="AQ4" i="41" s="1"/>
  <c r="S91" i="39" a="1"/>
  <c r="S91" i="39" s="1"/>
  <c r="AQ7" i="41" s="1"/>
  <c r="S89" i="39" a="1"/>
  <c r="S89" i="39" s="1"/>
  <c r="AQ5" i="41" s="1"/>
  <c r="S90" i="39" a="1"/>
  <c r="S90" i="39" s="1"/>
  <c r="AQ6" i="41" s="1"/>
  <c r="S87" i="39" a="1"/>
  <c r="S87" i="39" s="1"/>
  <c r="AQ3" i="41" s="1"/>
  <c r="S77" i="39" a="1"/>
  <c r="S77" i="39" s="1"/>
  <c r="F49" i="43" s="1"/>
  <c r="G24" i="42"/>
  <c r="I49" i="43"/>
  <c r="L24" i="42"/>
  <c r="J49" i="43"/>
  <c r="M24" i="42"/>
  <c r="F24" i="42"/>
  <c r="K24" i="42"/>
  <c r="H49" i="43"/>
  <c r="K49" i="43"/>
  <c r="E24" i="42"/>
  <c r="D24" i="42"/>
  <c r="L20" i="41" a="1"/>
  <c r="Z45" i="41" a="1"/>
  <c r="Z45" i="41" l="1"/>
  <c r="L20" i="41"/>
  <c r="DF8" i="41"/>
  <c r="DD10" i="41" a="1"/>
  <c r="DD10" i="41" s="1"/>
  <c r="DG9" i="41"/>
  <c r="DE9" i="41"/>
  <c r="DF9" i="41" s="1"/>
  <c r="DD11" i="41" l="1" a="1"/>
  <c r="DD11" i="41" s="1"/>
  <c r="DG10" i="41"/>
  <c r="DE10" i="41"/>
  <c r="DF10" i="41" l="1"/>
  <c r="DD12" i="41" a="1"/>
  <c r="DD12" i="41" s="1"/>
  <c r="DG11" i="41"/>
  <c r="DE11" i="41"/>
  <c r="DF11" i="41" s="1"/>
  <c r="F33" i="42"/>
  <c r="E26" i="42"/>
  <c r="E29" i="42"/>
  <c r="F28" i="42"/>
  <c r="F30" i="42"/>
  <c r="G30" i="42"/>
  <c r="E32" i="42"/>
  <c r="G31" i="42"/>
  <c r="F35" i="42"/>
  <c r="F34" i="42"/>
  <c r="F32" i="42"/>
  <c r="E33" i="42"/>
  <c r="G32" i="42"/>
  <c r="E27" i="42"/>
  <c r="F31" i="42"/>
  <c r="G33" i="42"/>
  <c r="E34" i="42"/>
  <c r="E35" i="42"/>
  <c r="G27" i="42"/>
  <c r="G35" i="42"/>
  <c r="G34" i="42"/>
  <c r="F29" i="42"/>
  <c r="G29" i="42"/>
  <c r="F27" i="42"/>
  <c r="G28" i="42"/>
  <c r="E28" i="42"/>
  <c r="E30" i="42"/>
  <c r="E31" i="42"/>
  <c r="DD13" i="41" l="1" a="1"/>
  <c r="DD13" i="41" s="1"/>
  <c r="DG12" i="41"/>
  <c r="DE12" i="41"/>
  <c r="G26" i="42"/>
  <c r="CI3" i="41"/>
  <c r="K26" i="42" s="1"/>
  <c r="DF12" i="41" l="1"/>
  <c r="DD14" i="41" a="1"/>
  <c r="DD14" i="41" s="1"/>
  <c r="DG13" i="41"/>
  <c r="DE13" i="41"/>
  <c r="CJ3" i="41"/>
  <c r="F26" i="42"/>
  <c r="DD15" i="41" l="1" a="1"/>
  <c r="DD15" i="41" s="1"/>
  <c r="DG14" i="41"/>
  <c r="DE14" i="41"/>
  <c r="DF14" i="41" s="1"/>
  <c r="DF13" i="41"/>
  <c r="CK3" i="41"/>
  <c r="M26" i="42" s="1"/>
  <c r="L26" i="42"/>
  <c r="H44" i="39"/>
  <c r="H50" i="39"/>
  <c r="H47" i="39"/>
  <c r="H42" i="39"/>
  <c r="H53" i="39"/>
  <c r="H52" i="39"/>
  <c r="H45" i="39"/>
  <c r="H54" i="39"/>
  <c r="H39" i="39"/>
  <c r="H46" i="39"/>
  <c r="H41" i="39"/>
  <c r="H49" i="39"/>
  <c r="H43" i="39"/>
  <c r="H40" i="39"/>
  <c r="H51" i="39"/>
  <c r="H48" i="39"/>
  <c r="H55" i="39"/>
  <c r="DD16" i="41" l="1" a="1"/>
  <c r="DD16" i="41" s="1"/>
  <c r="DG15" i="41"/>
  <c r="DE15" i="41"/>
  <c r="DF15" i="41" s="1"/>
  <c r="DD17" i="41" l="1" a="1"/>
  <c r="DD17" i="41" s="1"/>
  <c r="DG16" i="41"/>
  <c r="DE16" i="41"/>
  <c r="DF16" i="41" s="1"/>
  <c r="DD18" i="41" l="1" a="1"/>
  <c r="DD18" i="41" s="1"/>
  <c r="DG17" i="41"/>
  <c r="DE17" i="41"/>
  <c r="DF17" i="41" s="1"/>
  <c r="DD19" i="41" l="1" a="1"/>
  <c r="DD19" i="41" s="1"/>
  <c r="DG18" i="41"/>
  <c r="DE18" i="41"/>
  <c r="DF18" i="41" l="1"/>
  <c r="DE19" i="41"/>
  <c r="DG19" i="41"/>
  <c r="DD20" i="41" a="1"/>
  <c r="DD20" i="41" s="1"/>
  <c r="DF19" i="41" l="1"/>
  <c r="DE20" i="41"/>
  <c r="DD21" i="41" a="1"/>
  <c r="DD21" i="41" s="1"/>
  <c r="DL20" i="41"/>
  <c r="DG20" i="41"/>
  <c r="DF20" i="41"/>
  <c r="DM20" i="41"/>
  <c r="DH20" i="41"/>
  <c r="DJ20" i="41"/>
  <c r="DI20" i="41"/>
  <c r="DK20" i="41" s="1" a="1"/>
  <c r="DK20" i="41" s="1"/>
  <c r="DS20" i="41" l="1"/>
  <c r="K68" i="43" s="1"/>
  <c r="DT20" i="41"/>
  <c r="H68" i="43" s="1"/>
  <c r="DO20" i="41" a="1"/>
  <c r="DO20" i="41" s="1"/>
  <c r="F68" i="43" s="1"/>
  <c r="DV20" i="41"/>
  <c r="J68" i="43" s="1"/>
  <c r="DU20" i="41"/>
  <c r="I68" i="43" s="1"/>
  <c r="DP20" i="41"/>
  <c r="E68" i="43" s="1"/>
  <c r="DQ20" i="41" a="1"/>
  <c r="DQ20" i="41" s="1"/>
  <c r="G68" i="43" s="1"/>
  <c r="DN20" i="41" a="1"/>
  <c r="DN20" i="41" s="1"/>
  <c r="DR20" i="41"/>
  <c r="D68" i="43" s="1"/>
  <c r="DE21" i="41"/>
  <c r="DD22" i="41" a="1"/>
  <c r="DD22" i="41" s="1"/>
  <c r="DL21" i="41"/>
  <c r="DF21" i="41"/>
  <c r="DM21" i="41"/>
  <c r="DG21" i="41"/>
  <c r="DH21" i="41"/>
  <c r="DI21" i="41"/>
  <c r="DK21" i="41" s="1" a="1"/>
  <c r="DK21" i="41" s="1"/>
  <c r="DJ21" i="41"/>
  <c r="DN21" i="41" l="1" a="1"/>
  <c r="DN21" i="41" s="1"/>
  <c r="DR21" i="41"/>
  <c r="D69" i="43" s="1"/>
  <c r="DS21" i="41"/>
  <c r="K69" i="43" s="1"/>
  <c r="DT21" i="41"/>
  <c r="H69" i="43" s="1"/>
  <c r="DV21" i="41"/>
  <c r="J69" i="43" s="1"/>
  <c r="DO21" i="41" a="1"/>
  <c r="DO21" i="41" s="1"/>
  <c r="F69" i="43" s="1"/>
  <c r="DU21" i="41"/>
  <c r="I69" i="43" s="1"/>
  <c r="DP21" i="41"/>
  <c r="E69" i="43" s="1"/>
  <c r="DQ21" i="41" a="1"/>
  <c r="DQ21" i="41" s="1"/>
  <c r="G69" i="43" s="1"/>
  <c r="DM22" i="41"/>
  <c r="DE22" i="41"/>
  <c r="DD23" i="41" a="1"/>
  <c r="DD23" i="41" s="1"/>
  <c r="DL22" i="41"/>
  <c r="DG22" i="41"/>
  <c r="DH22" i="41"/>
  <c r="DI22" i="41"/>
  <c r="DK22" i="41" s="1" a="1"/>
  <c r="DK22" i="41" s="1"/>
  <c r="DJ22" i="41"/>
  <c r="DF22" i="41"/>
  <c r="DN22" i="41" l="1" a="1"/>
  <c r="DN22" i="41" s="1"/>
  <c r="DR22" i="41"/>
  <c r="D70" i="43" s="1"/>
  <c r="DS22" i="41"/>
  <c r="K70" i="43" s="1"/>
  <c r="DT22" i="41"/>
  <c r="H70" i="43" s="1"/>
  <c r="DO22" i="41" a="1"/>
  <c r="DO22" i="41" s="1"/>
  <c r="F70" i="43" s="1"/>
  <c r="DU22" i="41"/>
  <c r="I70" i="43" s="1"/>
  <c r="DV22" i="41"/>
  <c r="J70" i="43" s="1"/>
  <c r="DQ22" i="41" a="1"/>
  <c r="DQ22" i="41" s="1"/>
  <c r="G70" i="43" s="1"/>
  <c r="DP22" i="41"/>
  <c r="E70" i="43" s="1"/>
  <c r="DH23" i="41"/>
  <c r="DD24" i="41" a="1"/>
  <c r="DD24" i="41" s="1"/>
  <c r="DI23" i="41"/>
  <c r="DK23" i="41" s="1" a="1"/>
  <c r="DK23" i="41" s="1"/>
  <c r="DJ23" i="41"/>
  <c r="DE23" i="41"/>
  <c r="DL23" i="41"/>
  <c r="DF23" i="41"/>
  <c r="DM23" i="41"/>
  <c r="DG23" i="41"/>
  <c r="DH24" i="41" l="1"/>
  <c r="DF24" i="41"/>
  <c r="DI24" i="41"/>
  <c r="DK24" i="41" s="1" a="1"/>
  <c r="DK24" i="41" s="1"/>
  <c r="DD25" i="41" a="1"/>
  <c r="DD25" i="41" s="1"/>
  <c r="DJ24" i="41"/>
  <c r="DE24" i="41"/>
  <c r="DL24" i="41"/>
  <c r="DM24" i="41"/>
  <c r="DG24" i="41"/>
  <c r="DR23" i="41"/>
  <c r="D71" i="43" s="1"/>
  <c r="DS23" i="41"/>
  <c r="K71" i="43" s="1"/>
  <c r="DT23" i="41"/>
  <c r="H71" i="43" s="1"/>
  <c r="DO23" i="41" a="1"/>
  <c r="DO23" i="41" s="1"/>
  <c r="F71" i="43" s="1"/>
  <c r="DU23" i="41"/>
  <c r="I71" i="43" s="1"/>
  <c r="DV23" i="41"/>
  <c r="J71" i="43" s="1"/>
  <c r="DP23" i="41"/>
  <c r="E71" i="43" s="1"/>
  <c r="DQ23" i="41" a="1"/>
  <c r="DQ23" i="41" s="1"/>
  <c r="G71" i="43" s="1"/>
  <c r="DN23" i="41" a="1"/>
  <c r="DN23" i="41" s="1"/>
  <c r="DN24" i="41" l="1" a="1"/>
  <c r="DN24" i="41" s="1"/>
  <c r="DU24" i="41"/>
  <c r="I72" i="43" s="1"/>
  <c r="DV24" i="41"/>
  <c r="J72" i="43" s="1"/>
  <c r="DP24" i="41"/>
  <c r="E72" i="43" s="1"/>
  <c r="DQ24" i="41" a="1"/>
  <c r="DQ24" i="41" s="1"/>
  <c r="G72" i="43" s="1"/>
  <c r="DR24" i="41"/>
  <c r="D72" i="43" s="1"/>
  <c r="DT24" i="41"/>
  <c r="H72" i="43" s="1"/>
  <c r="DO24" i="41" a="1"/>
  <c r="DO24" i="41" s="1"/>
  <c r="F72" i="43" s="1"/>
  <c r="DS24" i="41"/>
  <c r="K72" i="43" s="1"/>
  <c r="DM25" i="41"/>
  <c r="DL25" i="41"/>
  <c r="DD26" i="41" a="1"/>
  <c r="DD26" i="41" s="1"/>
  <c r="DF25" i="41"/>
  <c r="DG25" i="41"/>
  <c r="DH25" i="41"/>
  <c r="DI25" i="41"/>
  <c r="DK25" i="41" s="1" a="1"/>
  <c r="DK25" i="41" s="1"/>
  <c r="DJ25" i="41"/>
  <c r="DE25" i="41"/>
  <c r="DM26" i="41" l="1"/>
  <c r="DD27" i="41" a="1"/>
  <c r="DD27" i="41" s="1"/>
  <c r="DI26" i="41"/>
  <c r="DK26" i="41" s="1" a="1"/>
  <c r="DK26" i="41" s="1"/>
  <c r="DJ26" i="41"/>
  <c r="DE26" i="41"/>
  <c r="DL26" i="41"/>
  <c r="DF26" i="41"/>
  <c r="DG26" i="41"/>
  <c r="DH26" i="41"/>
  <c r="DT25" i="41"/>
  <c r="H73" i="43" s="1"/>
  <c r="DS25" i="41"/>
  <c r="K73" i="43" s="1"/>
  <c r="DO25" i="41" a="1"/>
  <c r="DO25" i="41" s="1"/>
  <c r="F73" i="43" s="1"/>
  <c r="DN25" i="41" a="1"/>
  <c r="DN25" i="41" s="1"/>
  <c r="DU25" i="41"/>
  <c r="I73" i="43" s="1"/>
  <c r="DR25" i="41"/>
  <c r="D73" i="43" s="1"/>
  <c r="DV25" i="41"/>
  <c r="J73" i="43" s="1"/>
  <c r="DP25" i="41"/>
  <c r="E73" i="43" s="1"/>
  <c r="DQ25" i="41" a="1"/>
  <c r="DQ25" i="41" s="1"/>
  <c r="G73" i="43" s="1"/>
  <c r="DJ27" i="41" l="1"/>
  <c r="DF27" i="41"/>
  <c r="DD28" i="41" a="1"/>
  <c r="DD28" i="41" s="1"/>
  <c r="DG27" i="41"/>
  <c r="DI27" i="41"/>
  <c r="DK27" i="41" s="1" a="1"/>
  <c r="DK27" i="41" s="1"/>
  <c r="DH27" i="41"/>
  <c r="DE27" i="41"/>
  <c r="DL27" i="41"/>
  <c r="DM27" i="41"/>
  <c r="DN26" i="41" a="1"/>
  <c r="DN26" i="41" s="1"/>
  <c r="DS26" i="41"/>
  <c r="K74" i="43" s="1"/>
  <c r="DT26" i="41"/>
  <c r="H74" i="43" s="1"/>
  <c r="DV26" i="41"/>
  <c r="J74" i="43" s="1"/>
  <c r="DP26" i="41"/>
  <c r="E74" i="43" s="1"/>
  <c r="DQ26" i="41" a="1"/>
  <c r="DQ26" i="41" s="1"/>
  <c r="G74" i="43" s="1"/>
  <c r="DO26" i="41" a="1"/>
  <c r="DO26" i="41" s="1"/>
  <c r="F74" i="43" s="1"/>
  <c r="DU26" i="41"/>
  <c r="I74" i="43" s="1"/>
  <c r="DR26" i="41"/>
  <c r="D74" i="43" s="1"/>
  <c r="DF28" i="41" l="1"/>
  <c r="DL28" i="41"/>
  <c r="DE28" i="41"/>
  <c r="DD29" i="41" a="1"/>
  <c r="DD29" i="41" s="1"/>
  <c r="DG28" i="41"/>
  <c r="DH28" i="41"/>
  <c r="DI28" i="41"/>
  <c r="DK28" i="41" s="1" a="1"/>
  <c r="DK28" i="41" s="1"/>
  <c r="DJ28" i="41"/>
  <c r="DM28" i="41"/>
  <c r="DU27" i="41"/>
  <c r="I75" i="43" s="1"/>
  <c r="DT27" i="41"/>
  <c r="H75" i="43" s="1"/>
  <c r="DV27" i="41"/>
  <c r="J75" i="43" s="1"/>
  <c r="DO27" i="41" a="1"/>
  <c r="DO27" i="41" s="1"/>
  <c r="F75" i="43" s="1"/>
  <c r="DQ27" i="41" a="1"/>
  <c r="DQ27" i="41" s="1"/>
  <c r="G75" i="43" s="1"/>
  <c r="DR27" i="41"/>
  <c r="D75" i="43" s="1"/>
  <c r="DN27" i="41" a="1"/>
  <c r="DN27" i="41" s="1"/>
  <c r="DS27" i="41"/>
  <c r="K75" i="43" s="1"/>
  <c r="DP27" i="41"/>
  <c r="E75" i="43" s="1"/>
  <c r="DM29" i="41" l="1"/>
  <c r="DE29" i="41"/>
  <c r="DD30" i="41" a="1"/>
  <c r="DD30" i="41" s="1"/>
  <c r="DL29" i="41"/>
  <c r="DG29" i="41"/>
  <c r="DH29" i="41"/>
  <c r="DI29" i="41"/>
  <c r="DK29" i="41" s="1" a="1"/>
  <c r="DK29" i="41" s="1"/>
  <c r="DJ29" i="41"/>
  <c r="DF29" i="41"/>
  <c r="DN28" i="41" a="1"/>
  <c r="DN28" i="41" s="1"/>
  <c r="DR28" i="41"/>
  <c r="D76" i="43" s="1"/>
  <c r="DT28" i="41"/>
  <c r="H76" i="43" s="1"/>
  <c r="DO28" i="41" a="1"/>
  <c r="DO28" i="41" s="1"/>
  <c r="F76" i="43" s="1"/>
  <c r="DU28" i="41"/>
  <c r="I76" i="43" s="1"/>
  <c r="DV28" i="41"/>
  <c r="J76" i="43" s="1"/>
  <c r="DP28" i="41"/>
  <c r="E76" i="43" s="1"/>
  <c r="DQ28" i="41" a="1"/>
  <c r="DQ28" i="41" s="1"/>
  <c r="G76" i="43" s="1"/>
  <c r="DS28" i="41"/>
  <c r="K76" i="43" s="1"/>
  <c r="DF30" i="41" l="1"/>
  <c r="DD31" i="41" a="1"/>
  <c r="DD31" i="41" s="1"/>
  <c r="DJ30" i="41"/>
  <c r="DI30" i="41"/>
  <c r="DK30" i="41" s="1" a="1"/>
  <c r="DK30" i="41" s="1"/>
  <c r="DE30" i="41"/>
  <c r="DL30" i="41"/>
  <c r="DM30" i="41"/>
  <c r="DH30" i="41"/>
  <c r="DG30" i="41"/>
  <c r="DQ29" i="41" a="1"/>
  <c r="DQ29" i="41" s="1"/>
  <c r="G77" i="43" s="1"/>
  <c r="DN29" i="41" a="1"/>
  <c r="DN29" i="41" s="1"/>
  <c r="DR29" i="41"/>
  <c r="D77" i="43" s="1"/>
  <c r="DS29" i="41"/>
  <c r="K77" i="43" s="1"/>
  <c r="DT29" i="41"/>
  <c r="H77" i="43" s="1"/>
  <c r="DO29" i="41" a="1"/>
  <c r="DO29" i="41" s="1"/>
  <c r="F77" i="43" s="1"/>
  <c r="DU29" i="41"/>
  <c r="I77" i="43" s="1"/>
  <c r="DV29" i="41"/>
  <c r="J77" i="43" s="1"/>
  <c r="DP29" i="41"/>
  <c r="E77" i="43" s="1"/>
  <c r="DV30" i="41" l="1"/>
  <c r="J78" i="43" s="1"/>
  <c r="DO30" i="41" a="1"/>
  <c r="DO30" i="41" s="1"/>
  <c r="F78" i="43" s="1"/>
  <c r="DU30" i="41"/>
  <c r="I78" i="43" s="1"/>
  <c r="DP30" i="41"/>
  <c r="E78" i="43" s="1"/>
  <c r="DQ30" i="41" a="1"/>
  <c r="DQ30" i="41" s="1"/>
  <c r="G78" i="43" s="1"/>
  <c r="DS30" i="41"/>
  <c r="K78" i="43" s="1"/>
  <c r="DR30" i="41"/>
  <c r="D78" i="43" s="1"/>
  <c r="DN30" i="41" a="1"/>
  <c r="DN30" i="41" s="1"/>
  <c r="DT30" i="41"/>
  <c r="H78" i="43" s="1"/>
  <c r="DI31" i="41"/>
  <c r="DK31" i="41" s="1" a="1"/>
  <c r="DK31" i="41" s="1"/>
  <c r="DF31" i="41"/>
  <c r="DD32" i="41" a="1"/>
  <c r="DD32" i="41" s="1"/>
  <c r="DG31" i="41"/>
  <c r="DH31" i="41"/>
  <c r="DJ31" i="41"/>
  <c r="DE31" i="41"/>
  <c r="DL31" i="41"/>
  <c r="DM31" i="41"/>
  <c r="DH32" i="41" l="1"/>
  <c r="DI32" i="41"/>
  <c r="DK32" i="41" s="1" a="1"/>
  <c r="DK32" i="41" s="1"/>
  <c r="DJ32" i="41"/>
  <c r="DE32" i="41"/>
  <c r="DH19" i="41" s="1"/>
  <c r="DL32" i="41"/>
  <c r="DF32" i="41"/>
  <c r="DI19" i="41" s="1"/>
  <c r="DK19" i="41" s="1" a="1"/>
  <c r="DK19" i="41" s="1"/>
  <c r="DM32" i="41"/>
  <c r="DG32" i="41"/>
  <c r="DJ19" i="41" s="1"/>
  <c r="DV31" i="41"/>
  <c r="J79" i="43" s="1"/>
  <c r="DR31" i="41"/>
  <c r="D79" i="43" s="1"/>
  <c r="DQ31" i="41" a="1"/>
  <c r="DQ31" i="41" s="1"/>
  <c r="G79" i="43" s="1"/>
  <c r="DN31" i="41" a="1"/>
  <c r="DN31" i="41" s="1"/>
  <c r="DS31" i="41"/>
  <c r="K79" i="43" s="1"/>
  <c r="DT31" i="41"/>
  <c r="H79" i="43" s="1"/>
  <c r="DU31" i="41"/>
  <c r="I79" i="43" s="1"/>
  <c r="DO31" i="41" a="1"/>
  <c r="DO31" i="41" s="1"/>
  <c r="F79" i="43" s="1"/>
  <c r="DP31" i="41"/>
  <c r="E79" i="43" s="1"/>
  <c r="DT32" i="41" l="1"/>
  <c r="H80" i="43" s="1"/>
  <c r="DS32" i="41"/>
  <c r="K80" i="43" s="1"/>
  <c r="DO32" i="41" a="1"/>
  <c r="DO32" i="41" s="1"/>
  <c r="F80" i="43" s="1"/>
  <c r="DU32" i="41"/>
  <c r="I80" i="43" s="1"/>
  <c r="DP32" i="41"/>
  <c r="E80" i="43" s="1"/>
  <c r="DQ32" i="41" a="1"/>
  <c r="DQ32" i="41" s="1"/>
  <c r="G80" i="43" s="1"/>
  <c r="DR32" i="41"/>
  <c r="D80" i="43" s="1"/>
  <c r="DN32" i="41" a="1"/>
  <c r="DN32" i="41" s="1"/>
  <c r="DV32" i="41"/>
  <c r="J80" i="43" s="1"/>
  <c r="DI5" i="41"/>
  <c r="DI4" i="41"/>
  <c r="DI3" i="41"/>
  <c r="DI6" i="41"/>
  <c r="DI7" i="41"/>
  <c r="DK7" i="41" s="1" a="1"/>
  <c r="DK7" i="41" s="1"/>
  <c r="DI8" i="41"/>
  <c r="DI11" i="41"/>
  <c r="DK11" i="41" s="1" a="1"/>
  <c r="DK11" i="41" s="1"/>
  <c r="DI10" i="41"/>
  <c r="DI14" i="41"/>
  <c r="DI9" i="41"/>
  <c r="DI13" i="41"/>
  <c r="DI12" i="41"/>
  <c r="DK12" i="41" s="1" a="1"/>
  <c r="DK12" i="41" s="1"/>
  <c r="DI15" i="41"/>
  <c r="DI16" i="41"/>
  <c r="DK16" i="41" s="1" a="1"/>
  <c r="DK16" i="41" s="1"/>
  <c r="DI17" i="41"/>
  <c r="DK17" i="41" s="1" a="1"/>
  <c r="DK17" i="41" s="1"/>
  <c r="DI18" i="41"/>
  <c r="Z67" i="41" a="1"/>
  <c r="Z67" i="41" s="1"/>
  <c r="DJ3" i="41"/>
  <c r="DJ4" i="41"/>
  <c r="DJ5" i="41"/>
  <c r="DJ6" i="41"/>
  <c r="DJ10" i="41"/>
  <c r="DJ7" i="41"/>
  <c r="DJ11" i="41"/>
  <c r="DJ9" i="41"/>
  <c r="DJ8" i="41"/>
  <c r="DJ14" i="41"/>
  <c r="DJ12" i="41"/>
  <c r="DJ13" i="41"/>
  <c r="DJ15" i="41"/>
  <c r="DJ16" i="41"/>
  <c r="DJ17" i="41"/>
  <c r="DJ18" i="41"/>
  <c r="DH3" i="41"/>
  <c r="DH5" i="41"/>
  <c r="DH4" i="41"/>
  <c r="DH7" i="41"/>
  <c r="DH6" i="41"/>
  <c r="DH8" i="41"/>
  <c r="DH9" i="41"/>
  <c r="DH12" i="41"/>
  <c r="DH10" i="41"/>
  <c r="DH11" i="41"/>
  <c r="DH13" i="41"/>
  <c r="DH14" i="41"/>
  <c r="DH16" i="41"/>
  <c r="DH15" i="41"/>
  <c r="DH17" i="41"/>
  <c r="DH18" i="41"/>
  <c r="DK8" i="41" l="1" a="1"/>
  <c r="DK8" i="41" s="1"/>
  <c r="DK13" i="41" a="1"/>
  <c r="DK13" i="41" s="1"/>
  <c r="DK3" i="41" a="1"/>
  <c r="DK3" i="41" s="1"/>
  <c r="DL3" i="41" s="1"/>
  <c r="DK6" i="41" a="1"/>
  <c r="DK6" i="41" s="1"/>
  <c r="DK9" i="41" a="1"/>
  <c r="DK9" i="41" s="1"/>
  <c r="DK4" i="41" a="1"/>
  <c r="DK4" i="41" s="1"/>
  <c r="DK15" i="41" a="1"/>
  <c r="DK15" i="41" s="1"/>
  <c r="DK14" i="41" a="1"/>
  <c r="DK14" i="41" s="1"/>
  <c r="DK5" i="41" a="1"/>
  <c r="DK5" i="41" s="1"/>
  <c r="DK18" i="41" a="1"/>
  <c r="DK18" i="41" s="1"/>
  <c r="DK10" i="41" a="1"/>
  <c r="DK10" i="41" s="1"/>
  <c r="DL19" i="41" l="1"/>
  <c r="DL15" i="41"/>
  <c r="DL14" i="41"/>
  <c r="DL16" i="41"/>
  <c r="DL4" i="41"/>
  <c r="DL13" i="41"/>
  <c r="DL12" i="41"/>
  <c r="DL5" i="41"/>
  <c r="DL6" i="41"/>
  <c r="DL7" i="41"/>
  <c r="DL11" i="41"/>
  <c r="DL17" i="41"/>
  <c r="DL8" i="41"/>
  <c r="DL18" i="41"/>
  <c r="DL10" i="41"/>
  <c r="DL9" i="41"/>
  <c r="DM10" i="41" l="1"/>
  <c r="DM18" i="41"/>
  <c r="DP18" i="41" s="1"/>
  <c r="E66" i="43" s="1"/>
  <c r="DM13" i="41"/>
  <c r="DT13" i="41" s="1"/>
  <c r="H61" i="43" s="1"/>
  <c r="DM19" i="41"/>
  <c r="DN19" i="41" s="1" a="1"/>
  <c r="DN19" i="41" s="1"/>
  <c r="DO19" i="41" s="1" a="1"/>
  <c r="DO19" i="41" s="1"/>
  <c r="F67" i="43" s="1"/>
  <c r="DM4" i="41"/>
  <c r="DM17" i="41"/>
  <c r="DT17" i="41" s="1"/>
  <c r="H65" i="43" s="1"/>
  <c r="DM9" i="41"/>
  <c r="DN9" i="41" s="1" a="1"/>
  <c r="DN9" i="41" s="1"/>
  <c r="DO9" i="41" s="1" a="1"/>
  <c r="DO9" i="41" s="1"/>
  <c r="F57" i="43" s="1"/>
  <c r="DM6" i="41"/>
  <c r="DN6" i="41" s="1" a="1"/>
  <c r="DN6" i="41" s="1"/>
  <c r="DO6" i="41" s="1" a="1"/>
  <c r="DO6" i="41" s="1"/>
  <c r="F54" i="43" s="1"/>
  <c r="DM15" i="41"/>
  <c r="DU15" i="41" s="1"/>
  <c r="I63" i="43" s="1"/>
  <c r="DM8" i="41"/>
  <c r="DV8" i="41" s="1"/>
  <c r="J56" i="43" s="1"/>
  <c r="DM7" i="41"/>
  <c r="DT7" i="41" s="1"/>
  <c r="H55" i="43" s="1"/>
  <c r="DM14" i="41"/>
  <c r="DV14" i="41" s="1"/>
  <c r="J62" i="43" s="1"/>
  <c r="DM11" i="41"/>
  <c r="DU11" i="41" s="1"/>
  <c r="I59" i="43" s="1"/>
  <c r="DM3" i="41"/>
  <c r="DS3" i="41" s="1"/>
  <c r="K51" i="43" s="1"/>
  <c r="DM5" i="41"/>
  <c r="DU5" i="41" s="1"/>
  <c r="I53" i="43" s="1"/>
  <c r="DM12" i="41"/>
  <c r="DT12" i="41" s="1"/>
  <c r="H60" i="43" s="1"/>
  <c r="DM16" i="41"/>
  <c r="DU16" i="41" s="1"/>
  <c r="I64" i="43" s="1"/>
  <c r="DN13" i="41" a="1"/>
  <c r="DN13" i="41" s="1"/>
  <c r="DO13" i="41" s="1" a="1"/>
  <c r="DO13" i="41" s="1"/>
  <c r="F61" i="43" s="1"/>
  <c r="DP13" i="41"/>
  <c r="E61" i="43" s="1"/>
  <c r="DT10" i="41"/>
  <c r="H58" i="43" s="1"/>
  <c r="DV10" i="41"/>
  <c r="J58" i="43" s="1"/>
  <c r="DU10" i="41"/>
  <c r="I58" i="43" s="1"/>
  <c r="DN10" i="41" a="1"/>
  <c r="DN10" i="41" s="1"/>
  <c r="DO10" i="41" s="1" a="1"/>
  <c r="DO10" i="41" s="1"/>
  <c r="F58" i="43" s="1"/>
  <c r="DP10" i="41"/>
  <c r="E58" i="43" s="1"/>
  <c r="DS10" i="41"/>
  <c r="K58" i="43" s="1"/>
  <c r="DU18" i="41"/>
  <c r="I66" i="43" s="1"/>
  <c r="DT18" i="41"/>
  <c r="H66" i="43" s="1"/>
  <c r="DV18" i="41"/>
  <c r="J66" i="43" s="1"/>
  <c r="DS18" i="41"/>
  <c r="K66" i="43" s="1"/>
  <c r="DV4" i="41"/>
  <c r="J52" i="43" s="1"/>
  <c r="DN4" i="41" a="1"/>
  <c r="DN4" i="41" s="1"/>
  <c r="DO4" i="41" s="1" a="1"/>
  <c r="DO4" i="41" s="1"/>
  <c r="F52" i="43" s="1"/>
  <c r="DU4" i="41"/>
  <c r="I52" i="43" s="1"/>
  <c r="DP4" i="41"/>
  <c r="E52" i="43" s="1"/>
  <c r="DT4" i="41"/>
  <c r="H52" i="43" s="1"/>
  <c r="DS4" i="41"/>
  <c r="K52" i="43" s="1"/>
  <c r="DP17" i="41"/>
  <c r="E65" i="43" s="1"/>
  <c r="DV11" i="41"/>
  <c r="J59" i="43" s="1"/>
  <c r="DT11" i="41"/>
  <c r="H59" i="43" s="1"/>
  <c r="DP11" i="41"/>
  <c r="E59" i="43" s="1"/>
  <c r="DS11" i="41"/>
  <c r="K59" i="43" s="1"/>
  <c r="DV15" i="41" l="1"/>
  <c r="J63" i="43" s="1"/>
  <c r="DT15" i="41"/>
  <c r="H63" i="43" s="1"/>
  <c r="DU8" i="41"/>
  <c r="I56" i="43" s="1"/>
  <c r="DN18" i="41" a="1"/>
  <c r="DN18" i="41" s="1"/>
  <c r="DO18" i="41" s="1" a="1"/>
  <c r="DO18" i="41" s="1"/>
  <c r="F66" i="43" s="1"/>
  <c r="DS17" i="41"/>
  <c r="K65" i="43" s="1"/>
  <c r="DV9" i="41"/>
  <c r="J57" i="43" s="1"/>
  <c r="DV13" i="41"/>
  <c r="J61" i="43" s="1"/>
  <c r="DS13" i="41"/>
  <c r="K61" i="43" s="1"/>
  <c r="DS9" i="41"/>
  <c r="K57" i="43" s="1"/>
  <c r="DU14" i="41"/>
  <c r="I62" i="43" s="1"/>
  <c r="DP3" i="41"/>
  <c r="DQ3" i="41" s="1" a="1"/>
  <c r="DQ3" i="41" s="1"/>
  <c r="DT6" i="41"/>
  <c r="H54" i="43" s="1"/>
  <c r="DN3" i="41" a="1"/>
  <c r="DN3" i="41" s="1"/>
  <c r="DO3" i="41" s="1" a="1"/>
  <c r="DO3" i="41" s="1"/>
  <c r="F51" i="43" s="1"/>
  <c r="DT3" i="41"/>
  <c r="H51" i="43" s="1"/>
  <c r="DU3" i="41"/>
  <c r="I51" i="43" s="1"/>
  <c r="DS19" i="41"/>
  <c r="K67" i="43" s="1"/>
  <c r="DU6" i="41"/>
  <c r="I54" i="43" s="1"/>
  <c r="DV17" i="41"/>
  <c r="J65" i="43" s="1"/>
  <c r="DN17" i="41" a="1"/>
  <c r="DN17" i="41" s="1"/>
  <c r="DO17" i="41" s="1" a="1"/>
  <c r="DO17" i="41" s="1"/>
  <c r="F65" i="43" s="1"/>
  <c r="DU17" i="41"/>
  <c r="I65" i="43" s="1"/>
  <c r="DP19" i="41"/>
  <c r="E67" i="43" s="1"/>
  <c r="DN11" i="41" a="1"/>
  <c r="DN11" i="41" s="1"/>
  <c r="DO11" i="41" s="1" a="1"/>
  <c r="DO11" i="41" s="1"/>
  <c r="F59" i="43" s="1"/>
  <c r="DT19" i="41"/>
  <c r="H67" i="43" s="1"/>
  <c r="DV19" i="41"/>
  <c r="J67" i="43" s="1"/>
  <c r="DN5" i="41" a="1"/>
  <c r="DN5" i="41" s="1"/>
  <c r="DO5" i="41" s="1" a="1"/>
  <c r="DO5" i="41" s="1"/>
  <c r="F53" i="43" s="1"/>
  <c r="DV5" i="41"/>
  <c r="J53" i="43" s="1"/>
  <c r="DP5" i="41"/>
  <c r="E53" i="43" s="1"/>
  <c r="DT9" i="41"/>
  <c r="H57" i="43" s="1"/>
  <c r="DV3" i="41"/>
  <c r="J51" i="43" s="1"/>
  <c r="DP9" i="41"/>
  <c r="E57" i="43" s="1"/>
  <c r="DU9" i="41"/>
  <c r="I57" i="43" s="1"/>
  <c r="DU13" i="41"/>
  <c r="I61" i="43" s="1"/>
  <c r="DU19" i="41"/>
  <c r="I67" i="43" s="1"/>
  <c r="DS12" i="41"/>
  <c r="K60" i="43" s="1"/>
  <c r="DS5" i="41"/>
  <c r="K53" i="43" s="1"/>
  <c r="DS14" i="41"/>
  <c r="K62" i="43" s="1"/>
  <c r="DV6" i="41"/>
  <c r="J54" i="43" s="1"/>
  <c r="DN14" i="41" a="1"/>
  <c r="DN14" i="41" s="1"/>
  <c r="DO14" i="41" s="1" a="1"/>
  <c r="DO14" i="41" s="1"/>
  <c r="F62" i="43" s="1"/>
  <c r="DS6" i="41"/>
  <c r="K54" i="43" s="1"/>
  <c r="DP14" i="41"/>
  <c r="E62" i="43" s="1"/>
  <c r="DP6" i="41"/>
  <c r="E54" i="43" s="1"/>
  <c r="DT14" i="41"/>
  <c r="H62" i="43" s="1"/>
  <c r="DU7" i="41"/>
  <c r="I55" i="43" s="1"/>
  <c r="DN7" i="41" a="1"/>
  <c r="DN7" i="41" s="1"/>
  <c r="DO7" i="41" s="1" a="1"/>
  <c r="DO7" i="41" s="1"/>
  <c r="F55" i="43" s="1"/>
  <c r="DS7" i="41"/>
  <c r="K55" i="43" s="1"/>
  <c r="DV7" i="41"/>
  <c r="J55" i="43" s="1"/>
  <c r="Z70" i="41" a="1"/>
  <c r="Z70" i="41" s="1"/>
  <c r="DS16" i="41"/>
  <c r="K64" i="43" s="1"/>
  <c r="Z71" i="41" a="1"/>
  <c r="Z71" i="41" s="1"/>
  <c r="DP12" i="41"/>
  <c r="E60" i="43" s="1"/>
  <c r="DP16" i="41"/>
  <c r="E64" i="43" s="1"/>
  <c r="DS15" i="41"/>
  <c r="K63" i="43" s="1"/>
  <c r="DS8" i="41"/>
  <c r="K56" i="43" s="1"/>
  <c r="DN15" i="41" a="1"/>
  <c r="DN15" i="41" s="1"/>
  <c r="DO15" i="41" s="1" a="1"/>
  <c r="DO15" i="41" s="1"/>
  <c r="F63" i="43" s="1"/>
  <c r="DN8" i="41" a="1"/>
  <c r="DN8" i="41" s="1"/>
  <c r="DO8" i="41" s="1" a="1"/>
  <c r="DO8" i="41" s="1"/>
  <c r="F56" i="43" s="1"/>
  <c r="Z72" i="41" a="1"/>
  <c r="Z72" i="41" s="1"/>
  <c r="DV12" i="41"/>
  <c r="J60" i="43" s="1"/>
  <c r="DN16" i="41" a="1"/>
  <c r="DN16" i="41" s="1"/>
  <c r="DO16" i="41" s="1" a="1"/>
  <c r="DO16" i="41" s="1"/>
  <c r="F64" i="43" s="1"/>
  <c r="DT8" i="41"/>
  <c r="H56" i="43" s="1"/>
  <c r="DP15" i="41"/>
  <c r="E63" i="43" s="1"/>
  <c r="DT5" i="41"/>
  <c r="H53" i="43" s="1"/>
  <c r="DU12" i="41"/>
  <c r="I60" i="43" s="1"/>
  <c r="DP7" i="41"/>
  <c r="E55" i="43" s="1"/>
  <c r="DV16" i="41"/>
  <c r="J64" i="43" s="1"/>
  <c r="DP8" i="41"/>
  <c r="E56" i="43" s="1"/>
  <c r="DN12" i="41" a="1"/>
  <c r="DN12" i="41" s="1"/>
  <c r="DO12" i="41" s="1" a="1"/>
  <c r="DO12" i="41" s="1"/>
  <c r="F60" i="43" s="1"/>
  <c r="DT16" i="41"/>
  <c r="H64" i="43" s="1"/>
  <c r="DQ17" i="41" a="1"/>
  <c r="DQ17" i="41" s="1"/>
  <c r="G65" i="43" s="1"/>
  <c r="DQ11" i="41" a="1"/>
  <c r="DQ11" i="41" s="1"/>
  <c r="DQ10" i="41" a="1"/>
  <c r="DQ10" i="41" s="1"/>
  <c r="DR10" i="41" s="1"/>
  <c r="D58" i="43" s="1"/>
  <c r="DQ4" i="41" a="1"/>
  <c r="DQ4" i="41" s="1"/>
  <c r="G52" i="43" s="1"/>
  <c r="G51" i="43"/>
  <c r="E51" i="43"/>
  <c r="DQ18" i="41" a="1"/>
  <c r="DQ18" i="41" s="1"/>
  <c r="DQ13" i="41" a="1"/>
  <c r="DQ13" i="41" s="1"/>
  <c r="Z54" i="41" a="1"/>
  <c r="L18" i="41" a="1"/>
  <c r="Z58" i="41" a="1"/>
  <c r="L19" i="41" a="1"/>
  <c r="DR11" i="41" l="1"/>
  <c r="D59" i="43" s="1"/>
  <c r="DQ9" i="41" a="1"/>
  <c r="DQ9" i="41" s="1"/>
  <c r="DR9" i="41" s="1"/>
  <c r="D57" i="43" s="1"/>
  <c r="DQ5" i="41" a="1"/>
  <c r="DQ5" i="41" s="1"/>
  <c r="DQ19" i="41" a="1"/>
  <c r="DQ19" i="41" s="1"/>
  <c r="AW3" i="41" a="1"/>
  <c r="AW3" i="41" s="1"/>
  <c r="DQ6" i="41" a="1"/>
  <c r="DQ6" i="41" s="1"/>
  <c r="G54" i="43" s="1"/>
  <c r="DQ15" i="41" a="1"/>
  <c r="DQ15" i="41" s="1"/>
  <c r="G63" i="43" s="1"/>
  <c r="DQ14" i="41" a="1"/>
  <c r="DQ14" i="41" s="1"/>
  <c r="DR14" i="41" s="1"/>
  <c r="D62" i="43" s="1"/>
  <c r="DQ12" i="41" a="1"/>
  <c r="DQ12" i="41" s="1"/>
  <c r="G60" i="43" s="1"/>
  <c r="DQ8" i="41" a="1"/>
  <c r="DQ8" i="41" s="1"/>
  <c r="G56" i="43" s="1"/>
  <c r="DQ7" i="41" a="1"/>
  <c r="DQ7" i="41" s="1"/>
  <c r="G55" i="43" s="1"/>
  <c r="DQ16" i="41" a="1"/>
  <c r="DQ16" i="41" s="1"/>
  <c r="G64" i="43" s="1"/>
  <c r="DR17" i="41"/>
  <c r="D65" i="43" s="1"/>
  <c r="Z54" i="41"/>
  <c r="L18" i="41"/>
  <c r="L19" i="41"/>
  <c r="Z58" i="41"/>
  <c r="DR4" i="41"/>
  <c r="D52" i="43" s="1"/>
  <c r="G59" i="43"/>
  <c r="G58" i="43"/>
  <c r="DR13" i="41"/>
  <c r="D61" i="43" s="1"/>
  <c r="G61" i="43"/>
  <c r="DR18" i="41"/>
  <c r="D66" i="43" s="1"/>
  <c r="G66" i="43"/>
  <c r="DR3" i="41"/>
  <c r="D51" i="43" s="1"/>
  <c r="DR5" i="41"/>
  <c r="D53" i="43" s="1"/>
  <c r="G53" i="43"/>
  <c r="G62" i="43" l="1"/>
  <c r="G57" i="43"/>
  <c r="DR12" i="41"/>
  <c r="D60" i="43" s="1"/>
  <c r="G67" i="43"/>
  <c r="DR19" i="41"/>
  <c r="D67" i="43" s="1"/>
  <c r="DR8" i="41"/>
  <c r="D56" i="43" s="1"/>
  <c r="DR6" i="41"/>
  <c r="D54" i="43" s="1"/>
  <c r="DR16" i="41"/>
  <c r="D64" i="43" s="1"/>
  <c r="DR15" i="41"/>
  <c r="D63" i="43" s="1"/>
  <c r="DR7" i="41"/>
  <c r="D55" i="43" s="1"/>
  <c r="O3" i="41" a="1"/>
  <c r="O3" i="41" s="1"/>
  <c r="P3" i="41" s="1" a="1"/>
  <c r="P3" i="41" s="1"/>
  <c r="Q3" i="41" s="1" a="1"/>
  <c r="Q3" i="41" s="1"/>
  <c r="O4" i="41" l="1" a="1"/>
  <c r="O4" i="41" s="1"/>
  <c r="P4" i="41" s="1" a="1"/>
  <c r="P4" i="41" s="1"/>
  <c r="Q4" i="41" s="1" a="1"/>
  <c r="Q4" i="41" s="1"/>
  <c r="O5" i="41" l="1" a="1"/>
  <c r="O5" i="41" s="1"/>
  <c r="O6" i="41" s="1" a="1"/>
  <c r="O6" i="41" s="1"/>
  <c r="P6" i="41" s="1" a="1"/>
  <c r="P6" i="41" s="1"/>
  <c r="Q6" i="41" l="1" a="1"/>
  <c r="Q6" i="41" s="1"/>
  <c r="O7" i="41" a="1"/>
  <c r="O7" i="41" s="1"/>
  <c r="Q7" i="41" s="1" a="1"/>
  <c r="Q7" i="41" s="1"/>
  <c r="P5" i="41" a="1"/>
  <c r="P5" i="41" s="1"/>
  <c r="Q5" i="41" s="1" a="1"/>
  <c r="Q5" i="41" s="1"/>
  <c r="O8" i="41" l="1" a="1"/>
  <c r="O8" i="41" s="1"/>
  <c r="P8" i="41" s="1" a="1"/>
  <c r="P8" i="41" s="1"/>
  <c r="P7" i="41" a="1"/>
  <c r="P7" i="41" s="1"/>
  <c r="Q8" i="41" l="1" a="1"/>
  <c r="Q8" i="41" s="1"/>
  <c r="O9" i="41" a="1"/>
  <c r="O9" i="41" s="1"/>
  <c r="Q9" i="41" s="1" a="1"/>
  <c r="Q9" i="41" s="1"/>
  <c r="P9" i="41" l="1" a="1"/>
  <c r="P9" i="41" s="1"/>
  <c r="O10" i="41" a="1"/>
  <c r="O10" i="41" s="1"/>
  <c r="P10" i="41" s="1" a="1"/>
  <c r="P10" i="41" s="1"/>
  <c r="O11" i="41" l="1" a="1"/>
  <c r="O11" i="41" s="1"/>
  <c r="Q11" i="41" s="1" a="1"/>
  <c r="Q11" i="41" s="1"/>
  <c r="Q10" i="41" a="1"/>
  <c r="Q10" i="41" s="1"/>
  <c r="O12" i="41" l="1" a="1"/>
  <c r="O12" i="41" s="1"/>
  <c r="Q12" i="41" s="1" a="1"/>
  <c r="Q12" i="41" s="1"/>
  <c r="P11" i="41" a="1"/>
  <c r="P11" i="41" s="1"/>
  <c r="O13" i="41" l="1" a="1"/>
  <c r="O13" i="41" s="1"/>
  <c r="Q13" i="41" s="1" a="1"/>
  <c r="Q13" i="41" s="1"/>
  <c r="P12" i="41" a="1"/>
  <c r="P12" i="41" s="1"/>
  <c r="Z35" i="41" a="1"/>
  <c r="Z35" i="41" s="1"/>
  <c r="H65" i="41" a="1"/>
  <c r="H65" i="41" s="1"/>
  <c r="G65" i="41" a="1"/>
  <c r="G65" i="41" s="1"/>
  <c r="H5" i="42" s="1" a="1"/>
  <c r="H5" i="42" s="1"/>
  <c r="P13" i="41" l="1" a="1"/>
  <c r="P13" i="41" s="1"/>
  <c r="O14" i="41" a="1"/>
  <c r="O14" i="41" s="1"/>
  <c r="P14" i="41" s="1" a="1"/>
  <c r="P14" i="41" s="1"/>
  <c r="O15" i="41" l="1" a="1"/>
  <c r="O15" i="41" s="1"/>
  <c r="Q15" i="41" s="1" a="1"/>
  <c r="Q15" i="41" s="1"/>
  <c r="Q14" i="41" a="1"/>
  <c r="Q14" i="41" s="1"/>
  <c r="P15" i="41" l="1" a="1"/>
  <c r="P15" i="41" s="1"/>
  <c r="O16" i="41" a="1"/>
  <c r="O16" i="41" s="1"/>
  <c r="P16" i="41" s="1" a="1"/>
  <c r="P16" i="41" s="1"/>
  <c r="O17" i="41" l="1" a="1"/>
  <c r="O17" i="41" s="1"/>
  <c r="P17" i="41" s="1" a="1"/>
  <c r="P17" i="41" s="1"/>
  <c r="Q16" i="41" a="1"/>
  <c r="Q16" i="41" s="1"/>
  <c r="Q17" i="41" l="1" a="1"/>
  <c r="Q17" i="41" s="1"/>
  <c r="O18" i="41" a="1"/>
  <c r="O18" i="41" s="1"/>
  <c r="P18" i="41" s="1" a="1"/>
  <c r="P18" i="41" s="1"/>
  <c r="Q18" i="41" l="1" a="1"/>
  <c r="Q18" i="41" s="1"/>
  <c r="O19" i="41" a="1"/>
  <c r="O19" i="41" s="1"/>
  <c r="Q19" i="41" s="1" a="1"/>
  <c r="Q19" i="41" s="1"/>
  <c r="O20" i="41" l="1" a="1"/>
  <c r="O20" i="41" s="1"/>
  <c r="P20" i="41" s="1" a="1"/>
  <c r="P20" i="41" s="1"/>
  <c r="P19" i="41" a="1"/>
  <c r="P19" i="41" s="1"/>
  <c r="Q20" i="41" l="1" a="1"/>
  <c r="Q20" i="41" s="1"/>
  <c r="O21" i="41" a="1"/>
  <c r="O21" i="41" s="1"/>
  <c r="Q21" i="41" s="1" a="1"/>
  <c r="Q21" i="41" s="1"/>
  <c r="O22" i="41" l="1" a="1"/>
  <c r="O22" i="41" s="1"/>
  <c r="Q22" i="41" s="1" a="1"/>
  <c r="Q22" i="41" s="1"/>
  <c r="P21" i="41" a="1"/>
  <c r="P21" i="41" s="1"/>
  <c r="P22" i="41" l="1" a="1"/>
  <c r="P22" i="41" s="1"/>
  <c r="C72" i="39" s="1" a="1"/>
  <c r="C72" i="39" s="1"/>
  <c r="Z55" i="41" l="1" a="1"/>
  <c r="Z55" i="41" s="1"/>
  <c r="L8" i="39" a="1"/>
  <c r="L8" i="39" s="1"/>
  <c r="K3" i="42" a="1"/>
  <c r="K3" i="42" s="1"/>
  <c r="I3" i="43" a="1"/>
  <c r="I3" i="4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tc={642E0654-908C-444E-B518-0916D3BF50B9}</author>
    <author>tc={6C44E4F4-0698-4275-8CC6-863951580E48}</author>
    <author>tc={3F594EE3-B120-4423-93D2-26576404B3DB}</author>
    <author>tc={79BD005D-9F85-49B3-8F64-CAA0A13BDEFF}</author>
    <author>tc={BECC8FE3-2FC4-4C87-AA48-5F5B24B15A35}</author>
  </authors>
  <commentList>
    <comment ref="A1" authorId="0" shapeId="0" xr:uid="{642E0654-908C-444E-B518-0916D3BF50B9}">
      <text>
        <t>[Threaded comment]
Your version of Excel allows you to read this threaded comment; however, any edits to it will get removed if the file is opened in a newer version of Excel. Learn more: https://go.microsoft.com/fwlink/?linkid=870924
Comment:
    Copy of the first row of the "data" sheet, up to column 'maxColNum'. Used to eventually define dataHeaders and dataRange.</t>
      </text>
    </comment>
    <comment ref="A4" authorId="1" shapeId="0" xr:uid="{6C44E4F4-0698-4275-8CC6-863951580E48}">
      <text>
        <t>[Threaded comment]
Your version of Excel allows you to read this threaded comment; however, any edits to it will get removed if the file is opened in a newer version of Excel. Learn more: https://go.microsoft.com/fwlink/?linkid=870924
Comment:
    Copy (down to row 'maxRowNum') of the data column from the "data" sheet that serves as an index for the survey submissions. Used to count the total number of data entries.</t>
      </text>
    </comment>
    <comment ref="C4" authorId="2" shapeId="0" xr:uid="{3F594EE3-B120-4423-93D2-26576404B3DB}">
      <text>
        <t>[Threaded comment]
Your version of Excel allows you to read this threaded comment; however, any edits to it will get removed if the file is opened in a newer version of Excel. Learn more: https://go.microsoft.com/fwlink/?linkid=870924
Comment:
    Copy of the row of column headers in the "data" sheet. Used in various formula to look up / reference column headers.</t>
      </text>
    </comment>
    <comment ref="C5" authorId="3" shapeId="0" xr:uid="{79BD005D-9F85-49B3-8F64-CAA0A13BDEFF}">
      <text>
        <t>[Threaded comment]
Your version of Excel allows you to read this threaded comment; however, any edits to it will get removed if the file is opened in a newer version of Excel. Learn more: https://go.microsoft.com/fwlink/?linkid=870924
Comment:
    Copy of the range of the "data" sheet from row 2 (i.e., without the column headers) and 'numEntries'-row high, and from columns 1 to dataLastColNum. Used to then reference data columns with the INDEX() function.</t>
      </text>
    </comment>
    <comment ref="C6" authorId="4" shapeId="0" xr:uid="{BECC8FE3-2FC4-4C87-AA48-5F5B24B15A35}">
      <text>
        <t>[Threaded comment]
Your version of Excel allows you to read this threaded comment; however, any edits to it will get removed if the file is opened in a newer version of Excel. Learn more: https://go.microsoft.com/fwlink/?linkid=870924
Comment:
    Legacy version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tc={39E6F978-3C84-41CD-A7D0-97EAFDDCED97}</author>
    <author>tc={BBD831BC-6DBE-4E41-8B1E-3111352333B8}</author>
    <author>tc={38C86FA5-742F-4C4C-B63F-FFE18671B4F8}</author>
    <author>tc={0CF385CD-78A4-4D17-BD9F-9F454DA9DC1A}</author>
    <author>tc={FA99D751-4424-4719-B4F2-AA71785A3DE4}</author>
    <author>tc={C1D74717-9E3A-49D1-90BE-1473D382D71B}</author>
    <author>tc={147FD3D0-9ECF-453D-A2C3-68A746F7A623}</author>
    <author>tc={B683A297-2ED4-4146-B01E-9A17A755844B}</author>
    <author>tc={3F80F0C2-C9D4-4865-905C-3A4FA27C3A23}</author>
    <author>tc={67BB9B8F-1554-431D-9876-BACFAA44CCE2}</author>
    <author>tc={7B30AC4B-A213-4136-836D-7C16FEE2FD13}</author>
    <author>tc={7C0EDA3B-30AE-489A-8FA0-C8643C6FDB18}</author>
    <author>tc={66853D4F-F89F-4E32-AC13-26DC354E4FC9}</author>
    <author>tc={182165B5-26F6-4F81-8E85-1DC77B044D16}</author>
    <author>tc={3386F9D7-AF8D-4721-8A64-9206E9EAD5C5}</author>
    <author>tc={6F6D2AF2-3646-4E7D-B4E4-37DC032D7DCF}</author>
    <author>tc={27F75A60-E649-42E2-99F4-B0C513C2107C}</author>
    <author>tc={D1457836-9247-487C-997C-ED15C9A5819C}</author>
    <author>tc={1400722F-15C4-48B1-A517-E579917D6EC0}</author>
    <author>tc={8C48700E-31ED-4FB7-964A-A27A91D2807F}</author>
    <author>tc={ED77F99E-76D8-4872-9F5C-0F0146EEBF56}</author>
    <author>tc={3BEF204C-2584-4591-9B34-6AD9FD391CC5}</author>
    <author>tc={5D1BC0D0-EA03-4732-8325-CAC25158754F}</author>
    <author>tc={C1E92698-CDF4-4626-9560-1E7560AB8D3D}</author>
    <author>tc={CB05F824-A649-4013-8CFB-A7519B734B18}</author>
    <author>tc={056945A4-78A6-4F8F-B2C5-B191DCB18BFE}</author>
    <author>tc={6DC96BFF-B3D6-46B1-8D38-5EA4AB8BD543}</author>
    <author>tc={642A9713-8C2F-44C4-8481-0F64559453E8}</author>
    <author>tc={8028B8F5-12DE-412E-B03F-538113D6F08F}</author>
    <author>tc={E6311091-327B-4EB1-8DB1-BF2EF6D42508}</author>
    <author>tc={AB114D5E-8F5A-426D-A437-3853E174B4FF}</author>
    <author>tc={08C4D84F-9FD3-4C12-BA3E-9D1DE87ECB99}</author>
    <author>tc={C6EF09CE-66FC-420A-9DB2-24EB149724A7}</author>
    <author>tc={B7EB3A7C-296A-4B23-A576-77E53F899698}</author>
    <author>tc={137C8FC4-AF6C-45E3-B2C8-AE3BE30F10E9}</author>
    <author>tc={0EF8A64D-BC06-4E49-ADA5-514829E8355A}</author>
    <author>tc={37375FA1-022D-4780-AE17-17184A876CCF}</author>
    <author>tc={696FC813-9452-43F5-9B07-B25C73CC8152}</author>
    <author>tc={0EA9F409-7F70-408C-8B40-A2753E65D588}</author>
    <author>tc={3E47D23E-F675-4CBA-968E-26EDF8823513}</author>
    <author>tc={551A561B-2DCB-4801-8052-FE795B3244CB}</author>
    <author>tc={D1C10C29-B0EA-46F1-A01E-46EFABEF5D51}</author>
    <author>tc={99B71060-9919-4866-B80C-342391F7441F}</author>
    <author>tc={D59BEEB3-68F4-4FA3-8443-1CBA6C475507}</author>
    <author>tc={D2577CAA-09DA-4035-AFF6-A1A925BDB61E}</author>
    <author>tc={23E12202-66A6-463D-955A-38450B307E0D}</author>
    <author>tc={CBE2BC9A-1F21-4A1D-AAFE-EDCADD10E0DA}</author>
    <author>tc={FF68B974-7419-4BC2-B43C-2DDBF67903C2}</author>
    <author>tc={C7B745AE-F254-4B1D-AE90-BBCD690A5D5C}</author>
    <author>tc={7B7AF2D4-8C72-4E2E-8C0D-767D1839A0CF}</author>
    <author>tc={E6DB978E-E1C8-48FF-9945-B7C966618BAD}</author>
    <author>tc={5FA0289D-9367-4DE5-9F5C-6E6087B2AF36}</author>
    <author>tc={069E79A2-8650-4DCC-9FB2-91D4E9692E77}</author>
    <author>tc={B9A10C44-0FAD-4F37-B36C-EC48DF08F035}</author>
    <author>tc={B7AC37A0-A4A5-4D6E-8DA5-A3AA096A1CD7}</author>
    <author>tc={7681F98F-BA2F-4A93-82EE-B4B6184663E7}</author>
    <author>tc={A54C0B2F-E66A-4DC0-8D93-ACC628DEE982}</author>
    <author>tc={61C1D618-FBEB-4B53-AF51-A6383E6ECD64}</author>
    <author>tc={4F8EC9CC-41AD-4070-82C6-6BC77148DA2F}</author>
    <author>tc={6E273767-BDEA-4A32-B36C-30AB1F7F23E4}</author>
    <author>tc={D089B2D2-7239-491C-880E-0D381B82E98B}</author>
    <author>tc={0BB4B623-2B26-4B74-BC84-1ECA6D9A74E5}</author>
    <author>tc={B37F5880-FC94-4A10-A839-9DBF44F1621D}</author>
    <author>tc={79AFA561-4FC7-42D1-8F8B-DC2A23C007C4}</author>
    <author>tc={30D27FDA-2F44-4607-9CA3-4F3260F09905}</author>
    <author>tc={C2CE5CB3-64A7-4FB0-8B0C-43DB64F8CC19}</author>
    <author>tc={55A0EB8F-A113-47F0-81DB-8D5E8793BCAA}</author>
    <author>tc={4C49E352-E88B-4329-BDAC-50FEE4297B25}</author>
    <author>tc={BEDC556C-09DF-4A70-ABC5-8A7A8D720EFD}</author>
    <author>tc={64898062-36E6-45FA-BBD7-0F6344739EC5}</author>
    <author>tc={21AED473-6BF6-4329-B639-FC160108CCFD}</author>
    <author>tc={343F2EB5-57A6-4C8D-A3F3-E9B8E0BBE862}</author>
    <author>tc={994267E3-3361-4824-B4A3-30F5E5D59019}</author>
    <author>tc={D4A4D34B-5EE5-43AF-97C8-F95147B19289}</author>
    <author>tc={8357C38D-C22E-493C-B7E3-7BDF57F9A627}</author>
    <author>tc={01B6D153-1091-43BE-8750-4818FF608602}</author>
    <author>tc={542614EF-4E61-43DB-B965-327B07EFA70D}</author>
    <author>tc={BAF157BD-7CBA-495D-842C-F1622F67F52F}</author>
    <author>tc={AAF340A8-69FE-4884-BFA9-28F6DC56FB6D}</author>
    <author>tc={758CCC2C-7031-4F18-AA27-22795F830487}</author>
    <author>tc={5358B228-A2E0-4877-A34B-42B5C277DDA7}</author>
    <author>tc={F1A10D28-1D9D-4779-B879-39DB213B5C02}</author>
    <author>tc={CE1D0935-7D3B-40B0-873F-43F1536A4A98}</author>
    <author>tc={48281D58-DC50-4E69-890E-E31654A3982D}</author>
    <author>tc={6775F86F-7A02-46F0-9A62-861834EB7FD9}</author>
    <author>tc={3FCA4CB4-4C73-499A-A5BF-0CE3AFE94B58}</author>
    <author>tc={774982DB-0BFC-42DE-80B0-309BC14D86BC}</author>
    <author>tc={56FDB060-5736-4CE6-8729-A0A1A1D541BB}</author>
    <author>tc={B8CADD6B-7EBB-43FB-A3C4-32DF9A625650}</author>
    <author>tc={F41DA8C5-C198-4E74-82C2-D3B151C97384}</author>
    <author>tc={48BC226F-FD01-45D2-B60B-B5C969AFB89B}</author>
    <author>tc={1FC628A3-BD28-40B4-BB5E-DA52123B1EFC}</author>
    <author>tc={231D4EA3-8C4C-428C-A7BC-96D26254D798}</author>
    <author>tc={54CCF8C4-939A-4969-9C71-D43B5659856B}</author>
    <author>tc={3EA9EAB6-464C-40FF-A29C-5AC5F2CF62A3}</author>
    <author>tc={9FBCCA0B-0F3E-4D10-B107-0F855F175A52}</author>
    <author>tc={1ED1FFBF-B238-4A39-A3E3-7CCB2BA2EEE9}</author>
    <author>tc={1BCD0FF1-DA5D-4539-B94C-19746D52FE99}</author>
    <author>tc={DB77FBFE-A695-4012-850B-37FA9B88E51C}</author>
    <author>tc={4199D389-F3F7-4C37-85DB-77F36C5CEE14}</author>
    <author>tc={736B03EB-F22F-4F8F-AE7B-DD9DDFD55729}</author>
    <author>tc={E948A971-AEFD-4E80-BF50-D017BABD9D29}</author>
    <author>tc={17B9A7AA-8B5C-47F6-A1CE-B38EA8D2E485}</author>
    <author>tc={14283CDC-D4F3-4C5C-A3BB-E8763029DBAB}</author>
    <author>tc={CE1B0804-00CA-4D76-95CC-70BA8827023F}</author>
    <author>tc={18BBC9C1-6A69-4400-AD5D-2FBCFBFBA785}</author>
    <author>tc={6C98878A-7F5F-45FC-A412-F804D6DAA995}</author>
    <author>tc={7A4E84DF-9EA5-4DBE-BA23-31D8CA68311D}</author>
    <author>tc={6327AD21-F5E2-4AA8-99D5-F06E2C68A509}</author>
    <author>tc={278C3B32-19EA-42D2-A788-E923A8488E96}</author>
    <author>tc={01C52DD6-00F8-4D6C-B072-6B0E9824E8FF}</author>
    <author>tc={DE2D93FE-8BD9-4A7F-88F1-9C72626ABAAD}</author>
    <author>tc={A539FC2A-A770-47B3-B74C-8A171C72BC85}</author>
    <author>tc={E1A5970E-EE85-4A4E-9903-F00D568C51F7}</author>
    <author>tc={AC6C909B-7866-422D-82E8-C6A96A224936}</author>
    <author>tc={AF6E7DC9-01F5-4F75-A174-D8B1DB671270}</author>
    <author>tc={7591502D-8F1C-493C-8B3F-9806BD17D2AF}</author>
    <author>tc={59345150-73A7-4AFE-860F-BDB68B001667}</author>
    <author>tc={303A217B-0797-4C81-9D61-BBE0A1E6C70D}</author>
    <author>tc={850F4624-7EC3-460F-AFEC-32934209FD8C}</author>
    <author>tc={F4BC9FE4-A5D3-49D9-8CA6-C4731DC09A31}</author>
    <author>tc={A7BAF418-6AFA-4735-AF91-43C5DE25FB15}</author>
    <author>tc={6D2BDB2D-DEF7-4BD0-B302-C5B450709BED}</author>
    <author>tc={DECBFD3E-B119-43A3-8C16-48BE13D1DA62}</author>
    <author>tc={CBD9C711-5209-416C-8A94-54CD0ED95062}</author>
    <author>tc={3428773C-B63D-401E-B7F9-7955C0E75568}</author>
    <author>tc={B3C2F7E7-D905-488E-959F-71514EBA8466}</author>
    <author>tc={BDFD382D-8813-439A-8635-35E286C7274B}</author>
    <author>tc={63EC71EC-6CC4-403B-BC02-E2EE9D085CC6}</author>
    <author>tc={8E5387EE-F35C-4C99-B5A2-501661974AE7}</author>
    <author>tc={98EFA81E-B26B-4162-BF70-4BBA624CECE4}</author>
    <author>tc={6987FA74-F492-4B7C-99EF-65FE22D4256E}</author>
    <author>tc={0E5A0A8E-AF58-40CB-BAF5-BF37AA6895DC}</author>
    <author>tc={9C2EF22F-7719-45E7-A51A-43194BFC951E}</author>
    <author>tc={F8EA8679-A5A3-4E64-B223-C85FD6BD4DCD}</author>
    <author>tc={80D50726-EF2C-4C67-9FBB-E23389320578}</author>
    <author>tc={EC282725-E97D-4442-A25E-96E89D8860B6}</author>
    <author>tc={D7D70823-CDCD-482A-8D64-14AAA174D567}</author>
    <author>tc={D7107A38-D6DB-469A-8C87-CE953DC74C5C}</author>
    <author>tc={38B92C36-2D09-4392-B5D0-AB22DF93AA64}</author>
    <author>tc={07A2D467-7B27-4D0F-A15A-9EF144A70C0D}</author>
    <author>tc={920D1D5A-2398-4BA7-B424-F90D035B6A6A}</author>
    <author>tc={99D08BBB-6A83-48E4-92DF-884E316E478F}</author>
    <author>tc={CA9389B5-559B-4E70-9A1A-9063BF203F27}</author>
    <author>tc={52CA9CC3-2DD0-427C-849D-AA85538CB280}</author>
    <author>tc={581ECF05-C743-4C62-BBE0-89915C1748BD}</author>
    <author>tc={2C6136A3-2FA2-4040-B462-4804885A4F56}</author>
    <author>tc={1B90EA43-A512-4D8C-AED7-B8CCEAA8D002}</author>
    <author>tc={CAE2CE7C-DC90-4E8B-8BFF-5771B8010C60}</author>
    <author>tc={C13CC2AB-4B99-40A8-9566-82F95A04CE16}</author>
  </authors>
  <commentList>
    <comment ref="O1" authorId="0" shapeId="0" xr:uid="{39E6F978-3C84-41CD-A7D0-97EAFDDCED97}">
      <text>
        <t>[Threaded comment]
Your version of Excel allows you to read this threaded comment; however, any edits to it will get removed if the file is opened in a newer version of Excel. Learn more: https://go.microsoft.com/fwlink/?linkid=870924
Comment:
    Legacy version</t>
      </text>
    </comment>
    <comment ref="P1" authorId="1" shapeId="0" xr:uid="{BBD831BC-6DBE-4E41-8B1E-3111352333B8}">
      <text>
        <t>[Threaded comment]
Your version of Excel allows you to read this threaded comment; however, any edits to it will get removed if the file is opened in a newer version of Excel. Learn more: https://go.microsoft.com/fwlink/?linkid=870924
Comment:
    Legacy version</t>
      </text>
    </comment>
    <comment ref="S1" authorId="2" shapeId="0" xr:uid="{38C86FA5-742F-4C4C-B63F-FFE18671B4F8}">
      <text>
        <t>[Threaded comment]
Your version of Excel allows you to read this threaded comment; however, any edits to it will get removed if the file is opened in a newer version of Excel. Learn more: https://go.microsoft.com/fwlink/?linkid=870924
Comment:
    This table contains variables whose values are manually entered in the "value" column and that are defined as named objects in the Name Manager, their associated formula being just a lookup in the "value" column. The idea is to make it easier to change their value, by using this table instead of the Name Manager.</t>
      </text>
    </comment>
    <comment ref="Q2" authorId="3" shapeId="0" xr:uid="{0CF385CD-78A4-4D17-BD9F-9F454DA9DC1A}">
      <text>
        <t>[Threaded comment]
Your version of Excel allows you to read this threaded comment; however, any edits to it will get removed if the file is opened in a newer version of Excel. Learn more: https://go.microsoft.com/fwlink/?linkid=870924
Comment:
    This column is only useful in the backward-compatible version of the Analyser, because the TEXTJOIN() function which is used in the errorMessages variable to concatenate the error messages is only available in Excel 2019 and later.
In other words, this column could be deleted in the "Excel 365"-compatible version of the Analyser. It is however currently kept to facilitate the production of the "Legacy" version from the "Excel 365" version, at least while that Legacy version is maintained.</t>
      </text>
    </comment>
    <comment ref="AB2" authorId="4" shapeId="0" xr:uid="{FA99D751-4424-4719-B4F2-AA71785A3DE4}">
      <text>
        <t>[Threaded comment]
Your version of Excel allows you to read this threaded comment; however, any edits to it will get removed if the file is opened in a newer version of Excel. Learn more: https://go.microsoft.com/fwlink/?linkid=870924
Comment:
    This column contains the formulae that should replace those in the "formula" column in the "Legacy" version of the file.</t>
      </text>
    </comment>
    <comment ref="BM2" authorId="5" shapeId="0" xr:uid="{C1D74717-9E3A-49D1-90BE-1473D382D71B}">
      <text>
        <t>[Threaded comment]
Your version of Excel allows you to read this threaded comment; however, any edits to it will get removed if the file is opened in a newer version of Excel. Learn more: https://go.microsoft.com/fwlink/?linkid=870924
Comment:
    Legacy version</t>
      </text>
    </comment>
    <comment ref="BN2" authorId="6" shapeId="0" xr:uid="{147FD3D0-9ECF-453D-A2C3-68A746F7A623}">
      <text>
        <t>[Threaded comment]
Your version of Excel allows you to read this threaded comment; however, any edits to it will get removed if the file is opened in a newer version of Excel. Learn more: https://go.microsoft.com/fwlink/?linkid=870924
Comment:
    Legacy version</t>
      </text>
    </comment>
    <comment ref="BO2" authorId="7" shapeId="0" xr:uid="{B683A297-2ED4-4146-B01E-9A17A755844B}">
      <text>
        <t>[Threaded comment]
Your version of Excel allows you to read this threaded comment; however, any edits to it will get removed if the file is opened in a newer version of Excel. Learn more: https://go.microsoft.com/fwlink/?linkid=870924
Comment:
    Legacy version</t>
      </text>
    </comment>
    <comment ref="BP2" authorId="8" shapeId="0" xr:uid="{3F80F0C2-C9D4-4865-905C-3A4FA27C3A23}">
      <text>
        <t>[Threaded comment]
Your version of Excel allows you to read this threaded comment; however, any edits to it will get removed if the file is opened in a newer version of Excel. Learn more: https://go.microsoft.com/fwlink/?linkid=870924
Comment:
    Legacy version</t>
      </text>
    </comment>
    <comment ref="BQ2" authorId="9" shapeId="0" xr:uid="{67BB9B8F-1554-431D-9876-BACFAA44CCE2}">
      <text>
        <t>[Threaded comment]
Your version of Excel allows you to read this threaded comment; however, any edits to it will get removed if the file is opened in a newer version of Excel. Learn more: https://go.microsoft.com/fwlink/?linkid=870924
Comment:
    Legacy version</t>
      </text>
    </comment>
    <comment ref="T3" authorId="10" shapeId="0" xr:uid="{7B30AC4B-A213-4136-836D-7C16FEE2FD13}">
      <text>
        <t>[Threaded comment]
Your version of Excel allows you to read this threaded comment; however, any edits to it will get removed if the file is opened in a newer version of Excel. Learn more: https://go.microsoft.com/fwlink/?linkid=870924
Comment:
    Name of the "data" sheet, used in UI text and to reference the data columns. Its value (currently "data") is hard-coded in the "Manual-entry variables table" and can be changed there if wanted.</t>
      </text>
    </comment>
    <comment ref="Y3" authorId="11" shapeId="0" xr:uid="{7C0EDA3B-30AE-489A-8FA0-C8643C6FDB18}">
      <text>
        <t>[Threaded comment]
Your version of Excel allows you to read this threaded comment; however, any edits to it will get removed if the file is opened in a newer version of Excel. Learn more: https://go.microsoft.com/fwlink/?linkid=870924
Comment:
    User-defined function that takes as argument a "behaviourIndex" and returns the corresponding data column from dataRange.</t>
      </text>
    </comment>
    <comment ref="BM3" authorId="12" shapeId="0" xr:uid="{66853D4F-F89F-4E32-AC13-26DC354E4FC9}">
      <text>
        <t>[Threaded comment]
Your version of Excel allows you to read this threaded comment; however, any edits to it will get removed if the file is opened in a newer version of Excel. Learn more: https://go.microsoft.com/fwlink/?linkid=870924
Comment:
    Copy of the "data" column for behaviour header #1. Used to simplify formulae.</t>
      </text>
    </comment>
    <comment ref="BN3" authorId="13" shapeId="0" xr:uid="{182165B5-26F6-4F81-8E85-1DC77B044D16}">
      <text>
        <t>[Threaded comment]
Your version of Excel allows you to read this threaded comment; however, any edits to it will get removed if the file is opened in a newer version of Excel. Learn more: https://go.microsoft.com/fwlink/?linkid=870924
Comment:
    Copy of the "data" column for behaviour header #2. Used to simplify formulae.</t>
      </text>
    </comment>
    <comment ref="BO3" authorId="14" shapeId="0" xr:uid="{3386F9D7-AF8D-4721-8A64-9206E9EAD5C5}">
      <text>
        <t>[Threaded comment]
Your version of Excel allows you to read this threaded comment; however, any edits to it will get removed if the file is opened in a newer version of Excel. Learn more: https://go.microsoft.com/fwlink/?linkid=870924
Comment:
    Copy of the "data" column for behaviour header #3. Used to simplify formulae.</t>
      </text>
    </comment>
    <comment ref="BP3" authorId="15" shapeId="0" xr:uid="{6F6D2AF2-3646-4E7D-B4E4-37DC032D7DCF}">
      <text>
        <t>[Threaded comment]
Your version of Excel allows you to read this threaded comment; however, any edits to it will get removed if the file is opened in a newer version of Excel. Learn more: https://go.microsoft.com/fwlink/?linkid=870924
Comment:
    Copy of the "data" column for behaviour header #4. Used to simplify formulae.</t>
      </text>
    </comment>
    <comment ref="BQ3" authorId="16" shapeId="0" xr:uid="{27F75A60-E649-42E2-99F4-B0C513C2107C}">
      <text>
        <t>[Threaded comment]
Your version of Excel allows you to read this threaded comment; however, any edits to it will get removed if the file is opened in a newer version of Excel. Learn more: https://go.microsoft.com/fwlink/?linkid=870924
Comment:
    Copy of the "data" column for behaviour header #5. Used to simplify formulae.</t>
      </text>
    </comment>
    <comment ref="BR3" authorId="17" shapeId="0" xr:uid="{D1457836-9247-487C-997C-ED15C9A5819C}">
      <text>
        <t>[Threaded comment]
Your version of Excel allows you to read this threaded comment; however, any edits to it will get removed if the file is opened in a newer version of Excel. Learn more: https://go.microsoft.com/fwlink/?linkid=870924
Comment:
    Array containing the numerator of the behaviour score for each data entry. It is computed on its own to simplify the overall formula for the behaviour score.</t>
      </text>
    </comment>
    <comment ref="BS3" authorId="18" shapeId="0" xr:uid="{1400722F-15C4-48B1-A517-E579917D6EC0}">
      <text>
        <t>[Threaded comment]
Your version of Excel allows you to read this threaded comment; however, any edits to it will get removed if the file is opened in a newer version of Excel. Learn more: https://go.microsoft.com/fwlink/?linkid=870924
Comment:
    Array containing the denominator of the behaviour score for each data entry. It is computed on its own to simplify the overall formula for the behaviour score.</t>
      </text>
    </comment>
    <comment ref="BT3" authorId="19" shapeId="0" xr:uid="{8C48700E-31ED-4FB7-964A-A27A91D2807F}">
      <text>
        <t>[Threaded comment]
Your version of Excel allows you to read this threaded comment; however, any edits to it will get removed if the file is opened in a newer version of Excel. Learn more: https://go.microsoft.com/fwlink/?linkid=870924
Comment:
    Array containing the normalized behaviour score (0-100%) for each data entry for which a score can be computed.</t>
      </text>
    </comment>
    <comment ref="BU3" authorId="20" shapeId="0" xr:uid="{ED77F99E-76D8-4872-9F5C-0F0146EEBF56}">
      <text>
        <t>[Threaded comment]
Your version of Excel allows you to read this threaded comment; however, any edits to it will get removed if the file is opened in a newer version of Excel. Learn more: https://go.microsoft.com/fwlink/?linkid=870924
Comment:
    Array containing a TRUE/FALSE value for each data entry, indicating a doer/non-doer, or an empty value if a behaviour score cannot be computed.</t>
      </text>
    </comment>
    <comment ref="T4" authorId="21" shapeId="0" xr:uid="{3BEF204C-2584-4591-9B34-6AD9FD391CC5}">
      <text>
        <t>[Threaded comment]
Your version of Excel allows you to read this threaded comment; however, any edits to it will get removed if the file is opened in a newer version of Excel. Learn more: https://go.microsoft.com/fwlink/?linkid=870924
Comment:
    Version number of the RANAS Analyser. Set in the "HiddenTables" sheet and used in various places.</t>
      </text>
    </comment>
    <comment ref="Y4" authorId="22" shapeId="0" xr:uid="{5D1BC0D0-EA03-4732-8325-CAC25158754F}">
      <text>
        <t>[Threaded comment]
Your version of Excel allows you to read this threaded comment; however, any edits to it will get removed if the file is opened in a newer version of Excel. Learn more: https://go.microsoft.com/fwlink/?linkid=870924
Comment:
    User-defined function that takes as argument a "behaviourIndex" and returns the corresponding "include" value from behaviourTable. Used to simplify formulae.</t>
      </text>
    </comment>
    <comment ref="T5" authorId="23" shapeId="0" xr:uid="{C1E92698-CDF4-4626-9560-1E7560AB8D3D}">
      <text>
        <t>[Threaded comment]
Your version of Excel allows you to read this threaded comment; however, any edits to it will get removed if the file is opened in a newer version of Excel. Learn more: https://go.microsoft.com/fwlink/?linkid=870924
Comment:
    Permanent link to the webpage that hosts the reference version of this file available to the public (plus possibly documentation and archived versions).</t>
      </text>
    </comment>
    <comment ref="Y5" authorId="24" shapeId="0" xr:uid="{CB05F824-A649-4013-8CFB-A7519B734B18}">
      <text>
        <t>[Threaded comment]
Your version of Excel allows you to read this threaded comment; however, any edits to it will get removed if the file is opened in a newer version of Excel. Learn more: https://go.microsoft.com/fwlink/?linkid=870924
Comment:
    User-defined function that takes as argument a "behaviourIndex" and returns the corresponding "maxScore" value from behaviourTable. Used to simplify formulae.</t>
      </text>
    </comment>
    <comment ref="T6" authorId="25" shapeId="0" xr:uid="{056945A4-78A6-4F8F-B2C5-B191DCB18BFE}">
      <text>
        <t>[Threaded comment]
Your version of Excel allows you to read this threaded comment; however, any edits to it will get removed if the file is opened in a newer version of Excel. Learn more: https://go.microsoft.com/fwlink/?linkid=870924
Comment:
    Link to the RANAS website.</t>
      </text>
    </comment>
    <comment ref="Y6" authorId="26" shapeId="0" xr:uid="{6DC96BFF-B3D6-46B1-8D38-5EA4AB8BD543}">
      <text>
        <t>[Threaded comment]
Your version of Excel allows you to read this threaded comment; however, any edits to it will get removed if the file is opened in a newer version of Excel. Learn more: https://go.microsoft.com/fwlink/?linkid=870924
Comment:
    User-defined function that takes as argument a "behaviourIndex" and returns the corresponding "minScore" value from behaviourTable. Used to simplify formulae.</t>
      </text>
    </comment>
    <comment ref="T7" authorId="27" shapeId="0" xr:uid="{642A9713-8C2F-44C4-8481-0F64559453E8}">
      <text>
        <t>[Threaded comment]
Your version of Excel allows you to read this threaded comment; however, any edits to it will get removed if the file is opened in a newer version of Excel. Learn more: https://go.microsoft.com/fwlink/?linkid=870924
Comment:
    Maximum number of rows allowed in the "data" sheet (used to prevent slow calculations).</t>
      </text>
    </comment>
    <comment ref="Y7" authorId="28" shapeId="0" xr:uid="{8028B8F5-12DE-412E-B03F-538113D6F08F}">
      <text>
        <t>[Threaded comment]
Your version of Excel allows you to read this threaded comment; however, any edits to it will get removed if the file is opened in a newer version of Excel. Learn more: https://go.microsoft.com/fwlink/?linkid=870924
Comment:
    User-defined function to be used in an Excel table. The table contains an index column and a column with TRUE/FALSE values. The function is entered in a filteredIndexCol column and returns the list of indices corresponding to TRUE values, without blanks.</t>
      </text>
    </comment>
    <comment ref="T8" authorId="29" shapeId="0" xr:uid="{E6311091-327B-4EB1-8DB1-BF2EF6D42508}">
      <text>
        <t>[Threaded comment]
Your version of Excel allows you to read this threaded comment; however, any edits to it will get removed if the file is opened in a newer version of Excel. Learn more: https://go.microsoft.com/fwlink/?linkid=870924
Comment:
    Maximum number of columns allowed in the "data" sheet (used to prevent slow calculations).</t>
      </text>
    </comment>
    <comment ref="Y8" authorId="30" shapeId="0" xr:uid="{AB114D5E-8F5A-426D-A437-3853E174B4FF}">
      <text>
        <t>[Threaded comment]
Your version of Excel allows you to read this threaded comment; however, any edits to it will get removed if the file is opened in a newer version of Excel. Learn more: https://go.microsoft.com/fwlink/?linkid=870924
Comment:
    User-defined function that takes as argument any value and returns that same value, even if it is blank (i.e. the empty string "" or from an empty cell). Used to keep empty values as such, e.g. to prevent the XLOOKUP of an empty cell being converted to 0.
Reply:
    Note: After some tests, it seems that an empty result of an XLOOKUP call gets converted to 0 only when both these conditions are met:
1. The looked-up cell is ACTUALLY empty (i.e., if the looked-up cell contains a formula that evaluates to an empty string, the result will be an empty string and won’t be converted to 0).
2. The result of the XLOOKUP call is the final value that is evaluated in the cell (i.e., if the result of the XLOOKUP call is only used as an intermediate variable inside a user-defined function, for example, it will still be considered as an empty value equal to "").
In conclusion, KeepBlanksFunction only needs to be used in cases where both these conditions are met. If in doubt, do some tests and/or include it to be on the safe side.</t>
      </text>
    </comment>
    <comment ref="T9" authorId="31" shapeId="0" xr:uid="{08C4D84F-9FD3-4C12-BA3E-9D1DE87ECB99}">
      <text>
        <t>[Threaded comment]
Your version of Excel allows you to read this threaded comment; however, any edits to it will get removed if the file is opened in a newer version of Excel. Learn more: https://go.microsoft.com/fwlink/?linkid=870924
Comment:
    If the number of factors selected for display by the user is less than or equal to this threshold, all factors will be displayed in the first chart. If it is above the threshold, the factors will be evenly split across both charts.</t>
      </text>
    </comment>
    <comment ref="Y9" authorId="32" shapeId="0" xr:uid="{C6EF09CE-66FC-420A-9DB2-24EB149724A7}">
      <text>
        <t>[Threaded comment]
Your version of Excel allows you to read this threaded comment; however, any edits to it will get removed if the file is opened in a newer version of Excel. Learn more: https://go.microsoft.com/fwlink/?linkid=870924
Comment:
    User-defined function that takes as arguments a "reference" on a worksheet (e.g., cell address, named range) and a "defaultName", and returns the name of that worksheet (or the defaultName).</t>
      </text>
    </comment>
    <comment ref="AB9" authorId="33" shapeId="0" xr:uid="{B7EB3A7C-296A-4B23-A576-77E53F899698}">
      <text>
        <t>[Threaded comment]
Your version of Excel allows you to read this threaded comment; however, any edits to it will get removed if the file is opened in a newer version of Excel. Learn more: https://go.microsoft.com/fwlink/?linkid=870924
Comment:
    For an explanation for the use of MATCH() with 1/(MID...) to find the last match in the string, see this link where the same strategy is used:
https://exceljet.net/formulas/lookup-latest-price</t>
      </text>
    </comment>
    <comment ref="AE9" authorId="34" shapeId="0" xr:uid="{137C8FC4-AF6C-45E3-B2C8-AE3BE30F10E9}">
      <text>
        <t>[Threaded comment]
Your version of Excel allows you to read this threaded comment; however, any edits to it will get removed if the file is opened in a newer version of Excel. Learn more: https://go.microsoft.com/fwlink/?linkid=870924
Comment:
    Legacy version</t>
      </text>
    </comment>
    <comment ref="AG9" authorId="35" shapeId="0" xr:uid="{0EF8A64D-BC06-4E49-ADA5-514829E8355A}">
      <text>
        <t>[Threaded comment]
Your version of Excel allows you to read this threaded comment; however, any edits to it will get removed if the file is opened in a newer version of Excel. Learn more: https://go.microsoft.com/fwlink/?linkid=870924
Comment:
    Legacy version</t>
      </text>
    </comment>
    <comment ref="AP9" authorId="36" shapeId="0" xr:uid="{37375FA1-022D-4780-AE17-17184A876CCF}">
      <text>
        <t>[Threaded comment]
Your version of Excel allows you to read this threaded comment; however, any edits to it will get removed if the file is opened in a newer version of Excel. Learn more: https://go.microsoft.com/fwlink/?linkid=870924
Comment:
    Legacy version</t>
      </text>
    </comment>
    <comment ref="AQ9" authorId="37" shapeId="0" xr:uid="{696FC813-9452-43F5-9B07-B25C73CC8152}">
      <text>
        <t>[Threaded comment]
Your version of Excel allows you to read this threaded comment; however, any edits to it will get removed if the file is opened in a newer version of Excel. Learn more: https://go.microsoft.com/fwlink/?linkid=870924
Comment:
    Legacy version</t>
      </text>
    </comment>
    <comment ref="AZ9" authorId="38" shapeId="0" xr:uid="{0EA9F409-7F70-408C-8B40-A2753E65D588}">
      <text>
        <t>[Threaded comment]
Your version of Excel allows you to read this threaded comment; however, any edits to it will get removed if the file is opened in a newer version of Excel. Learn more: https://go.microsoft.com/fwlink/?linkid=870924
Comment:
    Legacy version</t>
      </text>
    </comment>
    <comment ref="BA9" authorId="39" shapeId="0" xr:uid="{3E47D23E-F675-4CBA-968E-26EDF8823513}">
      <text>
        <t>[Threaded comment]
Your version of Excel allows you to read this threaded comment; however, any edits to it will get removed if the file is opened in a newer version of Excel. Learn more: https://go.microsoft.com/fwlink/?linkid=870924
Comment:
    Legacy version</t>
      </text>
    </comment>
    <comment ref="BD9" authorId="40" shapeId="0" xr:uid="{551A561B-2DCB-4801-8052-FE795B3244CB}">
      <text>
        <t>[Threaded comment]
Your version of Excel allows you to read this threaded comment; however, any edits to it will get removed if the file is opened in a newer version of Excel. Learn more: https://go.microsoft.com/fwlink/?linkid=870924
Comment:
    Legacy version</t>
      </text>
    </comment>
    <comment ref="BE9" authorId="41" shapeId="0" xr:uid="{D1C10C29-B0EA-46F1-A01E-46EFABEF5D51}">
      <text>
        <t>[Threaded comment]
Your version of Excel allows you to read this threaded comment; however, any edits to it will get removed if the file is opened in a newer version of Excel. Learn more: https://go.microsoft.com/fwlink/?linkid=870924
Comment:
    Legacy version</t>
      </text>
    </comment>
    <comment ref="BF9" authorId="42" shapeId="0" xr:uid="{99B71060-9919-4866-B80C-342391F7441F}">
      <text>
        <t>[Threaded comment]
Your version of Excel allows you to read this threaded comment; however, any edits to it will get removed if the file is opened in a newer version of Excel. Learn more: https://go.microsoft.com/fwlink/?linkid=870924
Comment:
    Legacy version</t>
      </text>
    </comment>
    <comment ref="BG9" authorId="43" shapeId="0" xr:uid="{D59BEEB3-68F4-4FA3-8443-1CBA6C475507}">
      <text>
        <t>[Threaded comment]
Your version of Excel allows you to read this threaded comment; however, any edits to it will get removed if the file is opened in a newer version of Excel. Learn more: https://go.microsoft.com/fwlink/?linkid=870924
Comment:
    Legacy version</t>
      </text>
    </comment>
    <comment ref="BJ9" authorId="44" shapeId="0" xr:uid="{D2577CAA-09DA-4035-AFF6-A1A925BDB61E}">
      <text>
        <t>[Threaded comment]
Your version of Excel allows you to read this threaded comment; however, any edits to it will get removed if the file is opened in a newer version of Excel. Learn more: https://go.microsoft.com/fwlink/?linkid=870924
Comment:
    Legacy version</t>
      </text>
    </comment>
    <comment ref="BK9" authorId="45" shapeId="0" xr:uid="{23E12202-66A6-463D-955A-38450B307E0D}">
      <text>
        <t>[Threaded comment]
Your version of Excel allows you to read this threaded comment; however, any edits to it will get removed if the file is opened in a newer version of Excel. Learn more: https://go.microsoft.com/fwlink/?linkid=870924
Comment:
    Legacy version</t>
      </text>
    </comment>
    <comment ref="Y10" authorId="46" shapeId="0" xr:uid="{CBE2BC9A-1F21-4A1D-AAFE-EDCADD10E0DA}">
      <text>
        <t>[Threaded comment]
Your version of Excel allows you to read this threaded comment; however, any edits to it will get removed if the file is opened in a newer version of Excel. Learn more: https://go.microsoft.com/fwlink/?linkid=870924
Comment:
    User-defined function that takes as arguments a "value" and references to a translation table (reference column, table itself, and table header), and returns the translation of that value into the selected UI language.</t>
      </text>
    </comment>
    <comment ref="Y11" authorId="47" shapeId="0" xr:uid="{FF68B974-7419-4BC2-B43C-2DDBF67903C2}">
      <text>
        <t>[Threaded comment]
Your version of Excel allows you to read this threaded comment; however, any edits to it will get removed if the file is opened in a newer version of Excel. Learn more: https://go.microsoft.com/fwlink/?linkid=870924
Comment:
    Value of the "include" parameter for behaviour header #1, combining the user selection in the "Include?" column and whether a data header for that question is defined or not. Used to simplify formulae.</t>
      </text>
    </comment>
    <comment ref="Y12" authorId="48" shapeId="0" xr:uid="{C7B745AE-F254-4B1D-AE90-BBCD690A5D5C}">
      <text>
        <t>[Threaded comment]
Your version of Excel allows you to read this threaded comment; however, any edits to it will get removed if the file is opened in a newer version of Excel. Learn more: https://go.microsoft.com/fwlink/?linkid=870924
Comment:
    Value of the "include" parameter for behaviour header #2, combining the user selection in the "Include?" column and whether a data header for that question is defined or not. Used to simplify formulae.</t>
      </text>
    </comment>
    <comment ref="Y13" authorId="49" shapeId="0" xr:uid="{7B7AF2D4-8C72-4E2E-8C0D-767D1839A0CF}">
      <text>
        <t>[Threaded comment]
Your version of Excel allows you to read this threaded comment; however, any edits to it will get removed if the file is opened in a newer version of Excel. Learn more: https://go.microsoft.com/fwlink/?linkid=870924
Comment:
    Value of the "include" parameter for behaviour header #3, combining the user selection in the "Include?" column and whether a data header for that question is defined or not. Used to simplify formulae.</t>
      </text>
    </comment>
    <comment ref="Y14" authorId="50" shapeId="0" xr:uid="{E6DB978E-E1C8-48FF-9945-B7C966618BAD}">
      <text>
        <t>[Threaded comment]
Your version of Excel allows you to read this threaded comment; however, any edits to it will get removed if the file is opened in a newer version of Excel. Learn more: https://go.microsoft.com/fwlink/?linkid=870924
Comment:
    Value of the "include" parameter for behaviour header #4, combining the user selection in the "Include?" column and whether a data header for that question is defined or not. Used to simplify formulae.</t>
      </text>
    </comment>
    <comment ref="Y15" authorId="51" shapeId="0" xr:uid="{5FA0289D-9367-4DE5-9F5C-6E6087B2AF36}">
      <text>
        <t>[Threaded comment]
Your version of Excel allows you to read this threaded comment; however, any edits to it will get removed if the file is opened in a newer version of Excel. Learn more: https://go.microsoft.com/fwlink/?linkid=870924
Comment:
    Value of the "include" parameter for behaviour header #5, combining the user selection in the "Include?" column and whether a data header for that question is defined or not. Used to simplify formulae.</t>
      </text>
    </comment>
    <comment ref="Y16" authorId="52" shapeId="0" xr:uid="{069E79A2-8650-4DCC-9FB2-91D4E9692E77}">
      <text>
        <t>[Threaded comment]
Your version of Excel allows you to read this threaded comment; however, any edits to it will get removed if the file is opened in a newer version of Excel. Learn more: https://go.microsoft.com/fwlink/?linkid=870924
Comment:
    Reference to the maximum score for behaviour header #1. Used to simplify formulae.</t>
      </text>
    </comment>
    <comment ref="Y17" authorId="53" shapeId="0" xr:uid="{B9A10C44-0FAD-4F37-B36C-EC48DF08F035}">
      <text>
        <t>[Threaded comment]
Your version of Excel allows you to read this threaded comment; however, any edits to it will get removed if the file is opened in a newer version of Excel. Learn more: https://go.microsoft.com/fwlink/?linkid=870924
Comment:
    Reference to the maximum score for behaviour header #2. Used to simplify formulae.</t>
      </text>
    </comment>
    <comment ref="Y18" authorId="54" shapeId="0" xr:uid="{B7AC37A0-A4A5-4D6E-8DA5-A3AA096A1CD7}">
      <text>
        <t>[Threaded comment]
Your version of Excel allows you to read this threaded comment; however, any edits to it will get removed if the file is opened in a newer version of Excel. Learn more: https://go.microsoft.com/fwlink/?linkid=870924
Comment:
    Reference to the maximum score for behaviour header #3. Used to simplify formulae.</t>
      </text>
    </comment>
    <comment ref="Y19" authorId="55" shapeId="0" xr:uid="{7681F98F-BA2F-4A93-82EE-B4B6184663E7}">
      <text>
        <t>[Threaded comment]
Your version of Excel allows you to read this threaded comment; however, any edits to it will get removed if the file is opened in a newer version of Excel. Learn more: https://go.microsoft.com/fwlink/?linkid=870924
Comment:
    Reference to the maximum score for behaviour header #4. Used to simplify formulae.</t>
      </text>
    </comment>
    <comment ref="Y20" authorId="56" shapeId="0" xr:uid="{A54C0B2F-E66A-4DC0-8D93-ACC628DEE982}">
      <text>
        <t>[Threaded comment]
Your version of Excel allows you to read this threaded comment; however, any edits to it will get removed if the file is opened in a newer version of Excel. Learn more: https://go.microsoft.com/fwlink/?linkid=870924
Comment:
    Reference to the maximum score for behaviour header #5. Used to simplify formulae.</t>
      </text>
    </comment>
    <comment ref="Y21" authorId="57" shapeId="0" xr:uid="{61C1D618-FBEB-4B53-AF51-A6383E6ECD64}">
      <text>
        <t>[Threaded comment]
Your version of Excel allows you to read this threaded comment; however, any edits to it will get removed if the file is opened in a newer version of Excel. Learn more: https://go.microsoft.com/fwlink/?linkid=870924
Comment:
    Reference to the minimum score for behaviour header #1. Used to simplify formulae.</t>
      </text>
    </comment>
    <comment ref="Y22" authorId="58" shapeId="0" xr:uid="{4F8EC9CC-41AD-4070-82C6-6BC77148DA2F}">
      <text>
        <t>[Threaded comment]
Your version of Excel allows you to read this threaded comment; however, any edits to it will get removed if the file is opened in a newer version of Excel. Learn more: https://go.microsoft.com/fwlink/?linkid=870924
Comment:
    Reference to the minimum score for behaviour header #2. Used to simplify formulae.</t>
      </text>
    </comment>
    <comment ref="Y23" authorId="59" shapeId="0" xr:uid="{6E273767-BDEA-4A32-B36C-30AB1F7F23E4}">
      <text>
        <t>[Threaded comment]
Your version of Excel allows you to read this threaded comment; however, any edits to it will get removed if the file is opened in a newer version of Excel. Learn more: https://go.microsoft.com/fwlink/?linkid=870924
Comment:
    Reference to the minimum score for behaviour header #3. Used to simplify formulae.</t>
      </text>
    </comment>
    <comment ref="Y24" authorId="60" shapeId="0" xr:uid="{D089B2D2-7239-491C-880E-0D381B82E98B}">
      <text>
        <t>[Threaded comment]
Your version of Excel allows you to read this threaded comment; however, any edits to it will get removed if the file is opened in a newer version of Excel. Learn more: https://go.microsoft.com/fwlink/?linkid=870924
Comment:
    Reference to the minimum score for behaviour header #4. Used to simplify formulae.</t>
      </text>
    </comment>
    <comment ref="Y25" authorId="61" shapeId="0" xr:uid="{0BB4B623-2B26-4B74-BC84-1ECA6D9A74E5}">
      <text>
        <t>[Threaded comment]
Your version of Excel allows you to read this threaded comment; however, any edits to it will get removed if the file is opened in a newer version of Excel. Learn more: https://go.microsoft.com/fwlink/?linkid=870924
Comment:
    Reference to the minimum score for behaviour header #5. Used to simplify formulae.</t>
      </text>
    </comment>
    <comment ref="Y26" authorId="62" shapeId="0" xr:uid="{B37F5880-FC94-4A10-A839-9DBF44F1621D}">
      <text>
        <t>[Threaded comment]
Your version of Excel allows you to read this threaded comment; however, any edits to it will get removed if the file is opened in a newer version of Excel. Learn more: https://go.microsoft.com/fwlink/?linkid=870924
Comment:
    List of "Difference" values for the first chart in the "Analysis" sheet, defined as a dynamic named range to include only the number of factors defined by "numFactorsChart1".</t>
      </text>
    </comment>
    <comment ref="Y27" authorId="63" shapeId="0" xr:uid="{79AFA561-4FC7-42D1-8F8B-DC2A23C007C4}">
      <text>
        <t>[Threaded comment]
Your version of Excel allows you to read this threaded comment; however, any edits to it will get removed if the file is opened in a newer version of Excel. Learn more: https://go.microsoft.com/fwlink/?linkid=870924
Comment:
    List of "Difference" values for the second chart in the "Analysis" sheet, defined as a dynamic named range to include only the number of factors defined by "numFactorsChart2".</t>
      </text>
    </comment>
    <comment ref="Y28" authorId="64" shapeId="0" xr:uid="{30D27FDA-2F44-4607-9CA3-4F3260F09905}">
      <text>
        <t>[Threaded comment]
Your version of Excel allows you to read this threaded comment; however, any edits to it will get removed if the file is opened in a newer version of Excel. Learn more: https://go.microsoft.com/fwlink/?linkid=870924
Comment:
    List of "Doers" values for the first chart in the "Analysis" sheet, defined as a dynamic named range to include only the number of factors defined by "numFactorsChart1".</t>
      </text>
    </comment>
    <comment ref="Y29" authorId="65" shapeId="0" xr:uid="{C2CE5CB3-64A7-4FB0-8B0C-43DB64F8CC19}">
      <text>
        <t>[Threaded comment]
Your version of Excel allows you to read this threaded comment; however, any edits to it will get removed if the file is opened in a newer version of Excel. Learn more: https://go.microsoft.com/fwlink/?linkid=870924
Comment:
    List of "Doers" values for the second chart in the "Analysis" sheet, defined as a dynamic named range to include only the number of factors defined by "numFactorsChart2".</t>
      </text>
    </comment>
    <comment ref="Y30" authorId="66" shapeId="0" xr:uid="{55A0EB8F-A113-47F0-81DB-8D5E8793BCAA}">
      <text>
        <t>[Threaded comment]
Your version of Excel allows you to read this threaded comment; however, any edits to it will get removed if the file is opened in a newer version of Excel. Learn more: https://go.microsoft.com/fwlink/?linkid=870924
Comment:
    List of "Factor" values for the first chart in the "Analysis" sheet, defined as a dynamic named range to include only the number of factors defined by "numFactorsChart1".</t>
      </text>
    </comment>
    <comment ref="Y31" authorId="67" shapeId="0" xr:uid="{4C49E352-E88B-4329-BDAC-50FEE4297B25}">
      <text>
        <t>[Threaded comment]
Your version of Excel allows you to read this threaded comment; however, any edits to it will get removed if the file is opened in a newer version of Excel. Learn more: https://go.microsoft.com/fwlink/?linkid=870924
Comment:
    List of "Factor" values for the second chart in the "Analysis" sheet, defined as a dynamic named range to include only the number of factors defined by "numFactorsChart2".</t>
      </text>
    </comment>
    <comment ref="Y32" authorId="68" shapeId="0" xr:uid="{BEDC556C-09DF-4A70-ABC5-8A7A8D720EFD}">
      <text>
        <t>[Threaded comment]
Your version of Excel allows you to read this threaded comment; however, any edits to it will get removed if the file is opened in a newer version of Excel. Learn more: https://go.microsoft.com/fwlink/?linkid=870924
Comment:
    List of languages that the user can choose from for text elements in the charts. It starts with the languages already available for the user interface (UI), followed by languages that the user can define in the "Configuration" tab.</t>
      </text>
    </comment>
    <comment ref="Y33" authorId="69" shapeId="0" xr:uid="{64898062-36E6-45FA-BBD7-0F6344739EC5}">
      <text>
        <t>[Threaded comment]
Your version of Excel allows you to read this threaded comment; however, any edits to it will get removed if the file is opened in a newer version of Excel. Learn more: https://go.microsoft.com/fwlink/?linkid=870924
Comment:
    List of "Non-doers" values for the first chart in the "Analysis" sheet, defined as a dynamic named range to include only the number of factors defined by "numFactorsChart1".</t>
      </text>
    </comment>
    <comment ref="Y34" authorId="70" shapeId="0" xr:uid="{21AED473-6BF6-4329-B639-FC160108CCFD}">
      <text>
        <t>[Threaded comment]
Your version of Excel allows you to read this threaded comment; however, any edits to it will get removed if the file is opened in a newer version of Excel. Learn more: https://go.microsoft.com/fwlink/?linkid=870924
Comment:
    List of "Non-doers" values for the second chart in the "Analysis" sheet, defined as a dynamic named range to include only the number of factors defined by "numFactorsChart2".</t>
      </text>
    </comment>
    <comment ref="CN34" authorId="71" shapeId="0" xr:uid="{343F2EB5-57A6-4C8D-A3F3-E9B8E0BBE862}">
      <text>
        <t>[Threaded comment]
Your version of Excel allows you to read this threaded comment; however, any edits to it will get removed if the file is opened in a newer version of Excel. Learn more: https://go.microsoft.com/fwlink/?linkid=870924
Comment:
    Legacy version</t>
      </text>
    </comment>
    <comment ref="CP34" authorId="72" shapeId="0" xr:uid="{994267E3-3361-4824-B4A3-30F5E5D59019}">
      <text>
        <t>[Threaded comment]
Your version of Excel allows you to read this threaded comment; however, any edits to it will get removed if the file is opened in a newer version of Excel. Learn more: https://go.microsoft.com/fwlink/?linkid=870924
Comment:
    Legacy version</t>
      </text>
    </comment>
    <comment ref="CQ34" authorId="73" shapeId="0" xr:uid="{D4A4D34B-5EE5-43AF-97C8-F95147B19289}">
      <text>
        <t>[Threaded comment]
Your version of Excel allows you to read this threaded comment; however, any edits to it will get removed if the file is opened in a newer version of Excel. Learn more: https://go.microsoft.com/fwlink/?linkid=870924
Comment:
    Legacy version</t>
      </text>
    </comment>
    <comment ref="CX34" authorId="74" shapeId="0" xr:uid="{8357C38D-C22E-493C-B7E3-7BDF57F9A627}">
      <text>
        <t>[Threaded comment]
Your version of Excel allows you to read this threaded comment; however, any edits to it will get removed if the file is opened in a newer version of Excel. Learn more: https://go.microsoft.com/fwlink/?linkid=870924
Comment:
    Legacy version</t>
      </text>
    </comment>
    <comment ref="DB34" authorId="75" shapeId="0" xr:uid="{01B6D153-1091-43BE-8750-4818FF608602}">
      <text>
        <t>[Threaded comment]
Your version of Excel allows you to read this threaded comment; however, any edits to it will get removed if the file is opened in a newer version of Excel. Learn more: https://go.microsoft.com/fwlink/?linkid=870924
Comment:
    Legacy version</t>
      </text>
    </comment>
    <comment ref="DD34" authorId="76" shapeId="0" xr:uid="{542614EF-4E61-43DB-B965-327B07EFA70D}">
      <text>
        <t>[Threaded comment]
Your version of Excel allows you to read this threaded comment; however, any edits to it will get removed if the file is opened in a newer version of Excel. Learn more: https://go.microsoft.com/fwlink/?linkid=870924
Comment:
    Legacy version</t>
      </text>
    </comment>
    <comment ref="DE34" authorId="77" shapeId="0" xr:uid="{BAF157BD-7CBA-495D-842C-F1622F67F52F}">
      <text>
        <t>[Threaded comment]
Your version of Excel allows you to read this threaded comment; however, any edits to it will get removed if the file is opened in a newer version of Excel. Learn more: https://go.microsoft.com/fwlink/?linkid=870924
Comment:
    Legacy version</t>
      </text>
    </comment>
    <comment ref="DG34" authorId="78" shapeId="0" xr:uid="{AAF340A8-69FE-4884-BFA9-28F6DC56FB6D}">
      <text>
        <t>[Threaded comment]
Your version of Excel allows you to read this threaded comment; however, any edits to it will get removed if the file is opened in a newer version of Excel. Learn more: https://go.microsoft.com/fwlink/?linkid=870924
Comment:
    Legacy version</t>
      </text>
    </comment>
    <comment ref="DK34" authorId="79" shapeId="0" xr:uid="{758CCC2C-7031-4F18-AA27-22795F830487}">
      <text>
        <t>[Threaded comment]
Your version of Excel allows you to read this threaded comment; however, any edits to it will get removed if the file is opened in a newer version of Excel. Learn more: https://go.microsoft.com/fwlink/?linkid=870924
Comment:
    Legacy version</t>
      </text>
    </comment>
    <comment ref="DM34" authorId="80" shapeId="0" xr:uid="{5358B228-A2E0-4877-A34B-42B5C277DDA7}">
      <text>
        <t>[Threaded comment]
Your version of Excel allows you to read this threaded comment; however, any edits to it will get removed if the file is opened in a newer version of Excel. Learn more: https://go.microsoft.com/fwlink/?linkid=870924
Comment:
    Legacy version</t>
      </text>
    </comment>
    <comment ref="DN34" authorId="81" shapeId="0" xr:uid="{F1A10D28-1D9D-4779-B879-39DB213B5C02}">
      <text>
        <t>[Threaded comment]
Your version of Excel allows you to read this threaded comment; however, any edits to it will get removed if the file is opened in a newer version of Excel. Learn more: https://go.microsoft.com/fwlink/?linkid=870924
Comment:
    Legacy version</t>
      </text>
    </comment>
    <comment ref="DO34" authorId="82" shapeId="0" xr:uid="{CE1D0935-7D3B-40B0-873F-43F1536A4A98}">
      <text>
        <t>[Threaded comment]
Your version of Excel allows you to read this threaded comment; however, any edits to it will get removed if the file is opened in a newer version of Excel. Learn more: https://go.microsoft.com/fwlink/?linkid=870924
Comment:
    Legacy version</t>
      </text>
    </comment>
    <comment ref="DP34" authorId="83" shapeId="0" xr:uid="{48281D58-DC50-4E69-890E-E31654A3982D}">
      <text>
        <t>[Threaded comment]
Your version of Excel allows you to read this threaded comment; however, any edits to it will get removed if the file is opened in a newer version of Excel. Learn more: https://go.microsoft.com/fwlink/?linkid=870924
Comment:
    Legacy version</t>
      </text>
    </comment>
    <comment ref="DQ34" authorId="84" shapeId="0" xr:uid="{6775F86F-7A02-46F0-9A62-861834EB7FD9}">
      <text>
        <t>[Threaded comment]
Your version of Excel allows you to read this threaded comment; however, any edits to it will get removed if the file is opened in a newer version of Excel. Learn more: https://go.microsoft.com/fwlink/?linkid=870924
Comment:
    Legacy version</t>
      </text>
    </comment>
    <comment ref="DR34" authorId="85" shapeId="0" xr:uid="{3FCA4CB4-4C73-499A-A5BF-0CE3AFE94B58}">
      <text>
        <t>[Threaded comment]
Your version of Excel allows you to read this threaded comment; however, any edits to it will get removed if the file is opened in a newer version of Excel. Learn more: https://go.microsoft.com/fwlink/?linkid=870924
Comment:
    Legacy version</t>
      </text>
    </comment>
    <comment ref="DS34" authorId="86" shapeId="0" xr:uid="{774982DB-0BFC-42DE-80B0-309BC14D86BC}">
      <text>
        <t>[Threaded comment]
Your version of Excel allows you to read this threaded comment; however, any edits to it will get removed if the file is opened in a newer version of Excel. Learn more: https://go.microsoft.com/fwlink/?linkid=870924
Comment:
    Legacy version</t>
      </text>
    </comment>
    <comment ref="DT34" authorId="87" shapeId="0" xr:uid="{56FDB060-5736-4CE6-8729-A0A1A1D541BB}">
      <text>
        <t>[Threaded comment]
Your version of Excel allows you to read this threaded comment; however, any edits to it will get removed if the file is opened in a newer version of Excel. Learn more: https://go.microsoft.com/fwlink/?linkid=870924
Comment:
    Legacy version</t>
      </text>
    </comment>
    <comment ref="DU34" authorId="88" shapeId="0" xr:uid="{B8CADD6B-7EBB-43FB-A3C4-32DF9A625650}">
      <text>
        <t>[Threaded comment]
Your version of Excel allows you to read this threaded comment; however, any edits to it will get removed if the file is opened in a newer version of Excel. Learn more: https://go.microsoft.com/fwlink/?linkid=870924
Comment:
    Legacy version</t>
      </text>
    </comment>
    <comment ref="DV34" authorId="89" shapeId="0" xr:uid="{F41DA8C5-C198-4E74-82C2-D3B151C97384}">
      <text>
        <t>[Threaded comment]
Your version of Excel allows you to read this threaded comment; however, any edits to it will get removed if the file is opened in a newer version of Excel. Learn more: https://go.microsoft.com/fwlink/?linkid=870924
Comment:
    Legacy version</t>
      </text>
    </comment>
    <comment ref="Y35" authorId="90" shapeId="0" xr:uid="{48BC226F-FD01-45D2-B60B-B5C969AFB89B}">
      <text>
        <t>[Threaded comment]
Your version of Excel allows you to read this threaded comment; however, any edits to it will get removed if the file is opened in a newer version of Excel. Learn more: https://go.microsoft.com/fwlink/?linkid=870924
Comment:
    Recommended cutoff level that minimizes the absolute difference between the number of doers and the number of non-doers.</t>
      </text>
    </comment>
    <comment ref="AB35" authorId="91" shapeId="0" xr:uid="{1FC628A3-BD28-40B4-BB5E-DA52123B1EFC}">
      <text>
        <t>[Threaded comment]
Your version of Excel allows you to read this threaded comment; however, any edits to it will get removed if the file is opened in a newer version of Excel. Learn more: https://go.microsoft.com/fwlink/?linkid=870924
Comment:
    For an explanation for the use of LOOKUP() to find the last match in an array, see this link:
https://exceljet.net/formulas/lookup-latest-price</t>
      </text>
    </comment>
    <comment ref="Y36" authorId="92" shapeId="0" xr:uid="{231D4EA3-8C4C-428C-A7BC-96D26254D798}">
      <text>
        <t>[Threaded comment]
Your version of Excel allows you to read this threaded comment; however, any edits to it will get removed if the file is opened in a newer version of Excel. Learn more: https://go.microsoft.com/fwlink/?linkid=870924
Comment:
    Column number of the last non-empty cell (up to maxColNum) in dataFirstRow. Used to define dataHeaders.</t>
      </text>
    </comment>
    <comment ref="Y37" authorId="93" shapeId="0" xr:uid="{54CCF8C4-939A-4969-9C71-D43B5659856B}">
      <text>
        <t>[Threaded comment]
Your version of Excel allows you to read this threaded comment; however, any edits to it will get removed if the file is opened in a newer version of Excel. Learn more: https://go.microsoft.com/fwlink/?linkid=870924
Comment:
    Column number of the data column that serves as an index for the survey submissions. Used to copy that column (as dataRefCol) and count the total number of data entries.</t>
      </text>
    </comment>
    <comment ref="AA37" authorId="94" shapeId="0" xr:uid="{3EA9EAB6-464C-40FF-A29C-5AC5F2CF62A3}">
      <text>
        <t>[Threaded comment]
Your version of Excel allows you to read this threaded comment; however, any edits to it will get removed if the file is opened in a newer version of Excel. Learn more: https://go.microsoft.com/fwlink/?linkid=870924
Comment:
    The formula for dataRefColNum is currently configured to look in dataHeaders for column headers of "index" columns that are found in data exports from KoboToolbox ("_uuid") and ODK ("instanceID" or "meta-instanceID").
This may need to be expanded in the future if those default values change or if support for other platforms is needed.</t>
      </text>
    </comment>
    <comment ref="Y38" authorId="95" shapeId="0" xr:uid="{9FBCCA0B-0F3E-4D10-B107-0F855F175A52}">
      <text>
        <t>[Threaded comment]
Your version of Excel allows you to read this threaded comment; however, any edits to it will get removed if the file is opened in a newer version of Excel. Learn more: https://go.microsoft.com/fwlink/?linkid=870924
Comment:
    Union of all yellow user-editable areas in the tables of the "Configuration" sheet. Used as a shortcut to quickly select them with "Go To..." and define their "locked/hidden" settings. /!\ If these areas change, check if the range resized accordingly /!\</t>
      </text>
    </comment>
    <comment ref="Y39" authorId="96" shapeId="0" xr:uid="{1ED1FFBF-B238-4A39-A3E3-7CCB2BA2EEE9}">
      <text>
        <t>[Threaded comment]
Your version of Excel allows you to read this threaded comment; however, any edits to it will get removed if the file is opened in a newer version of Excel. Learn more: https://go.microsoft.com/fwlink/?linkid=870924
Comment:
    Error that evaluates to TRUE if any selected behaviour header in behaviourConfigTable is not found in the "data" sheet.</t>
      </text>
    </comment>
    <comment ref="Y40" authorId="97" shapeId="0" xr:uid="{1BCD0FF1-DA5D-4539-B94C-19746D52FE99}">
      <text>
        <t>[Threaded comment]
Your version of Excel allows you to read this threaded comment; however, any edits to it will get removed if the file is opened in a newer version of Excel. Learn more: https://go.microsoft.com/fwlink/?linkid=870924
Comment:
    Error that evaluates to TRUE if the "Include?" value for a non-empty behaviour header in behaviourConfigTable is missing or invalid.</t>
      </text>
    </comment>
    <comment ref="Y41" authorId="98" shapeId="0" xr:uid="{DB77FBFE-A695-4012-850B-37FA9B88E51C}">
      <text>
        <t>[Threaded comment]
Your version of Excel allows you to read this threaded comment; however, any edits to it will get removed if the file is opened in a newer version of Excel. Learn more: https://go.microsoft.com/fwlink/?linkid=870924
Comment:
    Error that evaluates to TRUE if a min. or max. score for a selected, non-empty behaviour header in behaviourConfigTable is missing or invalid (e.g., min &gt;= max).</t>
      </text>
    </comment>
    <comment ref="Y42" authorId="99" shapeId="0" xr:uid="{4199D389-F3F7-4C37-85DB-77F36C5CEE14}">
      <text>
        <t>[Threaded comment]
Your version of Excel allows you to read this threaded comment; however, any edits to it will get removed if the file is opened in a newer version of Excel. Learn more: https://go.microsoft.com/fwlink/?linkid=870924
Comment:
    Error that evaluates to TRUE if none of the valid behaviour headers in behaviourConfigTable (i.e. headers successfully found in the "data" sheet) is selected in the "Include?" column.</t>
      </text>
    </comment>
    <comment ref="Y43" authorId="100" shapeId="0" xr:uid="{736B03EB-F22F-4F8F-AE7B-DD9DDFD55729}">
      <text>
        <t>[Threaded comment]
Your version of Excel allows you to read this threaded comment; however, any edits to it will get removed if the file is opened in a newer version of Excel. Learn more: https://go.microsoft.com/fwlink/?linkid=870924
Comment:
    Error that evaluates to TRUE if any value in the "data" sheet for the selected behaviour headers falls outside of the corresponding "Min. score"-"Max. score" range defined in behaviourConfigTable.</t>
      </text>
    </comment>
    <comment ref="Y44" authorId="101" shapeId="0" xr:uid="{E948A971-AEFD-4E80-BF50-D017BABD9D29}">
      <text>
        <t>[Threaded comment]
Your version of Excel allows you to read this threaded comment; however, any edits to it will get removed if the file is opened in a newer version of Excel. Learn more: https://go.microsoft.com/fwlink/?linkid=870924
Comment:
    Error that evaluates to TRUE if the selected chartLanguage is not from the allowed chartLanguageList.</t>
      </text>
    </comment>
    <comment ref="Y45" authorId="102" shapeId="0" xr:uid="{17B9A7AA-8B5C-47F6-A1CE-B38EA8D2E485}">
      <text>
        <t>[Threaded comment]
Your version of Excel allows you to read this threaded comment; however, any edits to it will get removed if the file is opened in a newer version of Excel. Learn more: https://go.microsoft.com/fwlink/?linkid=870924
Comment:
    Error that evaluates to TRUE if the translation into chartLanguage for any entry in chartTranslationTable is missing.</t>
      </text>
    </comment>
    <comment ref="Y46" authorId="103" shapeId="0" xr:uid="{14283CDC-D4F3-4C5C-A3BB-E8763029DBAB}">
      <text>
        <t>[Threaded comment]
Your version of Excel allows you to read this threaded comment; however, any edits to it will get removed if the file is opened in a newer version of Excel. Learn more: https://go.microsoft.com/fwlink/?linkid=870924
Comment:
    Error that evaluates to TRUE if the value entered for cutoffLevel is invalid (i.e., not an integer between 0 and 100%).</t>
      </text>
    </comment>
    <comment ref="AA46" authorId="104" shapeId="0" xr:uid="{CE1B0804-00CA-4D76-95CC-70BA8827023F}">
      <text>
        <t>[Threaded comment]
Your version of Excel allows you to read this threaded comment; however, any edits to it will get removed if the file is opened in a newer version of Excel. Learn more: https://go.microsoft.com/fwlink/?linkid=870924
Comment:
    The test for the whole number is done on the cell itself rather than 100*cutoffLevel, because otherwise rounding errors with the MOD() function can produce false positives.</t>
      </text>
    </comment>
    <comment ref="Y47" authorId="105" shapeId="0" xr:uid="{18BBC9C1-6A69-4400-AD5D-2FBCFBFBA785}">
      <text>
        <t>[Threaded comment]
Your version of Excel allows you to read this threaded comment; however, any edits to it will get removed if the file is opened in a newer version of Excel. Learn more: https://go.microsoft.com/fwlink/?linkid=870924
Comment:
    Error that evaluates to TRUE if any space character is found in the first row of the "data" sheet. Spaces in column headers could cause problems when referencing those columns.</t>
      </text>
    </comment>
    <comment ref="Y48" authorId="106" shapeId="0" xr:uid="{6C98878A-7F5F-45FC-A412-F804D6DAA995}">
      <text>
        <t>[Threaded comment]
Your version of Excel allows you to read this threaded comment; however, any edits to it will get removed if the file is opened in a newer version of Excel. Learn more: https://go.microsoft.com/fwlink/?linkid=870924
Comment:
    Error that evaluates to TRUE if the selected sortingMethod is not from the allowed sortMenuList.</t>
      </text>
    </comment>
    <comment ref="Y49" authorId="107" shapeId="0" xr:uid="{7A4E84DF-9EA5-4DBE-BA23-31D8CA68311D}">
      <text>
        <t>[Threaded comment]
Your version of Excel allows you to read this threaded comment; however, any edits to it will get removed if the file is opened in a newer version of Excel. Learn more: https://go.microsoft.com/fwlink/?linkid=870924
Comment:
    Error that evaluates to TRUE if the "Display?" value for a non-empty factor header in factorConfigTable is missing or invalid.</t>
      </text>
    </comment>
    <comment ref="Y50" authorId="108" shapeId="0" xr:uid="{6327AD21-F5E2-4AA8-99D5-F06E2C68A509}">
      <text>
        <t>[Threaded comment]
Your version of Excel allows you to read this threaded comment; however, any edits to it will get removed if the file is opened in a newer version of Excel. Learn more: https://go.microsoft.com/fwlink/?linkid=870924
Comment:
    Error that evaluates to TRUE if any selected factor header in factorConfigTable is not found in the "data" sheet.</t>
      </text>
    </comment>
    <comment ref="Y51" authorId="109" shapeId="0" xr:uid="{278C3B32-19EA-42D2-A788-E923A8488E96}">
      <text>
        <t>[Threaded comment]
Your version of Excel allows you to read this threaded comment; however, any edits to it will get removed if the file is opened in a newer version of Excel. Learn more: https://go.microsoft.com/fwlink/?linkid=870924
Comment:
    Error that evaluates to TRUE if a min. or max. score for a selected, non-empty factor header in factorConfigTable is missing or invalid (e.g., min &gt;= max).</t>
      </text>
    </comment>
    <comment ref="Y52" authorId="110" shapeId="0" xr:uid="{01C52DD6-00F8-4D6C-B072-6B0E9824E8FF}">
      <text>
        <t>[Threaded comment]
Your version of Excel allows you to read this threaded comment; however, any edits to it will get removed if the file is opened in a newer version of Excel. Learn more: https://go.microsoft.com/fwlink/?linkid=870924
Comment:
    Error that evaluates to TRUE if none of the valid factor headers in factorConfigTable (i.e. headers successfully found in the "data" sheet) is selected in the "Display?" column.</t>
      </text>
    </comment>
    <comment ref="Y53" authorId="111" shapeId="0" xr:uid="{DE2D93FE-8BD9-4A7F-88F1-9C72626ABAAD}">
      <text>
        <t>[Threaded comment]
Your version of Excel allows you to read this threaded comment; however, any edits to it will get removed if the file is opened in a newer version of Excel. Learn more: https://go.microsoft.com/fwlink/?linkid=870924
Comment:
    Error that evaluates to TRUE if any value in the "data" sheet for the selected factor headers falls outside of the corresponding "Min. score"-"Max. score" range defined in factorConfigTable.</t>
      </text>
    </comment>
    <comment ref="Y54" authorId="112" shapeId="0" xr:uid="{A539FC2A-A770-47B3-B74C-8A171C72BC85}">
      <text>
        <t>[Threaded comment]
Your version of Excel allows you to read this threaded comment; however, any edits to it will get removed if the file is opened in a newer version of Excel. Learn more: https://go.microsoft.com/fwlink/?linkid=870924
Comment:
    Error that evaluates to TRUE if the translation into chartLanguage for a selected, non-empty factor header in factorConfigTable is missing.</t>
      </text>
    </comment>
    <comment ref="Y55" authorId="113" shapeId="0" xr:uid="{E1A5970E-EE85-4A4E-9903-F00D568C51F7}">
      <text>
        <t>[Threaded comment]
Your version of Excel allows you to read this threaded comment; however, any edits to it will get removed if the file is opened in a newer version of Excel. Learn more: https://go.microsoft.com/fwlink/?linkid=870924
Comment:
    List of error messages displayed to the user in the "Configuration" sheet, concatenated from a list of possible messages defined in the hidden "Error messages" table.</t>
      </text>
    </comment>
    <comment ref="Y56" authorId="114" shapeId="0" xr:uid="{AC6C909B-7866-422D-82E8-C6A96A224936}">
      <text>
        <t>[Threaded comment]
Your version of Excel allows you to read this threaded comment; however, any edits to it will get removed if the file is opened in a newer version of Excel. Learn more: https://go.microsoft.com/fwlink/?linkid=870924
Comment:
    Error that evaluates to TRUE if none of the predefined headers for a reference column is found in the "data" sheet.</t>
      </text>
    </comment>
    <comment ref="Y57" authorId="115" shapeId="0" xr:uid="{AF6E7DC9-01F5-4F75-A174-D8B1DB671270}">
      <text>
        <t>[Threaded comment]
Your version of Excel allows you to read this threaded comment; however, any edits to it will get removed if the file is opened in a newer version of Excel. Learn more: https://go.microsoft.com/fwlink/?linkid=870924
Comment:
    Error that evaluates to TRUE if the "data" sheet does not exist.</t>
      </text>
    </comment>
    <comment ref="Y58" authorId="116" shapeId="0" xr:uid="{7591502D-8F1C-493C-8B3F-9806BD17D2AF}">
      <text>
        <t>[Threaded comment]
Your version of Excel allows you to read this threaded comment; however, any edits to it will get removed if the file is opened in a newer version of Excel. Learn more: https://go.microsoft.com/fwlink/?linkid=870924
Comment:
    Error that evaluates to TRUE if a RANAS block for a selected, non-empty factor header in factorConfigTable is missing or invalid.</t>
      </text>
    </comment>
    <comment ref="Y59" authorId="117" shapeId="0" xr:uid="{59345150-73A7-4AFE-860F-BDB68B001667}">
      <text>
        <t>[Threaded comment]
Your version of Excel allows you to read this threaded comment; however, any edits to it will get removed if the file is opened in a newer version of Excel. Learn more: https://go.microsoft.com/fwlink/?linkid=870924
Comment:
    Error that evaluates to TRUE if the selected UILanguage is not from the allowed UILanguageList.</t>
      </text>
    </comment>
    <comment ref="Y60" authorId="118" shapeId="0" xr:uid="{303A217B-0797-4C81-9D61-BBE0A1E6C70D}">
      <text>
        <t>[Threaded comment]
Your version of Excel allows you to read this threaded comment; however, any edits to it will get removed if the file is opened in a newer version of Excel. Learn more: https://go.microsoft.com/fwlink/?linkid=870924
Comment:
    Translation of "Behaviour score" into the chartLanguage selected by the user. Used mostly for the axis label on the chart, which can accept a named variable, but not a complex formula.</t>
      </text>
    </comment>
    <comment ref="Y61" authorId="119" shapeId="0" xr:uid="{850F4624-7EC3-460F-AFEC-32934209FD8C}">
      <text>
        <t>[Threaded comment]
Your version of Excel allows you to read this threaded comment; however, any edits to it will get removed if the file is opened in a newer version of Excel. Learn more: https://go.microsoft.com/fwlink/?linkid=870924
Comment:
    Translation of "Cutoff level" into the chartLanguage selected by the user. Used mostly for the axis label on the chart, which can accept a named variable, but not a complex formula.</t>
      </text>
    </comment>
    <comment ref="Y62" authorId="120" shapeId="0" xr:uid="{F4BC9FE4-A5D3-49D9-8CA6-C4731DC09A31}">
      <text>
        <t>[Threaded comment]
Your version of Excel allows you to read this threaded comment; however, any edits to it will get removed if the file is opened in a newer version of Excel. Learn more: https://go.microsoft.com/fwlink/?linkid=870924
Comment:
    Translation of "Normalized mean score" into the chartLanguage selected by the user. Used mostly for the axis label on the chart, which can accept a named variable, but not a complex formula.</t>
      </text>
    </comment>
    <comment ref="AA62" authorId="121" shapeId="0" xr:uid="{A7BAF418-6AFA-4735-AF91-43C5DE25FB15}">
      <text>
        <t>[Threaded comment]
Your version of Excel allows you to read this threaded comment; however, any edits to it will get removed if the file is opened in a newer version of Excel. Learn more: https://go.microsoft.com/fwlink/?linkid=870924
Comment:
    Note: The "(0-100%)" uses a non-breaking hyphen, because for certain zoom levels, the Y-axis label in the "Analysis" charts is split over two lines, and the break would be at the hyphen if it wasn't non-breaking =&gt; not pretty.
BUT! The only "flavor" of non-breaking hyphen that seems to work in a chart axis label is the Unicode character 8209 (2011 in hexadecimal). Others, such as CHAR(173), remain invisible. Hence the UNICHAR(8209) in this formula.</t>
      </text>
    </comment>
    <comment ref="AB62" authorId="122" shapeId="0" xr:uid="{6D2BDB2D-DEF7-4BD0-B302-C5B450709BED}">
      <text>
        <t>[Threaded comment]
Your version of Excel allows you to read this threaded comment; however, any edits to it will get removed if the file is opened in a newer version of Excel. Learn more: https://go.microsoft.com/fwlink/?linkid=870924
Comment:
    Note: Using the function UNICHAR() in this formula could make it incompatible with Excel versions prior to 2013. Find an alternative (e.g., just use a regular hyphen) if this turns out to be a problem.</t>
      </text>
    </comment>
    <comment ref="Y63" authorId="123" shapeId="0" xr:uid="{DECBFD3E-B119-43A3-8C16-48BE13D1DA62}">
      <text>
        <t>[Threaded comment]
Your version of Excel allows you to read this threaded comment; however, any edits to it will get removed if the file is opened in a newer version of Excel. Learn more: https://go.microsoft.com/fwlink/?linkid=870924
Comment:
    Translation of "# of responses" into the chartLanguage selected by the user. Used mostly for the axis label on the chart, which can accept a named variable, but not a complex formula.</t>
      </text>
    </comment>
    <comment ref="Y64" authorId="124" shapeId="0" xr:uid="{CBD9C711-5209-416C-8A94-54CD0ED95062}">
      <text>
        <t>[Threaded comment]
Your version of Excel allows you to read this threaded comment; however, any edits to it will get removed if the file is opened in a newer version of Excel. Learn more: https://go.microsoft.com/fwlink/?linkid=870924
Comment:
    Translation of "% of responses" into the chartLanguage selected by the user. Used mostly for the axis label on the chart, which can accept a named variable, but not a complex formula.</t>
      </text>
    </comment>
    <comment ref="Y65" authorId="125" shapeId="0" xr:uid="{3428773C-B63D-401E-B7F9-7955C0E75568}">
      <text>
        <t>[Threaded comment]
Your version of Excel allows you to read this threaded comment; however, any edits to it will get removed if the file is opened in a newer version of Excel. Learn more: https://go.microsoft.com/fwlink/?linkid=870924
Comment:
    List of the user-interface + user-defined languages in the header of the "Factors configuration table". Used to compute the "chartLanguageList" and to look up various text values in the selected chartLanguage.</t>
      </text>
    </comment>
    <comment ref="Y66" authorId="126" shapeId="0" xr:uid="{B3C2F7E7-D905-488E-959F-71514EBA8466}">
      <text>
        <t>[Threaded comment]
Your version of Excel allows you to read this threaded comment; however, any edits to it will get removed if the file is opened in a newer version of Excel. Learn more: https://go.microsoft.com/fwlink/?linkid=870924
Comment:
    Local equivalent of the "address" parameter for the CELL() function, which is specific to the language version of Excel. CELL() is used to dynamically reference the sheets' names, in case they change in the future.</t>
      </text>
    </comment>
    <comment ref="AA66" authorId="127" shapeId="0" xr:uid="{BDFD382D-8813-439A-8635-35E286C7274B}">
      <text>
        <t>[Threaded comment]
Your version of Excel allows you to read this threaded comment; however, any edits to it will get removed if the file is opened in a newer version of Excel. Learn more: https://go.microsoft.com/fwlink/?linkid=870924
Comment:
    Apparently, there's no clean, language-independent, VBA-free way to retrieve the worksheets' names, so I'm using CELL("address") to do that, but the "address" parameter depends on the local Excel language. This "localAddressParameter" variable stores the local equivalent of "address" by testing different values in different languages, in order to use it with CELL() in the "sheetName..." variables to retrieve each sheet's name. Currently, those languages are: English, Français, Deutsch, Español. If additional languages are added, the formula for this variable must be expanded accordingly. (Check Microsoft's support page for the CELL() function in the given language to check the local equivalent of "address".)
The goal is to have DYNAMIC references to the sheets' names (stored in the "sheetName..." variables), because they might possibly change in the future. Those names are used quite often in the user interface, hence the usefulness to have them dynamically defined.</t>
      </text>
    </comment>
    <comment ref="Y67" authorId="128" shapeId="0" xr:uid="{63EC71EC-6CC4-403B-BC02-E2EE9D085CC6}">
      <text>
        <t>[Threaded comment]
Your version of Excel allows you to read this threaded comment; however, any edits to it will get removed if the file is opened in a newer version of Excel. Learn more: https://go.microsoft.com/fwlink/?linkid=870924
Comment:
    Maximum doers/non-doers difference (in absolute value) used to define the lower and upper limits of the colour scale in Conditional formatting for the "Difference" column of the "analysisChartTable".</t>
      </text>
    </comment>
    <comment ref="Y68" authorId="129" shapeId="0" xr:uid="{8E5387EE-F35C-4C99-B5A2-501661974AE7}">
      <text>
        <t>[Threaded comment]
Your version of Excel allows you to read this threaded comment; however, any edits to it will get removed if the file is opened in a newer version of Excel. Learn more: https://go.microsoft.com/fwlink/?linkid=870924
Comment:
    Reference to the label meaning "no" in the drop-down menus of the "Include?" and "Display?" columns of the "Behaviour" and "Factors" configuration tables. Used in UI text.</t>
      </text>
    </comment>
    <comment ref="Y69" authorId="130" shapeId="0" xr:uid="{98EFA81E-B26B-4162-BF70-4BBA624CECE4}">
      <text>
        <t>[Threaded comment]
Your version of Excel allows you to read this threaded comment; however, any edits to it will get removed if the file is opened in a newer version of Excel. Learn more: https://go.microsoft.com/fwlink/?linkid=870924
Comment:
    Number of entries in the "data" sheet. It is counted as the number of values in the "index" column dataRefCol.</t>
      </text>
    </comment>
    <comment ref="Y70" authorId="131" shapeId="0" xr:uid="{6987FA74-F492-4B7C-99EF-65FE22D4256E}">
      <text>
        <t>[Threaded comment]
Your version of Excel allows you to read this threaded comment; however, any edits to it will get removed if the file is opened in a newer version of Excel. Learn more: https://go.microsoft.com/fwlink/?linkid=870924
Comment:
    Number of factors selected for display by the user in the Configuration tab (up to 30). Used to calculate the number of factors displayed in each chart of the "Analysis" sheet ("numFactorsChart1" and "numFactorsChart2").</t>
      </text>
    </comment>
    <comment ref="Y71" authorId="132" shapeId="0" xr:uid="{0E5A0A8E-AF58-40CB-BAF5-BF37AA6895DC}">
      <text>
        <t>[Threaded comment]
Your version of Excel allows you to read this threaded comment; however, any edits to it will get removed if the file is opened in a newer version of Excel. Learn more: https://go.microsoft.com/fwlink/?linkid=870924
Comment:
    Number of factors that will be displayed in the first chart of the "Analysis" sheet. It depends on "numFactors" and "numFactorsThreshold" in order to split the factors across both charts. Used to define a dynamic range for the chart data.</t>
      </text>
    </comment>
    <comment ref="Y72" authorId="133" shapeId="0" xr:uid="{9C2EF22F-7719-45E7-A51A-43194BFC951E}">
      <text>
        <t>[Threaded comment]
Your version of Excel allows you to read this threaded comment; however, any edits to it will get removed if the file is opened in a newer version of Excel. Learn more: https://go.microsoft.com/fwlink/?linkid=870924
Comment:
    Number of factors that will be displayed in the second chart of the "Analysis" sheet. It depends on "numFactors" and "numFactorsThreshold" in order to split the factors across both charts. Used to define a dynamic range for the chart data.</t>
      </text>
    </comment>
    <comment ref="Y73" authorId="134" shapeId="0" xr:uid="{F8EA8679-A5A3-4E64-B223-C85FD6BD4DCD}">
      <text>
        <t>[Threaded comment]
Your version of Excel allows you to read this threaded comment; however, any edits to it will get removed if the file is opened in a newer version of Excel. Learn more: https://go.microsoft.com/fwlink/?linkid=870924
Comment:
    Number of languages available to display chart/table text (it includes the UI + the user-defined languages). Used mostly to define a dynamic range for the "Chart language" drop-down menu.</t>
      </text>
    </comment>
    <comment ref="Y74" authorId="135" shapeId="0" xr:uid="{80D50726-EF2C-4C67-9FBB-E23389320578}">
      <text>
        <t>[Threaded comment]
Your version of Excel allows you to read this threaded comment; however, any edits to it will get removed if the file is opened in a newer version of Excel. Learn more: https://go.microsoft.com/fwlink/?linkid=870924
Comment:
    Number of scores, i.e. number of "data" entries having at least one non-empty value among the selected "behaviour" questions and for which a behaviour score can be computed.</t>
      </text>
    </comment>
    <comment ref="Y75" authorId="136" shapeId="0" xr:uid="{EC282725-E97D-4442-A25E-96E89D8860B6}">
      <text>
        <t>[Threaded comment]
Your version of Excel allows you to read this threaded comment; however, any edits to it will get removed if the file is opened in a newer version of Excel. Learn more: https://go.microsoft.com/fwlink/?linkid=870924
Comment:
    List of RANAS blocks in (currently) both UI languages (English, Français) used in drop-down menus in the "Factors configuration table".</t>
      </text>
    </comment>
    <comment ref="Y76" authorId="137" shapeId="0" xr:uid="{D7D70823-CDCD-482A-8D64-14AAA174D567}">
      <text>
        <t>[Threaded comment]
Your version of Excel allows you to read this threaded comment; however, any edits to it will get removed if the file is opened in a newer version of Excel. Learn more: https://go.microsoft.com/fwlink/?linkid=870924
Comment:
    Dynamic reference to the "Analysis" sheet name (in case it changes in the future), used mostly in UI text.</t>
      </text>
    </comment>
    <comment ref="Y77" authorId="138" shapeId="0" xr:uid="{D7107A38-D6DB-469A-8C87-CE953DC74C5C}">
      <text>
        <t>[Threaded comment]
Your version of Excel allows you to read this threaded comment; however, any edits to it will get removed if the file is opened in a newer version of Excel. Learn more: https://go.microsoft.com/fwlink/?linkid=870924
Comment:
    Dynamic reference to the "Configuration" sheet name (in case it changes in the future), used mostly in UI text.</t>
      </text>
    </comment>
    <comment ref="Y78" authorId="139" shapeId="0" xr:uid="{38B92C36-2D09-4392-B5D0-AB22DF93AA64}">
      <text>
        <t>[Threaded comment]
Your version of Excel allows you to read this threaded comment; however, any edits to it will get removed if the file is opened in a newer version of Excel. Learn more: https://go.microsoft.com/fwlink/?linkid=870924
Comment:
    Dynamic reference to the "Cutoff" sheet name (in case it changes in the future), used mostly in UI text.</t>
      </text>
    </comment>
    <comment ref="Y79" authorId="140" shapeId="0" xr:uid="{07A2D467-7B27-4D0F-A15A-9EF144A70C0D}">
      <text>
        <t>[Threaded comment]
Your version of Excel allows you to read this threaded comment; however, any edits to it will get removed if the file is opened in a newer version of Excel. Learn more: https://go.microsoft.com/fwlink/?linkid=870924
Comment:
    Dynamic reference to the "HiddenTables" sheet name (in case it changes in the future).</t>
      </text>
    </comment>
    <comment ref="AA79" authorId="141" shapeId="0" xr:uid="{920D1D5A-2398-4BA7-B424-F90D035B6A6A}">
      <text>
        <t>[Threaded comment]
Your version of Excel allows you to read this threaded comment; however, any edits to it will get removed if the file is opened in a newer version of Excel. Learn more: https://go.microsoft.com/fwlink/?linkid=870924
Comment:
    Using CELL() with the local language-specific equivalent of the "address" parameter, these formulas DYNAMICALLY compute the sheets' names (in case those names change in the future; see important note below), which are stored as named ranges. They can then be used e.g. in UI text.
Note: One needs to make sure that the range referenced by CELL() within each sheet is unlikely to get deleted (e.g. when changing the sheet's layout), otherwise the link would break =&gt; use a well-established named range located within each sheet (e.g. named cell or named table).
IMPORTANT NOTE: If a sheet name DOES change in the future, the default sheet name at the end of its formula should be updated accordingly, to be on the safe side. This default value serves as a static safeguard in case the local equivalent of the "address" paramater was not found among the currently supported languages (see comment about the "localAddressParameter" variable), or if any other unexpected error occurs.</t>
      </text>
    </comment>
    <comment ref="Y80" authorId="142" shapeId="0" xr:uid="{99D08BBB-6A83-48E4-92DF-884E316E478F}">
      <text>
        <t>[Threaded comment]
Your version of Excel allows you to read this threaded comment; however, any edits to it will get removed if the file is opened in a newer version of Excel. Learn more: https://go.microsoft.com/fwlink/?linkid=870924
Comment:
    Dynamic reference to the "Introduction" sheet name (in case it changes in the future), used mostly in UI text.</t>
      </text>
    </comment>
    <comment ref="Y81" authorId="143" shapeId="0" xr:uid="{CA9389B5-559B-4E70-9A1A-9063BF203F27}">
      <text>
        <t>[Threaded comment]
Your version of Excel allows you to read this threaded comment; however, any edits to it will get removed if the file is opened in a newer version of Excel. Learn more: https://go.microsoft.com/fwlink/?linkid=870924
Comment:
    Tag associated with the selected sorting method for the data in the "Factors analysis chart". Used to simplify the formula that sorts the data according to the selected method.</t>
      </text>
    </comment>
    <comment ref="Y82" authorId="144" shapeId="0" xr:uid="{52CA9CC3-2DD0-427C-849D-AA85538CB280}">
      <text>
        <t>[Threaded comment]
Your version of Excel allows you to read this threaded comment; however, any edits to it will get removed if the file is opened in a newer version of Excel. Learn more: https://go.microsoft.com/fwlink/?linkid=870924
Comment:
    List of sorting options for the "Factors analysis chart". Using symbols to make it (sort of) language-independent, so the options must be described in the UI language next to the menu.</t>
      </text>
    </comment>
    <comment ref="Y83" authorId="145" shapeId="0" xr:uid="{581ECF05-C743-4C62-BBE0-89915C1748BD}">
      <text>
        <t>[Threaded comment]
Your version of Excel allows you to read this threaded comment; however, any edits to it will get removed if the file is opened in a newer version of Excel. Learn more: https://go.microsoft.com/fwlink/?linkid=870924
Comment:
    List of available languages for the user interface. New languages must be added as new columns in UITranslationTable, errorMessagesTable, factorsConfigTable and chartTranslationTable, completed with all corresponding translations.</t>
      </text>
    </comment>
    <comment ref="Y84" authorId="146" shapeId="0" xr:uid="{2C6136A3-2FA2-4040-B462-4804885A4F56}">
      <text>
        <t>[Threaded comment]
Your version of Excel allows you to read this threaded comment; however, any edits to it will get removed if the file is opened in a newer version of Excel. Learn more: https://go.microsoft.com/fwlink/?linkid=870924
Comment:
    Reference to the label meaning "yes" in the drop-down menus of the "Include?" and "Display?" columns of the "Behaviour" and "Factors" configuration tables.  Used in UI text and conditional formatting rules.</t>
      </text>
    </comment>
    <comment ref="Y85" authorId="147" shapeId="0" xr:uid="{1B90EA43-A512-4D8C-AED7-B8CCEAA8D002}">
      <text>
        <t>[Threaded comment]
Your version of Excel allows you to read this threaded comment; however, any edits to it will get removed if the file is opened in a newer version of Excel. Learn more: https://go.microsoft.com/fwlink/?linkid=870924
Comment:
    List of yes/no values (check mark/cross mark) used in drop-down menus in the "Behaviour configuration table" and "Factors configuration table" to include behaviour questions/factors in the behaviour score/analysis chart.</t>
      </text>
    </comment>
    <comment ref="AA112" authorId="148" shapeId="0" xr:uid="{CAE2CE7C-DC90-4E8B-8BFF-5771B8010C60}">
      <text>
        <t>[Threaded comment]
Your version of Excel allows you to read this threaded comment; however, any edits to it will get removed if the file is opened in a newer version of Excel. Learn more: https://go.microsoft.com/fwlink/?linkid=870924
Comment:
    The test for the whole number is done on the cell itself rather than on 100*cutoffLevel, because otherwise rounding errors with the MOD() function can produce false positives.</t>
      </text>
    </comment>
    <comment ref="Y113" authorId="149" shapeId="0" xr:uid="{C13CC2AB-4B99-40A8-9566-82F95A04CE16}">
      <text>
        <t>[Threaded comment]
Your version of Excel allows you to read this threaded comment; however, any edits to it will get removed if the file is opened in a newer version of Excel. Learn more: https://go.microsoft.com/fwlink/?linkid=870924
Comment:
    This CF rule displays a decimal digit to the cutoff level value (e.g., 56.7%) to highlight that the entered value is not a whole number.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<sst xmlns="http://schemas.openxmlformats.org/spreadsheetml/2006/main" count="2106" uniqueCount="1326">
  <si>
    <t>name</t>
  </si>
  <si>
    <t>B_b2</t>
  </si>
  <si>
    <t>B_b3</t>
  </si>
  <si>
    <t>B_b4</t>
  </si>
  <si>
    <t>B_b5</t>
  </si>
  <si>
    <t>B_b6</t>
  </si>
  <si>
    <t>B_b7</t>
  </si>
  <si>
    <t>B_b8</t>
  </si>
  <si>
    <t>Health knowledge</t>
  </si>
  <si>
    <t>Severity</t>
  </si>
  <si>
    <t>Action knowledge</t>
  </si>
  <si>
    <t>Vulnerability</t>
  </si>
  <si>
    <t>Costs</t>
  </si>
  <si>
    <t>Benefits</t>
  </si>
  <si>
    <t>Feelings</t>
  </si>
  <si>
    <t>Others' behavior</t>
  </si>
  <si>
    <t>Others' (dis)approval</t>
  </si>
  <si>
    <t>Personal importance</t>
  </si>
  <si>
    <t>Confidence in performance</t>
  </si>
  <si>
    <t>Remembering</t>
  </si>
  <si>
    <t>Barrier 1</t>
  </si>
  <si>
    <t>Confidence in continuation</t>
  </si>
  <si>
    <t>Barrier 2</t>
  </si>
  <si>
    <t>Action control</t>
  </si>
  <si>
    <t>Action planning</t>
  </si>
  <si>
    <t>ID</t>
  </si>
  <si>
    <t/>
  </si>
  <si>
    <t>1 2 4 6 7 8 99</t>
  </si>
  <si>
    <t>2 3 5 8</t>
  </si>
  <si>
    <t>1 2 3</t>
  </si>
  <si>
    <t>1 3 5</t>
  </si>
  <si>
    <t>53558b02-987f-4bdf-834d-dd26bf9ed537</t>
  </si>
  <si>
    <t>1 2 3 4 5 6 7</t>
  </si>
  <si>
    <t>8 1 3 4 5</t>
  </si>
  <si>
    <t>5ef1f3d2-1725-4443-ab10-cb698d49fca3</t>
  </si>
  <si>
    <t>8 7 9 6 1 2 4</t>
  </si>
  <si>
    <t>2 1 3 5 8 4</t>
  </si>
  <si>
    <t>1 2 3 4 5 8</t>
  </si>
  <si>
    <t>afe3b3ea-2a9c-4219-971d-a07fa86ebcd9</t>
  </si>
  <si>
    <t>1 4 7 10</t>
  </si>
  <si>
    <t>1 2 3 8</t>
  </si>
  <si>
    <t>1 2 3 5</t>
  </si>
  <si>
    <t>1 4 7</t>
  </si>
  <si>
    <t>1 2</t>
  </si>
  <si>
    <t>0561a802-1845-4ea8-ad67-23f2116904d4</t>
  </si>
  <si>
    <t>1 2 4 5 7</t>
  </si>
  <si>
    <t>1 2 3 8 5</t>
  </si>
  <si>
    <t>2 3 8 5</t>
  </si>
  <si>
    <t>1 2 7 8</t>
  </si>
  <si>
    <t>28f6fa37-a767-43d1-aea3-5542e622d168</t>
  </si>
  <si>
    <t>1 4 7 9 6</t>
  </si>
  <si>
    <t>1 3 2 8</t>
  </si>
  <si>
    <t>3 2 1 8</t>
  </si>
  <si>
    <t>1 4 7 10 6</t>
  </si>
  <si>
    <t>74bb27ac-8c98-4418-848f-1fa4e58b1822</t>
  </si>
  <si>
    <t>1 3 8 5</t>
  </si>
  <si>
    <t>3 1 8</t>
  </si>
  <si>
    <t>22d5e80d-7eb2-4cfc-89ab-10c527290b62</t>
  </si>
  <si>
    <t>1 2 4 6 7</t>
  </si>
  <si>
    <t>1 5 3</t>
  </si>
  <si>
    <t>1 5 3 8</t>
  </si>
  <si>
    <t>1 2 4 7 10</t>
  </si>
  <si>
    <t>287309d3-99c4-4c84-80e2-9e9b8e08577c</t>
  </si>
  <si>
    <t>1 5 6 7 9 10</t>
  </si>
  <si>
    <t>1 2 3 5 4</t>
  </si>
  <si>
    <t>1 3 4 5 8</t>
  </si>
  <si>
    <t>ea47cebd-2525-42ff-a87b-fd4b1beec790</t>
  </si>
  <si>
    <t>2 4 7 10 6 1</t>
  </si>
  <si>
    <t>3 1 5 8</t>
  </si>
  <si>
    <t>1 3 5 8 2</t>
  </si>
  <si>
    <t>8bb554da-e7c6-4d86-9b0b-530c63f13243</t>
  </si>
  <si>
    <t>1 3 8</t>
  </si>
  <si>
    <t>1 3 8 5 2</t>
  </si>
  <si>
    <t>90cee98e-98c9-4d2c-97ed-a87181807e66</t>
  </si>
  <si>
    <t>1 4 6 7 10</t>
  </si>
  <si>
    <t>87bbc47f-a53d-41c2-bfc7-85ba6da3198b</t>
  </si>
  <si>
    <t>1 4 6</t>
  </si>
  <si>
    <t>2 4 8</t>
  </si>
  <si>
    <t>2 8 4 1</t>
  </si>
  <si>
    <t>1 4 6 10</t>
  </si>
  <si>
    <t>94667349-a4c7-423c-b36d-8f4de339ae28</t>
  </si>
  <si>
    <t>2 3</t>
  </si>
  <si>
    <t>57662105-ea4e-41f1-8094-1cd4b4ad5200</t>
  </si>
  <si>
    <t>1 4 2 6 7</t>
  </si>
  <si>
    <t>2 8</t>
  </si>
  <si>
    <t>1 3 2 4</t>
  </si>
  <si>
    <t>5 1</t>
  </si>
  <si>
    <t>d4995bc2-b011-4e82-8904-4a10cabad0fa</t>
  </si>
  <si>
    <t>1 2 4 5 6 10</t>
  </si>
  <si>
    <t>2 4 8 5</t>
  </si>
  <si>
    <t>2 4 5 8</t>
  </si>
  <si>
    <t>77f09d96-8744-443c-8076-422203661421</t>
  </si>
  <si>
    <t>2 5 8</t>
  </si>
  <si>
    <t>c8ed0f96-dd20-4758-9533-80748135f77a</t>
  </si>
  <si>
    <t>1 4 6 7 8 10</t>
  </si>
  <si>
    <t>8 1 2 4</t>
  </si>
  <si>
    <t>1 2 4 8</t>
  </si>
  <si>
    <t>dfb09eef-1fa6-4165-a858-4a27aae8f0fe</t>
  </si>
  <si>
    <t>1 10 6</t>
  </si>
  <si>
    <t>1 2 5 8</t>
  </si>
  <si>
    <t>8 2 1</t>
  </si>
  <si>
    <t>3 5</t>
  </si>
  <si>
    <t>93d7662a-5a3c-422c-afc7-a82d318d2575</t>
  </si>
  <si>
    <t>2 3 8</t>
  </si>
  <si>
    <t>1 4 7 6 10</t>
  </si>
  <si>
    <t>b3152c2d-75f3-4a7e-84a7-6892aa2579a3</t>
  </si>
  <si>
    <t>1 2 8 4</t>
  </si>
  <si>
    <t>e8ab8958-540e-46be-9eb2-fe6b0858825b</t>
  </si>
  <si>
    <t>1 2 4 6</t>
  </si>
  <si>
    <t>8 2</t>
  </si>
  <si>
    <t>1 2 6</t>
  </si>
  <si>
    <t>a4be280b-c0cf-4edb-8b89-c305a4ab0503</t>
  </si>
  <si>
    <t>1 4 6 7</t>
  </si>
  <si>
    <t>2 8 4</t>
  </si>
  <si>
    <t>1 3</t>
  </si>
  <si>
    <t>1 5</t>
  </si>
  <si>
    <t>a1c34173-05af-4549-b705-3a7faec0214e</t>
  </si>
  <si>
    <t>7 4 1 2 6</t>
  </si>
  <si>
    <t>1 2 5 99</t>
  </si>
  <si>
    <t>14c27678-89b4-49d5-91a2-7e489b1a8ef3</t>
  </si>
  <si>
    <t>1 2 3 5 8</t>
  </si>
  <si>
    <t>1 2 5</t>
  </si>
  <si>
    <t>7f0eee78-36dc-4c63-ad52-e671799433e8</t>
  </si>
  <si>
    <t>1 2 5 6 10</t>
  </si>
  <si>
    <t>ebdf6388-a4f9-480e-b21d-125887cebe4e</t>
  </si>
  <si>
    <t>2 1</t>
  </si>
  <si>
    <t>1 2 4</t>
  </si>
  <si>
    <t>676dae4f-7f11-4b0e-8aa9-2413c8af3f17</t>
  </si>
  <si>
    <t>2 1 3 5</t>
  </si>
  <si>
    <t>c26908ee-c899-4d49-8fee-cae054ac8947</t>
  </si>
  <si>
    <t>1 4</t>
  </si>
  <si>
    <t>6b9ac6a2-1a1d-49a2-9605-4305c41bd7e7</t>
  </si>
  <si>
    <t>0be421eb-bd46-4151-b837-cab911ebacfe</t>
  </si>
  <si>
    <t>1 2 4 10</t>
  </si>
  <si>
    <t>fc58494f-3c02-4524-9470-8ae1503695b6</t>
  </si>
  <si>
    <t>e183fbd8-91ed-4e56-94de-13241b1178d6</t>
  </si>
  <si>
    <t>1 2 8 5</t>
  </si>
  <si>
    <t>ce2fb8da-fd03-42a5-a146-91894b229558</t>
  </si>
  <si>
    <t>1 4 6 99</t>
  </si>
  <si>
    <t>1 5 8 4</t>
  </si>
  <si>
    <t>1 2 5 8 99</t>
  </si>
  <si>
    <t>c310c893-4439-47c7-823a-234d6261be7a</t>
  </si>
  <si>
    <t>4 1 6</t>
  </si>
  <si>
    <t>6ca7865a-3432-46c4-9547-62cf2a42f242</t>
  </si>
  <si>
    <t>a4786d22-c3c0-43e7-be29-9cd7d950ed89</t>
  </si>
  <si>
    <t>1 4 10</t>
  </si>
  <si>
    <t>1c0496a2-90cd-419a-9102-074f50e1e2a2</t>
  </si>
  <si>
    <t>1 6</t>
  </si>
  <si>
    <t>8 5</t>
  </si>
  <si>
    <t>5 8</t>
  </si>
  <si>
    <t>1 6 7</t>
  </si>
  <si>
    <t>7 1</t>
  </si>
  <si>
    <t>63e4416c-81ea-419e-866b-b991f8d2c3d6</t>
  </si>
  <si>
    <t>1 8</t>
  </si>
  <si>
    <t>1 2 8</t>
  </si>
  <si>
    <t>8221b80a-bd84-45d8-a2f4-0a5e2ea43ee5</t>
  </si>
  <si>
    <t>2 1 4</t>
  </si>
  <si>
    <t>3 1</t>
  </si>
  <si>
    <t>24e17c5e-13ae-4958-a04c-c9d769d7d45e</t>
  </si>
  <si>
    <t>1 6 8 10</t>
  </si>
  <si>
    <t>8 1 2 5</t>
  </si>
  <si>
    <t>8 3</t>
  </si>
  <si>
    <t>ffb88ea6-d8d5-4b6e-bdc2-361cb5e78e2a</t>
  </si>
  <si>
    <t>6 8</t>
  </si>
  <si>
    <t>4 8</t>
  </si>
  <si>
    <t>ba8e9477-6ba1-48a5-a89a-be9c4c129a96</t>
  </si>
  <si>
    <t>1 6 10</t>
  </si>
  <si>
    <t>1 10</t>
  </si>
  <si>
    <t>6 7</t>
  </si>
  <si>
    <t>64d34765-12da-4e3c-914d-fad26fea6ca4</t>
  </si>
  <si>
    <t>1 8 7 99 2</t>
  </si>
  <si>
    <t>28ec0dba-9a0a-4c60-8f55-e32761d13862</t>
  </si>
  <si>
    <t>8 1 6 7</t>
  </si>
  <si>
    <t>ca71bcef-f098-4c5a-9179-822abfe71e58</t>
  </si>
  <si>
    <t>008ec043-aa1b-4545-8787-8f244e95e4d7</t>
  </si>
  <si>
    <t>b204f992-c3d0-41d8-af27-ea8e497960db</t>
  </si>
  <si>
    <t>5 8 2</t>
  </si>
  <si>
    <t>2 7</t>
  </si>
  <si>
    <t>1 7 6</t>
  </si>
  <si>
    <t>2c936282-ca0f-4ffe-adcc-fd09ab32a030</t>
  </si>
  <si>
    <t>1 2 3 5 7 8</t>
  </si>
  <si>
    <t>0c50663a-7f58-4011-8674-59fd838bf7b4</t>
  </si>
  <si>
    <t>1 2 4 7 6</t>
  </si>
  <si>
    <t>1 4 8</t>
  </si>
  <si>
    <t>e97a017f-ce42-475f-b019-6b939bcc6bfc</t>
  </si>
  <si>
    <t>2 8 1</t>
  </si>
  <si>
    <t>3fad10c1-99cd-468d-842c-b42c154f3f9c</t>
  </si>
  <si>
    <t>1 8 3</t>
  </si>
  <si>
    <t>d3663a92-1998-4ef7-92bf-ce404cce9b92</t>
  </si>
  <si>
    <t>1107bfed-3068-4308-a49c-6989bc4ae4f2</t>
  </si>
  <si>
    <t>1 2 6 7</t>
  </si>
  <si>
    <t>1 5 8</t>
  </si>
  <si>
    <t>f3132cf7-a410-4603-9551-9e17f2fedb8d</t>
  </si>
  <si>
    <t>4 1 7</t>
  </si>
  <si>
    <t>8 1</t>
  </si>
  <si>
    <t>8 3 1</t>
  </si>
  <si>
    <t>6be8c56d-47f3-458f-9909-7c13cc0022a3</t>
  </si>
  <si>
    <t>7 1 4 10</t>
  </si>
  <si>
    <t>1 3 4</t>
  </si>
  <si>
    <t>1 7 4</t>
  </si>
  <si>
    <t>cb812f2d-54e4-428a-afe0-4508bd063d96</t>
  </si>
  <si>
    <t>1 6 8 7</t>
  </si>
  <si>
    <t>6ae6c297-7bfc-42aa-b89e-b466f63f2d84</t>
  </si>
  <si>
    <t>8 1 2</t>
  </si>
  <si>
    <t>91f8fa21-cd1f-4337-a40e-8a7742eeaa51</t>
  </si>
  <si>
    <t>6 1 4</t>
  </si>
  <si>
    <t>4225a3c8-9287-4df7-acc5-c5123b41d23e</t>
  </si>
  <si>
    <t>1 2 3 4 6 8 7</t>
  </si>
  <si>
    <t>1 3 5 7 8</t>
  </si>
  <si>
    <t>af1572d5-2a5f-4f89-8f10-3a45a4eb65c3</t>
  </si>
  <si>
    <t>2 4 7 8 1 10</t>
  </si>
  <si>
    <t>3 2 5 8</t>
  </si>
  <si>
    <t>4f91b1e3-9616-46a3-9ed8-5bbb3e95ed63</t>
  </si>
  <si>
    <t>1 4 6 7 8 9 10</t>
  </si>
  <si>
    <t>3 2 1 5 8</t>
  </si>
  <si>
    <t>93d674aa-d0a9-47b2-a954-01de33fd7753</t>
  </si>
  <si>
    <t>1 2 6 4 7</t>
  </si>
  <si>
    <t>2 3 5 1</t>
  </si>
  <si>
    <t>a1f71cb9-ae09-4ded-b3bd-f71121a747e4</t>
  </si>
  <si>
    <t>1 4 7 9 10</t>
  </si>
  <si>
    <t>1 8 3 5</t>
  </si>
  <si>
    <t>3 1 8 5</t>
  </si>
  <si>
    <t>cec04439-ce7d-4b24-86f1-fe5072318cdb</t>
  </si>
  <si>
    <t>1 4 7 6</t>
  </si>
  <si>
    <t>1 3 5 8</t>
  </si>
  <si>
    <t>43c12265-71fa-425f-b3dd-6f87f6730b64</t>
  </si>
  <si>
    <t>1 4 6 7 10 9</t>
  </si>
  <si>
    <t>dd6a790f-0609-4e8f-b466-27412617478e</t>
  </si>
  <si>
    <t>1 4 6 8 10</t>
  </si>
  <si>
    <t>1 3 2 5 8 4</t>
  </si>
  <si>
    <t>1947bd4d-536d-443c-a6fb-d1ff47dad35b</t>
  </si>
  <si>
    <t>1 2 4 7 10 9</t>
  </si>
  <si>
    <t>1 3 5 8 4</t>
  </si>
  <si>
    <t>17c77b46-0317-441f-a4ec-77653061837e</t>
  </si>
  <si>
    <t>1 4 6 10 7</t>
  </si>
  <si>
    <t>1 3 5 4 8</t>
  </si>
  <si>
    <t>5229e300-c46e-4c9a-bc88-c440ffc76c98</t>
  </si>
  <si>
    <t>1 4 7 9</t>
  </si>
  <si>
    <t>1 3 8 4 5 2</t>
  </si>
  <si>
    <t>9ba548d0-2960-44f0-9405-6166ba8f9371</t>
  </si>
  <si>
    <t>1 4 6 7 2 10</t>
  </si>
  <si>
    <t>1 3 2 5 7</t>
  </si>
  <si>
    <t>4f871e4e-9a4e-4c24-855d-0eaaf9bbc496</t>
  </si>
  <si>
    <t>1 4 6 2 7</t>
  </si>
  <si>
    <t>2 4 8 1</t>
  </si>
  <si>
    <t>6face0f6-8235-4a3f-aae2-96c7689d0987</t>
  </si>
  <si>
    <t>2 1 8</t>
  </si>
  <si>
    <t>e7a7df52-4b6d-44ab-bdc9-329e78c052db</t>
  </si>
  <si>
    <t>2 1 4 8</t>
  </si>
  <si>
    <t>c2910c1f-ee16-4e9b-b08f-636283d9edab</t>
  </si>
  <si>
    <t>1c26532c-d6f7-4e9c-9626-19fb8230001c</t>
  </si>
  <si>
    <t>1 2 6 10 7</t>
  </si>
  <si>
    <t>1 2 4 5 8</t>
  </si>
  <si>
    <t>1 2 4 8 5</t>
  </si>
  <si>
    <t>e99b48ed-e399-42f1-be91-15c6911fdb37</t>
  </si>
  <si>
    <t>1 2 4 6 10</t>
  </si>
  <si>
    <t>13dc70ad-8daa-4a53-9454-a73069d4b827</t>
  </si>
  <si>
    <t>1 4 10 6</t>
  </si>
  <si>
    <t>8b5208a0-40de-4137-9077-f5fdbff838f4</t>
  </si>
  <si>
    <t>c34c8a8a-555d-4f8a-83b1-e3bc4a219ab3</t>
  </si>
  <si>
    <t>4 1 7 6</t>
  </si>
  <si>
    <t>1 4 8 2</t>
  </si>
  <si>
    <t>14726c43-02e7-4086-93ef-5bab16913030</t>
  </si>
  <si>
    <t>f7cb9641-fa8f-48a9-bdba-c1de07a8ac59</t>
  </si>
  <si>
    <t>6 7 1 4</t>
  </si>
  <si>
    <t>c45d8911-e7b7-4a2a-b032-63eb6e7a400d</t>
  </si>
  <si>
    <t>99222913-70c4-4ec8-be18-2a4bc983f1d0</t>
  </si>
  <si>
    <t>8beb0502-3b2d-46fa-894c-f357b310c5f7</t>
  </si>
  <si>
    <t>254069d3-86b0-482a-a714-26dbdfac814c</t>
  </si>
  <si>
    <t>de3badeb-89a2-4284-a479-29e4f45328dc</t>
  </si>
  <si>
    <t>4 1 6 3 10</t>
  </si>
  <si>
    <t>2 5</t>
  </si>
  <si>
    <t>94355c19-980b-4b40-8a14-f757b7cf6662</t>
  </si>
  <si>
    <t>6 10 1</t>
  </si>
  <si>
    <t>45f5a3e1-ae59-4d69-8ed0-420479eb1010</t>
  </si>
  <si>
    <t>1 6 4</t>
  </si>
  <si>
    <t>c09a85bc-af90-4d0d-b8fc-70462d121022</t>
  </si>
  <si>
    <t>6 1</t>
  </si>
  <si>
    <t>1 2 4 5</t>
  </si>
  <si>
    <t>81a5b342-1dfb-4440-98d2-512e5ade39ef</t>
  </si>
  <si>
    <t>5bb66fc0-9fe3-41df-9ab2-32b62f0ed50d</t>
  </si>
  <si>
    <t>5 1 2 8</t>
  </si>
  <si>
    <t>afe1d5b4-19c3-44df-8226-2ddfa0aec33e</t>
  </si>
  <si>
    <t>faf46577-538e-4f19-a68c-c541b9161f52</t>
  </si>
  <si>
    <t>f9a8cd36-627d-4ba0-ad90-5b0fcb5de1fd</t>
  </si>
  <si>
    <t>8 7 1</t>
  </si>
  <si>
    <t>2cb7a10d-f3b1-465e-a758-9ef93652d91f</t>
  </si>
  <si>
    <t>54b76799-04f7-4a90-8697-d2dee5a80b3a</t>
  </si>
  <si>
    <t>d84dd71a-3677-47ec-992b-774a4a3a3cf1</t>
  </si>
  <si>
    <t>1 7 10 99</t>
  </si>
  <si>
    <t>1 99</t>
  </si>
  <si>
    <t>94342eb5-9831-4fd1-b08f-e9b8e96f2df1</t>
  </si>
  <si>
    <t>a2db94d5-a70e-4f2c-9a97-2e096f3e712c</t>
  </si>
  <si>
    <t>1 2 5 4 8</t>
  </si>
  <si>
    <t>5 4 8</t>
  </si>
  <si>
    <t>6ddfb75e-3b34-461f-b853-f180bb997642</t>
  </si>
  <si>
    <t>8a53cbd0-213a-4e82-ba57-c9508554edbb</t>
  </si>
  <si>
    <t>8 10 6 7</t>
  </si>
  <si>
    <t>8 1 4</t>
  </si>
  <si>
    <t>bee927e7-6089-4633-a0e3-fad37cdd08ff</t>
  </si>
  <si>
    <t>1 2 4 8 7 10</t>
  </si>
  <si>
    <t>1 2 8 3</t>
  </si>
  <si>
    <t>5d3256e1-7933-4fea-8a28-02388c8f38c9</t>
  </si>
  <si>
    <t>1 6 10 7</t>
  </si>
  <si>
    <t>4 2 8</t>
  </si>
  <si>
    <t>5f967aff-ed8f-4e30-b315-ce5857ba9cbd</t>
  </si>
  <si>
    <t>1 2 4 10 7</t>
  </si>
  <si>
    <t>1 8 2</t>
  </si>
  <si>
    <t>2 1 8 5</t>
  </si>
  <si>
    <t>7959e02b-9cfb-4b02-849c-b8514c8f2a15</t>
  </si>
  <si>
    <t>7 1 4</t>
  </si>
  <si>
    <t>2 1 8 3</t>
  </si>
  <si>
    <t>feb865f2-3ced-42f1-b6d3-e040343b06cd</t>
  </si>
  <si>
    <t>8 2 4 6</t>
  </si>
  <si>
    <t>3a41179f-7b8d-444e-9936-e6ffc2f4a71c</t>
  </si>
  <si>
    <t>1 2 6 7 9</t>
  </si>
  <si>
    <t>1 2 4 3 8</t>
  </si>
  <si>
    <t>b49371c0-05f4-4d80-ab65-777d9f657cde</t>
  </si>
  <si>
    <t>20720fb1-36a0-4a3f-82d7-d1ca0755a35d</t>
  </si>
  <si>
    <t>878bc0aa-9188-4410-97e3-a4ba4e6cb20c</t>
  </si>
  <si>
    <t>09414d09-9207-402f-90ce-a373e713af01</t>
  </si>
  <si>
    <t>8 4</t>
  </si>
  <si>
    <t>8922abbc-c657-4868-b02b-229f7f678143</t>
  </si>
  <si>
    <t>1 2 4 7 8 9 10</t>
  </si>
  <si>
    <t>1 2 3 4 8 5</t>
  </si>
  <si>
    <t>edb575ea-b97d-4498-8485-a2843f5ab9d9</t>
  </si>
  <si>
    <t>1 4 7 6 8 9 10</t>
  </si>
  <si>
    <t>1 2 3 5 8 7</t>
  </si>
  <si>
    <t>92f2ad18-f2de-4671-9d89-5c7bc22fd37e</t>
  </si>
  <si>
    <t>2 7 5</t>
  </si>
  <si>
    <t>963c9291-d08a-446c-8701-85a770601007</t>
  </si>
  <si>
    <t>2d7d8b94-bc1c-423d-aa66-ac41f8f959a4</t>
  </si>
  <si>
    <t>1 3 4 7 10</t>
  </si>
  <si>
    <t>70dc46d7-1060-4b58-835f-24795f57314d</t>
  </si>
  <si>
    <t>1 3 4 8 5</t>
  </si>
  <si>
    <t>9cd496ec-88a1-4451-9314-16ae2e73af0e</t>
  </si>
  <si>
    <t>2 4 7 10 6</t>
  </si>
  <si>
    <t>7be614e3-229e-4124-8561-b93c8ea4a813</t>
  </si>
  <si>
    <t>2 4 7 10 1</t>
  </si>
  <si>
    <t>1 3 2 5 8</t>
  </si>
  <si>
    <t>3 1 2 5 8</t>
  </si>
  <si>
    <t>4609b225-dc70-4921-9469-2f915dc47305</t>
  </si>
  <si>
    <t>c154d1fb-0ef2-4f56-90d9-5600a0171b7c</t>
  </si>
  <si>
    <t>5 3 1</t>
  </si>
  <si>
    <t>ed7a2929-5432-4e68-8e8b-b1969aff9cf1</t>
  </si>
  <si>
    <t>2476564b-c489-42df-8228-0524de210ac4</t>
  </si>
  <si>
    <t>8 4 2 1</t>
  </si>
  <si>
    <t>2 1 5 8</t>
  </si>
  <si>
    <t>aef3826b-9ca7-4f3e-8dfe-b2ca90c730c6</t>
  </si>
  <si>
    <t>83f4f588-c84f-447c-b993-45f513537abe</t>
  </si>
  <si>
    <t>a806969d-6592-4e1e-a38e-7053b2f6ab7c</t>
  </si>
  <si>
    <t>dbe72e3b-8b49-4389-bfea-af3ea61bc051</t>
  </si>
  <si>
    <t>4 1 6 2 10</t>
  </si>
  <si>
    <t>2 1 8 4</t>
  </si>
  <si>
    <t>3fa68de5-a2ef-4dfe-abcb-ad08b3586ff4</t>
  </si>
  <si>
    <t>1 2 3 4 6 7</t>
  </si>
  <si>
    <t>2 8 1 4</t>
  </si>
  <si>
    <t>b2d823e1-5558-45a9-b8ca-ef0ab3693080</t>
  </si>
  <si>
    <t>039c6344-2cf3-48a0-8359-086bd2523494</t>
  </si>
  <si>
    <t>605febb0-fb8a-4c93-953f-6b73d41bc76e</t>
  </si>
  <si>
    <t>d29ca2cd-d191-4266-95b2-c4d52be61365</t>
  </si>
  <si>
    <t>6c22dbbf-21c7-47cc-98db-c8ca0ce76c54</t>
  </si>
  <si>
    <t>5b635f21-d57a-4e4d-af1d-0317ad74ef1a</t>
  </si>
  <si>
    <t>1 5 2</t>
  </si>
  <si>
    <t>1 4 99</t>
  </si>
  <si>
    <t>ce39d116-dfa5-497f-a8a7-caceb79b694d</t>
  </si>
  <si>
    <t>4 1 2 5</t>
  </si>
  <si>
    <t>3489a9c8-7712-4181-bad8-2e9f50159c91</t>
  </si>
  <si>
    <t>2 1 4 6 10 3</t>
  </si>
  <si>
    <t>17cde654-e92a-417e-b24c-938896954fef</t>
  </si>
  <si>
    <t>6470142c-bf01-45a8-b257-f6ded5523cb8</t>
  </si>
  <si>
    <t>aeca001a-eb5e-485c-b6eb-3f6cb81eeb4e</t>
  </si>
  <si>
    <t>b77f932a-0644-41c2-b171-f02f163b9d0d</t>
  </si>
  <si>
    <t>3 5 1</t>
  </si>
  <si>
    <t>86d1fe03-1fa1-485d-99d8-4014993ec330</t>
  </si>
  <si>
    <t>ac66ac9e-fcf1-4478-b4e9-15a48baf4741</t>
  </si>
  <si>
    <t>8 10</t>
  </si>
  <si>
    <t>f3be7497-1e74-49fb-bbab-8f48a37d2b4e</t>
  </si>
  <si>
    <t>2 7 10</t>
  </si>
  <si>
    <t>d1223662-3e85-4083-87dc-df71c683c852</t>
  </si>
  <si>
    <t>ca728775-9a8e-4613-9192-2231491c7611</t>
  </si>
  <si>
    <t>fb51007d-1448-4ed9-babd-e5900f7cdd0a</t>
  </si>
  <si>
    <t>0e764f4f-6d01-46c6-8f08-fae53154dbf0</t>
  </si>
  <si>
    <t>2 1 99</t>
  </si>
  <si>
    <t>1d7cac5f-256b-4748-ae1f-9fd5759e260c</t>
  </si>
  <si>
    <t>f0f26434-cd53-411c-b2e2-ecaba3dfb3c5</t>
  </si>
  <si>
    <t>86f0ba74-5128-4d28-9d81-884b31eba4af</t>
  </si>
  <si>
    <t>1 7 10 4 6</t>
  </si>
  <si>
    <t>98e3ae17-44d2-4185-87f7-76e22f32453a</t>
  </si>
  <si>
    <t>3 2 8</t>
  </si>
  <si>
    <t>69aa0e23-81e5-4ef1-80ce-6aa3dc6fa070</t>
  </si>
  <si>
    <t>1 7 4 10</t>
  </si>
  <si>
    <t>8 2 3 1</t>
  </si>
  <si>
    <t>8 1 3</t>
  </si>
  <si>
    <t>cf2e7cac-4a25-4c9e-a4ca-de068887f1e9</t>
  </si>
  <si>
    <t>6 4</t>
  </si>
  <si>
    <t>754138ee-e527-422f-a044-5db83f4511ba</t>
  </si>
  <si>
    <t>1 2 3 8 4</t>
  </si>
  <si>
    <t>99af9e41-6b34-4547-98e5-f025f96ad3e8</t>
  </si>
  <si>
    <t>a5036716-a96f-4f1a-9842-c4fabc6d4d0f</t>
  </si>
  <si>
    <t>3 2 1</t>
  </si>
  <si>
    <t>3a7adc49-f3f6-4092-a1bc-905f6a292cc8</t>
  </si>
  <si>
    <t>fa1b2f7c-59c4-499a-aed6-a3f8cd09dc59</t>
  </si>
  <si>
    <t>2e96f98b-5e16-4087-ab47-c33305fcf0e6</t>
  </si>
  <si>
    <t>8f2e59a4-0050-4c8c-b77d-d9a7a1c04bc9</t>
  </si>
  <si>
    <t>030f7089-73cb-4b3a-b24c-58b6f0f6549c</t>
  </si>
  <si>
    <t>c9680507-bec6-41e4-a4be-c0bb0d9cdc03</t>
  </si>
  <si>
    <t>1 4 6 7 9 8 10</t>
  </si>
  <si>
    <t>1 2 3 5 8 7 4</t>
  </si>
  <si>
    <t>f16dc048-cb43-44b8-abc7-3cf1d7fd9876</t>
  </si>
  <si>
    <t>1 3 5 4 8 2</t>
  </si>
  <si>
    <t>2 1 3 4 5 8</t>
  </si>
  <si>
    <t>8da1da87-ea79-4772-bbd0-ea8800578395</t>
  </si>
  <si>
    <t>1 3 7</t>
  </si>
  <si>
    <t>d01ed6b8-a574-4079-9d8c-2bafd76d3221</t>
  </si>
  <si>
    <t>1 2 3 5 8 4</t>
  </si>
  <si>
    <t>8c19fa5b-d7c3-47e9-8f07-8a2147284347</t>
  </si>
  <si>
    <t>6fe703a3-05a0-4e6a-ba7c-c5f4a55a5425</t>
  </si>
  <si>
    <t>1 2 4 7</t>
  </si>
  <si>
    <t>6bf1a07d-e084-4f8a-8db7-c2fc190efb6d</t>
  </si>
  <si>
    <t>01a2a745-1544-422d-af68-c7e2913ac5ba</t>
  </si>
  <si>
    <t>1 4 7 9 10 6</t>
  </si>
  <si>
    <t>3 1 8 5 2</t>
  </si>
  <si>
    <t>faad49db-32ce-4d1b-9d84-75f9084f857d</t>
  </si>
  <si>
    <t>2 5 8 1</t>
  </si>
  <si>
    <t>2cb2edc5-824c-4486-a701-d305e770b103</t>
  </si>
  <si>
    <t>4 1 2 6</t>
  </si>
  <si>
    <t>2 8 5</t>
  </si>
  <si>
    <t>d371a28b-d77d-40ba-a926-75ade31b1620</t>
  </si>
  <si>
    <t>1 4 6 9 7</t>
  </si>
  <si>
    <t>b76f452f-cdbc-44f7-9419-e48763433e5c</t>
  </si>
  <si>
    <t>1 5 8 2</t>
  </si>
  <si>
    <t>301ae09f-6f5f-40b8-9f73-2ece38cf32ab</t>
  </si>
  <si>
    <t>f9e42fc1-2ee5-402a-a6c9-b4d596b9df6a</t>
  </si>
  <si>
    <t>661033da-52d4-4158-afb9-052b216025c8</t>
  </si>
  <si>
    <t>7ed90dc0-66cd-462a-849d-c0c8b10786f3</t>
  </si>
  <si>
    <t>095413bb-e182-4438-b346-150e70369864</t>
  </si>
  <si>
    <t>8 4 2</t>
  </si>
  <si>
    <t>f1a7e5bd-d247-4210-8b79-fd690af2acc6</t>
  </si>
  <si>
    <t>bd722e8c-3924-4f0c-87d9-3e47cc77a4fb</t>
  </si>
  <si>
    <t>1 2 4 10 6</t>
  </si>
  <si>
    <t>d9c82ad4-d32d-4b80-8667-913f2f6481c0</t>
  </si>
  <si>
    <t>dd88d90e-d11f-46da-9552-b4f8c6887c08</t>
  </si>
  <si>
    <t>90ac8a26-cce5-4d0b-adfe-f3b9d2ba172a</t>
  </si>
  <si>
    <t>41ea393a-ed71-488d-9ddd-827a4c1a588b</t>
  </si>
  <si>
    <t>861315a2-3a95-477d-b155-d175d17b008e</t>
  </si>
  <si>
    <t>126bb965-9fe0-4777-8132-2510d7c7a5f9</t>
  </si>
  <si>
    <t>4 2 1 7</t>
  </si>
  <si>
    <t>a63ec1aa-e46a-465a-b101-86819c7b8838</t>
  </si>
  <si>
    <t>0bdcaf01-fe03-4fc6-91ef-d2b1138c3695</t>
  </si>
  <si>
    <t>10 1 4</t>
  </si>
  <si>
    <t>2 4 5</t>
  </si>
  <si>
    <t>7ca81c0f-1e1e-42c8-a05b-db8f82f8a0df</t>
  </si>
  <si>
    <t>5 2</t>
  </si>
  <si>
    <t>1885760e-e848-418d-a76d-b26d782a01ae</t>
  </si>
  <si>
    <t>1 7 8 99</t>
  </si>
  <si>
    <t>2 8 5 4</t>
  </si>
  <si>
    <t>2 1 5 4 8</t>
  </si>
  <si>
    <t>2d924360-a3d8-427e-8f91-d04b5ad487b3</t>
  </si>
  <si>
    <t>8 3 1 2</t>
  </si>
  <si>
    <t>3f94df1f-b7b5-47cf-8176-b2b111eb3680</t>
  </si>
  <si>
    <t>8 5 3</t>
  </si>
  <si>
    <t>7 8</t>
  </si>
  <si>
    <t>6c3c73a2-b426-4116-8352-efbb2057d658</t>
  </si>
  <si>
    <t>24c8757e-a365-4ba2-b444-fb1be9afb0fc</t>
  </si>
  <si>
    <t>8 6 5</t>
  </si>
  <si>
    <t>3bb232ba-8233-4940-b080-fae4978c69e8</t>
  </si>
  <si>
    <t>7411b4eb-c17a-4c6e-874e-aa7cc7a5b1b5</t>
  </si>
  <si>
    <t>46d853b4-6f13-4ac7-9854-a46bcf396d63</t>
  </si>
  <si>
    <t>60248eed-df83-455c-896e-da34c501f162</t>
  </si>
  <si>
    <t>1 8 7</t>
  </si>
  <si>
    <t>82076ab7-c431-46af-af5e-2a1f296678a4</t>
  </si>
  <si>
    <t>de4f13c7-21bb-4522-90e3-66cbff29655c</t>
  </si>
  <si>
    <t>1 2 8 6</t>
  </si>
  <si>
    <t>c23beef2-215c-4cdf-b33f-77e6550387b9</t>
  </si>
  <si>
    <t>1 7 4 6</t>
  </si>
  <si>
    <t>2 8 3</t>
  </si>
  <si>
    <t>f422a844-aace-48d8-a5bc-03acc9612eeb</t>
  </si>
  <si>
    <t>2 3 8 1</t>
  </si>
  <si>
    <t>8dd612e0-8ace-4846-b659-9847b08cd906</t>
  </si>
  <si>
    <t>1fac1b5f-0d8c-4d24-9580-65f46d5cb964</t>
  </si>
  <si>
    <t>6 4 1</t>
  </si>
  <si>
    <t>46b2ac28-71d4-4dea-9109-197fd4ce3b8f</t>
  </si>
  <si>
    <t>477eeb76-83b0-4e29-a2a5-91d228a83571</t>
  </si>
  <si>
    <t>a4a57199-5eae-4a29-9f85-3dbe3ab573c9</t>
  </si>
  <si>
    <t>42dd79c2-9383-4778-93e6-69cb96bec13f</t>
  </si>
  <si>
    <t>2a6c9a95-91bf-4b18-9b6f-91dba8aa3395</t>
  </si>
  <si>
    <t>1 6 4 7</t>
  </si>
  <si>
    <t>9514dd70-2e3b-4840-94f8-f37d0e2851ad</t>
  </si>
  <si>
    <t>1 4 7 8</t>
  </si>
  <si>
    <t>720332cd-add2-4b3c-ae3a-0114f0457815</t>
  </si>
  <si>
    <t>4 1 7 8</t>
  </si>
  <si>
    <t>8fe23753-ff79-4ee9-bbc3-ec2c89fa76d8</t>
  </si>
  <si>
    <t>2 4</t>
  </si>
  <si>
    <t>0ab98eea-261b-478b-818f-b03363c00540</t>
  </si>
  <si>
    <t>c41e3e0b-2ab7-4fcb-bc25-d55edaaca13d</t>
  </si>
  <si>
    <t>4 1 2 10 6</t>
  </si>
  <si>
    <t>e01f6cf7-b469-4188-a7fe-54e4643557c7</t>
  </si>
  <si>
    <t>4 2 7 1</t>
  </si>
  <si>
    <t>7c2b7380-1496-48cb-b3c9-d31a031595d8</t>
  </si>
  <si>
    <t>1 2 6 7 4</t>
  </si>
  <si>
    <t>1 5 2 8 3</t>
  </si>
  <si>
    <t>ce1f8c7c-405e-46d5-808d-e513744810e4</t>
  </si>
  <si>
    <t>1 4 7 10 6 8</t>
  </si>
  <si>
    <t>503a58bc-699c-4c65-84cb-cf44b1e0f0d2</t>
  </si>
  <si>
    <t>63a09f8c-fdd5-4224-90fc-2aaaaf92f02b</t>
  </si>
  <si>
    <t>a18a7068-223e-42df-a50f-ad071b24a51c</t>
  </si>
  <si>
    <t>7299f783-4a03-4bef-87d9-50d67f13c3fa</t>
  </si>
  <si>
    <t>1 2 4 3 5 6 7</t>
  </si>
  <si>
    <t>efe6c157-7c94-41bf-9238-845980ad4313</t>
  </si>
  <si>
    <t>a6bf3794-346d-41da-8af6-8fdd255e8145</t>
  </si>
  <si>
    <t>1 3 6 10 7</t>
  </si>
  <si>
    <t>1 5 2 4 8</t>
  </si>
  <si>
    <t>e71b7bcd-7d6c-4fdc-9af1-4d913384b69b</t>
  </si>
  <si>
    <t>174957dc-f0fd-4361-a33c-339cfaab9b3c</t>
  </si>
  <si>
    <t>4 2</t>
  </si>
  <si>
    <t>028ce90d-973a-41f7-837d-8b490e0491b5</t>
  </si>
  <si>
    <t>cd1ee8ef-851d-48d6-8f25-97930a486b7d</t>
  </si>
  <si>
    <t>1 4 10 7 6</t>
  </si>
  <si>
    <t>8 4 1</t>
  </si>
  <si>
    <t>86ea60be-eaff-4b83-a3f3-10f7080bc46f</t>
  </si>
  <si>
    <t>5708c9f9-73a1-4ba0-aba1-5e59ed989cde</t>
  </si>
  <si>
    <t>11f5edcf-e9a8-4166-b900-4fe95d4181db</t>
  </si>
  <si>
    <t>10d346b0-67ed-48c5-9240-8cc0ce6caede</t>
  </si>
  <si>
    <t>8800f9d2-9468-455b-80c8-4e32a52eac7f</t>
  </si>
  <si>
    <t>1 6 7 4</t>
  </si>
  <si>
    <t>9e6db17f-d2f0-4eef-8c0d-bd91bb4c3f96</t>
  </si>
  <si>
    <t>1 10 4 6</t>
  </si>
  <si>
    <t>1 4 5</t>
  </si>
  <si>
    <t>f19cc1ba-d9d6-42ff-9a6f-b1223136b4a0</t>
  </si>
  <si>
    <t>6 2 1 4</t>
  </si>
  <si>
    <t>8c60e83f-1052-4ec3-bcdd-4d63a742ddb7</t>
  </si>
  <si>
    <t>3fec4c25-d4af-43f4-8979-f74fb42aefc7</t>
  </si>
  <si>
    <t>1 10 2 4</t>
  </si>
  <si>
    <t>557d11d3-7f4f-4427-aab4-6a975fec1530</t>
  </si>
  <si>
    <t>d90223a5-13ee-484b-a1a1-895a7f292b87</t>
  </si>
  <si>
    <t>06aae68e-59f9-4ea9-8c07-0983d7b076e9</t>
  </si>
  <si>
    <t>2 8 7 6</t>
  </si>
  <si>
    <t>f8573d2d-51b6-4e44-8236-b0859d18a746</t>
  </si>
  <si>
    <t>5136c042-8cc2-481f-a546-b771ab1b8f20</t>
  </si>
  <si>
    <t>7 6 10</t>
  </si>
  <si>
    <t>0945c4f5-6641-4fe4-9a54-1a292f2267e2</t>
  </si>
  <si>
    <t>9ca5ae43-d960-4c17-98cd-94cd938e8802</t>
  </si>
  <si>
    <t>6792f75f-2dfc-47ae-acfa-ff47039524a3</t>
  </si>
  <si>
    <t>1 2 6 8</t>
  </si>
  <si>
    <t>1 2 5 8 4</t>
  </si>
  <si>
    <t>45afc520-1bed-4f8c-8cb6-c7c3e1ad1dcc</t>
  </si>
  <si>
    <t>76cc6691-1ead-46bb-a6e5-7a825b16097a</t>
  </si>
  <si>
    <t>475d798c-ab12-4d60-9f9f-fbad4623e7a3</t>
  </si>
  <si>
    <t>6 7 8 10</t>
  </si>
  <si>
    <t>d69c6b9f-343b-4cc0-a3c6-3e5df5883cf4</t>
  </si>
  <si>
    <t>653b1def-4b18-441f-8809-cd5606c6afcc</t>
  </si>
  <si>
    <t>1 7 6 10</t>
  </si>
  <si>
    <t>15fd28cb-1a6c-4ff9-8dbe-332a6330a82a</t>
  </si>
  <si>
    <t>d4d56b64-29c5-46bb-b2c0-635bdbd56933</t>
  </si>
  <si>
    <t>1 4 3 10 5 6</t>
  </si>
  <si>
    <t>23a43d88-d668-49c2-873b-23ac5cbbb4db</t>
  </si>
  <si>
    <t>9865a941-75e5-4421-aef3-b6a349785dde</t>
  </si>
  <si>
    <t>6b13527d-dd3c-4a62-bfcd-6324ff02fd82</t>
  </si>
  <si>
    <t>41800180-9ff8-4c0f-ab01-20e1f5a07787</t>
  </si>
  <si>
    <t>56d2c6c2-909f-44bd-b2ec-c15f77acfc9b</t>
  </si>
  <si>
    <t>b7705828-f97b-4337-96d7-42ef56f19cc4</t>
  </si>
  <si>
    <t>6aa6c922-4b3b-4789-a3ae-8acc32ac8ac2</t>
  </si>
  <si>
    <t>index</t>
  </si>
  <si>
    <t>Difference</t>
  </si>
  <si>
    <t>English</t>
  </si>
  <si>
    <t>Doers</t>
  </si>
  <si>
    <t>vulnerability</t>
  </si>
  <si>
    <t>severity</t>
  </si>
  <si>
    <t>Français</t>
  </si>
  <si>
    <t>Pratiquants</t>
  </si>
  <si>
    <t>Non-doers</t>
  </si>
  <si>
    <t>Non-pratiquants</t>
  </si>
  <si>
    <t>Différence</t>
  </si>
  <si>
    <t>Nbre de réponses</t>
  </si>
  <si>
    <t>feelings</t>
  </si>
  <si>
    <t>Data header</t>
  </si>
  <si>
    <t>tag</t>
  </si>
  <si>
    <t>Interface language:
Langue de l'interface:</t>
  </si>
  <si>
    <t>lang1</t>
  </si>
  <si>
    <t>lang2</t>
  </si>
  <si>
    <t>lang3</t>
  </si>
  <si>
    <t>lang4</t>
  </si>
  <si>
    <t>lang5</t>
  </si>
  <si>
    <t>chartLabel</t>
  </si>
  <si>
    <t>langSpecLabel</t>
  </si>
  <si>
    <t>noTranslation</t>
  </si>
  <si>
    <t>(no translation)</t>
  </si>
  <si>
    <t>(pas de traduction)</t>
  </si>
  <si>
    <t>doers</t>
  </si>
  <si>
    <t>nondoers</t>
  </si>
  <si>
    <t>difference</t>
  </si>
  <si>
    <t>numDoers</t>
  </si>
  <si>
    <t>numNondoers</t>
  </si>
  <si>
    <t>value</t>
  </si>
  <si>
    <t>maxRowNum</t>
  </si>
  <si>
    <t>maxColNum</t>
  </si>
  <si>
    <t>DOERS/NON-DOERS TABLE</t>
  </si>
  <si>
    <t>numTotal</t>
  </si>
  <si>
    <t>Chart language:</t>
  </si>
  <si>
    <t>Español</t>
  </si>
  <si>
    <t>Vulnérabilité</t>
  </si>
  <si>
    <t>Sévérité</t>
  </si>
  <si>
    <t>Contrôle de l'action</t>
  </si>
  <si>
    <t>numResponses</t>
  </si>
  <si>
    <t># of responses</t>
  </si>
  <si>
    <t>UI TRANSLATION TABLE</t>
  </si>
  <si>
    <t>Cutoff level</t>
  </si>
  <si>
    <t>cutoffLevel</t>
  </si>
  <si>
    <t>Niveau de seuil</t>
  </si>
  <si>
    <t>langSpecText</t>
  </si>
  <si>
    <t>displayedText</t>
  </si>
  <si>
    <t>languageList</t>
  </si>
  <si>
    <t>languageHeaders</t>
  </si>
  <si>
    <t>numLanguages</t>
  </si>
  <si>
    <t>Vulnerabilidad</t>
  </si>
  <si>
    <t>Diferencia</t>
  </si>
  <si>
    <t>maxAbsDiff</t>
  </si>
  <si>
    <t>Nivel límite</t>
  </si>
  <si>
    <t>LANGUAGE TABLE</t>
  </si>
  <si>
    <t>In this table:</t>
  </si>
  <si>
    <t>configDataHeader</t>
  </si>
  <si>
    <t>cutoffLevelText</t>
  </si>
  <si>
    <t>langSpecCutoff</t>
  </si>
  <si>
    <t>factor</t>
  </si>
  <si>
    <t>Factor</t>
  </si>
  <si>
    <t>Facteur</t>
  </si>
  <si>
    <t>factorHeader</t>
  </si>
  <si>
    <t>Factor #</t>
  </si>
  <si>
    <t>factorColNum</t>
  </si>
  <si>
    <t>numFactors</t>
  </si>
  <si>
    <t>Dans ce tableau:</t>
  </si>
  <si>
    <t>This menu defines which of the built-in languages is used for the user interface.</t>
  </si>
  <si>
    <t>Ce menu désigne laquelle des langues prédéfinies est utilisée pour l'interface utilisateur.</t>
  </si>
  <si>
    <t>Langue des graphiques:</t>
  </si>
  <si>
    <t>Facteur nº</t>
  </si>
  <si>
    <t>En-tête de données</t>
  </si>
  <si>
    <t>Nº de respuestas</t>
  </si>
  <si>
    <t>behaviourHeader</t>
  </si>
  <si>
    <t>minScore</t>
  </si>
  <si>
    <t>maxScore</t>
  </si>
  <si>
    <t>RANASBlock</t>
  </si>
  <si>
    <t>configBehaviourTitle</t>
  </si>
  <si>
    <t>configBehaviourNum</t>
  </si>
  <si>
    <t>Behaviour #</t>
  </si>
  <si>
    <t>configMinScore</t>
  </si>
  <si>
    <t>configMaxScore</t>
  </si>
  <si>
    <t>configNumResponses</t>
  </si>
  <si>
    <t>Score min.</t>
  </si>
  <si>
    <t>Min. score</t>
  </si>
  <si>
    <t>Max. score</t>
  </si>
  <si>
    <t>Score max.</t>
  </si>
  <si>
    <t>numBlanks</t>
  </si>
  <si>
    <t>numScores</t>
  </si>
  <si>
    <t>numBlankScores</t>
  </si>
  <si>
    <t>configNumBlanks</t>
  </si>
  <si>
    <t># of blank responses</t>
  </si>
  <si>
    <t>Nbre de réponses vides</t>
  </si>
  <si>
    <t>configNumScores</t>
  </si>
  <si>
    <t>configNumBlankScores</t>
  </si>
  <si>
    <t># of scores</t>
  </si>
  <si>
    <t>Nbre de scores</t>
  </si>
  <si>
    <t># of blank scores</t>
  </si>
  <si>
    <t>Nbre de scores vides</t>
  </si>
  <si>
    <t>dataRefColNum</t>
  </si>
  <si>
    <t>numEntries</t>
  </si>
  <si>
    <t>ⓘ The number of (non-blank) responses and the number of blank responses can be different for different questions if some respondents did not answer certain questions. In such a case, the behaviour score could be based on a different number of questions for different respondents.</t>
  </si>
  <si>
    <t>FACTORS TABLE</t>
  </si>
  <si>
    <t>BEHAVIOUR TABLE</t>
  </si>
  <si>
    <t>behaviourColNum</t>
  </si>
  <si>
    <t>behaviour1</t>
  </si>
  <si>
    <t>behaviour2</t>
  </si>
  <si>
    <t>behaviour3</t>
  </si>
  <si>
    <t>behaviour4</t>
  </si>
  <si>
    <t>CUTOFF LEVEL TABLE</t>
  </si>
  <si>
    <t>label</t>
  </si>
  <si>
    <t>absDiff</t>
  </si>
  <si>
    <t>cutoffLevelRecommended</t>
  </si>
  <si>
    <t>cutoffLevelRecomText</t>
  </si>
  <si>
    <t>Behaviour score</t>
  </si>
  <si>
    <t>Score de comportement</t>
  </si>
  <si>
    <t>behaviourScore</t>
  </si>
  <si>
    <t>langSpecBehaviourScore</t>
  </si>
  <si>
    <t>percentResponses</t>
  </si>
  <si>
    <t>% de réponses</t>
  </si>
  <si>
    <t>% de respuestas</t>
  </si>
  <si>
    <t>langSpecNumResponses</t>
  </si>
  <si>
    <t>langSpecPercentResponses</t>
  </si>
  <si>
    <t>percentNondoers</t>
  </si>
  <si>
    <t>percentDoers</t>
  </si>
  <si>
    <t>isDoer</t>
  </si>
  <si>
    <t>Norms</t>
  </si>
  <si>
    <t>Risks</t>
  </si>
  <si>
    <t>Attitudes</t>
  </si>
  <si>
    <t>Abilities</t>
  </si>
  <si>
    <t>Self-regulation</t>
  </si>
  <si>
    <t>action_control</t>
  </si>
  <si>
    <t>action_knowledge</t>
  </si>
  <si>
    <t>action_planning</t>
  </si>
  <si>
    <t>barrier1</t>
  </si>
  <si>
    <t>barrier2</t>
  </si>
  <si>
    <t>benefits</t>
  </si>
  <si>
    <t>conf_continuation</t>
  </si>
  <si>
    <t>conf_performance</t>
  </si>
  <si>
    <t>costs</t>
  </si>
  <si>
    <t>health_knowledge</t>
  </si>
  <si>
    <t>others_approval</t>
  </si>
  <si>
    <t>others_behaviour</t>
  </si>
  <si>
    <t>personal_importance</t>
  </si>
  <si>
    <t>remembering</t>
  </si>
  <si>
    <t>RANAS</t>
  </si>
  <si>
    <t>Obstacles 1</t>
  </si>
  <si>
    <t>Obstacles 2</t>
  </si>
  <si>
    <t>Display?</t>
  </si>
  <si>
    <t>% of responses</t>
  </si>
  <si>
    <t>YES/NO TABLE</t>
  </si>
  <si>
    <t>yes</t>
  </si>
  <si>
    <t>no</t>
  </si>
  <si>
    <t>✔</t>
  </si>
  <si>
    <t>✘</t>
  </si>
  <si>
    <t>↘ |diff|</t>
  </si>
  <si>
    <t>RANAS BLOCKS TABLE</t>
  </si>
  <si>
    <t>meanScore</t>
  </si>
  <si>
    <t>Score moyen normalisé</t>
  </si>
  <si>
    <t>risks</t>
  </si>
  <si>
    <t>Risques</t>
  </si>
  <si>
    <t>attitudes</t>
  </si>
  <si>
    <t>norms</t>
  </si>
  <si>
    <t>Normes</t>
  </si>
  <si>
    <t>abilities</t>
  </si>
  <si>
    <t>Capacités</t>
  </si>
  <si>
    <t>selfRegulation</t>
  </si>
  <si>
    <t>Autorégulation</t>
  </si>
  <si>
    <t>Self-regulation / Autorégulation</t>
  </si>
  <si>
    <t>Risks / Risques</t>
  </si>
  <si>
    <t>Abilities / Capacités</t>
  </si>
  <si>
    <t>Norms / Normes</t>
  </si>
  <si>
    <t>SORT MENU TABLE</t>
  </si>
  <si>
    <t>none</t>
  </si>
  <si>
    <t>relDiff</t>
  </si>
  <si>
    <t>—</t>
  </si>
  <si>
    <t>↘ diff</t>
  </si>
  <si>
    <t>Data sorting:</t>
  </si>
  <si>
    <t>Include?</t>
  </si>
  <si>
    <t>include</t>
  </si>
  <si>
    <t>includeConfig</t>
  </si>
  <si>
    <t>display</t>
  </si>
  <si>
    <t>filteredIndex</t>
  </si>
  <si>
    <t>hasValue</t>
  </si>
  <si>
    <t>sortedIndex</t>
  </si>
  <si>
    <t>langSpecFactor</t>
  </si>
  <si>
    <t>displayedFactor</t>
  </si>
  <si>
    <t>noRANASBlock</t>
  </si>
  <si>
    <t>(RANAS block missing)</t>
  </si>
  <si>
    <t>(Bloc RANAS manquant)</t>
  </si>
  <si>
    <t>displayedRANASBlock</t>
  </si>
  <si>
    <t>RANAS block</t>
  </si>
  <si>
    <t>Bloc RANAS</t>
  </si>
  <si>
    <t>Riesgo</t>
  </si>
  <si>
    <t>Actitud</t>
  </si>
  <si>
    <t>Normas</t>
  </si>
  <si>
    <t>Habilidad</t>
  </si>
  <si>
    <t>sortedNumTotal</t>
  </si>
  <si>
    <t>sortedNondoers</t>
  </si>
  <si>
    <t>sortedDoers</t>
  </si>
  <si>
    <t>sortedDifference</t>
  </si>
  <si>
    <t>RANASTag</t>
  </si>
  <si>
    <t>relDiffRank</t>
  </si>
  <si>
    <t>absDiffRank</t>
  </si>
  <si>
    <t>RANASRank</t>
  </si>
  <si>
    <t>numFactorsThreshold</t>
  </si>
  <si>
    <t>numFactorsChart1</t>
  </si>
  <si>
    <t>numFactorsChart2</t>
  </si>
  <si>
    <t>RANASIndex</t>
  </si>
  <si>
    <t>sortingMethodTag</t>
  </si>
  <si>
    <t>YaxisLimits</t>
  </si>
  <si>
    <t>langSpecMeanScore</t>
  </si>
  <si>
    <t>ERROR MESSAGES TABLE</t>
  </si>
  <si>
    <t>condition</t>
  </si>
  <si>
    <t>langSpecError</t>
  </si>
  <si>
    <t>dataNotFound</t>
  </si>
  <si>
    <t>(data not found)</t>
  </si>
  <si>
    <t>(données introuvables)</t>
  </si>
  <si>
    <t>configRANASBlock</t>
  </si>
  <si>
    <t>errorMessages</t>
  </si>
  <si>
    <t>displayConfig</t>
  </si>
  <si>
    <t>Y-AXIS LIMITS TABLE</t>
  </si>
  <si>
    <t>configBehaviourInclude</t>
  </si>
  <si>
    <t>Inclure?</t>
  </si>
  <si>
    <t>Afficher?</t>
  </si>
  <si>
    <t>configNumRespInfo</t>
  </si>
  <si>
    <t>ⓘ Le nombre de réponses (non vides) et le nombre de réponses vides peuvent être différents pour différentes questions si certains répondants n'ont pas répondu à certaines questions. Dans ce cas, le score de comportement pourrait être basé sur un nombre différent de questions pour différents répondants.</t>
  </si>
  <si>
    <t>configNumScoresInfo</t>
  </si>
  <si>
    <t>analysisDataSorting</t>
  </si>
  <si>
    <t>Tri des données:</t>
  </si>
  <si>
    <t>cutoffTitle</t>
  </si>
  <si>
    <t>analysisTitle</t>
  </si>
  <si>
    <t>configErrorMessages</t>
  </si>
  <si>
    <t>Error Messages</t>
  </si>
  <si>
    <t>Messages d'erreur</t>
  </si>
  <si>
    <t>Sentiments</t>
  </si>
  <si>
    <t>CAUTION: If you paste data in these tables, please make sure that you PASTE VALUES ONLY (e.g., with a right-click). Otherwise, you might erase the special formatting used to highlight errors.</t>
  </si>
  <si>
    <t>ATTENTION: Si vous collez des données dans ces tableaux, veillez à COLLER UNIQUEMENT LES VALEURS (par exemple avec un clic droit). Autrement, vous risquez d'effacer le formatage spécial qui permet de signaler les erreurs.</t>
  </si>
  <si>
    <t>Normalised mean score</t>
  </si>
  <si>
    <t>errorMessageNotice</t>
  </si>
  <si>
    <t>Comportement nº</t>
  </si>
  <si>
    <t>c. You MUST define, for each factor, the RANAS block to which it belongs by selecting it from the drop-down menu in the corresponding column.</t>
  </si>
  <si>
    <t>dummyColumn1</t>
  </si>
  <si>
    <t>configImportTitle</t>
  </si>
  <si>
    <t>configImportText1</t>
  </si>
  <si>
    <t>configImportText2</t>
  </si>
  <si>
    <t>configImportText3</t>
  </si>
  <si>
    <t>configPasteWarning</t>
  </si>
  <si>
    <t>configBehaviourText1</t>
  </si>
  <si>
    <t>Le comportement cible est mesuré par un score de comportement pour chaque répondant, basé sur ses réponses aux questions «comportement» de l'enquête. Jusqu'à 5 questions peuvent être définies dans le tableau ci-dessous pour calculer le score de comportement (ou des groupes de questions précalculées dans le questionnaire en faisant la moyenne de plusieurs questions). Le RANAS Analyser calcule le score de comportement de chaque répondant en normalisant son score pour chaque question sur une échelle de 0 à 100 % et en faisant la moyenne.</t>
  </si>
  <si>
    <t>configBehaviourText2</t>
  </si>
  <si>
    <t>configBehaviourText3</t>
  </si>
  <si>
    <t>configBehaviourText4</t>
  </si>
  <si>
    <t>configFactorsTitle</t>
  </si>
  <si>
    <t>configFactorsText1</t>
  </si>
  <si>
    <t>configFactorsText2</t>
  </si>
  <si>
    <t>configFactorsText3</t>
  </si>
  <si>
    <t>configFactorsText4</t>
  </si>
  <si>
    <t>c. Vous DEVEZ définir, pour chaque facteur, le bloc RANAS auquel il appartient en le sélectionnant dans le menu déroulant de la colonne correspondante.</t>
  </si>
  <si>
    <t>configFactorsText5</t>
  </si>
  <si>
    <t>configFactorsText6</t>
  </si>
  <si>
    <t>configFactorsText7</t>
  </si>
  <si>
    <t>configChartsTitle</t>
  </si>
  <si>
    <t>configChartsText1</t>
  </si>
  <si>
    <t>Vous DEVEZ fournir des traductions pour les éléments de texte des graphiques et des tableaux de données, mais seulement si vous avez sélectionné une langue définie par l'utilisateur dans le menu «Langue des graphiques». Les cellules dont les traductions sont manquantes apparaîssent en rouge.</t>
  </si>
  <si>
    <t>You MUST provide translations for the text elements of charts and data tables, but only if you have selected a user-defined language in the "Chart language" menu. Cells with missing translations appear in red.</t>
  </si>
  <si>
    <t>Selecting the doer / non-doer cutoff level</t>
  </si>
  <si>
    <t>Sélection du niveau de seuil pratiquant / non-pratiquant.</t>
  </si>
  <si>
    <t>cutoffText1</t>
  </si>
  <si>
    <t>The chart on the left shows the distribution of the behaviour score for all respondents for whom a score could be computed (i.e., they answered at least one of the selected "behaviour" questions). As indicated by the two colours, the bars in this chart are split between non-doers (low scores) and doers (high scores), depending on the value of the cutoff level.</t>
  </si>
  <si>
    <t>Le graphique de gauche montre la distribution du score de comportement pour tous les répondants pour lesquels un score a pu être calculé (c'est-à-dire qu'ils ont répondu à au moins une des questions «comportement» sélectionnées). Comme indiqué par les deux couleurs, les barres du graphique sont séparées entre non-pratiquants (scores faibles) et pratiquants (scores élevés), en fonction de la valeur du niveau de seuil.</t>
  </si>
  <si>
    <t>cutoffText2</t>
  </si>
  <si>
    <t>cutoffText3</t>
  </si>
  <si>
    <t>Le graphique de droite montre la répartition correspondante entre non-pratiquants et pratiquants, en pourcentage du nombre total de répondants pour lesquels un score a pu être calculé, ainsi que la différence entre les deux groupes.</t>
  </si>
  <si>
    <t>The chart on the right displays the resulting split between non-doers and doers as a percentage of the total number of respondents for whom a score could be computed, as well as the difference between both groups.</t>
  </si>
  <si>
    <t>Doer / Non-doer analysis</t>
  </si>
  <si>
    <t>Analyse pratiquant / non-pratiquant</t>
  </si>
  <si>
    <t>analysisText1</t>
  </si>
  <si>
    <t>analysisText2</t>
  </si>
  <si>
    <t>The factors for which the difference between non-doers and doers is the largest (in absolute value) are the most important ones. They are the critical factors that should be targeted through behaviour change techniques (BCTs).</t>
  </si>
  <si>
    <t>Les facteurs pour lesquels la différence entre non-pratiquants et pratiquants est la plus grande (en valeur absolue) sont les plus importants. Ce sont les facteurs critiques qui doivent être ciblés par les techniques de changement de comportement (TCC).</t>
  </si>
  <si>
    <t>analysisText3</t>
  </si>
  <si>
    <t>The table below the charts contains the displayed values. As a visual aid, the cells in the "Difference" column are coloured with a more intense hue for larger (absolute) values.</t>
  </si>
  <si>
    <t>Le tableau situé sous les graphiques contient les valeurs affichées. À titre d'aide visuelle, plus la valeur (absolue) de la colonne «Différence» est grande, plus la couleur de la cellule est intense.</t>
  </si>
  <si>
    <t>configInThisTable</t>
  </si>
  <si>
    <t>configFactorsDisplay</t>
  </si>
  <si>
    <t>configFactorsNum</t>
  </si>
  <si>
    <t>Attitudes / Attitudes</t>
  </si>
  <si>
    <t>The value of one or more cells in the "Include?" column of the "Behaviour" table is invalid or missing (red cells). Please select a value from the drop-down menu for these cells.</t>
  </si>
  <si>
    <t>The value of one or more cells in the "Min. score" / "Max. score" columns of the "Behaviour" table is invalid or missing (red cells). Make sure to enter numerical values and that "Min. score" &lt; "Max. score".</t>
  </si>
  <si>
    <t>Some translations are missing in the "Translations for charts and data tables" table (red cells). Please complete them.</t>
  </si>
  <si>
    <t>Certaines traductions sont manquantes dans le tableau «Traductions pour les graphiques et les tableaux de données» (cellules rouges). Veuillez les compléter.</t>
  </si>
  <si>
    <t>La valeur d'une ou plusieurs cellules dans la colonne «Inclure?» du tableau «Comportement» n'est pas valable ou manquante (cellules rouges). Veuillez sélectionner une valeur dans le menu déroulant pour ces cellules.</t>
  </si>
  <si>
    <t>La valeur d'une ou plusieurs cellules dans les colonnes «Score min.» / «Score max.» du tableau «Comportement» n'est pas valable ou manquante (cellules rouges). Veuillez saisir des valeurs numériques et faites attention à ce que «Score min.» &lt; «Score max.».</t>
  </si>
  <si>
    <t>analysisSortIntro</t>
  </si>
  <si>
    <t>analysisSort1</t>
  </si>
  <si>
    <t>analysisSort2</t>
  </si>
  <si>
    <t>analysisSort3</t>
  </si>
  <si>
    <t>analysisSort4</t>
  </si>
  <si>
    <t>The factors are sorted in descending order of the RELATIVE value of "Difference", i.e., from the most positive difference to the most negative difference.</t>
  </si>
  <si>
    <t>The factors are sorted in descending order of the ABSOLUTE value of "Difference", i.e., the largest differences come first, regardless of their sign, and the smallest come last.</t>
  </si>
  <si>
    <t>The factors are grouped by RANAS block.</t>
  </si>
  <si>
    <t>Les facteurs sont triés par ordre décroissant de la valeur RELATIVE de «Différence», c'est-à-dire de la différence la plus positive à la plus négative.</t>
  </si>
  <si>
    <t>Les facteurs sont triés par ordre décroissant de la valeur ABSOLUE de «Différence», c'est-à-dire que les plus grandes différences viennent en premier, quel que soit leur signe, et les plus petites en dernier.</t>
  </si>
  <si>
    <t>Les facteurs sont regroupés par bloc RANAS.</t>
  </si>
  <si>
    <t>—:</t>
  </si>
  <si>
    <t>↘ diff:</t>
  </si>
  <si>
    <t>↘ |diff|:</t>
  </si>
  <si>
    <t>RANAS:</t>
  </si>
  <si>
    <t>Connaissance de l'action</t>
  </si>
  <si>
    <t>Coûts</t>
  </si>
  <si>
    <t>Connaissances sur la santé</t>
  </si>
  <si>
    <t>(Dés)approbation des autres</t>
  </si>
  <si>
    <t>Comportement des autres</t>
  </si>
  <si>
    <t>Importance personnelle</t>
  </si>
  <si>
    <t>Souvenir</t>
  </si>
  <si>
    <t>Le menu déroulant «Tri des données» au-dessus du graphique offre plusieurs options pour trier les facteurs:</t>
  </si>
  <si>
    <t>The "Data sorting" drop-down menu above the chart offers various options for sorting the factors:</t>
  </si>
  <si>
    <t>ⓘ The number of scores corresponds to the number of respondents who answered at least one SELECTED "behaviour" question (i.e., a score could be calculated). The number of blank scores is the number of respondents who answered none of the selected "behaviour" questions.</t>
  </si>
  <si>
    <t>ⓘ Le nombre de scores correspond au nombre de répondants ayant répondu à au moins une question «comportement» SÉLECTIONNÉE (c'est-à-dire qu'un score a pu être calculé). Le nombre de scores vides est le nombre de répondants qui n'ont répondu à aucune des questions «comportement» sélectionnées.</t>
  </si>
  <si>
    <t>sheetNameHiddenTables</t>
  </si>
  <si>
    <t>sheetNameConfiguration</t>
  </si>
  <si>
    <t>sheetNameCutoff</t>
  </si>
  <si>
    <t>sheetNameAnalysis</t>
  </si>
  <si>
    <t>localAddressParameter</t>
  </si>
  <si>
    <t>meta-instanceID</t>
  </si>
  <si>
    <t>copyChartInfo</t>
  </si>
  <si>
    <t>sheetNameData</t>
  </si>
  <si>
    <t>data</t>
  </si>
  <si>
    <t>ⓘ Si vous voulez faire une copie figée de ce tableau (p.ex. pour un rapport), les options les plus simples sont:
- Collez-le comme image NON LIÉE. La copie sera exactement comme l'original, mais puisqu'il s'agit d'une image, vous ne pourrez pas y sélectionner des valeurs.
- Si vous voulez avoir la possibilité de sélectionner des valeurs dans la copie, collez le tableau dans un document Word ou PowerPoint avec l'option «Conserver la mise en forme source».
- Si vous avez besoin du tableau dans une autre feuille Excel, copiez-le depuis le document Word ou PowerPoint et collez-le dans Excel, toujours avec l'option «Conserver la mise en forme source».</t>
  </si>
  <si>
    <t>ⓘ If you want to make a static copy of a chart (e.g., for reporting), the simplest options are:
- Paste it as a NON-LINKED picture. The copy will look exactly like the original, but since it's a picture, you won't be able to edit it.
- Paste it into another spreadsheet with the option "Paste Special &gt; Keep Source Formatting". You can then modify this copy as you wish (size, colours,...) Finally, copy and paste this second chart as a non-linked picture into your destination document.
In any case, please don't EVER modify the original charts on the current sheet! 😊</t>
  </si>
  <si>
    <t>ⓘ If you want to make a static copy of this table (e.g., for reporting), the simplest options are:
- Paste it as a NON-LINKED picture. The copy will look exactly like the original, but since it's a picture, you won't be able to select values from it.
- If you want the possibility of selecting values in the copy, paste the table into a Word or PowerPoint document with the option "Keep Source Formatting".
- If you need the table in another Excel spreadsheet, copy it from the Word or PowerPoint document and paste it into Excel, again with the option "Keep Source Formatting".</t>
  </si>
  <si>
    <t>ⓘ Si vous voulez faire une copie figée d'un graphique (p.ex. pour un rapport), les options les plus simples sont:
- Collez-le comme image NON LIÉE. La copie sera exactement comme l'original, mais puisqu'il s'agit d'une image, vous ne pourrez pas la modifier.
- Collez-le dans une autre feuille Excel avec l'option «Collage spécial &gt; Conserver la mise en forme source». Vous pouvez alors modifier cette copie comme vous le souhaitez (taille, couleurs,...) Finalement, copiez et collez ce deuxième graphique comme image non liée dans votre document de destination.
Dans tous les cas, merci de ne JAMAIS modifier les graphiques d'origine sur la présente feuille! 😊</t>
  </si>
  <si>
    <t>Auto‐regulación</t>
  </si>
  <si>
    <t>Bloque RANAS</t>
  </si>
  <si>
    <t>Nota media normalizada</t>
  </si>
  <si>
    <t>0-9%</t>
  </si>
  <si>
    <t>10-19%</t>
  </si>
  <si>
    <t>20-29%</t>
  </si>
  <si>
    <t>30-39%</t>
  </si>
  <si>
    <t>40-49%</t>
  </si>
  <si>
    <t>50-59%</t>
  </si>
  <si>
    <t>60-69%</t>
  </si>
  <si>
    <t>70-79%</t>
  </si>
  <si>
    <t>80-89%</t>
  </si>
  <si>
    <t>90-100%</t>
  </si>
  <si>
    <t>minValue</t>
  </si>
  <si>
    <t>maxValue</t>
  </si>
  <si>
    <t>numNondoersBin</t>
  </si>
  <si>
    <t>numDoersBin</t>
  </si>
  <si>
    <t>You can adjust the cutoff level using the dedicated cell above the chart. In general, you should choose the value for which the number of non-doers and the number of doers are closest to each other, which is where their difference (in absolute value) is the smallest. This should give the best statistical results. This optimum value is given as a recommendation above the cell.</t>
  </si>
  <si>
    <t>Vous pouvez ajuster le niveau de seuil grâce à la cellule prévue à cet effet au-dessus du graphique. En général, vous devriez choisir le niveau pour lequel le nombre de non-pratiquants et le nombre de pratiquants sont les plus proches l'un de l'autre, c'est-à-dire où leur différence (en valeur absolue) est la plus faible. Cela devrait donner les meilleurs résultats statistiques Cette valeur optimale est donnée comme recommandation au-dessus de la cellule.</t>
  </si>
  <si>
    <t>selectedRank</t>
  </si>
  <si>
    <t>uniqueRank</t>
  </si>
  <si>
    <t>versionNumber</t>
  </si>
  <si>
    <t>(Excel 365 version)</t>
  </si>
  <si>
    <t>Languages / Langues</t>
  </si>
  <si>
    <t>Introduction</t>
  </si>
  <si>
    <t>introUILangText</t>
  </si>
  <si>
    <t>introChartLang</t>
  </si>
  <si>
    <t>introChartLangText</t>
  </si>
  <si>
    <t>introIntroTitle</t>
  </si>
  <si>
    <t>introIntroText1</t>
  </si>
  <si>
    <t>introIntroText2</t>
  </si>
  <si>
    <t>introIntroText3</t>
  </si>
  <si>
    <t>Ce projet a été développé par RANAS Ltd., Terre des hommes (Tdh) et le Consortium suisse pour l'eau et l'assainissement (SWSC).
Il a été cofinancé par SWSC et la Direction suisse du développement et de la coopération (DDC).
Les idées et opinions présentées dans ce document ne représentent pas nécessairement celles des agences de cofinancement susmentionnées.</t>
  </si>
  <si>
    <t>https://creativecommons.org/licenses/by-nc-nd/4.0/</t>
  </si>
  <si>
    <t>https://creativecommons.org/licenses/by-nc-nd/4.0/deed.fr</t>
  </si>
  <si>
    <t>introLinksTitle</t>
  </si>
  <si>
    <t>Links</t>
  </si>
  <si>
    <t>Liens</t>
  </si>
  <si>
    <t>introLinksText1</t>
  </si>
  <si>
    <t>introLinksText2</t>
  </si>
  <si>
    <t>ranasAnalyserLink</t>
  </si>
  <si>
    <t>License</t>
  </si>
  <si>
    <t>introLicenseTitle</t>
  </si>
  <si>
    <t>introLicenseText1</t>
  </si>
  <si>
    <t>For more information about the RANAS methodology, you can visit the RANAS website (in English, but some documents are available in other languages):</t>
  </si>
  <si>
    <t>Pour plus d'informations sur la méthodologie RANAS, rendez-vous sur le site web de RANAS (en anglais, mais certains documents sont disponibles dans d'autres langues):</t>
  </si>
  <si>
    <t>ranasWebsiteLink</t>
  </si>
  <si>
    <t>https://ranas.ch</t>
  </si>
  <si>
    <t>introCreditsTitle</t>
  </si>
  <si>
    <t>Credits</t>
  </si>
  <si>
    <t>introCreditsText1</t>
  </si>
  <si>
    <t>Crédits</t>
  </si>
  <si>
    <t>The latest version of this file and additional documentation are available at this link:</t>
  </si>
  <si>
    <t>La dernière version de ce fichier ainsi que de la documentation sont téléchargeables via ce lien:</t>
  </si>
  <si>
    <t>Licence</t>
  </si>
  <si>
    <t>introLicenseLink</t>
  </si>
  <si>
    <t>This project was developed by RANAS Ltd., Terre des hommes (Tdh) and the Swiss Water &amp; Sanitation Consortium (SWSC).
It was co-funded by SWSC and the Swiss Agency for Development and Cooperation (SDC).
The ideas and opinions presented in this document do not necessarily represent those of the aforementioned co-funding agencies.</t>
  </si>
  <si>
    <t>You can analyse up to 30 different RANAS factors simultaneously. Here again, one factor could represent a group of questions whose score is precomputed within the questionnaire (possibly pre-normalised), so be sure to enter the appropriate minimum and maximum scores for each entry.</t>
  </si>
  <si>
    <t>Vous pouvez analyser jusqu'à 30 facteurs RANAS simultanément. Là encore, un facteur peut représenter un groupe de questions dont le score est précalculé dans le questionnaire (éventuellement prénormalisé). Veillez donc à saisir les scores minimum et maximum appropriés pour chaque facteur.</t>
  </si>
  <si>
    <t>sheetNameIntroduction</t>
  </si>
  <si>
    <t>The charts below display the mean scores of non-doers and doers for each selected RANAS factor, as well as the difference between them.</t>
  </si>
  <si>
    <t>Les graphiques ci-dessous présentent les scores moyens des non-pratiquants et des pratiquants pour chaque facteur RANAS sélectionné, ainsi que la différence entre eux.</t>
  </si>
  <si>
    <t>La valeur d'une ou plusieurs cellules dans la colonne «Afficher?» du tableau «Facteurs RANAS» n'est pas valable ou manquante (cellules rouges). Veuillez sélectionner une valeur dans le menu déroulant pour ces cellules.</t>
  </si>
  <si>
    <t>La valeur d'une ou plusieurs cellules dans les colonnes «Score min.» / «Score max.» du tableau «Facteurs RANAS» n'est pas valable ou manquante (cellules rouges). Veuillez saisir des valeurs numériques et faites attention à ce que «Score min.» &lt; «Score max.».</t>
  </si>
  <si>
    <t>La valeur d'une ou plusieurs cellules dans la colonne «Bloc RANAS» du tableau «Facteurs RANAS» n'est pas valable ou manquante (cellules rouges). Veuillez sélectionner une valeur dans le menu déroulant pour ces cellules.</t>
  </si>
  <si>
    <t>The value of one or more cells in the "Display?" column of the "RANAS factors" table is invalid or missing (red cells). Please select a value from the drop-down menu for these cells.</t>
  </si>
  <si>
    <t>The value of one or more cells in the "Min. score" / "Max. score" columns of the "RANAS factors" table is invalid or missing (red cells). Make sure to enter numerical values and that "Min. score" &lt; "Max. score".</t>
  </si>
  <si>
    <t>The value of one or more cells in the "RANAS block" column of the "RANAS factors" table is invalid or missing (red cells). Please select a value from the drop-down menu for these cells.</t>
  </si>
  <si>
    <t>copyTableInfo</t>
  </si>
  <si>
    <t>chartDifferenceRange1</t>
  </si>
  <si>
    <t>chartDifferenceRange2</t>
  </si>
  <si>
    <t>chartDoersRange1</t>
  </si>
  <si>
    <t>chartDoersRange2</t>
  </si>
  <si>
    <t>chartFactorRange1</t>
  </si>
  <si>
    <t>chartFactorRange2</t>
  </si>
  <si>
    <t>chartLanguageList</t>
  </si>
  <si>
    <t>chartNondoersRange1</t>
  </si>
  <si>
    <t>chartNondoersRange2</t>
  </si>
  <si>
    <t>editableAreas</t>
  </si>
  <si>
    <t>=Configuration!$C$16:$C$20,Configuration!$E$16:$G$20,Configuration!$C$39:$C$68,Configuration!$E$39:$G$68,Configuration!$I$39:$N$68,Configuration!$L$37:$N$37,Configuration!$L$77:$N$91</t>
  </si>
  <si>
    <t>languageHeadersList</t>
  </si>
  <si>
    <t>=Configuration!$J$37:$N$37</t>
  </si>
  <si>
    <t>=XLOOKUP("no", yesNoTable[tag], yesNoTable[label])</t>
  </si>
  <si>
    <t>noLabel</t>
  </si>
  <si>
    <t>=RANASBlocksTable[label]</t>
  </si>
  <si>
    <t>RANASList</t>
  </si>
  <si>
    <t>=sortMenuTable[label]</t>
  </si>
  <si>
    <t>sortMenuList</t>
  </si>
  <si>
    <t>UILanguageList</t>
  </si>
  <si>
    <t>=XLOOKUP("yes", yesNoTable[tag], yesNoTable[label])</t>
  </si>
  <si>
    <t>yesLabel</t>
  </si>
  <si>
    <t>=yesNoTable[label]</t>
  </si>
  <si>
    <t>yesNoList</t>
  </si>
  <si>
    <t>Cutoff level:</t>
  </si>
  <si>
    <t>Niveau de seuil:</t>
  </si>
  <si>
    <t>demoPresentTitle</t>
  </si>
  <si>
    <t>demoPresentText1</t>
  </si>
  <si>
    <t>demoConfigTitle</t>
  </si>
  <si>
    <t>demoConfigText1</t>
  </si>
  <si>
    <t>demoConfigText2</t>
  </si>
  <si>
    <t>demoConfigText3</t>
  </si>
  <si>
    <t>demoConfigText4</t>
  </si>
  <si>
    <t>demoConfigText5</t>
  </si>
  <si>
    <t>demoCutoffTitle</t>
  </si>
  <si>
    <t>demoCutoffText1</t>
  </si>
  <si>
    <t>demoAnalysisTitle</t>
  </si>
  <si>
    <t>demoAnalysisText1</t>
  </si>
  <si>
    <t>Presentation of the demo file</t>
  </si>
  <si>
    <t>Présentation du fichier de démonstration</t>
  </si>
  <si>
    <t>demoAnalysisText2</t>
  </si>
  <si>
    <t>Analysing the RANAS factors</t>
  </si>
  <si>
    <t>Analyse des facteurs RANAS</t>
  </si>
  <si>
    <t>Three values are shown for each factor: the mean score of non-doers, the mean score of doers, and the difference between those two scores. By sorting the factors in descending order of the absolute difference (↘ |diff|), one can see both in the chart and in the table that, for our example, the 3 most important factors distinguishing non-doers and doers are:
- Remembering (-19.9%)
- Vulnerability (19.1%)
- Action planning (16.5%)
Those are the factors that should be targeted in priority during a behaviour change campaign.</t>
  </si>
  <si>
    <t>Planification de l'action</t>
  </si>
  <si>
    <t>Trois valeurs sont affichées pour chaque facteur: le score moyen des non-pratiquants, le score moyen des pratiquants, et la différence entre ces deux scores. En triant les facteurs par ordre décroissant de la différence absolue (↘ |diff|), on constate à la fois dans le graphique et dans le tableau que, dans notre exemple, les 3 facteurs les plus importants qui distinguent les non-pratiquants des pratiquants sont:
- Souvenir (-19.9%)
- Vulnérabilité (19.1%)
- Planification de l'action (16.5%)
Ce sont ces facteurs qui devront être ciblés en priorité lors d'une campagne de changement de comportement.</t>
  </si>
  <si>
    <t>Avantages</t>
  </si>
  <si>
    <t>Barreras 1</t>
  </si>
  <si>
    <t>Barreras 2</t>
  </si>
  <si>
    <t>Beneficios</t>
  </si>
  <si>
    <t>Costos</t>
  </si>
  <si>
    <t>Hacedores</t>
  </si>
  <si>
    <t>No hacedores</t>
  </si>
  <si>
    <t>Control de acciones</t>
  </si>
  <si>
    <t>Confiance dans la poursuite</t>
  </si>
  <si>
    <t>Confiance dans la performance</t>
  </si>
  <si>
    <t>Conocimiento de salud</t>
  </si>
  <si>
    <t>Severidad</t>
  </si>
  <si>
    <t>Sentimientos</t>
  </si>
  <si>
    <t>Comportamiento de los demás</t>
  </si>
  <si>
    <t>(Des)aprobación de los demás</t>
  </si>
  <si>
    <t>Importancia personal</t>
  </si>
  <si>
    <t>Confianza en el desempeño</t>
  </si>
  <si>
    <t>Confianza en la continuidad</t>
  </si>
  <si>
    <t>Planificación de acciones</t>
  </si>
  <si>
    <t>Conocimiento de acciones</t>
  </si>
  <si>
    <t>Recordar</t>
  </si>
  <si>
    <t>Nota de comportamiento</t>
  </si>
  <si>
    <t>1.0.1</t>
  </si>
  <si>
    <t>formula</t>
  </si>
  <si>
    <t>=IF(NOT(ISERROR(CELL("address",A1))), "address",
    IF(NOT(ISERROR(CELL("adresse",A1))), "adresse",
      IF(NOT(ISERROR(CELL("Adresse",A1))), "Adresse",
        IF(NOT(ISERROR(CELL("DIRECCIÓN",A1))), "DIRECCIÓN", NA())
      )
    )
  )</t>
  </si>
  <si>
    <t>=IFERROR(
    SUBSTITUTE(
      TEXTBEFORE(
        TEXTAFTER(CELL(localAddressParameter, UILanguage), "]", -1),
        IF(
          LEFT(CELL(localAddressParameter, UILanguage))="'",
          "'!",
          "!"
        ), -1
      ), "''", "'"
    ), "Introduction"
  )</t>
  </si>
  <si>
    <t>=IFERROR(
    SUBSTITUTE(
      TEXTBEFORE(
        TEXTAFTER(CELL(localAddressParameter, behaviourConfigTable), "]", -1),
        IF(
          LEFT(CELL(localAddressParameter, behaviourConfigTable))="'",
          "'!",
          "!"
        ), -1
      ), "''", "'"
    ), "Configuration"
  )</t>
  </si>
  <si>
    <t>=IFERROR(
    SUBSTITUTE(
      TEXTBEFORE(
        TEXTAFTER(CELL(localAddressParameter, cutoffLevel), "]", -1),
        IF(
          LEFT(CELL(localAddressParameter, cutoffLevel))="'",
          "'!",
          "!"
        ), -1
      ), "''", "'"
    ), "Cutoff - Seuil"
  )</t>
  </si>
  <si>
    <t>=IFERROR(
    SUBSTITUTE(
      TEXTBEFORE(
        TEXTAFTER(CELL(localAddressParameter, sortingMethod), "]", -1),
        IF(
          LEFT(CELL(localAddressParameter, sortingMethod))="'",
          "'!",
          "!"
        ), -1
      ), "''", "'"
    ), "Analysis"
  )</t>
  </si>
  <si>
    <t>=MAX(factorsTable[absDiff])</t>
  </si>
  <si>
    <t>=TEXTJOIN(CHAR(10) &amp; CHAR(10), TRUE, errorMessagesTable[langSpecError])</t>
  </si>
  <si>
    <t>type</t>
  </si>
  <si>
    <t>legacyFormula</t>
  </si>
  <si>
    <t>=IFERROR(
    SUBSTITUTE(
      REPLACE(
        LEFT(
          CELL(localAddressParameter, UILanguage),
          MAX(
            IF(
              MID(CELL(localAddressParameter, UILanguage), ROW($1:$1093), 1)="!",
              ROW($1:$1093),
              0
            )
          ) - IF(LEFT(CELL(localAddressParameter, UILanguage), 1)="'", 2, 1)
        ), 1,
        MAX(
          IF(
            MID(CELL(localAddressParameter, UILanguage), ROW($1:$1093), 1)="]",
            ROW($1:$1093),
            0
          )
        ), ""
      ), "''", "'"
    ), "Introduction"
  )</t>
  </si>
  <si>
    <t>=IFERROR(
    SUBSTITUTE(
      REPLACE(
        LEFT(
          CELL(localAddressParameter, behaviourConfigTable),
          MAX(
            IF(
              MID(CELL(localAddressParameter, behaviourConfigTable), ROW($1:$1093), 1)="!",
              ROW($1:$1093),
              0
            )
          ) - IF(LEFT(CELL(localAddressParameter, behaviourConfigTable), 1)="'", 2, 1)
        ), 1,
        MAX(
          IF(
            MID(CELL(localAddressParameter, behaviourConfigTable), ROW($1:$1093), 1)="]",
            ROW($1:$1093),
            0
          )
        ), ""
      ), "''", "'"
    ), "Configuration"
  )</t>
  </si>
  <si>
    <t>=IFERROR(
    SUBSTITUTE(
      REPLACE(
        LEFT(
          CELL(localAddressParameter, cutoffLevel),
          MAX(
            IF(
              MID(CELL(localAddressParameter, cutoffLevel), ROW($1:$1093), 1)="!",
              ROW($1:$1093),
              0
            )
          ) - IF(LEFT(CELL(localAddressParameter, cutoffLevel), 1)="'", 2, 1)
        ), 1,
        MAX(
          IF(
            MID(CELL(localAddressParameter, cutoffLevel), ROW($1:$1093), 1)="]",
            ROW($1:$1093),
            0
          )
        ), ""
      ), "''", "'"
    ), "Cutoff - Seuil"
  )</t>
  </si>
  <si>
    <t>=IFERROR(
    SUBSTITUTE(
      REPLACE(
        LEFT(
          CELL(localAddressParameter, sortingMethod),
          MAX(
            IF(
              MID(CELL(localAddressParameter, sortingMethod), ROW($1:$1093), 1)="!",
              ROW($1:$1093),
              0
            )
          ) - IF(LEFT(CELL(localAddressParameter, sortingMethod), 1)="'", 2, 1)
        ), 1,
        MAX(
          IF(
            MID(CELL(localAddressParameter, sortingMethod), ROW($1:$1093), 1)="]",
            ROW($1:$1093),
            0
          )
        ), ""
      ), "''", "'"
    ), "Analysis"
  )</t>
  </si>
  <si>
    <t>=INDEX(sortMenuTable[tag], MATCH(sortingMethod, sortMenuTable[label], 0))</t>
  </si>
  <si>
    <t>=INDEX(chartTranslationTable[displayedText], MATCH("cutoffLevel", chartTranslationTable[tag], 0))</t>
  </si>
  <si>
    <t>=INDEX(chartTranslationTable[displayedText], MATCH("behaviourScore", chartTranslationTable[tag], 0))</t>
  </si>
  <si>
    <t>=INDEX(chartTranslationTable[displayedText], MATCH("numResponses", chartTranslationTable[tag], 0))</t>
  </si>
  <si>
    <t>=INDEX(chartTranslationTable[displayedText], MATCH("percentResponses", chartTranslationTable[tag], 0))</t>
  </si>
  <si>
    <t>concatErrors</t>
  </si>
  <si>
    <t>=IF(
    COUNT(errorMessagesTable[filteredIndex]) = 0,
    "",
    INDEX(errorMessagesTable[concatErrors], COUNT(errorMessagesTable[filteredIndex]))
  )</t>
  </si>
  <si>
    <t>STRUCTURED FORMULAE TABLE</t>
  </si>
  <si>
    <t>UITranslateForValueTable</t>
  </si>
  <si>
    <t>=LAMBDA(value,
    IF(
      value = "",
      "",
      value
    )
  )</t>
  </si>
  <si>
    <t>KeepBlanksFunction</t>
  </si>
  <si>
    <t>User-defined function</t>
  </si>
  <si>
    <t>=LAMBDA(valueRef,referenceCol,table,tableHeader,
    IF(
      valueRef = "",
      "",
      LET(
        translationColIndex,
        IFERROR(
          MATCH(UILanguage, tableHeader, 0),
          MATCH("English", tableHeader, 0)
        ),
        translationCol,
        INDEX(table, 0, translationColIndex),
        valueTranslated,
        KeepBlanksFunction(
          XLOOKUP(
            valueRef,
            referenceCol,
            translationCol,#REF!,
            0
          )
        ),
        valueTranslated
      )
    )
  )</t>
  </si>
  <si>
    <t>Named variable</t>
  </si>
  <si>
    <t>dataRange</t>
  </si>
  <si>
    <t>errorNoDataSheet</t>
  </si>
  <si>
    <t>errorUILanguage</t>
  </si>
  <si>
    <t>errorNoDataRefCol</t>
  </si>
  <si>
    <t>errorDataHeaderSpace</t>
  </si>
  <si>
    <t>errorBehaviourHeader</t>
  </si>
  <si>
    <t>errorBehaviourInclude</t>
  </si>
  <si>
    <t>errorBehaviourNoneSelected</t>
  </si>
  <si>
    <t>errorBehaviourMinMaxInvalid</t>
  </si>
  <si>
    <t>errorBehaviourOutOfRange</t>
  </si>
  <si>
    <t>errorFactorHeader</t>
  </si>
  <si>
    <t>errorFactorDisplay</t>
  </si>
  <si>
    <t>errorFactorNoneSelected</t>
  </si>
  <si>
    <t>errorFactorMinMaxInvalid</t>
  </si>
  <si>
    <t>errorFactorOutOfRange</t>
  </si>
  <si>
    <t>errorChartLanguage</t>
  </si>
  <si>
    <t>errorRANASBlockMissing</t>
  </si>
  <si>
    <t>errorCutoffLevel</t>
  </si>
  <si>
    <t>errorDataSorting</t>
  </si>
  <si>
    <t>errorFactorTranslationMissing</t>
  </si>
  <si>
    <t>errorChartTranslationMissing</t>
  </si>
  <si>
    <t>FilterTrueColumn</t>
  </si>
  <si>
    <t>=LAMBDA(currentIndex,indexCol,filteredIndexCol,trueFalseCol,
    LET(
      previousIndex,
      IF(
        currentIndex = 1,
        0,
        INDEX(filteredIndexCol, currentIndex - 1)
      ),
      firstCell,
      INDEX(trueFalseCol, previousIndex + 1),
      lastCell,
      INDEX(trueFalseCol, MAX(indexCol)),
      filteredIndex,
      IF(
        previousIndex &gt;= MAX(indexCol),
        "",
        IFERROR(
          MATCH(
            TRUE,
            firstCell:lastCell,
            0
          )
          + previousIndex,
          ""
        )
      ),
      filteredIndex
    )
  )</t>
  </si>
  <si>
    <t>=IF(
    IF(
      [@index] = 1,
      FALSE,
      INDEX([filteredIndex], [@index] - 1) &gt;= MAX([index])
    ),
    "",
    IFERROR(
      MATCH(
        TRUE,
        INDEX(
          [hasValue],
          IF(
            [@index] = 1,
            1,
            INDEX([filteredIndex], [@index] - 1) + 1
          )
        )
      : INDEX([hasValue], MAX([index])),
        0
      )
    + IF(
        [@index] = 1,
        0,
        INDEX([filteredIndex], [@index] - 1)
      ),
      ""
    )
  )</t>
  </si>
  <si>
    <t>=IF(
    IF(
      [@index] = 1,
      FALSE,
      INDEX([filteredIndex], [@index] - 1) &gt;= MAX([index])
    ),
    "",
    IFERROR(
      MATCH(
        TRUE,
        INDEX(
          [display],
          IF(
            [@index] = 1,
            1,
            INDEX([filteredIndex], [@index] - 1) + 1
          )
        )
      : INDEX([display], MAX([index])),
        0
      )
    + IF(
        [@index] = 1,
        0,
        INDEX([filteredIndex], [@index] - 1)
      ),
      ""
    )
  )</t>
  </si>
  <si>
    <t>=IF(
    IF(
      [@index] = 1,
      FALSE,
      INDEX([filteredIndex], [@index] - 1) &gt;= MAX([index])
    ),
    "",
    IFERROR(
      MATCH(
        TRUE,
        INDEX(
          [condition],
          IF(
            [@index] = 1,
            1,
            INDEX([filteredIndex], [@index] - 1) + 1
          )
        )
      : INDEX([condition], MAX([index])),
        0
      )
    + IF(
        [@index] = 1,
        0,
        INDEX([filteredIndex], [@index] - 1)
      ),
      ""
    )
  )</t>
  </si>
  <si>
    <t>=AND(
    NOT(errorNoDataSheet),
    ISNA(dataRefColNum)
  )</t>
  </si>
  <si>
    <t>NO EQUIVALENT FUNCTION; FORMULA MUST BE REPLACED IN EACH INSTANCE.
Either, if applicable, by appending &amp; "" to the formula (i.e., forcing the result to be interpreted as text and thus preventing an empty string to be converted to 0).
Or, more generally, with:
=IF(
    value = "",
    "",
    value
  )</t>
  </si>
  <si>
    <t>=IFERROR(
    INDEX(
      behaviourConfigTable[behaviourHeader],
      MATCH([@index], behaviourConfigTable[index], 0)
    ),#REF!
  ) &amp; ""</t>
  </si>
  <si>
    <t>=INDEX(languageHeadersList, [@index]) &amp; ""</t>
  </si>
  <si>
    <t>=IF(
    [@behaviourHeader] = "",
    "",
    IFERROR(
      INDEX(
        yesNoTable[tag],
        MATCH(
          IFERROR(
            INDEX(
              behaviourConfigTable[includeConfig],
              MATCH([@index], behaviourConfigTable[index], 0)
            ),#REF!
          ),
          yesNoTable[label],
          0
        )
      ),
      ""
    )
  )</t>
  </si>
  <si>
    <t>minOutOfRange</t>
  </si>
  <si>
    <t>maxOutOfRange</t>
  </si>
  <si>
    <t xml:space="preserve">NO EQUIVALENT FUNCTION; FORMULA MUST BE REPLACED IN EACH INSTANCE.
In most cases, i.e., for general UI text, the formula will be:
=IFERROR(
    INDEX(
      INDEX(
        UITranslationTable,
        0,
        IFERROR(
          MATCH(UILanguage, UITranslationTable[#Headers], 0),
          MATCH("English", UITranslationTable[#Headers], 0)
        )
      ),
      MATCH("valueRef", UITranslationTable[tag], 0)
    ),#REF!
  ) &amp; ""
Note that the column headers of the data tables accompanying the charts are translated into the "Chart language" (and not the "UI language") using a single INDEX(MATCH()) in chartTranslationTable, so no replacement of those formulae is necessary for the Legacy version.
</t>
  </si>
  <si>
    <t>=IF(
    [@behaviourHeader] = "",
    "",
    IF(
      ISERROR([@behaviourColNum]),
      IFERROR(
        INDEX(
          INDEX(
            UITranslationTable,
            0,
            IFERROR(
              MATCH(UILanguage, UITranslationTable[#Headers], 0),
              MATCH("English", UITranslationTable[#Headers], 0)
            )
          ),
          MATCH("dataNotFound", UITranslationTable[tag], 0)
        ),#REF!
      ) &amp; "",
      numEntries - [@numResponses]
    )
  )</t>
  </si>
  <si>
    <t>=INDEX(chartTranslationTable[lang1], MATCH([@tag], chartTranslationTable[tag], 0))
 &amp; " / "
 &amp; INDEX(chartTranslationTable[lang2], MATCH([@tag], chartTranslationTable[tag], 0))</t>
  </si>
  <si>
    <t>=INDEX(chartTranslationTable[displayedText], MATCH([@tag], chartTranslationTable[tag], 0))</t>
  </si>
  <si>
    <t>=IF(sortingMethodTag = "none", [@filteredIndex],
  IF(sortingMethodTag = "relDiff", [@relDiffRank],
  IF(sortingMethodTag = "absDiff", [@absDiffRank],
  IF(sortingMethodTag = "RANAS", [@RANASRank],
  [@filteredIndex]))))</t>
  </si>
  <si>
    <t>=OR(OR(behaviourTable[minOutOfRange]), OR(behaviourTable[maxOutOfRange]))</t>
  </si>
  <si>
    <t>=IFERROR(
    INDEX(
      factorsConfigTable[factorHeader],
      MATCH([@index], factorsConfigTable[index], 0)
    ),#REF!
  ) &amp; ""</t>
  </si>
  <si>
    <t>behaviourScoreNumerator</t>
  </si>
  <si>
    <t>behaviourScoreDenominator</t>
  </si>
  <si>
    <t>behaviourData1</t>
  </si>
  <si>
    <t>behaviourData2</t>
  </si>
  <si>
    <t>behaviourData3</t>
  </si>
  <si>
    <t>behaviourData4</t>
  </si>
  <si>
    <t>behaviourData5</t>
  </si>
  <si>
    <t>behaviourDataForIndex</t>
  </si>
  <si>
    <t>NO EQUIVALENT FUNCTION; FORMULA MUST BE REPLACED IN EACH INSTANCE.
Currently, the instances are:
- filteredIndex column in errorMessagesTable
- filteredIndex column in languageTable
- filteredIndex column in factorsTable
The Legacy formulae are saved as text above or below each of these columns.</t>
  </si>
  <si>
    <t>behaviourIncludeForIndex</t>
  </si>
  <si>
    <t>behaviourMinScoreForIndex</t>
  </si>
  <si>
    <t>behaviourMaxScoreForIndex</t>
  </si>
  <si>
    <t>=LAMBDA(behaviourIndex,
    XLOOKUP(behaviourIndex, behaviourTable[index], behaviourTable[include])
  )</t>
  </si>
  <si>
    <t>NO EQUIVALENT FUNCTION; FORMULA MUST BE REPLACED IN EACH INSTANCE.
Example for named variable behaviourInclude1. For the others, replace the value 1 with the appropriate index.
=INDEX(behaviourTable[include], MATCH(1, behaviourTable[index], 0))</t>
  </si>
  <si>
    <t>=LAMBDA(behaviourIndex,
    XLOOKUP(behaviourIndex, behaviourTable[index], behaviourTable[minScore])
  )</t>
  </si>
  <si>
    <t>=LAMBDA(behaviourIndex,
    XLOOKUP(behaviourIndex, behaviourTable[index], behaviourTable[maxScore])
  )</t>
  </si>
  <si>
    <t>NO EQUIVALENT FUNCTION; FORMULA MUST BE REPLACED IN EACH INSTANCE.
Example for named variable behaviourMinScore1. For the others, replace the value 1 with the appropriate index.
=INDEX(behaviourTable[minScore], MATCH(1, behaviourTable[index], 0))</t>
  </si>
  <si>
    <t>=SUMPRODUCT(--(behaviourScoreDenominator &lt;&gt; 0))</t>
  </si>
  <si>
    <t>=IFERROR(
    SUBSTITUTE(
      TEXTBEFORE(
        TEXTAFTER(CELL(localAddressParameter, behaviourTable), "]", -1),
        IF(
          LEFT(CELL(localAddressParameter, behaviourTable))="'",
          "'!",
          "!"
        ), -1
      ), "''", "'"
    ), "HiddenTables"
  )</t>
  </si>
  <si>
    <t>=IFERROR(
    SUBSTITUTE(
      REPLACE(
        LEFT(
          CELL(localAddressParameter, behaviourTable),
          MAX(
            IF(
              MID(CELL(localAddressParameter, behaviourTable), ROW($1:$1093), 1)="!",
              ROW($1:$1093),
              0
            )
          ) - IF(LEFT(CELL(localAddressParameter, behaviourTable), 1)="'", 2, 1)
        ), 1,
        MAX(
          IF(
            MID(CELL(localAddressParameter, behaviourTable), ROW($1:$1093), 1)="]",
            ROW($1:$1093),
            0
          )
        ), ""
      ), "''", "'"
    ), "HiddenTables"
  )</t>
  </si>
  <si>
    <t>=AND(
    NOT(errorNoDataSheet),
    SUMPRODUCT(
      (behaviourTable[includeConfig] = "yes") * ISNA(behaviourTable[behaviourColNum])
    )
  )</t>
  </si>
  <si>
    <t>=AND(
    NOT(errorNoDataSheet),
    SUMPRODUCT(
      (behaviourTable[includeConfig] &lt;&gt; "yes") * (behaviourTable[includeConfig] &lt;&gt; "no") * (behaviourTable[behaviourHeader] &lt;&gt; "")
    )
  )</t>
  </si>
  <si>
    <t>=AND(
    NOT(errorNoDataSheet),
    SUMPRODUCT(--ISNUMBER(behaviourTable[behaviourColNum])),
    SUMPRODUCT(
      (behaviourTable[includeConfig] = "yes") * ISNUMBER(behaviourTable[behaviourColNum])
    ) = 0
  )</t>
  </si>
  <si>
    <t>https://ranas.ch/analyser/download</t>
  </si>
  <si>
    <t>RECOMMENDED CUTOFF LEVEL TABLE</t>
  </si>
  <si>
    <t>=INDEX(
    recommendedCutoffTable[cutoffLevel],
    ROUND(
      AVERAGE(
        MATCH(
          MIN(recommendedCutoffTable[absDiff]),
          recommendedCutoffTable[absDiff],
          0
        ),
        LOOKUP(
          2,
          1 / (recommendedCutoffTable[absDiff] = MIN(recommendedCutoffTable[absDiff])),
          recommendedCutoffTable[index]
        )
      ),
      0
    )
  )</t>
  </si>
  <si>
    <t>=LET(
    minAbsDiff,
    MIN(recommendedCutoffTable[absDiff]),
    firstMatch,
    MATCH(
      minAbsDiff,
      recommendedCutoffTable[absDiff],
      0
    ),
    lastMatch,
    XMATCH(
      minAbsDiff,
      recommendedCutoffTable[absDiff],
      0,
      -1
    ),
    recommendedCutoff,
    INDEX(
      recommendedCutoffTable[cutoffLevel],
      ROUND(
        AVERAGE(
          firstMatch,
          lastMatch
        ),
        0
      )
    ),
    recommendedCutoff
  )</t>
  </si>
  <si>
    <t>=IF(
    [@factorHeader] = "",
    "",
    IF(
      ISERROR([@factorColNum]),
      IFERROR(
        INDEX(
          INDEX(
            UITranslationTable,
            0,
            IFERROR(
              MATCH(UILanguage, UITranslationTable[#Headers], 0),
              MATCH("English", UITranslationTable[#Headers], 0)
            )
          ),
          MATCH("dataNotFound", UITranslationTable[tag], 0)
        ),#REF!
      ) &amp; "",
      [@numDoers] + [@numNondoers]
    )
  )</t>
  </si>
  <si>
    <t>=IF(
    [@factorHeader] = "",
    "",
    IFERROR(
      INDEX(
        yesNoTable[tag],
        MATCH(
          IFERROR(
            INDEX(
              factorsConfigTable[displayConfig],
              MATCH([@index], factorsConfigTable[index], 0)
            ),#REF!
          ),
          yesNoTable[label],
          0
        )
      ),
      ""
    )
  )</t>
  </si>
  <si>
    <t>=IF(
    [@filteredIndex] = "",
    "",
    IFNA(
      INDEX(
        [difference],
        MATCH([@filteredIndex], [index], 0)
      ),
      -99
    )
  )</t>
  </si>
  <si>
    <t>=IF(
    [@filteredIndex] = "",
    "",
    IFERROR(
      INDEX(
        RANASBlocksTable[index],
        MATCH(
          IFERROR(
            INDEX(
              factorsConfigTable[RANASBlock],
              MATCH([@filteredIndex], factorsConfigTable[index], 0)
            ),#REF!
          ),
          RANASBlocksTable[label],
          0
        )
      ),
      6
    )
  )</t>
  </si>
  <si>
    <t>=IF(
    [@sortedIndex] = "",
    "",
    IF(
      [@langSpecFactor] = "",
      IFERROR(
        INDEX(
          INDEX(
            UITranslationTable,
            0,
            IFERROR(
              MATCH(UILanguage, UITranslationTable[#Headers], 0),
              MATCH("English", UITranslationTable[#Headers], 0)
            )
          ),
          MATCH("noTranslation", UITranslationTable[tag], 0)
        ),#REF!
      ) &amp; "",
      [@langSpecFactor]
    )
  )</t>
  </si>
  <si>
    <t>=IF(
    [@filteredIndex] = "",
    "",
    IFERROR(
      INDEX(
        [filteredIndex],
        MATCH([@index], [uniqueRank], 0)
      ),#REF!
    )
  )</t>
  </si>
  <si>
    <t>=IF(
    [@factorHeader] = "",
    "",
    IF(
      IFERROR(
        INDEX(
          factorsConfigTable[minScore],
          MATCH([@index], factorsConfigTable[index], 0)
        ),#REF!
      ) = "",
      NA(),
      IFERROR(
        INDEX(
          factorsConfigTable[minScore],
          MATCH([@index], factorsConfigTable[index], 0)
        ),#REF!
      )
    )
  )</t>
  </si>
  <si>
    <t>=IF(
    [@factorHeader] = "",
    "",
    IF(
      IFERROR(
        INDEX(
          factorsConfigTable[maxScore],
          MATCH([@index], factorsConfigTable[index], 0)
        ),#REF!
      ) = "",
      NA(),
      IFERROR(
        INDEX(
          factorsConfigTable[maxScore],
          MATCH([@index], factorsConfigTable[index], 0)
        ),#REF!
      )
    )
  )</t>
  </si>
  <si>
    <t>=IF(
    [@behaviourHeader] = "",
    "",
    IF(
      IFERROR(
        INDEX(
          behaviourConfigTable[minScore],
          MATCH([@index], behaviourConfigTable[index], 0)
        ),#REF!
      ) = "",
      NA(),
      IFERROR(
        INDEX(
          behaviourConfigTable[minScore],
          MATCH([@index], behaviourConfigTable[index], 0)
        ),#REF!
      )
    )
  )</t>
  </si>
  <si>
    <t>=IF(
    [@behaviourHeader] = "",
    "",
    IF(
      IFERROR(
        INDEX(
          behaviourConfigTable[maxScore],
          MATCH([@index], behaviourConfigTable[index], 0)
        ),#REF!
      ) = "",
      NA(),
      IFERROR(
        INDEX(
          behaviourConfigTable[maxScore],
          MATCH([@index], behaviourConfigTable[index], 0)
        ),#REF!
      )
    )
  )</t>
  </si>
  <si>
    <t>=IF(
    [@sortedIndex] = "",
    "",
    IFERROR(
      INDEX(
        RANASBlocksTable[tag],
        MATCH(
          IFERROR(
            INDEX(
              factorsConfigTable[RANASBlock],
              MATCH([@sortedIndex], factorsConfigTable[index], 0)
            ),#REF!
          ),
          RANASBlocksTable[label],
          0
        )
      ),
      NA()
    )
  )</t>
  </si>
  <si>
    <t>=IF(
    [@sortedIndex] = "",
    "",
    IFNA(
      INDEX(
        RANASBlocksTable[langSpecLabel],
        MATCH([@RANASTag], RANASBlocksTable[tag], 0)
      ),
      IFERROR(
        INDEX(
          INDEX(
            UITranslationTable,
            0,
            IFERROR(
              MATCH(UILanguage, UITranslationTable[#Headers], 0),
              MATCH("English", UITranslationTable[#Headers], 0)
            )
          ),
          MATCH("noRANASBlock", UITranslationTable[tag], 0)
        ),#REF!
      ) &amp; ""
    )
  )</t>
  </si>
  <si>
    <t>=IF(
    [@tag] = "",
    "",
    IF(
      [@langSpecText] = "",
      IFERROR(
        INDEX(
          INDEX(
            UITranslationTable,
            0,
            IFERROR(
              MATCH(UILanguage, UITranslationTable[#Headers], 0),
              MATCH("English", UITranslationTable[#Headers], 0)
            )
          ),
          MATCH("noTranslation", UITranslationTable[tag], 0)
        ),#REF!
      ) &amp; "",
      [@langSpecText]
    )
  )</t>
  </si>
  <si>
    <t>=IF(
    [@sortedIndex] = "",
    "",
    [@displayedFactor] &amp; CHAR(10)
    &amp; SUBSTITUTE(
        IF(
          ISNA([@RANASTag]),
          "*",
          IF(
            INDEX(chartTranslationTable[langSpecText], MATCH([@RANASTag], chartTranslationTable[tag], 0)) = "",
            "*",
            "[*]"
          )
        ),
        "*",
        [@displayedRANASBlock]
      )
  )</t>
  </si>
  <si>
    <t>=IF(
    [@sortedIndex] = "",
    "",
    INDEX([numTotal], MATCH([@sortedIndex], [index], 0))
  )</t>
  </si>
  <si>
    <t>=IF(
    [@sortedIndex] = "",
    "",
    INDEX([nondoers], MATCH([@sortedIndex], [index], 0))
  )</t>
  </si>
  <si>
    <t>=IF(
    [@sortedIndex] = "",
    "",
    INDEX([doers], MATCH([@sortedIndex], [index], 0))
  )</t>
  </si>
  <si>
    <t>=IF(
    [@sortedIndex] = "",
    "",
    INDEX([difference], MATCH([@sortedIndex], [index], 0))
  )</t>
  </si>
  <si>
    <t>=AND(
    NOT(errorNoDataSheet),
    SUMPRODUCT(
      (factorsTable[displayConfig] = "yes") * ISNA(factorsTable[factorColNum])
    )
  )</t>
  </si>
  <si>
    <t>=AND(
    NOT(errorNoDataSheet),
    SUMPRODUCT(
      (factorsTable[displayConfig] &lt;&gt; "yes") * (factorsTable[displayConfig] &lt;&gt; "no") * (factorsTable[factorHeader] &lt;&gt; "")
    )
  )</t>
  </si>
  <si>
    <t>=AND(
    NOT(errorNoDataSheet),
    SUMPRODUCT(--ISNUMBER(factorsTable[factorColNum])),
    SUMPRODUCT(
      (factorsTable[displayConfig] = "yes") * ISNUMBER(factorsTable[factorColNum])
    ) = 0
  )</t>
  </si>
  <si>
    <t>behaviourInclude1</t>
  </si>
  <si>
    <t>=behaviourIncludeForIndex(1)</t>
  </si>
  <si>
    <t>behaviourInclude2</t>
  </si>
  <si>
    <t>=behaviourIncludeForIndex(2)</t>
  </si>
  <si>
    <t>behaviourInclude3</t>
  </si>
  <si>
    <t>=behaviourIncludeForIndex(3)</t>
  </si>
  <si>
    <t>behaviourInclude4</t>
  </si>
  <si>
    <t>=behaviourIncludeForIndex(4)</t>
  </si>
  <si>
    <t>behaviourInclude5</t>
  </si>
  <si>
    <t>=behaviourIncludeForIndex(5)</t>
  </si>
  <si>
    <t>behaviourMaxScore1</t>
  </si>
  <si>
    <t>=behaviourMaxScoreForIndex(1)</t>
  </si>
  <si>
    <t>behaviourMaxScore2</t>
  </si>
  <si>
    <t>=behaviourMaxScoreForIndex(2)</t>
  </si>
  <si>
    <t>behaviourMaxScore3</t>
  </si>
  <si>
    <t>=behaviourMaxScoreForIndex(3)</t>
  </si>
  <si>
    <t>behaviourMaxScore4</t>
  </si>
  <si>
    <t>=behaviourMaxScoreForIndex(4)</t>
  </si>
  <si>
    <t>behaviourMaxScore5</t>
  </si>
  <si>
    <t>=behaviourMaxScoreForIndex(5)</t>
  </si>
  <si>
    <t>behaviourMinScore1</t>
  </si>
  <si>
    <t>=behaviourMinScoreForIndex(1)</t>
  </si>
  <si>
    <t>behaviourMinScore2</t>
  </si>
  <si>
    <t>=behaviourMinScoreForIndex(2)</t>
  </si>
  <si>
    <t>behaviourMinScore3</t>
  </si>
  <si>
    <t>=behaviourMinScoreForIndex(3)</t>
  </si>
  <si>
    <t>behaviourMinScore4</t>
  </si>
  <si>
    <t>=behaviourMinScoreForIndex(4)</t>
  </si>
  <si>
    <t>behaviourMinScore5</t>
  </si>
  <si>
    <t>=behaviourMinScoreForIndex(5)</t>
  </si>
  <si>
    <t>=ISERROR(MATCH(UILanguage, UILanguageList, 0))</t>
  </si>
  <si>
    <t>NO EQUIVALENT FUNCTION; FORMULA MUST BE REPLACED IN EACH INSTANCE.
Example for named variable behaviourMaxScore1. For the others, replace the value 1 with the appropriate index.
=INDEX(behaviourTable[maxScore], MATCH(1, behaviourTable[index], 0))</t>
  </si>
  <si>
    <t>=AND(
    NOT(errorNoDataSheet),
    SUMPRODUCT(
      (factorsTable[displayConfig] = "yes")
      * (factorsTable[factorHeader] &lt;&gt; "")
      * IF(
           NOT(ISNUMBER(factorsTable[minScore]))
           + NOT(ISNUMBER(factorsTable[maxScore])),
           1,
           (factorsTable[minScore] &gt;= factorsTable[maxScore])
        )
    )
  )</t>
  </si>
  <si>
    <t>=AND(
    NOT(errorNoDataSheet),
    SUMPRODUCT(
      (behaviourTable[includeConfig] = "yes")
      * (behaviourTable[behaviourHeader] &lt;&gt; "")
      * IF(
           NOT(ISNUMBER(behaviourTable[minScore]))
           + NOT(ISNUMBER(behaviourTable[maxScore])),
           1,
           (behaviourTable[minScore] &gt;= behaviourTable[maxScore])
        )
    )
  )</t>
  </si>
  <si>
    <t>=OR(OR(factorsTable[minOutOfRange]), OR(factorsTable[maxOutOfRange]))</t>
  </si>
  <si>
    <t>=ISERROR(MATCH(chartLanguage, chartLanguageList, 0))</t>
  </si>
  <si>
    <t>=AND(
    NOT(errorNoDataSheet),
    SUMPRODUCT(--ISNA(factorsTable[RANASTag])) &gt; 0
  )</t>
  </si>
  <si>
    <t>=AND(
    NOT(errorNoDataSheet),
    IF(
      errorChartLanguage,
      0,
      SUMPRODUCT(
        (factorsTable[sortedIndex] &lt;&gt; "") * (factorsTable[langSpecFactor] = "")
      )
    )
  )</t>
  </si>
  <si>
    <t>Some translations of selected factors are missing for the chosen "Chart language" in the "RANAS factors" table (red cells). Please complete them.</t>
  </si>
  <si>
    <t>Certaines traductions de facteurs sélectionnés sont manquantes pour la «Langue des graphiques» choisie dans le tableau «Facteurs RANAS» (cellules rouges). Veuillez les compléter.</t>
  </si>
  <si>
    <t>=AND(
    NOT(errorNoDataSheet),
    IF(
      errorChartLanguage,
      0,
      SUMPRODUCT(
        (chartTranslationTable[tag] &lt;&gt; "") * (chartTranslationTable[langSpecText] = "")
      )
    )
  )</t>
  </si>
  <si>
    <t>=AND(
    NOT(errorNoDataSheet),
    ISERROR(MATCH(sortingMethod, sortMenuList, 0))
  )</t>
  </si>
  <si>
    <t>dataLastColNum</t>
  </si>
  <si>
    <t>dataHeaders</t>
  </si>
  <si>
    <t>=AND(
    NOT(errorNoDataSheet),
    NOT(
      ISNA(
        MATCH("* *", dataHeaders, 0)
      )
    )
  )</t>
  </si>
  <si>
    <t>=SUMPRODUCT(--(factorsTable[sortedIndex] &lt;&gt; ""))</t>
  </si>
  <si>
    <t>=IF(
    numFactors &lt;= numFactorsThreshold,
    numFactors,
    ROUNDUP(numFactors/2,0)
  )</t>
  </si>
  <si>
    <t>=IF(
    numFactors &lt;= numFactorsThreshold,
    0,
    ROUNDDOWN(numFactors/2,0)
  )</t>
  </si>
  <si>
    <t>=SUMPRODUCT(--(languageTable[languageList] &lt;&gt; ""))</t>
  </si>
  <si>
    <t>=XLOOKUP(sortingMethod, sortMenuTable[label], sortMenuTable[tag])</t>
  </si>
  <si>
    <t>=XLOOKUP("cutoffLevel", chartTranslationTable[tag], chartTranslationTable[displayedText])</t>
  </si>
  <si>
    <t>=XLOOKUP("behaviourScore", chartTranslationTable[tag], chartTranslationTable[displayedText])</t>
  </si>
  <si>
    <t>=INDEX(chartTranslationTable[displayedText], MATCH("meanScore", chartTranslationTable[tag], 0))
 &amp; " (0"
 &amp; UNICHAR(8209)
 &amp; "100%)"</t>
  </si>
  <si>
    <t>=XLOOKUP("meanScore", chartTranslationTable[tag], chartTranslationTable[displayedText])
 &amp; " (0"
 &amp; UNICHAR(8209)
 &amp; "100%)"</t>
  </si>
  <si>
    <t>=XLOOKUP("numResponses", chartTranslationTable[tag], chartTranslationTable[displayedText])</t>
  </si>
  <si>
    <t>=XLOOKUP("percentResponses", chartTranslationTable[tag], chartTranslationTable[displayedText])</t>
  </si>
  <si>
    <t>=IF(
    [@filteredIndex] = "",
    "",
    IF(
      [@index] = 1,
      CHAR(10),
     ""
    )
    &amp; [@index] &amp; ". "
    &amp; IFERROR(
        INDEX(
          INDEX(
            errorMessagesTable,
            0,
            IFERROR(
              MATCH(UILanguage, errorMessagesTable[#Headers], 0),
              MATCH("English", errorMessagesTable[#Headers], 0)
            )
          ),
          MATCH([@filteredIndex], [index], 0)
        ),#REF!
      ) &amp; ""
  )</t>
  </si>
  <si>
    <t>Data validation</t>
  </si>
  <si>
    <t>DVIntroUILanguage</t>
  </si>
  <si>
    <t>DVIntroChartLanguage</t>
  </si>
  <si>
    <t>DVConfigIncludeDisplay</t>
  </si>
  <si>
    <t>DVConfigMinMaxScore</t>
  </si>
  <si>
    <t>List
=RANASList</t>
  </si>
  <si>
    <t>Custom
=ISNUMBER(F16)</t>
  </si>
  <si>
    <t>List
=yesNoList</t>
  </si>
  <si>
    <t>List
=chartLanguageList</t>
  </si>
  <si>
    <t>List
=UILanguageList</t>
  </si>
  <si>
    <t>DVConfigRANASBlock</t>
  </si>
  <si>
    <t>DVCutoffLevel</t>
  </si>
  <si>
    <t>Whole number
Between 0 and 100</t>
  </si>
  <si>
    <t>DVAnalysisSorting</t>
  </si>
  <si>
    <t>List
=sortMenuList</t>
  </si>
  <si>
    <t>Conditional formatting</t>
  </si>
  <si>
    <t>CFIntroChartLanguage</t>
  </si>
  <si>
    <t>CFIntroUILanguage</t>
  </si>
  <si>
    <t>CFConfigBehaviourInclude</t>
  </si>
  <si>
    <t>CFConfigBehaviourNoneSelected</t>
  </si>
  <si>
    <t>CFConfigBehaviourHeader</t>
  </si>
  <si>
    <t>CFConfigBehaviourMinInvalid</t>
  </si>
  <si>
    <t>CFConfigBehaviourMaxInvalid</t>
  </si>
  <si>
    <t>CFConfigBehaviourMinOutOfRange</t>
  </si>
  <si>
    <t>CFConfigBehaviourMaxOutOfRange</t>
  </si>
  <si>
    <t>CFConfigFactorNoneSelected</t>
  </si>
  <si>
    <t>CFConfigFactorMinInvalid</t>
  </si>
  <si>
    <t>CFConfigFactorMaxInvalid</t>
  </si>
  <si>
    <t>CFConfigFactorMinOutOfRange</t>
  </si>
  <si>
    <t>CFConfigFactorMaxOutOfRange</t>
  </si>
  <si>
    <t>CFConfigFactorHeader</t>
  </si>
  <si>
    <t>CFConfigFactorDisplay</t>
  </si>
  <si>
    <t>CFConfigRANASBlockMissing</t>
  </si>
  <si>
    <t>CFConfigFactorTranslationMissing</t>
  </si>
  <si>
    <t>=AND(
    NOT(errorNoDataSheet),
    $C16 = yesLabel,
    $E16 &lt;&gt; "",
    ISNA(INDEX(behaviourColNumColumn, $D16))
  )</t>
  </si>
  <si>
    <t>=AND(
    NOT(errorNoDataSheet),
    ISNA(MATCH($C16, yesNoList, 0)),
    $E16 &lt;&gt; ""
  )</t>
  </si>
  <si>
    <t>=AND(
    NOT(errorNoDataSheet),
    $C16 &lt;&gt; yesLabel,
    ISNUMBER(INDEX(behaviourColNumColumn, $D16)),
    errorBehaviourNoneSelected
  )</t>
  </si>
  <si>
    <t>=AND(
    NOT(errorNoDataSheet),
    $C16 = yesLabel,
    $E16 &lt;&gt; "",
    (NOT(ISNUMBER($F16))
     + (ISNUMBER($G16) * ($F16 &gt;= $G16))
    )
  )</t>
  </si>
  <si>
    <t>=AND(
    NOT(errorNoDataSheet),
    $C16 = yesLabel,
    $E16 &lt;&gt; "",
    (NOT(ISNUMBER($G16))
     + (ISNUMBER($F16) * ($F16 &gt;= $G16))
    )
  )</t>
  </si>
  <si>
    <t>=INDEX(behaviourMinOutOfRangeColumn, $D16)</t>
  </si>
  <si>
    <t>=INDEX(behaviourMaxOutOfRangeColumn, $D16)</t>
  </si>
  <si>
    <t>=AND(
    NOT(errorNoDataSheet),
    $C39 = yesLabel,
    $E39 &lt;&gt; "",
    ISNA(INDEX(factorColNumColumn, $D39))
  )</t>
  </si>
  <si>
    <t>=AND(
    NOT(errorNoDataSheet),
    ISNA(MATCH($C39, yesNoList, 0)),
    $E39 &lt;&gt; ""
  )</t>
  </si>
  <si>
    <t>=AND(
    NOT(errorNoDataSheet),
    $C39 &lt;&gt; yesLabel,
    ISNUMBER(INDEX(factorColNumColumn, $D39)),
    errorFactorNoneSelected
  )</t>
  </si>
  <si>
    <t>=AND(
    NOT(errorNoDataSheet),
    $C39 = yesLabel,
    $E39 &lt;&gt; "",
    (NOT(ISNUMBER($F39))
     + (ISNUMBER($G39) * ($F39 &gt;= $G39))
    )
  )</t>
  </si>
  <si>
    <t>=AND(
    NOT(errorNoDataSheet),
    $C39 = yesLabel,
    $E39 &lt;&gt; "",
    (NOT(ISNUMBER($G39))
     + (ISNUMBER($F39) * ($F39 &gt;= $G39))
    )
  )</t>
  </si>
  <si>
    <t>=INDEX(factorsMinOutOfRangeColumn, $D39)</t>
  </si>
  <si>
    <t>=INDEX(factorsMaxOutOfRangeColumn, $D39)</t>
  </si>
  <si>
    <t>=AND(
    NOT(errorNoDataSheet),
    $C39 = yesLabel,
    $E39 &lt;&gt; "",
    ISNA(MATCH($I39, RANASList, 0))
  )</t>
  </si>
  <si>
    <t>=AND(
    NOT(errorNoDataSheet),
    $C39 = yesLabel,
    $E39 &lt;&gt; "",
    J$37 = chartLanguage,
    J39 = ""
  )</t>
  </si>
  <si>
    <t>CFConfigChartTranslationMissing</t>
  </si>
  <si>
    <t>CFCutoffLevel</t>
  </si>
  <si>
    <t>=AND(
    NOT(errorNoDataSheet),
    $P77 &lt;&gt; "",
    J$75 = chartLanguage,
    J77 = ""
  )</t>
  </si>
  <si>
    <t>CFCutoffLevelDecimal</t>
  </si>
  <si>
    <t>=MOD($H$6,1) &lt;&gt; 0</t>
  </si>
  <si>
    <t>=INDEX(cutoffLevelColumn, $C26) &lt;= cutoffLevel</t>
  </si>
  <si>
    <t>CFCutoffNonDoers</t>
  </si>
  <si>
    <t>CFCutoffDoers</t>
  </si>
  <si>
    <t>=INDEX(cutoffLevelColumn, $C26) &gt; cutoffLevel</t>
  </si>
  <si>
    <t>CFCutoffDoersNonDoers</t>
  </si>
  <si>
    <t>=(
    IF(
      $C26 = 1,
      -1,
      INDEX(cutoffLevelColumn, $C26 - 1)
    ) &lt; cutoffLevel
  )
* (
    IF(
      INDEX(cutoffLevelColumn, $C26) = 1,
      2,
      INDEX(cutoffLevelColumn, $C26)
    ) &gt; cutoffLevel
  )</t>
  </si>
  <si>
    <t>=AND(
    NOT(errorNoDataSheet),
    (cutoffLevel &lt; 0) + (cutoffLevel &gt; 1) + (MOD('Cutoff - Seuil'!$H$6, 1) &lt;&gt; 0)
  )</t>
  </si>
  <si>
    <t>=AND(
    NOT(errorNoDataSheet),
    (cutoffLevel &lt; 0) + (cutoffLevel &gt; 1) + (MOD($H$6, 1) &lt;&gt; 0)
  )</t>
  </si>
  <si>
    <t>=ISERROR(MATCH(sortingMethod, sortMenuList, 0))</t>
  </si>
  <si>
    <t>CFAnalysisDataSorting</t>
  </si>
  <si>
    <t>CFAnalysisRANASBlock</t>
  </si>
  <si>
    <t>=$E51 = "risks"</t>
  </si>
  <si>
    <t>SheetNameForReference</t>
  </si>
  <si>
    <t>=LAMBDA(reference,defaultName,
    LET(
      cellAddress,
      CELL(localAddressParameter,reference),
      sheetName,
      IFERROR(
        SUBSTITUTE(
          TEXTBEFORE(
            TEXTAFTER(cellAddress, "]", -1),
            IF(
              LEFT(cellAddress) = "'",
              "'!",
              "!"
            ),
            -1
          ),
          "''",
          "'"
        ),
        defaultName
      ),
      sheetName
    )
  )</t>
  </si>
  <si>
    <t>NO EQUIVALENT FUNCTION; FORMULA MUST BE REPLACED IN EACH INSTANCE.
Example for named variable sheetNameHiddenTables. For the others, replace the arguments with the appropriate values.
=IFERROR(
    SUBSTITUTE(
      REPLACE(
        LEFT(
          CELL(localAddressParameter, behaviourTable),
          MATCH(
            2,
            1/(MID(CELL(localAddressParameter, behaviourTable), ROW($1:$1000), 1) = "!")
          ) - IF(LEFT(CELL(localAddressParameter, behaviourTable), 1) = "'", 2, 1)
        ),
        1,
        MATCH(
          2,
          1/(MID(CELL(localAddressParameter, behaviourTable), ROW($1:$1000), 1) = "]")
        ),
        ""
      ),
      "''",
      "'"
    ), "HiddenTables"
  )</t>
  </si>
  <si>
    <t>=INDEX(analysisChartTable[sortedDifference], 1)
 :INDEX(analysisChartTable[sortedDifference], numFactorsChart1)</t>
  </si>
  <si>
    <t>=INDEX(analysisChartTable[sortedDifference], numFactorsChart1 + 1)
 :INDEX(
    analysisChartTable[sortedDifference],
    numFactorsChart1
    + IF(
        numFactorsChart2 = 0,
        1,
        numFactorsChart2
      )
  )</t>
  </si>
  <si>
    <t>=INDEX(analysisChartTable[sortedDoers], 1)
 :INDEX(analysisChartTable[sortedDoers], numFactorsChart1)</t>
  </si>
  <si>
    <t>=INDEX(analysisChartTable[sortedDoers], numFactorsChart1 + 1)
 :INDEX(
    analysisChartTable[sortedDoers],
    numFactorsChart1
    + IF(
        numFactorsChart2 = 0,
        1,
        numFactorsChart2
      )
  )</t>
  </si>
  <si>
    <t>=INDEX(analysisChartTable[chartLabel], 1)
 :INDEX(analysisChartTable[chartLabel], numFactorsChart1)</t>
  </si>
  <si>
    <t>=INDEX(analysisChartTable[chartLabel], numFactorsChart1 + 1)
 :INDEX(
    analysisChartTable[chartLabel],
    numFactorsChart1
    + IF(
        numFactorsChart2 = 0,
        1,
        numFactorsChart2
      )
  )</t>
  </si>
  <si>
    <t>=INDEX(languageTable[languageList], 1)
 :INDEX(languageTable[languageList], numLanguages)</t>
  </si>
  <si>
    <t>=INDEX(analysisChartTable[sortedNondoers], 1)
 :INDEX(analysisChartTable[sortedNondoers], numFactorsChart1)</t>
  </si>
  <si>
    <t>=INDEX(analysisChartTable[sortedNondoers], numFactorsChart1 + 1)
 :INDEX(
    analysisChartTable[sortedNondoers],
    numFactorsChart1
    + IF(
        numFactorsChart2 = 0,
        1,
        numFactorsChart2
      )
  )</t>
  </si>
  <si>
    <t>=INDEX(behaviourTable[include], MATCH(1, behaviourTable[index], 0))</t>
  </si>
  <si>
    <t>=INDEX(behaviourTable[include], MATCH(2, behaviourTable[index], 0))</t>
  </si>
  <si>
    <t>=INDEX(behaviourTable[include], MATCH(3, behaviourTable[index], 0))</t>
  </si>
  <si>
    <t>=INDEX(behaviourTable[include], MATCH(4, behaviourTable[index], 0))</t>
  </si>
  <si>
    <t>=INDEX(behaviourTable[include], MATCH(5, behaviourTable[index], 0))</t>
  </si>
  <si>
    <t>=INDEX(behaviourTable[maxScore], MATCH(1, behaviourTable[index], 0))</t>
  </si>
  <si>
    <t>=INDEX(behaviourTable[maxScore], MATCH(2, behaviourTable[index], 0))</t>
  </si>
  <si>
    <t>=INDEX(behaviourTable[maxScore], MATCH(3, behaviourTable[index], 0))</t>
  </si>
  <si>
    <t>=INDEX(behaviourTable[maxScore], MATCH(4, behaviourTable[index], 0))</t>
  </si>
  <si>
    <t>=INDEX(behaviourTable[maxScore], MATCH(5, behaviourTable[index], 0))</t>
  </si>
  <si>
    <t>=INDEX(behaviourTable[minScore], MATCH(1, behaviourTable[index], 0))</t>
  </si>
  <si>
    <t>=INDEX(behaviourTable[minScore], MATCH(2, behaviourTable[index], 0))</t>
  </si>
  <si>
    <t>=INDEX(behaviourTable[minScore], MATCH(3, behaviourTable[index], 0))</t>
  </si>
  <si>
    <t>=INDEX(behaviourTable[minScore], MATCH(4, behaviourTable[index], 0))</t>
  </si>
  <si>
    <t>=INDEX(behaviourTable[minScore], MATCH(5, behaviourTable[index], 0))</t>
  </si>
  <si>
    <t>=IF(
    [@sortedIndex] = "",
    "",
    INDEX(
      INDEX(
        factorsConfigTable,
        0,
        MATCH(
          chartLanguage,
          languageHeadersList,
          0
        )
        + MATCH(factorsConfigTable[[#Headers],[lang1]], factorsConfigTable[#Headers], 0)
        - 1
      ),
      MATCH([@sortedIndex], factorsConfigTable[index], 0)
    ) &amp; ""
  )</t>
  </si>
  <si>
    <t>=INDEX(yesNoTable[label], MATCH("no", yesNoTable[tag], 0))</t>
  </si>
  <si>
    <t>=INDEX(yesNoTable[label], MATCH("yes", yesNoTable[tag], 0))</t>
  </si>
  <si>
    <t>MANUAL-ENTRY VARIABLES TABLE</t>
  </si>
  <si>
    <t>=UITranslationTable[[#Headers],[English]]
 :INDEX(UITranslationTable[#Headers], 1, COLUMNS(UITranslationTable[#Headers]))</t>
  </si>
  <si>
    <t>dataFirstRow</t>
  </si>
  <si>
    <t>=IFNA(
    MATCH("_uuid", dataHeaders, 0),
    IFNA(
      MATCH("instanceID", dataHeaders, 0),
      MATCH("*-"&amp;"instanceID", dataHeaders, 0)
    )
  )</t>
  </si>
  <si>
    <t>dataRefCol</t>
  </si>
  <si>
    <t>=IF(
    errorNoDataSheet,
    NA(),
    MAX(
    COLUMN(dataFirstRow)
    * (dataFirstRow &lt;&gt; "")
    )
  )</t>
  </si>
  <si>
    <t>BEHAVIOUR ARRAYS</t>
  </si>
  <si>
    <t>=NOT(
    ISREF(
      INDIRECT(ADDRESS(1, 1, 1, 0, sheetNameData), FALSE)
    )
  )</t>
  </si>
  <si>
    <t>=IF(
    ISNA(dataRefColNum),
    NA(),
    SUMPRODUCT(--(dataRefCol &lt;&gt; ""))
  )</t>
  </si>
  <si>
    <t>=LAMBDA(behaviourIndex,
    IF(
      ISNA(INDEX(dataRange,1,1)),
      NA(),
      LET(
        behaviourColNum,
        XLOOKUP(behaviourIndex, behaviourTable[index], behaviourTable[behaviourColNum]),
        behaviourData,
        IF(
          behaviourColNum = "",
          "",
          INDEX(dataRange, , behaviourColNum)
        ),
        behaviourData
      )
    )
  )</t>
  </si>
  <si>
    <t>=IF(
    INDEX(behaviourTable[behaviourColNum], MATCH(1, behaviourTable[index], 0)) = "",
    "",
    IF(
      ISNA(INDEX(dataRange,1,1)),
      NA(),
      INDEX(
        dataRange,
        ,
        INDEX(behaviourTable[behaviourColNum], MATCH(1, behaviourTable[index], 0))
      )
    )
  )</t>
  </si>
  <si>
    <t>=IF(
    INDEX(behaviourTable[behaviourColNum], MATCH(2, behaviourTable[index], 0)) = "",
    "",
    IF(
      ISNA(INDEX(dataRange,1,1)),
      NA(),
      INDEX(
        dataRange,
        ,
        INDEX(behaviourTable[behaviourColNum], MATCH(2, behaviourTable[index], 0))
      )
    )
  )</t>
  </si>
  <si>
    <t>=IF(
    INDEX(behaviourTable[behaviourColNum], MATCH(3, behaviourTable[index], 0)) = "",
    "",
    IF(
      ISNA(INDEX(dataRange,1,1)),
      NA(),
      INDEX(
        dataRange,
        ,
        INDEX(behaviourTable[behaviourColNum], MATCH(3, behaviourTable[index], 0))
      )
    )
  )</t>
  </si>
  <si>
    <t>=IF(
    INDEX(behaviourTable[behaviourColNum], MATCH(4, behaviourTable[index], 0)) = "",
    "",
    IF(
      ISNA(INDEX(dataRange,1,1)),
      NA(),
      INDEX(
        dataRange,
        ,
        INDEX(behaviourTable[behaviourColNum], MATCH(4, behaviourTable[index], 0))
      )
    )
  )</t>
  </si>
  <si>
    <t>=IF(
    INDEX(behaviourTable[behaviourColNum], MATCH(5, behaviourTable[index], 0)) = "",
    "",
    IF(
      ISNA(INDEX(dataRange,1,1)),
      NA(),
      INDEX(
        dataRange,
        ,
        INDEX(behaviourTable[behaviourColNum], MATCH(5, behaviourTable[index], 0))
      )
    )
  )</t>
  </si>
  <si>
    <t>=IF(
    OR(ISNA(numEntries), numEntries = 0),
    NA(),
    IF(
      INDIRECT(
        ADDRESS(2, 1, 1, 0, sheetNameData)
        &amp; ":"
        &amp; ADDRESS(numEntries + 1, dataLastColNum, 1, 0),
        FALSE
      ) = "",
      "",
      INDIRECT(
        ADDRESS(2, 1, 1, 0, sheetNameData)
        &amp; ":"
        &amp; ADDRESS(numEntries + 1, dataLastColNum, 1, 0),
        FALSE
      )
    )
  )</t>
  </si>
  <si>
    <t>NO EQUIVALENT FUNCTION; FORMULA MUST BE REPLACED IN EACH INSTANCE.
Example for named variable behaviourData1. For the others, replace the value 1 with the appropriate index.
=IF(
    INDEX(behaviourTable[behaviourColNum], MATCH(1, behaviourTable[index], 0)) = "",
    "",
    IF(
      ISNA(INDEX(dataRange,1,1)),
      NA(),
      INDEX(
        dataRange,
        ,
        INDEX(behaviourTable[behaviourColNum], MATCH(1, behaviourTable[index], 0))
      )
    )
  )</t>
  </si>
  <si>
    <t>=IF(
    [@behaviourHeader] = "",
    "",
    IF(
      ISNA(INDEX(dataRange,1,1)),
      NA(),
      MIN(INDEX(dataRange, , [@behaviourColNum]))
    )
  )</t>
  </si>
  <si>
    <t>=IF(
    [@behaviourHeader] = "",
    "",
    IF(
      ISNA(INDEX(dataRange,1,1)),
      NA(),
      MAX(INDEX(dataRange, , [@behaviourColNum]))
    )
  )</t>
  </si>
  <si>
    <t>=IF(
    [@behaviourHeader] = "",
    "",
    IF(
      ISERROR([@behaviourColNum]),
      IFERROR(
        INDEX(
          INDEX(
            UITranslationTable,
            0,
            IFERROR(
              MATCH(UILanguage, UITranslationTable[#Headers], 0),
              MATCH("English", UITranslationTable[#Headers], 0)
            )
          ),
          MATCH("dataNotFound", UITranslationTable[tag], 0)
        ),#REF!
      ) &amp; "",
      IF(
        ISNA(INDEX(dataRange,1,1)),
        NA(),
        SUMPRODUCT(--(INDEX(dataRange, , [@behaviourColNum]) &lt;&gt;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</si>
</sst>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quot;%&quot;"/>
  </numFmts>
  <fonts count="34" x14ac:knownFonts="1">
    <font>
      <sz val="11"/>
      <color theme="1"/>
      <name val="Calibri"/>
      <family val="2"/>
      <scheme val="minor"/>
    </font>
    <font>
      <sz val="11"/>
      <color theme="1"/>
      <name val="Calibri"/>
      <family val="2"/>
      <scheme val="minor"/>
    </font>
    <font>
      <sz val="11"/>
      <color theme="1"/>
      <name val="Calibri"/>
      <family val="2"/>
      <charset val="1"/>
      <scheme val="minor"/>
    </font>
    <font>
      <sz val="9"/>
      <color theme="1"/>
      <name val="Arial"/>
      <family val="2"/>
    </font>
    <font>
      <b/>
      <sz val="9"/>
      <color theme="1"/>
      <name val="Arial"/>
      <family val="2"/>
    </font>
    <font>
      <sz val="8"/>
      <name val="Calibri"/>
      <family val="2"/>
      <scheme val="minor"/>
    </font>
    <font>
      <sz val="10"/>
      <color theme="1"/>
      <name val="Calibri"/>
      <family val="2"/>
      <scheme val="minor"/>
    </font>
    <font>
      <b/>
      <sz val="10"/>
      <color theme="1"/>
      <name val="Arial"/>
      <family val="2"/>
    </font>
    <font>
      <sz val="11"/>
      <color theme="0" tint="-0.249977111117893"/>
      <name val="Calibri"/>
      <family val="2"/>
      <scheme val="minor"/>
    </font>
    <font>
      <sz val="11"/>
      <color theme="1"/>
      <name val="Calibri"/>
      <family val="2"/>
    </font>
    <font>
      <sz val="8"/>
      <color theme="1"/>
      <name val="Arial"/>
      <family val="2"/>
    </font>
    <font>
      <sz val="11"/>
      <color theme="1"/>
      <name val="Arial"/>
      <family val="2"/>
    </font>
    <font>
      <b/>
      <sz val="11"/>
      <color theme="1"/>
      <name val="Arial"/>
      <family val="2"/>
    </font>
    <font>
      <b/>
      <sz val="12"/>
      <color theme="1"/>
      <name val="Arial"/>
      <family val="2"/>
    </font>
    <font>
      <sz val="11"/>
      <name val="Arial"/>
      <family val="2"/>
    </font>
    <font>
      <sz val="9"/>
      <name val="Arial"/>
      <family val="2"/>
    </font>
    <font>
      <sz val="10"/>
      <color theme="1"/>
      <name val="Arial"/>
      <family val="2"/>
    </font>
    <font>
      <b/>
      <sz val="12"/>
      <color rgb="FFFF0000"/>
      <name val="Arial"/>
      <family val="2"/>
    </font>
    <font>
      <sz val="10"/>
      <name val="Arial"/>
      <family val="2"/>
    </font>
    <font>
      <sz val="12"/>
      <color theme="1"/>
      <name val="Arial"/>
      <family val="2"/>
    </font>
    <font>
      <b/>
      <sz val="14"/>
      <color rgb="FFFF0000"/>
      <name val="Arial"/>
      <family val="2"/>
    </font>
    <font>
      <b/>
      <sz val="11"/>
      <name val="Arial"/>
      <family val="2"/>
    </font>
    <font>
      <b/>
      <sz val="14"/>
      <color theme="1"/>
      <name val="Arial"/>
      <family val="2"/>
    </font>
    <font>
      <i/>
      <sz val="9"/>
      <color theme="1"/>
      <name val="Arial"/>
      <family val="2"/>
    </font>
    <font>
      <sz val="24"/>
      <color theme="1"/>
      <name val="Arial"/>
      <family val="2"/>
    </font>
    <font>
      <u/>
      <sz val="11"/>
      <color theme="10"/>
      <name val="Calibri"/>
      <family val="2"/>
      <scheme val="minor"/>
    </font>
    <font>
      <b/>
      <sz val="20"/>
      <color theme="1"/>
      <name val="Arial"/>
      <family val="2"/>
    </font>
    <font>
      <b/>
      <sz val="36"/>
      <color theme="1"/>
      <name val="Arial"/>
      <family val="2"/>
    </font>
    <font>
      <b/>
      <sz val="28"/>
      <color theme="1"/>
      <name val="Arial"/>
      <family val="2"/>
    </font>
    <font>
      <b/>
      <sz val="10"/>
      <color rgb="FFFF0000"/>
      <name val="Arial"/>
      <family val="2"/>
    </font>
    <font>
      <sz val="9"/>
      <color theme="0" tint="-0.14999847407452621"/>
      <name val="Arial"/>
      <family val="2"/>
    </font>
    <font>
      <b/>
      <sz val="9"/>
      <color theme="0" tint="-0.14999847407452621"/>
      <name val="Arial"/>
      <family val="2"/>
    </font>
    <font>
      <sz val="11"/>
      <color theme="0" tint="-0.14999847407452621"/>
      <name val="Calibri"/>
      <family val="2"/>
      <scheme val="minor"/>
    </font>
    <font>
      <sz val="11"/>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bgColor indexed="64"/>
      </patternFill>
    </fill>
    <fill>
      <patternFill patternType="solid">
        <fgColor rgb="FFFFCDE6"/>
        <bgColor indexed="64"/>
      </patternFill>
    </fill>
    <fill>
      <patternFill patternType="solid">
        <fgColor rgb="FFCDFFCD"/>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rgb="FF2DC8FF"/>
        <bgColor indexed="64"/>
      </patternFill>
    </fill>
  </fills>
  <borders count="6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style="medium">
        <color theme="1"/>
      </left>
      <right style="medium">
        <color theme="0" tint="-4.9989318521683403E-2"/>
      </right>
      <top style="medium">
        <color theme="1"/>
      </top>
      <bottom style="medium">
        <color theme="0" tint="-4.9989318521683403E-2"/>
      </bottom>
      <diagonal/>
    </border>
    <border>
      <left style="thin">
        <color theme="0" tint="-0.499984740745262"/>
      </left>
      <right/>
      <top/>
      <bottom/>
      <diagonal/>
    </border>
    <border>
      <left style="thin">
        <color theme="0" tint="-0.499984740745262"/>
      </left>
      <right/>
      <top/>
      <bottom style="thin">
        <color theme="0" tint="-0.499984740745262"/>
      </bottom>
      <diagonal/>
    </border>
    <border>
      <left style="medium">
        <color theme="1"/>
      </left>
      <right style="thin">
        <color theme="0" tint="-0.499984740745262"/>
      </right>
      <top style="medium">
        <color theme="1"/>
      </top>
      <bottom/>
      <diagonal/>
    </border>
    <border>
      <left style="thin">
        <color theme="0" tint="-0.499984740745262"/>
      </left>
      <right style="thin">
        <color theme="0" tint="-0.499984740745262"/>
      </right>
      <top style="medium">
        <color theme="1"/>
      </top>
      <bottom/>
      <diagonal/>
    </border>
    <border>
      <left style="thin">
        <color theme="0" tint="-0.499984740745262"/>
      </left>
      <right style="medium">
        <color theme="0" tint="-4.9989318521683403E-2"/>
      </right>
      <top style="medium">
        <color theme="1"/>
      </top>
      <bottom/>
      <diagonal/>
    </border>
    <border>
      <left style="medium">
        <color theme="1"/>
      </left>
      <right style="thin">
        <color theme="0" tint="-0.499984740745262"/>
      </right>
      <top/>
      <bottom/>
      <diagonal/>
    </border>
    <border>
      <left style="thin">
        <color theme="0" tint="-0.499984740745262"/>
      </left>
      <right style="medium">
        <color theme="0" tint="-4.9989318521683403E-2"/>
      </right>
      <top/>
      <bottom/>
      <diagonal/>
    </border>
    <border>
      <left style="medium">
        <color theme="1"/>
      </left>
      <right style="thin">
        <color theme="0" tint="-0.499984740745262"/>
      </right>
      <top/>
      <bottom style="medium">
        <color theme="0" tint="-4.9989318521683403E-2"/>
      </bottom>
      <diagonal/>
    </border>
    <border>
      <left style="thin">
        <color theme="0" tint="-0.499984740745262"/>
      </left>
      <right style="thin">
        <color theme="0" tint="-0.499984740745262"/>
      </right>
      <top/>
      <bottom style="medium">
        <color theme="0" tint="-4.9989318521683403E-2"/>
      </bottom>
      <diagonal/>
    </border>
    <border>
      <left style="thin">
        <color theme="0" tint="-0.499984740745262"/>
      </left>
      <right style="medium">
        <color theme="0" tint="-4.9989318521683403E-2"/>
      </right>
      <top/>
      <bottom style="medium">
        <color theme="0" tint="-4.9989318521683403E-2"/>
      </bottom>
      <diagonal/>
    </border>
    <border>
      <left style="thin">
        <color theme="0" tint="-0.499984740745262"/>
      </left>
      <right/>
      <top style="thin">
        <color theme="0" tint="-0.499984740745262"/>
      </top>
      <bottom style="thin">
        <color theme="0" tint="-0.499984740745262"/>
      </bottom>
      <diagonal/>
    </border>
    <border>
      <left/>
      <right style="medium">
        <color theme="1"/>
      </right>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indexed="64"/>
      </right>
      <top style="thin">
        <color theme="0" tint="-0.499984740745262"/>
      </top>
      <bottom/>
      <diagonal/>
    </border>
    <border>
      <left style="medium">
        <color theme="1"/>
      </left>
      <right style="medium">
        <color theme="0" tint="-4.9989318521683403E-2"/>
      </right>
      <top style="medium">
        <color theme="1"/>
      </top>
      <bottom/>
      <diagonal/>
    </border>
    <border>
      <left style="medium">
        <color theme="1"/>
      </left>
      <right style="medium">
        <color theme="0" tint="-4.9989318521683403E-2"/>
      </right>
      <top/>
      <bottom/>
      <diagonal/>
    </border>
    <border>
      <left style="medium">
        <color theme="1"/>
      </left>
      <right style="medium">
        <color theme="0" tint="-4.9989318521683403E-2"/>
      </right>
      <top/>
      <bottom style="medium">
        <color theme="0" tint="-4.9989318521683403E-2"/>
      </bottom>
      <diagonal/>
    </border>
    <border>
      <left style="thin">
        <color theme="0" tint="-0.499984740745262"/>
      </left>
      <right style="medium">
        <color rgb="FFF2F2F2"/>
      </right>
      <top style="thin">
        <color theme="0" tint="-0.499984740745262"/>
      </top>
      <bottom style="thin">
        <color theme="0" tint="-0.499984740745262"/>
      </bottom>
      <diagonal/>
    </border>
    <border>
      <left style="thin">
        <color theme="0" tint="-0.499984740745262"/>
      </left>
      <right style="medium">
        <color rgb="FFF2F2F2"/>
      </right>
      <top style="thin">
        <color theme="0" tint="-0.499984740745262"/>
      </top>
      <bottom/>
      <diagonal/>
    </border>
    <border>
      <left style="thin">
        <color theme="0" tint="-0.499984740745262"/>
      </left>
      <right style="medium">
        <color rgb="FFF2F2F2"/>
      </right>
      <top/>
      <bottom/>
      <diagonal/>
    </border>
    <border>
      <left style="thin">
        <color theme="0" tint="-0.499984740745262"/>
      </left>
      <right style="thin">
        <color theme="0" tint="-0.499984740745262"/>
      </right>
      <top/>
      <bottom style="medium">
        <color rgb="FFF2F2F2"/>
      </bottom>
      <diagonal/>
    </border>
    <border>
      <left style="thin">
        <color theme="0" tint="-0.499984740745262"/>
      </left>
      <right style="medium">
        <color rgb="FFF2F2F2"/>
      </right>
      <top/>
      <bottom style="medium">
        <color rgb="FFF2F2F2"/>
      </bottom>
      <diagonal/>
    </border>
    <border>
      <left style="medium">
        <color theme="1"/>
      </left>
      <right style="thin">
        <color theme="0" tint="-0.499984740745262"/>
      </right>
      <top style="medium">
        <color theme="1"/>
      </top>
      <bottom style="thin">
        <color theme="0" tint="-0.4999847407452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1"/>
      </left>
      <right style="thin">
        <color theme="0" tint="-0.14996795556505021"/>
      </right>
      <top style="thin">
        <color theme="0" tint="-0.14996795556505021"/>
      </top>
      <bottom/>
      <diagonal/>
    </border>
    <border>
      <left style="thin">
        <color theme="0" tint="-0.499984740745262"/>
      </left>
      <right style="thin">
        <color theme="0" tint="-0.499984740745262"/>
      </right>
      <top style="thin">
        <color theme="0" tint="-0.499984740745262"/>
      </top>
      <bottom style="thin">
        <color theme="0" tint="-0.14993743705557422"/>
      </bottom>
      <diagonal/>
    </border>
    <border>
      <left style="thin">
        <color theme="0" tint="-0.499984740745262"/>
      </left>
      <right style="thin">
        <color theme="0" tint="-0.499984740745262"/>
      </right>
      <top style="thin">
        <color theme="0" tint="-0.14993743705557422"/>
      </top>
      <bottom style="thin">
        <color theme="0" tint="-0.14993743705557422"/>
      </bottom>
      <diagonal/>
    </border>
    <border>
      <left style="thin">
        <color theme="0" tint="-0.499984740745262"/>
      </left>
      <right style="thin">
        <color theme="0" tint="-0.499984740745262"/>
      </right>
      <top style="thin">
        <color theme="0" tint="-0.14993743705557422"/>
      </top>
      <bottom style="thin">
        <color theme="0" tint="-0.499984740745262"/>
      </bottom>
      <diagonal/>
    </border>
    <border>
      <left style="thin">
        <color theme="0" tint="-0.499984740745262"/>
      </left>
      <right style="thin">
        <color theme="0" tint="-0.499984740745262"/>
      </right>
      <top style="medium">
        <color theme="1"/>
      </top>
      <bottom style="thin">
        <color theme="0" tint="-0.499984740745262"/>
      </bottom>
      <diagonal/>
    </border>
    <border>
      <left style="thin">
        <color theme="0" tint="-0.499984740745262"/>
      </left>
      <right style="medium">
        <color rgb="FFF2F2F2"/>
      </right>
      <top style="medium">
        <color theme="1"/>
      </top>
      <bottom style="thin">
        <color theme="0" tint="-0.499984740745262"/>
      </bottom>
      <diagonal/>
    </border>
    <border>
      <left style="medium">
        <color theme="0" tint="-4.9989318521683403E-2"/>
      </left>
      <right style="thin">
        <color theme="0" tint="-0.499984740745262"/>
      </right>
      <top style="thin">
        <color theme="0" tint="-0.499984740745262"/>
      </top>
      <bottom/>
      <diagonal/>
    </border>
    <border>
      <left style="medium">
        <color theme="0" tint="-4.9989318521683403E-2"/>
      </left>
      <right style="thin">
        <color theme="0" tint="-0.499984740745262"/>
      </right>
      <top/>
      <bottom/>
      <diagonal/>
    </border>
    <border>
      <left style="medium">
        <color theme="0" tint="-4.9989318521683403E-2"/>
      </left>
      <right style="thin">
        <color theme="0" tint="-0.499984740745262"/>
      </right>
      <top/>
      <bottom style="thin">
        <color theme="0" tint="-0.499984740745262"/>
      </bottom>
      <diagonal/>
    </border>
    <border>
      <left style="medium">
        <color theme="0" tint="-4.9989318521683403E-2"/>
      </left>
      <right style="medium">
        <color theme="1"/>
      </right>
      <top style="thin">
        <color theme="0" tint="-0.499984740745262"/>
      </top>
      <bottom/>
      <diagonal/>
    </border>
    <border>
      <left style="medium">
        <color theme="0" tint="-4.9989318521683403E-2"/>
      </left>
      <right style="medium">
        <color theme="1"/>
      </right>
      <top/>
      <bottom/>
      <diagonal/>
    </border>
    <border>
      <left style="medium">
        <color theme="0" tint="-4.9989318521683403E-2"/>
      </left>
      <right style="medium">
        <color theme="1"/>
      </right>
      <top/>
      <bottom style="thin">
        <color theme="0" tint="-0.499984740745262"/>
      </bottom>
      <diagonal/>
    </border>
    <border>
      <left/>
      <right style="medium">
        <color theme="0" tint="-4.9989318521683403E-2"/>
      </right>
      <top/>
      <bottom/>
      <diagonal/>
    </border>
    <border>
      <left style="medium">
        <color theme="1"/>
      </left>
      <right/>
      <top style="medium">
        <color theme="1"/>
      </top>
      <bottom/>
      <diagonal/>
    </border>
    <border>
      <left/>
      <right/>
      <top style="medium">
        <color theme="1"/>
      </top>
      <bottom/>
      <diagonal/>
    </border>
    <border>
      <left/>
      <right style="medium">
        <color theme="0" tint="-4.9989318521683403E-2"/>
      </right>
      <top style="medium">
        <color theme="1"/>
      </top>
      <bottom/>
      <diagonal/>
    </border>
    <border>
      <left style="medium">
        <color theme="1"/>
      </left>
      <right/>
      <top/>
      <bottom/>
      <diagonal/>
    </border>
    <border>
      <left style="medium">
        <color theme="1"/>
      </left>
      <right/>
      <top/>
      <bottom style="medium">
        <color theme="0" tint="-4.9989318521683403E-2"/>
      </bottom>
      <diagonal/>
    </border>
    <border>
      <left/>
      <right/>
      <top/>
      <bottom style="medium">
        <color theme="0" tint="-4.9989318521683403E-2"/>
      </bottom>
      <diagonal/>
    </border>
    <border>
      <left/>
      <right style="medium">
        <color theme="0" tint="-4.9989318521683403E-2"/>
      </right>
      <top/>
      <bottom style="medium">
        <color theme="0" tint="-4.9989318521683403E-2"/>
      </bottom>
      <diagonal/>
    </border>
  </borders>
  <cellStyleXfs count="7">
    <xf numFmtId="0" fontId="0" fillId="0" borderId="0"/>
    <xf numFmtId="0" fontId="2" fillId="0" borderId="0"/>
    <xf numFmtId="9" fontId="1" fillId="0" borderId="0" applyFont="0" applyFill="0" applyBorder="0" applyAlignment="0" applyProtection="0"/>
    <xf numFmtId="0" fontId="3" fillId="0" borderId="14">
      <protection locked="0" hidden="1"/>
    </xf>
    <xf numFmtId="0" fontId="14" fillId="2" borderId="14" applyNumberFormat="0" applyFont="0" applyFill="0" applyAlignment="0" applyProtection="0">
      <alignment horizontal="center"/>
      <protection hidden="1"/>
    </xf>
    <xf numFmtId="0" fontId="1" fillId="0" borderId="14" applyNumberFormat="0" applyFont="0" applyFill="0" applyAlignment="0" applyProtection="0">
      <protection hidden="1"/>
    </xf>
    <xf numFmtId="0" fontId="25" fillId="0" borderId="0" applyNumberFormat="0" applyFill="0" applyBorder="0" applyAlignment="0" applyProtection="0"/>
  </cellStyleXfs>
  <cellXfs count="320">
    <xf numFmtId="0" fontId="0" fillId="0" borderId="0" xfId="0"/>
    <xf numFmtId="1" fontId="2" fillId="0" borderId="0" xfId="1" applyNumberFormat="1"/>
    <xf numFmtId="2" fontId="2" fillId="0" borderId="0" xfId="1" applyNumberFormat="1"/>
    <xf numFmtId="0" fontId="0" fillId="0" borderId="0" xfId="0" applyProtection="1">
      <protection hidden="1"/>
    </xf>
    <xf numFmtId="0" fontId="4" fillId="4" borderId="9" xfId="0" applyFont="1" applyFill="1" applyBorder="1" applyAlignment="1" applyProtection="1">
      <alignment horizontal="left"/>
      <protection hidden="1"/>
    </xf>
    <xf numFmtId="0" fontId="4" fillId="4" borderId="10" xfId="0" applyFont="1" applyFill="1" applyBorder="1" applyAlignment="1" applyProtection="1">
      <alignment horizontal="left"/>
      <protection hidden="1"/>
    </xf>
    <xf numFmtId="0" fontId="4" fillId="4" borderId="13" xfId="0" applyFont="1" applyFill="1" applyBorder="1" applyAlignment="1" applyProtection="1">
      <alignment horizontal="left"/>
      <protection hidden="1"/>
    </xf>
    <xf numFmtId="0" fontId="4" fillId="4" borderId="11" xfId="0" applyFont="1" applyFill="1" applyBorder="1" applyAlignment="1" applyProtection="1">
      <alignment horizontal="left"/>
      <protection hidden="1"/>
    </xf>
    <xf numFmtId="0" fontId="4" fillId="4" borderId="15" xfId="0" applyFont="1" applyFill="1" applyBorder="1" applyAlignment="1" applyProtection="1">
      <alignment horizontal="left"/>
      <protection hidden="1"/>
    </xf>
    <xf numFmtId="0" fontId="4" fillId="4" borderId="12" xfId="0" applyFont="1" applyFill="1" applyBorder="1" applyAlignment="1" applyProtection="1">
      <alignment horizontal="left"/>
      <protection hidden="1"/>
    </xf>
    <xf numFmtId="0" fontId="4" fillId="4" borderId="16" xfId="0" applyFont="1" applyFill="1" applyBorder="1" applyAlignment="1" applyProtection="1">
      <alignment horizontal="left"/>
      <protection hidden="1"/>
    </xf>
    <xf numFmtId="0" fontId="0" fillId="0" borderId="0" xfId="0" applyAlignment="1" applyProtection="1">
      <alignment wrapText="1"/>
      <protection hidden="1"/>
    </xf>
    <xf numFmtId="0" fontId="4" fillId="0" borderId="0" xfId="0" applyFont="1" applyFill="1" applyAlignment="1" applyProtection="1">
      <alignment horizontal="right" wrapText="1"/>
      <protection hidden="1"/>
    </xf>
    <xf numFmtId="0" fontId="0" fillId="0" borderId="0" xfId="0" applyBorder="1" applyProtection="1">
      <protection hidden="1"/>
    </xf>
    <xf numFmtId="0" fontId="0" fillId="0" borderId="0" xfId="0" applyFill="1" applyProtection="1">
      <protection hidden="1"/>
    </xf>
    <xf numFmtId="0" fontId="3" fillId="3" borderId="17" xfId="0" applyFont="1" applyFill="1" applyBorder="1" applyAlignment="1" applyProtection="1">
      <alignment horizontal="left"/>
      <protection locked="0"/>
    </xf>
    <xf numFmtId="0" fontId="3" fillId="3" borderId="18" xfId="0" applyFont="1" applyFill="1" applyBorder="1" applyAlignment="1" applyProtection="1">
      <alignment horizontal="left"/>
      <protection locked="0"/>
    </xf>
    <xf numFmtId="0" fontId="3" fillId="3" borderId="10" xfId="0" applyFont="1" applyFill="1" applyBorder="1" applyAlignment="1" applyProtection="1">
      <alignment horizontal="left"/>
      <protection locked="0"/>
    </xf>
    <xf numFmtId="0" fontId="3" fillId="3" borderId="20" xfId="0" applyFont="1" applyFill="1" applyBorder="1" applyAlignment="1" applyProtection="1">
      <alignment horizontal="left"/>
      <protection locked="0"/>
    </xf>
    <xf numFmtId="0" fontId="3" fillId="3" borderId="11" xfId="0" applyFont="1" applyFill="1" applyBorder="1" applyAlignment="1" applyProtection="1">
      <alignment horizontal="left"/>
      <protection locked="0"/>
    </xf>
    <xf numFmtId="0" fontId="3" fillId="3" borderId="21" xfId="0" applyFont="1" applyFill="1" applyBorder="1" applyAlignment="1" applyProtection="1">
      <alignment horizontal="left"/>
      <protection locked="0"/>
    </xf>
    <xf numFmtId="0" fontId="3" fillId="3" borderId="22" xfId="0" applyFont="1" applyFill="1" applyBorder="1" applyAlignment="1" applyProtection="1">
      <alignment horizontal="left"/>
      <protection locked="0"/>
    </xf>
    <xf numFmtId="0" fontId="3" fillId="3" borderId="23" xfId="0" applyFont="1" applyFill="1" applyBorder="1" applyAlignment="1" applyProtection="1">
      <alignment horizontal="left"/>
      <protection locked="0"/>
    </xf>
    <xf numFmtId="0" fontId="3" fillId="3" borderId="24" xfId="0" applyFont="1" applyFill="1" applyBorder="1" applyAlignment="1" applyProtection="1">
      <alignment horizontal="left"/>
      <protection locked="0"/>
    </xf>
    <xf numFmtId="0" fontId="3" fillId="3" borderId="11" xfId="0" applyNumberFormat="1" applyFont="1" applyFill="1" applyBorder="1" applyAlignment="1" applyProtection="1">
      <alignment horizontal="left"/>
      <protection locked="0"/>
    </xf>
    <xf numFmtId="0" fontId="3" fillId="3" borderId="19" xfId="0" applyFont="1" applyFill="1" applyBorder="1" applyAlignment="1" applyProtection="1">
      <alignment horizontal="left"/>
      <protection locked="0"/>
    </xf>
    <xf numFmtId="0" fontId="3" fillId="3" borderId="18" xfId="0" applyFont="1" applyFill="1" applyBorder="1" applyAlignment="1" applyProtection="1">
      <alignment horizontal="center"/>
      <protection locked="0"/>
    </xf>
    <xf numFmtId="0" fontId="3" fillId="3" borderId="11" xfId="0" applyFont="1" applyFill="1" applyBorder="1" applyAlignment="1" applyProtection="1">
      <alignment horizontal="center"/>
      <protection locked="0"/>
    </xf>
    <xf numFmtId="2" fontId="2" fillId="0" borderId="0" xfId="1" applyNumberFormat="1" applyFill="1"/>
    <xf numFmtId="0" fontId="4" fillId="4" borderId="0" xfId="0" applyFont="1" applyFill="1" applyBorder="1" applyAlignment="1" applyProtection="1">
      <alignment horizontal="left"/>
      <protection hidden="1"/>
    </xf>
    <xf numFmtId="0" fontId="4" fillId="4" borderId="27" xfId="0" applyFont="1" applyFill="1" applyBorder="1" applyAlignment="1" applyProtection="1">
      <alignment horizontal="left"/>
      <protection hidden="1"/>
    </xf>
    <xf numFmtId="0" fontId="4" fillId="4" borderId="28" xfId="0" applyFont="1" applyFill="1" applyBorder="1" applyAlignment="1" applyProtection="1">
      <alignment horizontal="left"/>
      <protection hidden="1"/>
    </xf>
    <xf numFmtId="0" fontId="3" fillId="3" borderId="19" xfId="0" applyFont="1" applyFill="1" applyBorder="1" applyAlignment="1" applyProtection="1">
      <alignment horizontal="center"/>
      <protection locked="0"/>
    </xf>
    <xf numFmtId="0" fontId="3" fillId="3" borderId="21" xfId="0" applyFont="1" applyFill="1" applyBorder="1" applyAlignment="1" applyProtection="1">
      <alignment horizontal="center"/>
      <protection locked="0"/>
    </xf>
    <xf numFmtId="0" fontId="3" fillId="3" borderId="23" xfId="0" applyFont="1" applyFill="1" applyBorder="1" applyAlignment="1" applyProtection="1">
      <alignment horizontal="center"/>
      <protection locked="0"/>
    </xf>
    <xf numFmtId="0" fontId="3" fillId="3" borderId="24" xfId="0" applyFont="1" applyFill="1" applyBorder="1" applyAlignment="1" applyProtection="1">
      <alignment horizontal="center"/>
      <protection locked="0"/>
    </xf>
    <xf numFmtId="0" fontId="10" fillId="3" borderId="17" xfId="0" applyFont="1" applyFill="1" applyBorder="1" applyAlignment="1" applyProtection="1">
      <alignment horizontal="left"/>
      <protection locked="0"/>
    </xf>
    <xf numFmtId="0" fontId="10" fillId="3" borderId="20" xfId="0" applyFont="1" applyFill="1" applyBorder="1" applyAlignment="1" applyProtection="1">
      <alignment horizontal="left"/>
      <protection locked="0"/>
    </xf>
    <xf numFmtId="0" fontId="10" fillId="3" borderId="22" xfId="0" applyFont="1" applyFill="1" applyBorder="1" applyAlignment="1" applyProtection="1">
      <alignment horizontal="left"/>
      <protection locked="0"/>
    </xf>
    <xf numFmtId="0" fontId="4" fillId="4" borderId="32" xfId="0" applyFont="1" applyFill="1" applyBorder="1" applyAlignment="1" applyProtection="1">
      <alignment horizontal="left"/>
      <protection hidden="1"/>
    </xf>
    <xf numFmtId="0" fontId="3" fillId="3" borderId="33" xfId="0" applyFont="1" applyFill="1" applyBorder="1" applyAlignment="1" applyProtection="1">
      <alignment horizontal="left"/>
      <protection locked="0"/>
    </xf>
    <xf numFmtId="0" fontId="3" fillId="3" borderId="34" xfId="0" applyFont="1" applyFill="1" applyBorder="1" applyAlignment="1" applyProtection="1">
      <alignment horizontal="left"/>
      <protection locked="0"/>
    </xf>
    <xf numFmtId="0" fontId="3" fillId="3" borderId="34" xfId="0" applyNumberFormat="1" applyFont="1" applyFill="1" applyBorder="1" applyAlignment="1" applyProtection="1">
      <alignment horizontal="left"/>
      <protection locked="0"/>
    </xf>
    <xf numFmtId="0" fontId="3" fillId="3" borderId="35" xfId="0" applyNumberFormat="1" applyFont="1" applyFill="1" applyBorder="1" applyAlignment="1" applyProtection="1">
      <alignment horizontal="left"/>
      <protection locked="0"/>
    </xf>
    <xf numFmtId="0" fontId="3" fillId="3" borderId="36" xfId="0" applyNumberFormat="1" applyFont="1" applyFill="1" applyBorder="1" applyAlignment="1" applyProtection="1">
      <alignment horizontal="left"/>
      <protection locked="0"/>
    </xf>
    <xf numFmtId="0" fontId="4" fillId="3" borderId="37" xfId="0" applyFont="1" applyFill="1" applyBorder="1" applyAlignment="1" applyProtection="1">
      <alignment horizontal="left"/>
      <protection locked="0"/>
    </xf>
    <xf numFmtId="0" fontId="19" fillId="0" borderId="14" xfId="4" applyFont="1" applyFill="1" applyAlignment="1" applyProtection="1">
      <alignment horizontal="center" vertical="center" wrapText="1"/>
      <protection locked="0" hidden="1"/>
    </xf>
    <xf numFmtId="165" fontId="19" fillId="0" borderId="14" xfId="4" applyNumberFormat="1" applyFont="1" applyFill="1" applyBorder="1" applyAlignment="1" applyProtection="1">
      <alignment horizontal="center" vertical="center"/>
      <protection locked="0" hidden="1"/>
    </xf>
    <xf numFmtId="0" fontId="4" fillId="4" borderId="2" xfId="0" applyFont="1" applyFill="1" applyBorder="1" applyAlignment="1" applyProtection="1">
      <alignment horizontal="right" wrapText="1"/>
      <protection hidden="1"/>
    </xf>
    <xf numFmtId="0" fontId="11" fillId="4" borderId="2" xfId="0" applyFont="1" applyFill="1" applyBorder="1" applyAlignment="1" applyProtection="1">
      <alignment vertical="center" wrapText="1"/>
      <protection hidden="1"/>
    </xf>
    <xf numFmtId="0" fontId="12" fillId="4" borderId="2" xfId="0" applyFont="1" applyFill="1" applyBorder="1" applyAlignment="1" applyProtection="1">
      <alignment horizontal="right" vertical="center" indent="1"/>
      <protection hidden="1"/>
    </xf>
    <xf numFmtId="0" fontId="3" fillId="4" borderId="2" xfId="0" applyFont="1" applyFill="1" applyBorder="1" applyAlignment="1" applyProtection="1">
      <alignment vertical="center"/>
      <protection hidden="1"/>
    </xf>
    <xf numFmtId="0" fontId="11" fillId="4" borderId="3" xfId="0" applyFont="1" applyFill="1" applyBorder="1" applyAlignment="1" applyProtection="1">
      <alignment vertical="center" wrapText="1"/>
      <protection hidden="1"/>
    </xf>
    <xf numFmtId="0" fontId="0" fillId="4" borderId="0" xfId="0" applyFill="1" applyBorder="1" applyProtection="1">
      <protection hidden="1"/>
    </xf>
    <xf numFmtId="0" fontId="11" fillId="4" borderId="0" xfId="0" applyFont="1" applyFill="1" applyBorder="1" applyAlignment="1" applyProtection="1">
      <alignment vertical="center" wrapText="1"/>
      <protection hidden="1"/>
    </xf>
    <xf numFmtId="0" fontId="12" fillId="4" borderId="0" xfId="0" applyFont="1" applyFill="1" applyBorder="1" applyAlignment="1" applyProtection="1">
      <alignment horizontal="right" vertical="center" indent="1"/>
      <protection hidden="1"/>
    </xf>
    <xf numFmtId="0" fontId="11" fillId="4" borderId="5" xfId="0" applyFont="1" applyFill="1" applyBorder="1" applyAlignment="1" applyProtection="1">
      <alignment vertical="center" wrapText="1"/>
      <protection hidden="1"/>
    </xf>
    <xf numFmtId="0" fontId="23" fillId="4" borderId="7" xfId="0" applyFont="1" applyFill="1" applyBorder="1" applyAlignment="1" applyProtection="1">
      <alignment vertical="center"/>
      <protection hidden="1"/>
    </xf>
    <xf numFmtId="0" fontId="11" fillId="4" borderId="7" xfId="0" applyFont="1" applyFill="1" applyBorder="1" applyAlignment="1" applyProtection="1">
      <alignment vertical="center" wrapText="1"/>
      <protection hidden="1"/>
    </xf>
    <xf numFmtId="0" fontId="12" fillId="4" borderId="7" xfId="0" applyFont="1" applyFill="1" applyBorder="1" applyAlignment="1" applyProtection="1">
      <alignment horizontal="right" vertical="center" indent="1"/>
      <protection hidden="1"/>
    </xf>
    <xf numFmtId="0" fontId="4" fillId="4" borderId="7" xfId="0" applyFont="1" applyFill="1" applyBorder="1" applyAlignment="1" applyProtection="1">
      <alignment horizontal="right"/>
      <protection hidden="1"/>
    </xf>
    <xf numFmtId="0" fontId="11" fillId="4" borderId="8" xfId="0" applyFont="1" applyFill="1" applyBorder="1" applyAlignment="1" applyProtection="1">
      <alignment vertical="center" wrapText="1"/>
      <protection hidden="1"/>
    </xf>
    <xf numFmtId="0" fontId="4" fillId="4" borderId="0" xfId="0" applyFont="1" applyFill="1" applyBorder="1" applyAlignment="1" applyProtection="1">
      <alignment horizontal="right"/>
      <protection hidden="1"/>
    </xf>
    <xf numFmtId="0" fontId="3" fillId="4" borderId="0" xfId="0" applyFont="1" applyFill="1" applyBorder="1" applyProtection="1">
      <protection hidden="1"/>
    </xf>
    <xf numFmtId="0" fontId="3" fillId="4" borderId="0" xfId="0" applyFont="1" applyFill="1" applyBorder="1" applyAlignment="1" applyProtection="1">
      <alignment horizontal="left"/>
      <protection hidden="1"/>
    </xf>
    <xf numFmtId="0" fontId="0" fillId="4" borderId="0" xfId="0" applyFill="1" applyProtection="1">
      <protection hidden="1"/>
    </xf>
    <xf numFmtId="0" fontId="0" fillId="4" borderId="1" xfId="0" applyFill="1" applyBorder="1" applyProtection="1">
      <protection hidden="1"/>
    </xf>
    <xf numFmtId="0" fontId="0" fillId="4" borderId="2" xfId="0" applyFill="1" applyBorder="1" applyProtection="1">
      <protection hidden="1"/>
    </xf>
    <xf numFmtId="0" fontId="25" fillId="4" borderId="5" xfId="6" applyFill="1" applyBorder="1" applyAlignment="1" applyProtection="1">
      <alignment horizontal="left" vertical="top" wrapText="1" indent="1"/>
      <protection hidden="1"/>
    </xf>
    <xf numFmtId="0" fontId="25" fillId="4" borderId="8" xfId="6" applyFill="1" applyBorder="1" applyAlignment="1" applyProtection="1">
      <alignment horizontal="left" vertical="top" wrapText="1" indent="1"/>
      <protection hidden="1"/>
    </xf>
    <xf numFmtId="0" fontId="3" fillId="0" borderId="14" xfId="4" applyFont="1" applyFill="1" applyAlignment="1" applyProtection="1">
      <alignment vertical="center" wrapText="1"/>
      <protection locked="0" hidden="1"/>
    </xf>
    <xf numFmtId="0" fontId="2" fillId="0" borderId="0" xfId="1" applyFill="1"/>
    <xf numFmtId="49" fontId="2" fillId="0" borderId="0" xfId="1" applyNumberFormat="1" applyFill="1"/>
    <xf numFmtId="2" fontId="2" fillId="5" borderId="0" xfId="1" applyNumberFormat="1" applyFill="1"/>
    <xf numFmtId="0" fontId="2" fillId="5" borderId="0" xfId="1" applyFill="1"/>
    <xf numFmtId="0" fontId="2" fillId="12" borderId="0" xfId="1" applyNumberFormat="1" applyFill="1"/>
    <xf numFmtId="0" fontId="4" fillId="13" borderId="9" xfId="0" applyFont="1" applyFill="1" applyBorder="1" applyAlignment="1" applyProtection="1">
      <alignment horizontal="left"/>
      <protection hidden="1"/>
    </xf>
    <xf numFmtId="0" fontId="4" fillId="13" borderId="9" xfId="0" applyFont="1" applyFill="1" applyBorder="1" applyAlignment="1" applyProtection="1">
      <alignment horizontal="center"/>
      <protection hidden="1"/>
    </xf>
    <xf numFmtId="0" fontId="4" fillId="13" borderId="25" xfId="0" applyFont="1" applyFill="1" applyBorder="1" applyAlignment="1" applyProtection="1">
      <alignment horizontal="left"/>
      <protection hidden="1"/>
    </xf>
    <xf numFmtId="0" fontId="4" fillId="13" borderId="9" xfId="0" applyFont="1" applyFill="1" applyBorder="1" applyAlignment="1" applyProtection="1">
      <protection hidden="1"/>
    </xf>
    <xf numFmtId="0" fontId="6" fillId="4" borderId="0" xfId="0" applyFont="1" applyFill="1" applyAlignment="1" applyProtection="1">
      <alignment horizontal="left" wrapText="1"/>
      <protection hidden="1"/>
    </xf>
    <xf numFmtId="0" fontId="0" fillId="4" borderId="0" xfId="0" applyFill="1" applyAlignment="1" applyProtection="1">
      <alignment horizontal="left" wrapText="1"/>
      <protection hidden="1"/>
    </xf>
    <xf numFmtId="0" fontId="0" fillId="4" borderId="0" xfId="0" applyFill="1" applyAlignment="1" applyProtection="1">
      <alignment wrapText="1"/>
      <protection hidden="1"/>
    </xf>
    <xf numFmtId="0" fontId="0" fillId="4" borderId="4" xfId="0" applyFill="1" applyBorder="1" applyAlignment="1" applyProtection="1">
      <alignment wrapText="1"/>
      <protection hidden="1"/>
    </xf>
    <xf numFmtId="0" fontId="3" fillId="4" borderId="0" xfId="0" applyFont="1" applyFill="1" applyBorder="1" applyAlignment="1" applyProtection="1">
      <alignment horizontal="left" vertical="top" wrapText="1"/>
      <protection hidden="1"/>
    </xf>
    <xf numFmtId="0" fontId="13" fillId="4" borderId="0" xfId="0" applyFont="1" applyFill="1" applyBorder="1" applyAlignment="1" applyProtection="1">
      <alignment horizontal="right"/>
      <protection hidden="1"/>
    </xf>
    <xf numFmtId="0" fontId="0" fillId="4" borderId="0" xfId="0" applyFill="1" applyBorder="1" applyAlignment="1" applyProtection="1">
      <alignment horizontal="left" wrapText="1"/>
      <protection hidden="1"/>
    </xf>
    <xf numFmtId="0" fontId="16" fillId="4" borderId="0" xfId="0" applyFont="1" applyFill="1" applyBorder="1" applyAlignment="1" applyProtection="1">
      <alignment horizontal="left" vertical="center" wrapText="1" indent="2"/>
      <protection hidden="1"/>
    </xf>
    <xf numFmtId="0" fontId="11" fillId="4" borderId="0" xfId="0" applyFont="1" applyFill="1" applyBorder="1" applyAlignment="1" applyProtection="1">
      <alignment horizontal="right" vertical="top"/>
      <protection hidden="1"/>
    </xf>
    <xf numFmtId="0" fontId="0" fillId="4" borderId="6" xfId="0" applyFill="1" applyBorder="1" applyProtection="1">
      <protection hidden="1"/>
    </xf>
    <xf numFmtId="0" fontId="0" fillId="4" borderId="7" xfId="0" applyFill="1" applyBorder="1" applyProtection="1">
      <protection hidden="1"/>
    </xf>
    <xf numFmtId="0" fontId="0" fillId="4" borderId="3" xfId="0" applyFill="1" applyBorder="1" applyProtection="1">
      <protection hidden="1"/>
    </xf>
    <xf numFmtId="0" fontId="0" fillId="4" borderId="5" xfId="0" applyFill="1" applyBorder="1" applyAlignment="1" applyProtection="1">
      <alignment horizontal="left" wrapText="1"/>
      <protection hidden="1"/>
    </xf>
    <xf numFmtId="0" fontId="0" fillId="4" borderId="5" xfId="0" applyFill="1" applyBorder="1" applyProtection="1">
      <protection hidden="1"/>
    </xf>
    <xf numFmtId="0" fontId="18" fillId="4" borderId="5" xfId="0" applyFont="1" applyFill="1" applyBorder="1" applyAlignment="1" applyProtection="1">
      <alignment horizontal="left" vertical="top" wrapText="1" indent="1"/>
      <protection hidden="1"/>
    </xf>
    <xf numFmtId="0" fontId="0" fillId="4" borderId="8" xfId="0" applyFill="1" applyBorder="1" applyProtection="1">
      <protection hidden="1"/>
    </xf>
    <xf numFmtId="0" fontId="30" fillId="4" borderId="0" xfId="0" applyFont="1" applyFill="1" applyBorder="1" applyProtection="1">
      <protection hidden="1"/>
    </xf>
    <xf numFmtId="0" fontId="30" fillId="4" borderId="0" xfId="0" applyNumberFormat="1" applyFont="1" applyFill="1" applyBorder="1" applyProtection="1">
      <protection hidden="1"/>
    </xf>
    <xf numFmtId="0" fontId="11" fillId="4" borderId="0" xfId="0" applyFont="1" applyFill="1" applyBorder="1" applyAlignment="1" applyProtection="1">
      <alignment horizontal="left" vertical="top" wrapText="1" indent="2"/>
      <protection hidden="1"/>
    </xf>
    <xf numFmtId="0" fontId="3" fillId="4" borderId="0" xfId="0" applyFont="1" applyFill="1" applyBorder="1" applyAlignment="1" applyProtection="1">
      <alignment vertical="top" wrapText="1"/>
      <protection hidden="1"/>
    </xf>
    <xf numFmtId="0" fontId="22" fillId="4" borderId="0" xfId="0" applyFont="1" applyFill="1" applyBorder="1" applyAlignment="1" applyProtection="1">
      <alignment horizontal="right" vertical="center" indent="1"/>
      <protection hidden="1"/>
    </xf>
    <xf numFmtId="0" fontId="0" fillId="4" borderId="0" xfId="0" applyFill="1" applyBorder="1" applyAlignment="1" applyProtection="1">
      <alignment wrapText="1"/>
      <protection hidden="1"/>
    </xf>
    <xf numFmtId="0" fontId="0" fillId="4" borderId="0" xfId="0" applyFill="1" applyBorder="1" applyAlignment="1" applyProtection="1">
      <alignment horizontal="left" vertical="center" wrapText="1" indent="2"/>
      <protection hidden="1"/>
    </xf>
    <xf numFmtId="0" fontId="11" fillId="4" borderId="0" xfId="0" applyFont="1" applyFill="1" applyBorder="1" applyAlignment="1" applyProtection="1">
      <alignment horizontal="right" vertical="center"/>
      <protection hidden="1"/>
    </xf>
    <xf numFmtId="0" fontId="3" fillId="4" borderId="0" xfId="0" applyFont="1" applyFill="1" applyBorder="1" applyAlignment="1" applyProtection="1">
      <alignment wrapText="1"/>
      <protection hidden="1"/>
    </xf>
    <xf numFmtId="0" fontId="3" fillId="4" borderId="2" xfId="0" applyFont="1" applyFill="1" applyBorder="1" applyAlignment="1" applyProtection="1">
      <alignment horizontal="left" wrapText="1"/>
      <protection hidden="1"/>
    </xf>
    <xf numFmtId="0" fontId="3" fillId="4" borderId="0" xfId="0" applyFont="1" applyFill="1" applyBorder="1" applyAlignment="1" applyProtection="1">
      <alignment horizontal="left" wrapText="1"/>
      <protection hidden="1"/>
    </xf>
    <xf numFmtId="0" fontId="31" fillId="4" borderId="0" xfId="0" applyFont="1" applyFill="1" applyBorder="1" applyAlignment="1" applyProtection="1">
      <alignment horizontal="left"/>
      <protection hidden="1"/>
    </xf>
    <xf numFmtId="0" fontId="30" fillId="4" borderId="0" xfId="0" applyNumberFormat="1" applyFont="1" applyFill="1" applyBorder="1" applyAlignment="1" applyProtection="1">
      <alignment horizontal="center"/>
      <protection hidden="1"/>
    </xf>
    <xf numFmtId="0" fontId="32" fillId="4" borderId="0" xfId="0" applyFont="1" applyFill="1" applyBorder="1" applyProtection="1">
      <protection hidden="1"/>
    </xf>
    <xf numFmtId="0" fontId="0" fillId="4" borderId="6" xfId="0" applyFill="1" applyBorder="1" applyAlignment="1" applyProtection="1">
      <alignment wrapText="1"/>
      <protection hidden="1"/>
    </xf>
    <xf numFmtId="0" fontId="8" fillId="4" borderId="4" xfId="0" applyFont="1" applyFill="1" applyBorder="1" applyAlignment="1" applyProtection="1">
      <alignment wrapText="1"/>
      <protection hidden="1"/>
    </xf>
    <xf numFmtId="0" fontId="8" fillId="4" borderId="6" xfId="0" applyFont="1" applyFill="1" applyBorder="1" applyAlignment="1" applyProtection="1">
      <alignment wrapText="1"/>
      <protection hidden="1"/>
    </xf>
    <xf numFmtId="0" fontId="8" fillId="4" borderId="0" xfId="0" applyFont="1" applyFill="1" applyBorder="1" applyAlignment="1" applyProtection="1">
      <alignment wrapText="1"/>
      <protection hidden="1"/>
    </xf>
    <xf numFmtId="0" fontId="8" fillId="4" borderId="1" xfId="0" applyFont="1" applyFill="1" applyBorder="1" applyAlignment="1" applyProtection="1">
      <alignment wrapText="1"/>
      <protection hidden="1"/>
    </xf>
    <xf numFmtId="0" fontId="14" fillId="4" borderId="29" xfId="0" applyFont="1" applyFill="1" applyBorder="1" applyAlignment="1" applyProtection="1">
      <alignment horizontal="center"/>
      <protection locked="0"/>
    </xf>
    <xf numFmtId="0" fontId="14" fillId="4" borderId="30" xfId="0" applyFont="1" applyFill="1" applyBorder="1" applyAlignment="1" applyProtection="1">
      <alignment horizontal="center"/>
      <protection locked="0"/>
    </xf>
    <xf numFmtId="0" fontId="14" fillId="4" borderId="31" xfId="0" applyFont="1" applyFill="1" applyBorder="1" applyAlignment="1" applyProtection="1">
      <alignment horizontal="center"/>
      <protection locked="0"/>
    </xf>
    <xf numFmtId="0" fontId="15" fillId="4" borderId="0" xfId="0" applyFont="1" applyFill="1" applyBorder="1" applyAlignment="1" applyProtection="1">
      <alignment horizontal="left" vertical="center" wrapText="1" indent="2"/>
      <protection hidden="1"/>
    </xf>
    <xf numFmtId="0" fontId="13" fillId="4" borderId="0" xfId="0" applyFont="1" applyFill="1" applyAlignment="1" applyProtection="1">
      <alignment horizontal="left" vertical="top"/>
      <protection hidden="1"/>
    </xf>
    <xf numFmtId="0" fontId="0" fillId="4" borderId="7" xfId="0" applyFill="1" applyBorder="1" applyAlignment="1" applyProtection="1">
      <alignment wrapText="1"/>
      <protection hidden="1"/>
    </xf>
    <xf numFmtId="0" fontId="4" fillId="4" borderId="7" xfId="0" applyFont="1" applyFill="1" applyBorder="1" applyAlignment="1" applyProtection="1">
      <alignment horizontal="right" wrapText="1"/>
      <protection hidden="1"/>
    </xf>
    <xf numFmtId="0" fontId="4" fillId="4" borderId="0" xfId="0" applyFont="1" applyFill="1" applyBorder="1" applyAlignment="1" applyProtection="1">
      <alignment horizontal="right" wrapText="1"/>
      <protection hidden="1"/>
    </xf>
    <xf numFmtId="0" fontId="4" fillId="4" borderId="0" xfId="0" applyFont="1" applyFill="1" applyAlignment="1" applyProtection="1">
      <alignment horizontal="right" wrapText="1"/>
      <protection hidden="1"/>
    </xf>
    <xf numFmtId="0" fontId="11" fillId="4" borderId="0" xfId="0" applyFont="1" applyFill="1" applyProtection="1">
      <protection hidden="1"/>
    </xf>
    <xf numFmtId="0" fontId="3" fillId="4" borderId="0" xfId="0" applyFont="1" applyFill="1" applyAlignment="1" applyProtection="1">
      <alignment horizontal="left" vertical="top" wrapText="1"/>
      <protection hidden="1"/>
    </xf>
    <xf numFmtId="0" fontId="28" fillId="4" borderId="0" xfId="0" applyFont="1" applyFill="1" applyBorder="1" applyAlignment="1" applyProtection="1">
      <alignment horizontal="center" vertical="center" wrapText="1"/>
      <protection hidden="1"/>
    </xf>
    <xf numFmtId="0" fontId="26" fillId="4" borderId="0" xfId="0" applyFont="1" applyFill="1" applyBorder="1" applyAlignment="1" applyProtection="1">
      <alignment horizontal="center" vertical="center" wrapText="1"/>
      <protection hidden="1"/>
    </xf>
    <xf numFmtId="0" fontId="3" fillId="4" borderId="5" xfId="0" applyFont="1" applyFill="1" applyBorder="1" applyAlignment="1" applyProtection="1">
      <alignment horizontal="left"/>
      <protection hidden="1"/>
    </xf>
    <xf numFmtId="0" fontId="13" fillId="4" borderId="0" xfId="0" applyFont="1" applyFill="1" applyAlignment="1" applyProtection="1">
      <alignment horizontal="left"/>
      <protection hidden="1"/>
    </xf>
    <xf numFmtId="0" fontId="0" fillId="4" borderId="0" xfId="0" applyFill="1" applyAlignment="1" applyProtection="1">
      <alignment horizontal="right"/>
      <protection hidden="1"/>
    </xf>
    <xf numFmtId="0" fontId="7" fillId="4" borderId="0" xfId="0" applyFont="1" applyFill="1" applyAlignment="1" applyProtection="1">
      <alignment horizontal="left"/>
      <protection hidden="1"/>
    </xf>
    <xf numFmtId="0" fontId="15" fillId="4" borderId="0" xfId="0" applyFont="1" applyFill="1" applyBorder="1" applyAlignment="1" applyProtection="1">
      <alignment horizontal="left"/>
      <protection hidden="1"/>
    </xf>
    <xf numFmtId="0" fontId="15" fillId="4" borderId="0" xfId="0" applyFont="1" applyFill="1" applyBorder="1" applyAlignment="1" applyProtection="1">
      <alignment horizontal="center"/>
      <protection hidden="1"/>
    </xf>
    <xf numFmtId="0" fontId="15" fillId="4" borderId="0" xfId="0" applyFont="1" applyFill="1" applyBorder="1" applyAlignment="1" applyProtection="1">
      <protection hidden="1"/>
    </xf>
    <xf numFmtId="0" fontId="15" fillId="4" borderId="0" xfId="0" applyFont="1" applyFill="1" applyAlignment="1" applyProtection="1">
      <protection hidden="1"/>
    </xf>
    <xf numFmtId="0" fontId="0" fillId="4" borderId="0" xfId="0" applyFill="1" applyAlignment="1" applyProtection="1">
      <alignment vertical="center" wrapText="1"/>
      <protection hidden="1"/>
    </xf>
    <xf numFmtId="0" fontId="0" fillId="4" borderId="8" xfId="0" applyFill="1" applyBorder="1" applyAlignment="1" applyProtection="1">
      <alignment vertical="center" wrapText="1"/>
      <protection hidden="1"/>
    </xf>
    <xf numFmtId="0" fontId="4" fillId="4" borderId="41" xfId="0" applyFont="1" applyFill="1" applyBorder="1" applyAlignment="1" applyProtection="1">
      <alignment horizontal="left"/>
      <protection hidden="1"/>
    </xf>
    <xf numFmtId="0" fontId="3" fillId="0" borderId="42" xfId="0" applyFont="1" applyFill="1" applyBorder="1" applyAlignment="1" applyProtection="1">
      <alignment horizontal="center"/>
      <protection hidden="1"/>
    </xf>
    <xf numFmtId="0" fontId="3" fillId="0" borderId="43" xfId="0" applyFont="1" applyFill="1" applyBorder="1" applyAlignment="1" applyProtection="1">
      <alignment horizontal="center"/>
      <protection hidden="1"/>
    </xf>
    <xf numFmtId="0" fontId="3" fillId="0" borderId="43" xfId="0" applyNumberFormat="1" applyFont="1" applyFill="1" applyBorder="1" applyAlignment="1" applyProtection="1">
      <alignment horizontal="center"/>
      <protection hidden="1"/>
    </xf>
    <xf numFmtId="0" fontId="3" fillId="0" borderId="44" xfId="0" applyNumberFormat="1" applyFont="1" applyFill="1" applyBorder="1" applyAlignment="1" applyProtection="1">
      <alignment horizontal="center"/>
      <protection hidden="1"/>
    </xf>
    <xf numFmtId="164" fontId="3" fillId="9" borderId="9" xfId="2" applyNumberFormat="1" applyFont="1" applyFill="1" applyBorder="1" applyAlignment="1" applyProtection="1">
      <alignment horizontal="center"/>
      <protection hidden="1"/>
    </xf>
    <xf numFmtId="164" fontId="3" fillId="10" borderId="9" xfId="2" applyNumberFormat="1" applyFont="1" applyFill="1" applyBorder="1" applyAlignment="1" applyProtection="1">
      <alignment horizontal="center"/>
      <protection hidden="1"/>
    </xf>
    <xf numFmtId="164" fontId="3" fillId="11" borderId="9" xfId="2" applyNumberFormat="1" applyFont="1" applyFill="1" applyBorder="1" applyAlignment="1" applyProtection="1">
      <alignment horizontal="center"/>
      <protection hidden="1"/>
    </xf>
    <xf numFmtId="0" fontId="3" fillId="8" borderId="42" xfId="0" applyFont="1" applyFill="1" applyBorder="1" applyProtection="1">
      <protection hidden="1"/>
    </xf>
    <xf numFmtId="164" fontId="3" fillId="8" borderId="42" xfId="2" applyNumberFormat="1" applyFont="1" applyFill="1" applyBorder="1" applyAlignment="1" applyProtection="1">
      <alignment horizontal="center"/>
      <protection hidden="1"/>
    </xf>
    <xf numFmtId="0" fontId="3" fillId="8" borderId="42" xfId="0" applyFont="1" applyFill="1" applyBorder="1" applyAlignment="1" applyProtection="1">
      <alignment horizontal="center"/>
      <protection hidden="1"/>
    </xf>
    <xf numFmtId="0" fontId="3" fillId="8" borderId="43" xfId="0" applyFont="1" applyFill="1" applyBorder="1" applyProtection="1">
      <protection hidden="1"/>
    </xf>
    <xf numFmtId="164" fontId="3" fillId="8" borderId="43" xfId="2" applyNumberFormat="1" applyFont="1" applyFill="1" applyBorder="1" applyAlignment="1" applyProtection="1">
      <alignment horizontal="center"/>
      <protection hidden="1"/>
    </xf>
    <xf numFmtId="0" fontId="3" fillId="8" borderId="43" xfId="0" applyFont="1" applyFill="1" applyBorder="1" applyAlignment="1" applyProtection="1">
      <alignment horizontal="center"/>
      <protection hidden="1"/>
    </xf>
    <xf numFmtId="0" fontId="3" fillId="8" borderId="44" xfId="0" applyFont="1" applyFill="1" applyBorder="1" applyProtection="1">
      <protection hidden="1"/>
    </xf>
    <xf numFmtId="164" fontId="3" fillId="8" borderId="44" xfId="2" applyNumberFormat="1" applyFont="1" applyFill="1" applyBorder="1" applyAlignment="1" applyProtection="1">
      <alignment horizontal="center"/>
      <protection hidden="1"/>
    </xf>
    <xf numFmtId="0" fontId="3" fillId="8" borderId="44" xfId="0" applyFont="1" applyFill="1" applyBorder="1" applyAlignment="1" applyProtection="1">
      <alignment horizontal="center"/>
      <protection hidden="1"/>
    </xf>
    <xf numFmtId="0" fontId="4" fillId="3" borderId="45" xfId="0" applyFont="1" applyFill="1" applyBorder="1" applyAlignment="1" applyProtection="1">
      <alignment horizontal="left"/>
      <protection locked="0"/>
    </xf>
    <xf numFmtId="0" fontId="4" fillId="3" borderId="46" xfId="0" applyFont="1" applyFill="1" applyBorder="1" applyAlignment="1" applyProtection="1">
      <alignment horizontal="left"/>
      <protection locked="0"/>
    </xf>
    <xf numFmtId="0" fontId="3" fillId="4" borderId="47" xfId="0" applyFont="1" applyFill="1" applyBorder="1" applyAlignment="1" applyProtection="1">
      <alignment horizontal="center"/>
      <protection hidden="1"/>
    </xf>
    <xf numFmtId="0" fontId="3" fillId="4" borderId="10" xfId="0" applyFont="1" applyFill="1" applyBorder="1" applyAlignment="1" applyProtection="1">
      <alignment horizontal="center"/>
      <protection hidden="1"/>
    </xf>
    <xf numFmtId="0" fontId="3" fillId="4" borderId="48" xfId="0" applyFont="1" applyFill="1" applyBorder="1" applyAlignment="1" applyProtection="1">
      <alignment horizontal="center"/>
      <protection hidden="1"/>
    </xf>
    <xf numFmtId="0" fontId="3" fillId="4" borderId="11" xfId="0" applyFont="1" applyFill="1" applyBorder="1" applyAlignment="1" applyProtection="1">
      <alignment horizontal="center"/>
      <protection hidden="1"/>
    </xf>
    <xf numFmtId="0" fontId="3" fillId="4" borderId="49" xfId="0" applyFont="1" applyFill="1" applyBorder="1" applyAlignment="1" applyProtection="1">
      <alignment horizontal="center"/>
      <protection hidden="1"/>
    </xf>
    <xf numFmtId="0" fontId="3" fillId="4" borderId="12" xfId="0" applyFont="1" applyFill="1" applyBorder="1" applyAlignment="1" applyProtection="1">
      <alignment horizontal="center"/>
      <protection hidden="1"/>
    </xf>
    <xf numFmtId="0" fontId="4" fillId="4" borderId="50" xfId="0" applyFont="1" applyFill="1" applyBorder="1" applyAlignment="1" applyProtection="1">
      <alignment horizontal="center"/>
      <protection hidden="1"/>
    </xf>
    <xf numFmtId="0" fontId="4" fillId="4" borderId="51" xfId="0" applyFont="1" applyFill="1" applyBorder="1" applyAlignment="1" applyProtection="1">
      <alignment horizontal="center"/>
      <protection hidden="1"/>
    </xf>
    <xf numFmtId="0" fontId="4" fillId="4" borderId="52" xfId="0" applyFont="1" applyFill="1" applyBorder="1" applyAlignment="1" applyProtection="1">
      <alignment horizontal="center"/>
      <protection hidden="1"/>
    </xf>
    <xf numFmtId="0" fontId="3" fillId="6" borderId="9" xfId="0" applyFont="1" applyFill="1" applyBorder="1" applyAlignment="1" applyProtection="1">
      <alignment horizontal="center"/>
      <protection hidden="1"/>
    </xf>
    <xf numFmtId="0" fontId="4" fillId="4" borderId="51" xfId="0" applyNumberFormat="1" applyFont="1" applyFill="1" applyBorder="1" applyAlignment="1" applyProtection="1">
      <alignment horizontal="center"/>
      <protection hidden="1"/>
    </xf>
    <xf numFmtId="0" fontId="4" fillId="4" borderId="52" xfId="0" applyNumberFormat="1" applyFont="1" applyFill="1" applyBorder="1" applyAlignment="1" applyProtection="1">
      <alignment horizontal="center"/>
      <protection hidden="1"/>
    </xf>
    <xf numFmtId="0" fontId="3" fillId="4" borderId="50" xfId="0" applyFont="1" applyFill="1" applyBorder="1" applyAlignment="1" applyProtection="1">
      <alignment horizontal="center"/>
      <protection hidden="1"/>
    </xf>
    <xf numFmtId="0" fontId="3" fillId="4" borderId="51" xfId="0" applyFont="1" applyFill="1" applyBorder="1" applyAlignment="1" applyProtection="1">
      <alignment horizontal="center"/>
      <protection hidden="1"/>
    </xf>
    <xf numFmtId="0" fontId="3" fillId="4" borderId="52" xfId="0" applyFont="1" applyFill="1" applyBorder="1" applyAlignment="1" applyProtection="1">
      <alignment horizontal="center"/>
      <protection hidden="1"/>
    </xf>
    <xf numFmtId="0" fontId="0" fillId="5" borderId="0" xfId="0" quotePrefix="1" applyFill="1" applyAlignment="1" applyProtection="1">
      <alignment wrapText="1"/>
      <protection hidden="1"/>
    </xf>
    <xf numFmtId="0" fontId="0" fillId="4" borderId="0" xfId="0" quotePrefix="1" applyFill="1" applyAlignment="1" applyProtection="1">
      <protection hidden="1"/>
    </xf>
    <xf numFmtId="0" fontId="0" fillId="5" borderId="0" xfId="0" quotePrefix="1" applyFill="1" applyAlignment="1" applyProtection="1">
      <protection hidden="1"/>
    </xf>
    <xf numFmtId="0" fontId="13" fillId="4" borderId="0" xfId="0" applyFont="1" applyFill="1" applyAlignment="1" applyProtection="1">
      <alignment horizontal="left" vertical="top" indent="1"/>
      <protection hidden="1"/>
    </xf>
    <xf numFmtId="0" fontId="11" fillId="4" borderId="2" xfId="0" applyFont="1" applyFill="1" applyBorder="1" applyAlignment="1" applyProtection="1">
      <alignment horizontal="left" vertical="center" wrapText="1" indent="2"/>
      <protection hidden="1"/>
    </xf>
    <xf numFmtId="0" fontId="0" fillId="4" borderId="4" xfId="0" applyFill="1" applyBorder="1" applyProtection="1">
      <protection hidden="1"/>
    </xf>
    <xf numFmtId="0" fontId="11" fillId="4" borderId="3" xfId="0" applyFont="1" applyFill="1" applyBorder="1" applyAlignment="1" applyProtection="1">
      <alignment horizontal="left" vertical="center" wrapText="1" indent="1"/>
      <protection hidden="1"/>
    </xf>
    <xf numFmtId="0" fontId="11" fillId="4" borderId="0" xfId="0" applyFont="1" applyFill="1" applyBorder="1" applyAlignment="1" applyProtection="1">
      <alignment horizontal="left" vertical="center" wrapText="1" indent="1"/>
      <protection hidden="1"/>
    </xf>
    <xf numFmtId="0" fontId="11" fillId="4" borderId="5" xfId="0" applyFont="1" applyFill="1" applyBorder="1" applyAlignment="1" applyProtection="1">
      <alignment horizontal="left" vertical="center" wrapText="1" indent="1"/>
      <protection hidden="1"/>
    </xf>
    <xf numFmtId="0" fontId="11" fillId="4" borderId="0" xfId="0" applyFont="1" applyFill="1" applyBorder="1" applyAlignment="1" applyProtection="1">
      <alignment horizontal="left" vertical="center" wrapText="1" indent="2"/>
      <protection hidden="1"/>
    </xf>
    <xf numFmtId="0" fontId="0" fillId="0" borderId="0" xfId="0" applyAlignment="1" applyProtection="1">
      <alignment horizontal="right"/>
      <protection hidden="1"/>
    </xf>
    <xf numFmtId="0" fontId="0" fillId="7" borderId="0" xfId="0" applyFill="1" applyProtection="1">
      <protection hidden="1"/>
    </xf>
    <xf numFmtId="0" fontId="33" fillId="5" borderId="0" xfId="0" applyFont="1" applyFill="1" applyProtection="1">
      <protection hidden="1"/>
    </xf>
    <xf numFmtId="0" fontId="0" fillId="0" borderId="0" xfId="0" applyFill="1" applyAlignment="1" applyProtection="1">
      <alignment wrapText="1"/>
      <protection hidden="1"/>
    </xf>
    <xf numFmtId="0" fontId="0" fillId="0" borderId="0" xfId="0" applyNumberFormat="1" applyProtection="1">
      <protection hidden="1"/>
    </xf>
    <xf numFmtId="0" fontId="0" fillId="0" borderId="0" xfId="0" quotePrefix="1" applyAlignment="1" applyProtection="1">
      <alignment wrapText="1"/>
      <protection hidden="1"/>
    </xf>
    <xf numFmtId="0" fontId="0" fillId="0" borderId="0" xfId="0" applyFont="1" applyProtection="1">
      <protection hidden="1"/>
    </xf>
    <xf numFmtId="0" fontId="9" fillId="0" borderId="0" xfId="0" applyFont="1" applyProtection="1">
      <protection hidden="1"/>
    </xf>
    <xf numFmtId="0" fontId="0" fillId="0" borderId="0" xfId="2" applyNumberFormat="1" applyFont="1" applyProtection="1">
      <protection hidden="1"/>
    </xf>
    <xf numFmtId="9" fontId="0" fillId="0" borderId="0" xfId="2" applyFont="1" applyProtection="1">
      <protection hidden="1"/>
    </xf>
    <xf numFmtId="2" fontId="0" fillId="0" borderId="0" xfId="0" applyNumberFormat="1" applyProtection="1">
      <protection hidden="1"/>
    </xf>
    <xf numFmtId="164" fontId="0" fillId="0" borderId="0" xfId="2" applyNumberFormat="1" applyFont="1" applyProtection="1">
      <protection hidden="1"/>
    </xf>
    <xf numFmtId="0" fontId="0" fillId="0" borderId="0" xfId="0" quotePrefix="1" applyNumberFormat="1" applyAlignment="1" applyProtection="1">
      <alignment wrapText="1"/>
      <protection hidden="1"/>
    </xf>
    <xf numFmtId="49" fontId="0" fillId="0" borderId="0" xfId="0" applyNumberFormat="1" applyFill="1" applyAlignment="1" applyProtection="1">
      <alignment wrapText="1"/>
      <protection hidden="1"/>
    </xf>
    <xf numFmtId="0" fontId="0" fillId="0" borderId="0" xfId="0" applyNumberFormat="1" applyAlignment="1" applyProtection="1">
      <alignment wrapText="1"/>
      <protection hidden="1"/>
    </xf>
    <xf numFmtId="0" fontId="0" fillId="0" borderId="0" xfId="0" quotePrefix="1" applyFill="1" applyAlignment="1" applyProtection="1">
      <alignment wrapText="1"/>
      <protection hidden="1"/>
    </xf>
    <xf numFmtId="0" fontId="0" fillId="0" borderId="0" xfId="0" applyAlignment="1" applyProtection="1">
      <protection hidden="1"/>
    </xf>
    <xf numFmtId="0" fontId="0" fillId="0" borderId="0" xfId="0" applyFill="1" applyAlignment="1" applyProtection="1">
      <alignment vertical="center"/>
      <protection hidden="1"/>
    </xf>
    <xf numFmtId="0" fontId="0" fillId="0" borderId="0" xfId="0" applyFill="1" applyAlignment="1" applyProtection="1">
      <alignment vertical="center" wrapText="1"/>
      <protection hidden="1"/>
    </xf>
    <xf numFmtId="0" fontId="0" fillId="0" borderId="0" xfId="0" quotePrefix="1" applyProtection="1">
      <protection hidden="1"/>
    </xf>
    <xf numFmtId="0" fontId="0" fillId="5" borderId="0" xfId="0" applyFill="1" applyAlignment="1" applyProtection="1">
      <alignment wrapText="1"/>
      <protection hidden="1"/>
    </xf>
    <xf numFmtId="0" fontId="27" fillId="4" borderId="0" xfId="0" applyFont="1" applyFill="1" applyAlignment="1" applyProtection="1">
      <alignment horizontal="center"/>
      <protection hidden="1"/>
    </xf>
    <xf numFmtId="0" fontId="24" fillId="4" borderId="0" xfId="0" applyFont="1" applyFill="1" applyAlignment="1" applyProtection="1">
      <alignment horizontal="center"/>
      <protection hidden="1"/>
    </xf>
    <xf numFmtId="0" fontId="24" fillId="2" borderId="0" xfId="0" applyFont="1" applyFill="1" applyAlignment="1" applyProtection="1">
      <alignment horizontal="center"/>
      <protection hidden="1"/>
    </xf>
    <xf numFmtId="0" fontId="13" fillId="4" borderId="0" xfId="0" applyFont="1" applyFill="1" applyAlignment="1" applyProtection="1">
      <alignment horizontal="left" vertical="top" indent="1"/>
      <protection hidden="1"/>
    </xf>
    <xf numFmtId="0" fontId="13" fillId="2" borderId="0" xfId="0" applyFont="1" applyFill="1" applyAlignment="1" applyProtection="1">
      <alignment horizontal="left" vertical="top" indent="1"/>
      <protection hidden="1"/>
    </xf>
    <xf numFmtId="0" fontId="12" fillId="4" borderId="1" xfId="0" applyFont="1" applyFill="1" applyBorder="1" applyAlignment="1" applyProtection="1">
      <alignment horizontal="right" vertical="center" wrapText="1" indent="1"/>
      <protection hidden="1"/>
    </xf>
    <xf numFmtId="0" fontId="12" fillId="2" borderId="4" xfId="0" applyFont="1" applyFill="1" applyBorder="1" applyAlignment="1" applyProtection="1">
      <alignment horizontal="right" vertical="center" wrapText="1" indent="1"/>
      <protection hidden="1"/>
    </xf>
    <xf numFmtId="0" fontId="12" fillId="2" borderId="6" xfId="0" applyFont="1" applyFill="1" applyBorder="1" applyAlignment="1" applyProtection="1">
      <alignment horizontal="right" vertical="center" wrapText="1" indent="1"/>
      <protection hidden="1"/>
    </xf>
    <xf numFmtId="0" fontId="11" fillId="4" borderId="2" xfId="0" applyFont="1" applyFill="1" applyBorder="1" applyAlignment="1" applyProtection="1">
      <alignment horizontal="left" vertical="center" wrapText="1" indent="2"/>
      <protection hidden="1"/>
    </xf>
    <xf numFmtId="0" fontId="11" fillId="2" borderId="0" xfId="0" applyFont="1" applyFill="1" applyBorder="1" applyAlignment="1" applyProtection="1">
      <alignment horizontal="left" vertical="center" wrapText="1" indent="2"/>
      <protection hidden="1"/>
    </xf>
    <xf numFmtId="0" fontId="11" fillId="2" borderId="7" xfId="0" applyFont="1" applyFill="1" applyBorder="1" applyAlignment="1" applyProtection="1">
      <alignment horizontal="left" vertical="center" wrapText="1" indent="2"/>
      <protection hidden="1"/>
    </xf>
    <xf numFmtId="0" fontId="11" fillId="4" borderId="4" xfId="0" applyFont="1" applyFill="1" applyBorder="1" applyAlignment="1" applyProtection="1">
      <alignment horizontal="left" vertical="center" wrapText="1" indent="1"/>
      <protection hidden="1"/>
    </xf>
    <xf numFmtId="0" fontId="11" fillId="2" borderId="0" xfId="0" applyFont="1" applyFill="1" applyBorder="1" applyAlignment="1" applyProtection="1">
      <alignment horizontal="left" vertical="center" wrapText="1" indent="1"/>
      <protection hidden="1"/>
    </xf>
    <xf numFmtId="0" fontId="11" fillId="4" borderId="1" xfId="0" applyFont="1" applyFill="1" applyBorder="1" applyAlignment="1" applyProtection="1">
      <alignment horizontal="left" vertical="center" wrapText="1" indent="1"/>
      <protection hidden="1"/>
    </xf>
    <xf numFmtId="0" fontId="11" fillId="2" borderId="2" xfId="0" applyFont="1" applyFill="1" applyBorder="1" applyAlignment="1" applyProtection="1">
      <alignment horizontal="left" vertical="center" wrapText="1" indent="1"/>
      <protection hidden="1"/>
    </xf>
    <xf numFmtId="0" fontId="11" fillId="4" borderId="6" xfId="0" applyFont="1" applyFill="1" applyBorder="1" applyAlignment="1" applyProtection="1">
      <alignment horizontal="left" vertical="center" wrapText="1" indent="1"/>
      <protection hidden="1"/>
    </xf>
    <xf numFmtId="0" fontId="11" fillId="2" borderId="7" xfId="0" applyFont="1" applyFill="1" applyBorder="1" applyAlignment="1" applyProtection="1">
      <alignment horizontal="left" vertical="center" wrapText="1" indent="1"/>
      <protection hidden="1"/>
    </xf>
    <xf numFmtId="0" fontId="0" fillId="4" borderId="4" xfId="0" applyFill="1" applyBorder="1" applyProtection="1">
      <protection hidden="1"/>
    </xf>
    <xf numFmtId="0" fontId="0" fillId="2" borderId="0" xfId="0" applyFill="1" applyBorder="1" applyProtection="1">
      <protection hidden="1"/>
    </xf>
    <xf numFmtId="0" fontId="0" fillId="2" borderId="5" xfId="0" applyFill="1" applyBorder="1" applyProtection="1">
      <protection hidden="1"/>
    </xf>
    <xf numFmtId="0" fontId="25" fillId="4" borderId="4" xfId="6" applyFill="1" applyBorder="1" applyAlignment="1" applyProtection="1">
      <alignment horizontal="left" vertical="top" wrapText="1" indent="1"/>
      <protection hidden="1"/>
    </xf>
    <xf numFmtId="0" fontId="25" fillId="2" borderId="0" xfId="6" applyFill="1" applyBorder="1" applyAlignment="1" applyProtection="1">
      <alignment horizontal="left" vertical="top" wrapText="1" indent="1"/>
      <protection hidden="1"/>
    </xf>
    <xf numFmtId="0" fontId="25" fillId="4" borderId="6" xfId="6" applyFill="1" applyBorder="1" applyAlignment="1" applyProtection="1">
      <alignment horizontal="left" vertical="top" wrapText="1" indent="1"/>
      <protection hidden="1"/>
    </xf>
    <xf numFmtId="0" fontId="25" fillId="2" borderId="7" xfId="6" applyFill="1" applyBorder="1" applyAlignment="1" applyProtection="1">
      <alignment horizontal="left" vertical="top" wrapText="1" indent="1"/>
      <protection hidden="1"/>
    </xf>
    <xf numFmtId="0" fontId="25" fillId="4" borderId="7" xfId="6" applyFill="1" applyBorder="1" applyAlignment="1" applyProtection="1">
      <alignment vertical="top"/>
      <protection hidden="1"/>
    </xf>
    <xf numFmtId="0" fontId="25" fillId="2" borderId="7" xfId="6" applyFill="1" applyBorder="1" applyAlignment="1" applyProtection="1">
      <alignment vertical="top"/>
      <protection hidden="1"/>
    </xf>
    <xf numFmtId="0" fontId="11" fillId="4" borderId="2" xfId="0" applyFont="1" applyFill="1" applyBorder="1" applyAlignment="1" applyProtection="1">
      <alignment horizontal="left" vertical="center" wrapText="1"/>
      <protection hidden="1"/>
    </xf>
    <xf numFmtId="0" fontId="11" fillId="2" borderId="2" xfId="0" applyFont="1" applyFill="1" applyBorder="1" applyAlignment="1" applyProtection="1">
      <alignment horizontal="left" vertical="center" wrapText="1"/>
      <protection hidden="1"/>
    </xf>
    <xf numFmtId="0" fontId="11" fillId="2" borderId="0" xfId="0" applyFont="1" applyFill="1" applyBorder="1" applyAlignment="1" applyProtection="1">
      <alignment horizontal="left" vertical="center" wrapText="1"/>
      <protection hidden="1"/>
    </xf>
    <xf numFmtId="0" fontId="11" fillId="4" borderId="1" xfId="0" applyFont="1" applyFill="1" applyBorder="1" applyAlignment="1" applyProtection="1">
      <alignment horizontal="left" vertical="center" wrapText="1" indent="2"/>
      <protection hidden="1"/>
    </xf>
    <xf numFmtId="0" fontId="11" fillId="2" borderId="4" xfId="0" applyFont="1" applyFill="1" applyBorder="1" applyAlignment="1" applyProtection="1">
      <alignment horizontal="left" vertical="center" wrapText="1" indent="2"/>
      <protection hidden="1"/>
    </xf>
    <xf numFmtId="0" fontId="11" fillId="2" borderId="6" xfId="0" applyFont="1" applyFill="1" applyBorder="1" applyAlignment="1" applyProtection="1">
      <alignment horizontal="left" vertical="center" wrapText="1" indent="2"/>
      <protection hidden="1"/>
    </xf>
    <xf numFmtId="0" fontId="11" fillId="4" borderId="7" xfId="0" applyFont="1" applyFill="1" applyBorder="1" applyAlignment="1" applyProtection="1">
      <alignment horizontal="left" vertical="center" wrapText="1" indent="1"/>
      <protection hidden="1"/>
    </xf>
    <xf numFmtId="0" fontId="11" fillId="4" borderId="8" xfId="0" applyFont="1" applyFill="1" applyBorder="1" applyAlignment="1" applyProtection="1">
      <alignment horizontal="left" vertical="center" wrapText="1" indent="1"/>
      <protection hidden="1"/>
    </xf>
    <xf numFmtId="0" fontId="11" fillId="4" borderId="38" xfId="0" applyFont="1" applyFill="1" applyBorder="1" applyAlignment="1" applyProtection="1">
      <alignment horizontal="left" vertical="center" wrapText="1" indent="1"/>
      <protection hidden="1"/>
    </xf>
    <xf numFmtId="0" fontId="11" fillId="4" borderId="39" xfId="0" applyFont="1" applyFill="1" applyBorder="1" applyAlignment="1" applyProtection="1">
      <alignment horizontal="left" vertical="center" wrapText="1" indent="1"/>
      <protection hidden="1"/>
    </xf>
    <xf numFmtId="0" fontId="11" fillId="4" borderId="40" xfId="0" applyFont="1" applyFill="1" applyBorder="1" applyAlignment="1" applyProtection="1">
      <alignment horizontal="left" vertical="center" wrapText="1" indent="1"/>
      <protection hidden="1"/>
    </xf>
    <xf numFmtId="0" fontId="11" fillId="4" borderId="2" xfId="0" applyFont="1" applyFill="1" applyBorder="1" applyAlignment="1" applyProtection="1">
      <alignment horizontal="left" vertical="center" wrapText="1" indent="1"/>
      <protection hidden="1"/>
    </xf>
    <xf numFmtId="0" fontId="11" fillId="4" borderId="3" xfId="0" applyFont="1" applyFill="1" applyBorder="1" applyAlignment="1" applyProtection="1">
      <alignment horizontal="left" vertical="center" wrapText="1" indent="1"/>
      <protection hidden="1"/>
    </xf>
    <xf numFmtId="0" fontId="11" fillId="4" borderId="0" xfId="0" applyFont="1" applyFill="1" applyBorder="1" applyAlignment="1" applyProtection="1">
      <alignment horizontal="left" vertical="center" wrapText="1" indent="1"/>
      <protection hidden="1"/>
    </xf>
    <xf numFmtId="0" fontId="11" fillId="4" borderId="5" xfId="0" applyFont="1" applyFill="1" applyBorder="1" applyAlignment="1" applyProtection="1">
      <alignment horizontal="left" vertical="center" wrapText="1" indent="1"/>
      <protection hidden="1"/>
    </xf>
    <xf numFmtId="0" fontId="11" fillId="2" borderId="3" xfId="0" applyFont="1" applyFill="1" applyBorder="1" applyAlignment="1" applyProtection="1">
      <alignment horizontal="left" vertical="center" wrapText="1"/>
      <protection hidden="1"/>
    </xf>
    <xf numFmtId="0" fontId="12" fillId="4" borderId="7" xfId="0" applyFont="1" applyFill="1" applyBorder="1" applyAlignment="1" applyProtection="1">
      <alignment horizontal="left" vertical="center" wrapText="1"/>
      <protection hidden="1"/>
    </xf>
    <xf numFmtId="0" fontId="12" fillId="2" borderId="7" xfId="0" applyFont="1" applyFill="1" applyBorder="1" applyAlignment="1" applyProtection="1">
      <alignment horizontal="left" vertical="center" wrapText="1"/>
      <protection hidden="1"/>
    </xf>
    <xf numFmtId="0" fontId="12" fillId="2" borderId="8" xfId="0" applyFont="1" applyFill="1" applyBorder="1" applyAlignment="1" applyProtection="1">
      <alignment horizontal="left" vertical="center" wrapText="1"/>
      <protection hidden="1"/>
    </xf>
    <xf numFmtId="0" fontId="28" fillId="4" borderId="4" xfId="0" applyFont="1" applyFill="1" applyBorder="1" applyAlignment="1" applyProtection="1">
      <alignment horizontal="center" wrapText="1"/>
      <protection hidden="1"/>
    </xf>
    <xf numFmtId="0" fontId="28" fillId="2" borderId="0" xfId="0" applyFont="1" applyFill="1" applyBorder="1" applyAlignment="1" applyProtection="1">
      <alignment horizontal="center" wrapText="1"/>
      <protection hidden="1"/>
    </xf>
    <xf numFmtId="0" fontId="11" fillId="4" borderId="0" xfId="0" applyFont="1" applyFill="1" applyBorder="1" applyAlignment="1" applyProtection="1">
      <alignment horizontal="left" vertical="center" wrapText="1"/>
      <protection hidden="1"/>
    </xf>
    <xf numFmtId="0" fontId="11" fillId="2" borderId="5" xfId="0" applyFont="1" applyFill="1" applyBorder="1" applyAlignment="1" applyProtection="1">
      <alignment horizontal="left" vertical="center" wrapText="1"/>
      <protection hidden="1"/>
    </xf>
    <xf numFmtId="0" fontId="26" fillId="4" borderId="4" xfId="0" applyFont="1" applyFill="1" applyBorder="1" applyAlignment="1" applyProtection="1">
      <alignment horizontal="center" vertical="top" wrapText="1"/>
      <protection hidden="1"/>
    </xf>
    <xf numFmtId="0" fontId="26" fillId="2" borderId="0" xfId="0" applyFont="1" applyFill="1" applyBorder="1" applyAlignment="1" applyProtection="1">
      <alignment horizontal="center" vertical="top" wrapText="1"/>
      <protection hidden="1"/>
    </xf>
    <xf numFmtId="0" fontId="26" fillId="2" borderId="4" xfId="0" applyFont="1" applyFill="1" applyBorder="1" applyAlignment="1" applyProtection="1">
      <alignment horizontal="center" vertical="top" wrapText="1"/>
      <protection hidden="1"/>
    </xf>
    <xf numFmtId="0" fontId="21" fillId="4" borderId="0" xfId="0" applyFont="1" applyFill="1" applyBorder="1" applyAlignment="1" applyProtection="1">
      <alignment horizontal="left" vertical="center" wrapText="1" indent="1"/>
      <protection hidden="1"/>
    </xf>
    <xf numFmtId="0" fontId="21" fillId="2" borderId="0" xfId="0" applyFont="1" applyFill="1" applyBorder="1" applyAlignment="1" applyProtection="1">
      <alignment horizontal="left" vertical="center" wrapText="1" indent="1"/>
      <protection hidden="1"/>
    </xf>
    <xf numFmtId="0" fontId="14" fillId="4" borderId="0" xfId="0" applyFont="1" applyFill="1" applyBorder="1" applyAlignment="1" applyProtection="1">
      <alignment horizontal="left" vertical="center" wrapText="1" indent="1"/>
      <protection hidden="1"/>
    </xf>
    <xf numFmtId="0" fontId="14" fillId="2" borderId="0" xfId="0" applyFont="1" applyFill="1" applyBorder="1" applyAlignment="1" applyProtection="1">
      <alignment horizontal="left" vertical="center" wrapText="1" indent="1"/>
      <protection hidden="1"/>
    </xf>
    <xf numFmtId="0" fontId="19" fillId="0" borderId="17" xfId="3" applyFont="1" applyBorder="1" applyAlignment="1" applyProtection="1">
      <alignment horizontal="left" vertical="top" wrapText="1" indent="1"/>
      <protection hidden="1"/>
    </xf>
    <xf numFmtId="0" fontId="19" fillId="0" borderId="18" xfId="3" applyFont="1" applyBorder="1" applyAlignment="1" applyProtection="1">
      <alignment horizontal="left" vertical="top" wrapText="1" indent="1"/>
      <protection hidden="1"/>
    </xf>
    <xf numFmtId="0" fontId="19" fillId="0" borderId="19" xfId="3" applyFont="1" applyBorder="1" applyAlignment="1" applyProtection="1">
      <alignment horizontal="left" vertical="top" wrapText="1" indent="1"/>
      <protection hidden="1"/>
    </xf>
    <xf numFmtId="0" fontId="19" fillId="0" borderId="20" xfId="3" applyFont="1" applyBorder="1" applyAlignment="1" applyProtection="1">
      <alignment horizontal="left" vertical="top" wrapText="1" indent="1"/>
      <protection hidden="1"/>
    </xf>
    <xf numFmtId="0" fontId="19" fillId="0" borderId="11" xfId="3" applyFont="1" applyBorder="1" applyAlignment="1" applyProtection="1">
      <alignment horizontal="left" vertical="top" wrapText="1" indent="1"/>
      <protection hidden="1"/>
    </xf>
    <xf numFmtId="0" fontId="19" fillId="0" borderId="21" xfId="3" applyFont="1" applyBorder="1" applyAlignment="1" applyProtection="1">
      <alignment horizontal="left" vertical="top" wrapText="1" indent="1"/>
      <protection hidden="1"/>
    </xf>
    <xf numFmtId="0" fontId="19" fillId="0" borderId="22" xfId="3" applyFont="1" applyBorder="1" applyAlignment="1" applyProtection="1">
      <alignment horizontal="left" vertical="top" wrapText="1" indent="1"/>
      <protection hidden="1"/>
    </xf>
    <xf numFmtId="0" fontId="19" fillId="0" borderId="23" xfId="3" applyFont="1" applyBorder="1" applyAlignment="1" applyProtection="1">
      <alignment horizontal="left" vertical="top" wrapText="1" indent="1"/>
      <protection hidden="1"/>
    </xf>
    <xf numFmtId="0" fontId="19" fillId="0" borderId="24" xfId="3" applyFont="1" applyBorder="1" applyAlignment="1" applyProtection="1">
      <alignment horizontal="left" vertical="top" wrapText="1" indent="1"/>
      <protection hidden="1"/>
    </xf>
    <xf numFmtId="0" fontId="29" fillId="4" borderId="2" xfId="0" applyFont="1" applyFill="1" applyBorder="1" applyAlignment="1" applyProtection="1">
      <alignment horizontal="left" vertical="center" wrapText="1" indent="1"/>
      <protection hidden="1"/>
    </xf>
    <xf numFmtId="0" fontId="29" fillId="2" borderId="2" xfId="0" applyFont="1" applyFill="1" applyBorder="1" applyAlignment="1" applyProtection="1">
      <alignment horizontal="left" vertical="center" wrapText="1" indent="1"/>
      <protection hidden="1"/>
    </xf>
    <xf numFmtId="0" fontId="14" fillId="4" borderId="0" xfId="0" applyFont="1" applyFill="1" applyBorder="1" applyAlignment="1" applyProtection="1">
      <alignment horizontal="left" vertical="center" wrapText="1"/>
      <protection hidden="1"/>
    </xf>
    <xf numFmtId="0" fontId="14" fillId="2" borderId="0" xfId="0" applyFont="1" applyFill="1" applyBorder="1" applyAlignment="1" applyProtection="1">
      <alignment horizontal="left" vertical="center" wrapText="1"/>
      <protection hidden="1"/>
    </xf>
    <xf numFmtId="0" fontId="21" fillId="4" borderId="0" xfId="0" applyFont="1" applyFill="1" applyBorder="1" applyAlignment="1" applyProtection="1">
      <alignment horizontal="left" vertical="center" wrapText="1"/>
      <protection hidden="1"/>
    </xf>
    <xf numFmtId="0" fontId="21" fillId="2" borderId="0" xfId="0" applyFont="1" applyFill="1" applyBorder="1" applyAlignment="1" applyProtection="1">
      <alignment horizontal="left" vertical="center" wrapText="1"/>
      <protection hidden="1"/>
    </xf>
    <xf numFmtId="0" fontId="14" fillId="4" borderId="0" xfId="0" applyFont="1" applyFill="1" applyBorder="1" applyAlignment="1" applyProtection="1">
      <alignment horizontal="left" vertical="center" wrapText="1" indent="2"/>
      <protection hidden="1"/>
    </xf>
    <xf numFmtId="0" fontId="14" fillId="2" borderId="0" xfId="0" applyFont="1" applyFill="1" applyBorder="1" applyAlignment="1" applyProtection="1">
      <alignment horizontal="left" vertical="center" wrapText="1" indent="2"/>
      <protection hidden="1"/>
    </xf>
    <xf numFmtId="0" fontId="11" fillId="4" borderId="0" xfId="0" applyFont="1" applyFill="1" applyBorder="1" applyAlignment="1" applyProtection="1">
      <alignment horizontal="left" vertical="center" wrapText="1" indent="2"/>
      <protection hidden="1"/>
    </xf>
    <xf numFmtId="0" fontId="16" fillId="4" borderId="0" xfId="0" applyFont="1" applyFill="1" applyBorder="1" applyAlignment="1" applyProtection="1">
      <alignment horizontal="left" vertical="center" wrapText="1" indent="1"/>
      <protection hidden="1"/>
    </xf>
    <xf numFmtId="0" fontId="16" fillId="4" borderId="26" xfId="0" applyFont="1" applyFill="1" applyBorder="1" applyAlignment="1" applyProtection="1">
      <alignment horizontal="left" vertical="center" wrapText="1" indent="1"/>
      <protection hidden="1"/>
    </xf>
    <xf numFmtId="0" fontId="18" fillId="4" borderId="0" xfId="0" applyFont="1" applyFill="1" applyBorder="1" applyAlignment="1" applyProtection="1">
      <alignment horizontal="left" vertical="center" wrapText="1"/>
      <protection hidden="1"/>
    </xf>
    <xf numFmtId="0" fontId="18" fillId="2" borderId="0" xfId="0" applyFont="1" applyFill="1" applyBorder="1" applyAlignment="1" applyProtection="1">
      <alignment horizontal="left" vertical="center" wrapText="1"/>
      <protection hidden="1"/>
    </xf>
    <xf numFmtId="0" fontId="18" fillId="2" borderId="7" xfId="0" applyFont="1" applyFill="1" applyBorder="1" applyAlignment="1" applyProtection="1">
      <alignment horizontal="left" vertical="center" wrapText="1"/>
      <protection hidden="1"/>
    </xf>
    <xf numFmtId="0" fontId="20" fillId="4" borderId="2" xfId="0" applyFont="1" applyFill="1" applyBorder="1" applyAlignment="1" applyProtection="1">
      <alignment horizontal="left" vertical="center" wrapText="1"/>
      <protection hidden="1"/>
    </xf>
    <xf numFmtId="0" fontId="20" fillId="2" borderId="2" xfId="0" applyFont="1" applyFill="1" applyBorder="1" applyAlignment="1" applyProtection="1">
      <alignment horizontal="left" vertical="center" wrapText="1"/>
      <protection hidden="1"/>
    </xf>
    <xf numFmtId="0" fontId="13" fillId="4" borderId="0" xfId="0" applyFont="1" applyFill="1" applyBorder="1" applyAlignment="1" applyProtection="1">
      <alignment horizontal="center" vertical="top"/>
      <protection hidden="1"/>
    </xf>
    <xf numFmtId="0" fontId="13" fillId="2" borderId="0" xfId="0" applyFont="1" applyFill="1" applyBorder="1" applyAlignment="1" applyProtection="1">
      <alignment horizontal="center" vertical="top"/>
      <protection hidden="1"/>
    </xf>
    <xf numFmtId="0" fontId="19" fillId="0" borderId="54" xfId="4" applyFont="1" applyFill="1" applyBorder="1" applyAlignment="1" applyProtection="1">
      <alignment horizontal="left" vertical="top" wrapText="1" indent="1"/>
      <protection hidden="1"/>
    </xf>
    <xf numFmtId="0" fontId="19" fillId="0" borderId="55" xfId="4" applyFont="1" applyFill="1" applyBorder="1" applyAlignment="1" applyProtection="1">
      <alignment horizontal="left" vertical="top" wrapText="1" indent="1"/>
      <protection hidden="1"/>
    </xf>
    <xf numFmtId="0" fontId="19" fillId="0" borderId="56" xfId="4" applyFont="1" applyFill="1" applyBorder="1" applyAlignment="1" applyProtection="1">
      <alignment horizontal="left" vertical="top" wrapText="1" indent="1"/>
      <protection hidden="1"/>
    </xf>
    <xf numFmtId="0" fontId="19" fillId="0" borderId="57" xfId="4" applyFont="1" applyFill="1" applyBorder="1" applyAlignment="1" applyProtection="1">
      <alignment horizontal="left" vertical="top" wrapText="1" indent="1"/>
      <protection hidden="1"/>
    </xf>
    <xf numFmtId="0" fontId="19" fillId="0" borderId="0" xfId="4" applyFont="1" applyFill="1" applyBorder="1" applyAlignment="1" applyProtection="1">
      <alignment horizontal="left" vertical="top" wrapText="1" indent="1"/>
      <protection hidden="1"/>
    </xf>
    <xf numFmtId="0" fontId="19" fillId="0" borderId="53" xfId="4" applyFont="1" applyFill="1" applyBorder="1" applyAlignment="1" applyProtection="1">
      <alignment horizontal="left" vertical="top" wrapText="1" indent="1"/>
      <protection hidden="1"/>
    </xf>
    <xf numFmtId="0" fontId="19" fillId="0" borderId="58" xfId="4" applyFont="1" applyFill="1" applyBorder="1" applyAlignment="1" applyProtection="1">
      <alignment horizontal="left" vertical="top" wrapText="1" indent="1"/>
      <protection hidden="1"/>
    </xf>
    <xf numFmtId="0" fontId="19" fillId="0" borderId="59" xfId="4" applyFont="1" applyFill="1" applyBorder="1" applyAlignment="1" applyProtection="1">
      <alignment horizontal="left" vertical="top" wrapText="1" indent="1"/>
      <protection hidden="1"/>
    </xf>
    <xf numFmtId="0" fontId="19" fillId="0" borderId="60" xfId="4" applyFont="1" applyFill="1" applyBorder="1" applyAlignment="1" applyProtection="1">
      <alignment horizontal="left" vertical="top" wrapText="1" indent="1"/>
      <protection hidden="1"/>
    </xf>
    <xf numFmtId="0" fontId="13" fillId="4" borderId="0" xfId="0" applyFont="1" applyFill="1" applyAlignment="1" applyProtection="1">
      <alignment horizontal="center" vertical="top" wrapText="1"/>
      <protection hidden="1"/>
    </xf>
    <xf numFmtId="0" fontId="13" fillId="2" borderId="0" xfId="0" applyFont="1" applyFill="1" applyAlignment="1" applyProtection="1">
      <alignment horizontal="center" vertical="top" wrapText="1"/>
      <protection hidden="1"/>
    </xf>
    <xf numFmtId="0" fontId="12" fillId="4" borderId="0" xfId="0" applyFont="1" applyFill="1" applyBorder="1" applyAlignment="1" applyProtection="1">
      <alignment horizontal="left" vertical="center"/>
      <protection hidden="1"/>
    </xf>
    <xf numFmtId="0" fontId="12" fillId="2" borderId="0" xfId="0" applyFont="1" applyFill="1" applyBorder="1" applyAlignment="1" applyProtection="1">
      <alignment horizontal="left" vertical="center"/>
      <protection hidden="1"/>
    </xf>
    <xf numFmtId="0" fontId="12" fillId="2" borderId="26" xfId="0" applyFont="1" applyFill="1" applyBorder="1" applyAlignment="1" applyProtection="1">
      <alignment horizontal="left" vertical="center"/>
      <protection hidden="1"/>
    </xf>
    <xf numFmtId="0" fontId="17" fillId="4" borderId="2" xfId="0" applyFont="1" applyFill="1" applyBorder="1" applyAlignment="1" applyProtection="1">
      <alignment horizontal="left" wrapText="1"/>
      <protection hidden="1"/>
    </xf>
    <xf numFmtId="0" fontId="17" fillId="2" borderId="2" xfId="0" applyFont="1" applyFill="1" applyBorder="1" applyAlignment="1" applyProtection="1">
      <alignment horizontal="left" wrapText="1"/>
      <protection hidden="1"/>
    </xf>
    <xf numFmtId="0" fontId="11" fillId="4" borderId="4" xfId="0" applyFont="1" applyFill="1" applyBorder="1" applyAlignment="1" applyProtection="1">
      <alignment horizontal="left" vertical="top" wrapText="1" indent="1"/>
      <protection hidden="1"/>
    </xf>
    <xf numFmtId="0" fontId="11" fillId="2" borderId="0" xfId="0" applyFont="1" applyFill="1" applyBorder="1" applyAlignment="1" applyProtection="1">
      <alignment horizontal="left" vertical="top" wrapText="1" indent="1"/>
      <protection hidden="1"/>
    </xf>
    <xf numFmtId="0" fontId="11" fillId="2" borderId="4" xfId="0" applyFont="1" applyFill="1" applyBorder="1" applyAlignment="1" applyProtection="1">
      <alignment horizontal="left" vertical="top" wrapText="1" indent="1"/>
      <protection hidden="1"/>
    </xf>
    <xf numFmtId="0" fontId="16" fillId="4" borderId="4" xfId="0" applyFont="1" applyFill="1" applyBorder="1" applyAlignment="1" applyProtection="1">
      <alignment horizontal="left" vertical="top" wrapText="1" indent="1"/>
      <protection hidden="1"/>
    </xf>
    <xf numFmtId="0" fontId="16" fillId="2" borderId="4" xfId="0" applyFont="1" applyFill="1" applyBorder="1" applyAlignment="1" applyProtection="1">
      <alignment horizontal="left" vertical="top" wrapText="1" indent="1"/>
      <protection hidden="1"/>
    </xf>
    <xf numFmtId="0" fontId="16" fillId="2" borderId="6" xfId="0" applyFont="1" applyFill="1" applyBorder="1" applyAlignment="1" applyProtection="1">
      <alignment horizontal="left" vertical="top" wrapText="1" indent="1"/>
      <protection hidden="1"/>
    </xf>
    <xf numFmtId="0" fontId="16" fillId="4" borderId="0" xfId="0" applyFont="1" applyFill="1" applyBorder="1" applyAlignment="1" applyProtection="1">
      <alignment vertical="top" wrapText="1"/>
      <protection hidden="1"/>
    </xf>
    <xf numFmtId="0" fontId="16" fillId="2" borderId="0" xfId="0" applyFont="1" applyFill="1" applyBorder="1" applyAlignment="1" applyProtection="1">
      <alignment vertical="top" wrapText="1"/>
      <protection hidden="1"/>
    </xf>
    <xf numFmtId="0" fontId="16" fillId="2" borderId="7" xfId="0" applyFont="1" applyFill="1" applyBorder="1" applyAlignment="1" applyProtection="1">
      <alignment vertical="top" wrapText="1"/>
      <protection hidden="1"/>
    </xf>
    <xf numFmtId="0" fontId="17" fillId="4" borderId="2" xfId="0" applyFont="1" applyFill="1" applyBorder="1" applyAlignment="1" applyProtection="1">
      <alignment horizontal="left" vertical="center" wrapText="1"/>
      <protection hidden="1"/>
    </xf>
    <xf numFmtId="0" fontId="17" fillId="2" borderId="2" xfId="0" applyFont="1" applyFill="1" applyBorder="1" applyAlignment="1" applyProtection="1">
      <alignment horizontal="left" vertical="center" wrapText="1"/>
      <protection hidden="1"/>
    </xf>
    <xf numFmtId="0" fontId="11" fillId="4" borderId="0" xfId="0" applyFont="1" applyFill="1" applyBorder="1" applyAlignment="1" applyProtection="1">
      <alignment horizontal="left" vertical="top" wrapText="1"/>
      <protection hidden="1"/>
    </xf>
    <xf numFmtId="0" fontId="11" fillId="2" borderId="0" xfId="0" applyFont="1" applyFill="1" applyBorder="1" applyAlignment="1" applyProtection="1">
      <alignment horizontal="left" vertical="top" wrapText="1"/>
      <protection hidden="1"/>
    </xf>
    <xf numFmtId="0" fontId="16" fillId="4" borderId="0" xfId="0" applyFont="1" applyFill="1" applyBorder="1" applyAlignment="1" applyProtection="1">
      <alignment horizontal="left" vertical="top" wrapText="1" indent="1"/>
      <protection hidden="1"/>
    </xf>
    <xf numFmtId="0" fontId="16" fillId="2" borderId="0" xfId="0" applyFont="1" applyFill="1" applyBorder="1" applyAlignment="1" applyProtection="1">
      <alignment horizontal="left" vertical="top" wrapText="1" indent="1"/>
      <protection hidden="1"/>
    </xf>
    <xf numFmtId="0" fontId="16" fillId="2" borderId="7" xfId="0" applyFont="1" applyFill="1" applyBorder="1" applyAlignment="1" applyProtection="1">
      <alignment horizontal="left" vertical="top" wrapText="1" indent="1"/>
      <protection hidden="1"/>
    </xf>
    <xf numFmtId="0" fontId="18" fillId="4" borderId="0" xfId="0" applyFont="1" applyFill="1" applyBorder="1" applyAlignment="1" applyProtection="1">
      <alignment horizontal="left" vertical="top" wrapText="1" indent="1"/>
      <protection hidden="1"/>
    </xf>
    <xf numFmtId="0" fontId="18" fillId="2" borderId="0" xfId="0" applyFont="1" applyFill="1" applyBorder="1" applyAlignment="1" applyProtection="1">
      <alignment horizontal="left" vertical="top" wrapText="1" indent="1"/>
      <protection hidden="1"/>
    </xf>
  </cellXfs>
  <cellStyles count="7">
    <cellStyle name="Drop-down menu" xfId="3" xr:uid="{9A912496-A5B6-4AB7-9E70-7A281664DF24}"/>
    <cellStyle name="Hyperlink" xfId="6" builtinId="8"/>
    <cellStyle name="Normal" xfId="0" builtinId="0"/>
    <cellStyle name="Normal 2 2" xfId="1" xr:uid="{D3CB7531-AC80-44A9-8F0A-9EF96DF6C4DF}"/>
    <cellStyle name="Percent" xfId="2" builtinId="5"/>
    <cellStyle name="Recessed cell" xfId="4" xr:uid="{442E480E-0242-4153-8B88-F0C890411FB0}"/>
    <cellStyle name="Style 1" xfId="5" xr:uid="{A99BF108-B9D9-4E8C-8A74-C66DA5572B0E}"/>
  </cellStyles>
  <dxfs count="247">
    <dxf>
      <fill>
        <patternFill>
          <bgColor rgb="FFCDFFCD"/>
        </patternFill>
      </fill>
    </dxf>
    <dxf>
      <fill>
        <patternFill>
          <bgColor rgb="FFFFCDE6"/>
        </patternFill>
      </fill>
    </dxf>
    <dxf>
      <fill>
        <patternFill>
          <bgColor rgb="FFB9DDF5"/>
        </patternFill>
      </fill>
    </dxf>
    <dxf>
      <fill>
        <patternFill>
          <bgColor rgb="FFBAA1D3"/>
        </patternFill>
      </fill>
    </dxf>
    <dxf>
      <fill>
        <patternFill>
          <bgColor rgb="FFE0A790"/>
        </patternFill>
      </fill>
    </dxf>
    <dxf>
      <fill>
        <patternFill>
          <bgColor rgb="FFEBCC95"/>
        </patternFill>
      </fill>
    </dxf>
    <dxf>
      <fill>
        <patternFill>
          <bgColor rgb="FF99B78F"/>
        </patternFill>
      </fill>
    </dxf>
    <dxf>
      <fill>
        <patternFill>
          <bgColor rgb="FFFF7C80"/>
        </patternFill>
      </fill>
    </dxf>
    <dxf>
      <fill>
        <patternFill>
          <bgColor rgb="FFFF7C80"/>
        </patternFill>
      </fill>
    </dxf>
    <dxf>
      <numFmt numFmtId="166" formatCode="0.#&quot;%&quot;"/>
    </dxf>
    <dxf>
      <fill>
        <patternFill>
          <bgColor rgb="FFFFCDE6"/>
        </patternFill>
      </fill>
    </dxf>
    <dxf>
      <fill>
        <patternFill>
          <bgColor rgb="FFCDFFCD"/>
        </patternFill>
      </fill>
    </dxf>
    <dxf>
      <fill>
        <gradientFill degree="90">
          <stop position="0">
            <color rgb="FFFFCDE6"/>
          </stop>
          <stop position="1">
            <color rgb="FFCDFFCD"/>
          </stop>
        </gradientFill>
      </fill>
    </dxf>
    <dxf>
      <fill>
        <patternFill>
          <bgColor theme="7" tint="0.59996337778862885"/>
        </patternFill>
      </fill>
    </dxf>
    <dxf>
      <fill>
        <patternFill>
          <bgColor rgb="FFFF7C80"/>
        </patternFill>
      </fill>
    </dxf>
    <dxf>
      <fill>
        <patternFill>
          <bgColor rgb="FFFF7C80"/>
        </patternFill>
      </fill>
    </dxf>
    <dxf>
      <fill>
        <patternFill>
          <bgColor theme="0" tint="-0.14996795556505021"/>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0" tint="-0.14996795556505021"/>
        </patternFill>
      </fill>
    </dxf>
    <dxf>
      <fill>
        <patternFill>
          <bgColor theme="0" tint="-0.14996795556505021"/>
        </patternFill>
      </fill>
    </dxf>
    <dxf>
      <fill>
        <patternFill>
          <bgColor theme="0" tint="-4.9989318521683403E-2"/>
        </patternFill>
      </fill>
    </dxf>
    <dxf>
      <fill>
        <patternFill>
          <bgColor rgb="FFFF7C80"/>
        </patternFill>
      </fill>
    </dxf>
    <dxf>
      <fill>
        <patternFill>
          <bgColor rgb="FFFF7C80"/>
        </patternFill>
      </fill>
    </dxf>
    <dxf>
      <fill>
        <patternFill>
          <bgColor theme="7" tint="0.59996337778862885"/>
        </patternFill>
      </fill>
    </dxf>
    <dxf>
      <fill>
        <patternFill>
          <bgColor rgb="FFFF7C80"/>
        </patternFill>
      </fill>
    </dxf>
    <dxf>
      <fill>
        <patternFill>
          <bgColor rgb="FFFF7C80"/>
        </patternFill>
      </fill>
    </dxf>
    <dxf>
      <fill>
        <patternFill>
          <bgColor theme="7" tint="0.59996337778862885"/>
        </patternFill>
      </fill>
    </dxf>
    <dxf>
      <fill>
        <patternFill>
          <bgColor theme="7" tint="0.79998168889431442"/>
        </patternFill>
      </fill>
    </dxf>
    <dxf>
      <fill>
        <patternFill>
          <bgColor rgb="FFFF7C80"/>
        </patternFill>
      </fill>
    </dxf>
    <dxf>
      <fill>
        <patternFill>
          <bgColor rgb="FFFF7C80"/>
        </patternFill>
      </fill>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theme="0"/>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theme="0"/>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theme="0"/>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0"/>
        </patternFill>
      </fill>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0" formatCode="General"/>
      <fill>
        <patternFill patternType="solid">
          <fgColor indexed="64"/>
          <bgColor theme="0"/>
        </patternFill>
      </fill>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b val="0"/>
        <i val="0"/>
        <strike val="0"/>
        <condense val="0"/>
        <extend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border>
        <left/>
        <right style="thin">
          <color theme="0" tint="-0.14993743705557422"/>
        </right>
      </border>
      <protection locked="1" hidden="1"/>
    </dxf>
    <dxf>
      <font>
        <b val="0"/>
        <i val="0"/>
        <strike val="0"/>
        <condense val="0"/>
        <extend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protection locked="1" hidden="1"/>
    </dxf>
    <dxf>
      <font>
        <strike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protection locked="1" hidden="1"/>
    </dxf>
    <dxf>
      <font>
        <strike val="0"/>
        <outline val="0"/>
        <shadow val="0"/>
        <u val="none"/>
        <vertAlign val="baseline"/>
        <sz val="9"/>
        <color theme="1"/>
        <name val="Arial"/>
        <family val="2"/>
        <scheme val="none"/>
      </font>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strike val="0"/>
        <outline val="0"/>
        <shadow val="0"/>
        <u val="none"/>
        <vertAlign val="baseline"/>
        <sz val="9"/>
        <color theme="1"/>
        <name val="Arial"/>
        <family val="2"/>
        <scheme val="none"/>
      </font>
      <numFmt numFmtId="164" formatCode="0.0%"/>
      <fill>
        <patternFill patternType="solid">
          <fgColor indexed="64"/>
          <bgColor theme="6" tint="0.59999389629810485"/>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rgb="FFCDFFCD"/>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rgb="FFFFCDE6"/>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11"/>
        <color theme="0" tint="-0.14999847407452621"/>
        <name val="Calibri"/>
        <family val="2"/>
        <scheme val="minor"/>
      </font>
      <fill>
        <patternFill patternType="solid">
          <fgColor indexed="64"/>
          <bgColor theme="0" tint="-0.14999847407452621"/>
        </patternFill>
      </fill>
      <border diagonalUp="0" diagonalDown="0">
        <right style="thin">
          <color theme="0" tint="-0.14996795556505021"/>
        </right>
      </border>
      <protection locked="1" hidden="1"/>
    </dxf>
    <dxf>
      <fill>
        <patternFill patternType="solid">
          <fgColor indexed="64"/>
          <bgColor theme="0" tint="-0.249977111117893"/>
        </patternFill>
      </fill>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strike val="0"/>
        <outline val="0"/>
        <shadow val="0"/>
        <u val="none"/>
        <vertAlign val="baseline"/>
        <sz val="9"/>
        <color theme="0" tint="-0.14999847407452621"/>
        <name val="Arial"/>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protection locked="1" hidden="1"/>
    </dxf>
    <dxf>
      <font>
        <strike val="0"/>
        <outline val="0"/>
        <shadow val="0"/>
        <u val="none"/>
        <vertAlign val="baseline"/>
        <sz val="9"/>
        <color theme="0" tint="-0.14999847407452621"/>
        <name val="Arial"/>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protection locked="1" hidden="1"/>
    </dxf>
    <dxf>
      <font>
        <strike val="0"/>
        <outline val="0"/>
        <shadow val="0"/>
        <u val="none"/>
        <vertAlign val="baseline"/>
        <sz val="9"/>
        <color theme="1"/>
        <name val="Arial"/>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border diagonalUp="0" diagonalDown="0">
        <right style="thin">
          <color theme="0" tint="-0.14996795556505021"/>
        </right>
      </border>
      <protection locked="1" hidden="1"/>
    </dxf>
    <dxf>
      <font>
        <strike val="0"/>
        <outline val="0"/>
        <shadow val="0"/>
        <u val="none"/>
        <vertAlign val="baseline"/>
        <sz val="9"/>
        <color theme="1"/>
        <name val="Arial"/>
        <family val="2"/>
        <scheme val="none"/>
      </font>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none">
          <fgColor indexed="64"/>
          <bgColor indexed="65"/>
        </patternFill>
      </fill>
      <alignmen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tint="-4.9989318521683403E-2"/>
        </left>
        <right style="thin">
          <color theme="0" tint="-0.499984740745262"/>
        </right>
        <top/>
        <bottom/>
        <vertical style="thin">
          <color theme="0" tint="-0.499984740745262"/>
        </vertical>
        <horizontal/>
      </border>
      <protection locked="1" hidden="1"/>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theme="0" tint="-0.499984740745262"/>
        </left>
        <right style="medium">
          <color theme="0" tint="-4.9989318521683403E-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medium">
          <color theme="1"/>
        </left>
        <right style="thin">
          <color theme="0" tint="-0.499984740745262"/>
        </right>
        <top/>
        <bottom/>
        <vertical style="thin">
          <color theme="0" tint="-0.499984740745262"/>
        </vertical>
        <horizontal/>
      </border>
      <protection locked="0" hidden="0"/>
    </dxf>
    <dxf>
      <font>
        <b/>
        <i val="0"/>
        <strike val="0"/>
        <condense val="0"/>
        <extend val="0"/>
        <outline val="0"/>
        <shadow val="0"/>
        <u val="none"/>
        <vertAlign val="baseline"/>
        <sz val="9"/>
        <color theme="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tint="-4.9989318521683403E-2"/>
        </left>
        <right style="medium">
          <color theme="1"/>
        </right>
        <top/>
        <bottom/>
        <vertical/>
        <horizontal/>
      </border>
      <protection locked="1" hidden="1"/>
    </dxf>
    <dxf>
      <font>
        <strike val="0"/>
        <outline val="0"/>
        <shadow val="0"/>
        <u val="none"/>
        <vertAlign val="baseline"/>
        <sz val="11"/>
        <color auto="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right style="medium">
          <color theme="0" tint="-4.9989318521683403E-2"/>
        </right>
        <top/>
        <bottom/>
      </border>
      <protection locked="0" hidden="0"/>
    </dxf>
    <dxf>
      <border diagonalUp="0" diagonalDown="0">
        <left/>
        <right/>
        <top/>
        <bottom/>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alignment vertical="bottom" textRotation="0" wrapText="0" indent="0" justifyLastLine="0" shrinkToFit="0" readingOrder="0"/>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sz val="9"/>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1" hidden="1"/>
    </dxf>
    <dxf>
      <font>
        <sz val="9"/>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1" hidden="1"/>
    </dxf>
    <dxf>
      <font>
        <sz val="9"/>
        <name val="Arial"/>
        <family val="2"/>
        <scheme val="none"/>
      </font>
      <fill>
        <patternFill patternType="solid">
          <fgColor indexed="64"/>
          <bgColor theme="0" tint="-4.9989318521683403E-2"/>
        </patternFill>
      </fill>
      <alignment horizontal="center" vertical="bottom" textRotation="0" wrapText="0" indent="0" justifyLastLine="0" shrinkToFit="0" readingOrder="0"/>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strike val="0"/>
        <outline val="0"/>
        <shadow val="0"/>
        <u val="none"/>
        <vertAlign val="baseline"/>
        <sz val="9"/>
        <color auto="1"/>
        <name val="Arial"/>
        <family val="2"/>
        <scheme val="none"/>
      </font>
      <numFmt numFmtId="0" formatCode="General"/>
      <fill>
        <patternFill patternType="solid">
          <fgColor indexed="64"/>
          <bgColor theme="0" tint="-0.14999847407452621"/>
        </patternFill>
      </fill>
      <alignment horizontal="general" vertical="bottom" textRotation="0" wrapText="0" indent="0" justifyLastLine="0" shrinkToFit="0" readingOrder="0"/>
      <protection locked="1" hidden="1"/>
    </dxf>
    <dxf>
      <font>
        <strike val="0"/>
        <outline val="0"/>
        <shadow val="0"/>
        <u val="none"/>
        <vertAlign val="baseline"/>
        <sz val="9"/>
        <color auto="1"/>
        <name val="Arial"/>
        <family val="2"/>
        <scheme val="none"/>
      </font>
      <numFmt numFmtId="0" formatCode="General"/>
      <fill>
        <patternFill patternType="solid">
          <fgColor indexed="64"/>
          <bgColor theme="0" tint="-0.1499984740745262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9"/>
        <color auto="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auto="1"/>
        <name val="Arial"/>
        <family val="2"/>
        <scheme val="none"/>
      </font>
      <fill>
        <patternFill patternType="solid">
          <fgColor indexed="64"/>
          <bgColor theme="0" tint="-0.14999847407452621"/>
        </patternFill>
      </fill>
      <alignment horizontal="left" vertical="bottom" textRotation="0" wrapText="0" indent="0" justifyLastLine="0" shrinkToFit="0" readingOrder="0"/>
      <protection locked="1" hidden="1"/>
    </dxf>
    <dxf>
      <font>
        <b val="0"/>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medium">
          <color theme="0" tint="-4.9989318521683403E-2"/>
        </left>
        <right/>
        <top/>
        <bottom/>
      </border>
      <protection locked="1" hidden="1"/>
    </dxf>
    <dxf>
      <font>
        <strike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medium">
          <color theme="0" tint="-4.9989318521683403E-2"/>
        </right>
        <top/>
        <bottom/>
        <vertical style="thin">
          <color theme="0" tint="-0.499984740745262"/>
        </vertical>
        <horizontal/>
      </border>
      <protection locked="0" hidden="0"/>
    </dxf>
    <dxf>
      <font>
        <strike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strike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medium">
          <color theme="1"/>
        </left>
        <right style="thin">
          <color theme="0" tint="-0.499984740745262"/>
        </right>
        <top/>
        <bottom/>
        <vertical style="thin">
          <color theme="0" tint="-0.499984740745262"/>
        </vertical>
        <horizontal/>
      </border>
      <protection locked="0" hidden="0"/>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medium">
          <color indexed="64"/>
        </right>
        <top/>
        <bottom/>
      </border>
      <protection locked="1" hidden="1"/>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right style="thin">
          <color theme="0" tint="-0.499984740745262"/>
        </right>
        <top/>
        <bottom/>
      </border>
      <protection locked="1" hidden="1"/>
    </dxf>
    <dxf>
      <alignment vertical="bottom" textRotation="0" wrapText="0" indent="0" justifyLastLine="0" shrinkToFit="0" readingOrder="0"/>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medium">
          <color rgb="FFF2F2F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8"/>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medium">
          <color theme="1"/>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tint="-4.9989318521683403E-2"/>
        </left>
        <right style="medium">
          <color theme="1"/>
        </right>
        <top/>
        <bottom/>
        <vertical/>
        <horizontal/>
      </border>
      <protection locked="1" hidden="1"/>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theme="0" tint="-0.499984740745262"/>
        </left>
        <right style="medium">
          <color theme="0" tint="-4.9989318521683403E-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medium">
          <color theme="1"/>
        </left>
        <right style="thin">
          <color theme="0" tint="-0.499984740745262"/>
        </right>
        <top/>
        <bottom/>
        <vertical style="thin">
          <color theme="0" tint="-0.499984740745262"/>
        </vertical>
        <horizontal/>
      </border>
      <protection locked="0" hidden="0"/>
    </dxf>
    <dxf>
      <font>
        <b/>
        <i val="0"/>
        <strike val="0"/>
        <condense val="0"/>
        <extend val="0"/>
        <outline val="0"/>
        <shadow val="0"/>
        <u val="none"/>
        <vertAlign val="baseline"/>
        <sz val="9"/>
        <color theme="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tint="-4.9989318521683403E-2"/>
        </left>
        <right style="medium">
          <color theme="1"/>
        </right>
        <top/>
        <bottom/>
        <vertical/>
        <horizontal/>
      </border>
      <protection locked="1" hidden="1"/>
    </dxf>
    <dxf>
      <font>
        <strike val="0"/>
        <outline val="0"/>
        <shadow val="0"/>
        <u val="none"/>
        <vertAlign val="baseline"/>
        <sz val="11"/>
        <color auto="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right style="medium">
          <color theme="0" tint="-4.9989318521683403E-2"/>
        </right>
        <top/>
        <bottom/>
      </border>
      <protection locked="0" hidden="0"/>
    </dxf>
    <dxf>
      <border diagonalUp="0" diagonalDown="0">
        <left/>
        <right/>
        <top/>
        <bottom/>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alignment vertical="bottom" textRotation="0" wrapText="0" indent="0" justifyLastLine="0" shrinkToFit="0" readingOrder="0"/>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numFmt numFmtId="0" formatCode="General"/>
      <protection locked="1" hidden="1"/>
    </dxf>
    <dxf>
      <numFmt numFmtId="2" formatCode="0.00"/>
      <protection locked="1" hidden="1"/>
    </dxf>
    <dxf>
      <protection locked="1" hidden="1"/>
    </dxf>
    <dxf>
      <protection locked="1" hidden="1"/>
    </dxf>
    <dxf>
      <protection locked="1" hidden="1"/>
    </dxf>
    <dxf>
      <alignment horizontal="general" vertical="bottom" textRotation="0" wrapText="1" indent="0" justifyLastLine="0" shrinkToFit="0" readingOrder="0"/>
      <protection locked="1" hidden="1"/>
    </dxf>
    <dxf>
      <alignment horizontal="general" vertical="bottom" textRotation="0" wrapText="1" indent="0" justifyLastLine="0" shrinkToFit="0" readingOrder="0"/>
      <protection locked="1" hidden="1"/>
    </dxf>
    <dxf>
      <protection locked="1" hidden="1"/>
    </dxf>
    <dxf>
      <protection locked="1" hidden="1"/>
    </dxf>
    <dxf>
      <protection locked="1" hidden="1"/>
    </dxf>
    <dxf>
      <numFmt numFmtId="0" formatCode="General"/>
      <protection locked="1" hidden="1"/>
    </dxf>
    <dxf>
      <protection locked="1" hidden="1"/>
    </dxf>
    <dxf>
      <protection locked="1" hidden="1"/>
    </dxf>
    <dxf>
      <font>
        <b val="0"/>
        <i val="0"/>
        <strike val="0"/>
        <condense val="0"/>
        <extend val="0"/>
        <outline val="0"/>
        <shadow val="0"/>
        <u val="none"/>
        <vertAlign val="baseline"/>
        <sz val="9"/>
        <color theme="1"/>
        <name val="Arial"/>
        <family val="2"/>
        <scheme val="none"/>
      </font>
      <fill>
        <patternFill patternType="none">
          <fgColor indexed="64"/>
          <bgColor indexed="65"/>
        </patternFill>
      </fill>
      <border diagonalUp="0" diagonalDown="0">
        <left style="thin">
          <color theme="0" tint="-0.14996795556505021"/>
        </left>
        <right/>
        <top/>
        <bottom style="thin">
          <color theme="0" tint="-0.14996795556505021"/>
        </bottom>
      </border>
      <protection locked="1" hidden="1"/>
    </dxf>
    <dxf>
      <border outline="0">
        <bottom style="thin">
          <color theme="0" tint="-0.14996795556505021"/>
        </bottom>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protection locked="1" hidden="1"/>
    </dxf>
    <dxf>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numFmt numFmtId="0" formatCode="General"/>
      <alignment horizontal="general" vertical="bottom" textRotation="0" wrapText="1" indent="0" justifyLastLine="0" shrinkToFit="0" readingOrder="0"/>
      <protection locked="1" hidden="1"/>
    </dxf>
    <dxf>
      <numFmt numFmtId="0" formatCode="General"/>
      <alignment horizontal="general" vertical="bottom" textRotation="0" wrapText="1" indent="0" justifyLastLine="0" shrinkToFit="0" readingOrder="0"/>
      <protection locked="1" hidden="1"/>
    </dxf>
    <dxf>
      <numFmt numFmtId="0" formatCode="General"/>
      <protection locked="1" hidden="1"/>
    </dxf>
    <dxf>
      <alignment horizontal="general" vertical="bottom" textRotation="0" wrapText="1" indent="0" justifyLastLine="0" shrinkToFit="0" readingOrder="0"/>
      <protection locked="1" hidden="1"/>
    </dxf>
    <dxf>
      <alignment horizontal="general" vertical="bottom" textRotation="0" wrapText="1" indent="0" justifyLastLine="0" shrinkToFit="0" readingOrder="0"/>
      <protection locked="1" hidden="1"/>
    </dxf>
    <dxf>
      <protection locked="1" hidden="1"/>
    </dxf>
    <dxf>
      <protection locked="1" hidden="1"/>
    </dxf>
    <dxf>
      <numFmt numFmtId="0" formatCode="General"/>
      <protection locked="1" hidden="1"/>
    </dxf>
    <dxf>
      <protection locked="1" hidden="1"/>
    </dxf>
    <dxf>
      <protection locked="1" hidden="1"/>
    </dxf>
    <dxf>
      <protection locked="1" hidden="1"/>
    </dxf>
    <dxf>
      <protection locked="1" hidden="1"/>
    </dxf>
    <dxf>
      <numFmt numFmtId="0" formatCode="General"/>
      <protection locked="1" hidden="1"/>
    </dxf>
    <dxf>
      <protection locked="1" hidden="1"/>
    </dxf>
    <dxf>
      <protection locked="1" hidden="1"/>
    </dxf>
    <dxf>
      <numFmt numFmtId="0" formatCode="General"/>
      <protection locked="1" hidden="1"/>
    </dxf>
    <dxf>
      <numFmt numFmtId="0" formatCode="General"/>
      <protection locked="1" hidden="1"/>
    </dxf>
    <dxf>
      <protection locked="1" hidden="1"/>
    </dxf>
    <dxf>
      <numFmt numFmtId="0" formatCode="General"/>
      <protection locked="1" hidden="1"/>
    </dxf>
    <dxf>
      <protection locked="1" hidden="1"/>
    </dxf>
    <dxf>
      <protection locked="1" hidden="1"/>
    </dxf>
    <dxf>
      <protection locked="1" hidden="1"/>
    </dxf>
    <dxf>
      <protection locked="1" hidden="1"/>
    </dxf>
    <dxf>
      <numFmt numFmtId="0" formatCode="General"/>
      <protection locked="1" hidden="1"/>
    </dxf>
    <dxf>
      <protection locked="1" hidden="1"/>
    </dxf>
    <dxf>
      <protection locked="1" hidden="1"/>
    </dxf>
    <dxf>
      <numFmt numFmtId="164" formatCode="0.0%"/>
      <protection locked="1" hidden="1"/>
    </dxf>
    <dxf>
      <numFmt numFmtId="164" formatCode="0.0%"/>
      <protection locked="1" hidden="1"/>
    </dxf>
    <dxf>
      <numFmt numFmtId="164" formatCode="0.0%"/>
      <protection locked="1" hidden="1"/>
    </dxf>
    <dxf>
      <numFmt numFmtId="0" formatCode="General"/>
      <protection locked="1" hidden="1"/>
    </dxf>
    <dxf>
      <numFmt numFmtId="164" formatCode="0.0%"/>
      <protection locked="1" hidden="1"/>
    </dxf>
    <dxf>
      <protection locked="1" hidden="1"/>
    </dxf>
    <dxf>
      <numFmt numFmtId="0" formatCode="General"/>
      <protection locked="1" hidden="1"/>
    </dxf>
    <dxf>
      <numFmt numFmtId="0" formatCode="General"/>
      <protection locked="1" hidden="1"/>
    </dxf>
    <dxf>
      <numFmt numFmtId="0" formatCode="General"/>
      <protection locked="1" hidden="1"/>
    </dxf>
    <dxf>
      <protection locked="1" hidden="1"/>
    </dxf>
    <dxf>
      <font>
        <b val="0"/>
        <i val="0"/>
        <strike val="0"/>
        <condense val="0"/>
        <extend val="0"/>
        <outline val="0"/>
        <shadow val="0"/>
        <u val="none"/>
        <vertAlign val="baseline"/>
        <sz val="11"/>
        <color theme="1"/>
        <name val="Calibri"/>
        <family val="2"/>
        <scheme val="minor"/>
      </font>
      <protection locked="1" hidden="1"/>
    </dxf>
    <dxf>
      <font>
        <b val="0"/>
        <i val="0"/>
        <strike val="0"/>
        <condense val="0"/>
        <extend val="0"/>
        <outline val="0"/>
        <shadow val="0"/>
        <u val="none"/>
        <vertAlign val="baseline"/>
        <sz val="11"/>
        <color theme="1"/>
        <name val="Calibri"/>
        <family val="2"/>
        <scheme val="minor"/>
      </font>
      <numFmt numFmtId="0" formatCode="General"/>
      <protection locked="1" hidden="1"/>
    </dxf>
    <dxf>
      <protection locked="1" hidden="1"/>
    </dxf>
    <dxf>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protection locked="1" hidden="1"/>
    </dxf>
    <dxf>
      <protection locked="1" hidden="1"/>
    </dxf>
    <dxf>
      <alignment horizontal="general" vertical="bottom" textRotation="0" wrapText="1" indent="0" justifyLastLine="0" shrinkToFit="0" readingOrder="0"/>
      <protection locked="1" hidden="1"/>
    </dxf>
    <dxf>
      <protection locked="1" hidden="1"/>
    </dxf>
    <dxf>
      <numFmt numFmtId="0" formatCode="General"/>
      <protection locked="1" hidden="1"/>
    </dxf>
    <dxf>
      <protection locked="1" hidden="1"/>
    </dxf>
    <dxf>
      <protection locked="1" hidden="1"/>
    </dxf>
    <dxf>
      <fill>
        <patternFill patternType="none">
          <fgColor indexed="64"/>
          <bgColor auto="1"/>
        </patternFill>
      </fill>
      <alignment horizontal="general" vertical="bottom" textRotation="0" wrapText="1" indent="0" justifyLastLine="0" shrinkToFit="0" readingOrder="0"/>
      <protection locked="1" hidden="1"/>
    </dxf>
    <dxf>
      <fill>
        <patternFill patternType="none">
          <fgColor indexed="64"/>
          <bgColor auto="1"/>
        </patternFill>
      </fill>
      <alignment horizontal="general" vertical="bottom" textRotation="0" wrapText="1" indent="0" justifyLastLine="0" shrinkToFit="0" readingOrder="0"/>
      <protection locked="1" hidden="1"/>
    </dxf>
    <dxf>
      <alignment horizontal="general" vertical="bottom" textRotation="0" wrapText="1" indent="0" justifyLastLine="0" shrinkToFit="0" readingOrder="0"/>
      <protection locked="1" hidden="1"/>
    </dxf>
    <dxf>
      <numFmt numFmtId="0" formatCode="General"/>
      <alignment horizontal="general" vertical="bottom" textRotation="0" wrapText="1" indent="0" justifyLastLine="0" shrinkToFit="0" readingOrder="0"/>
      <protection locked="1" hidden="1"/>
    </dxf>
    <dxf>
      <alignment horizontal="general" vertical="bottom" textRotation="0" wrapText="1" indent="0" justifyLastLine="0" shrinkToFit="0" readingOrder="0"/>
      <protection locked="1" hidden="1"/>
    </dxf>
    <dxf>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protection locked="1" hidden="1"/>
    </dxf>
    <dxf>
      <protection locked="1" hidden="1"/>
    </dxf>
    <dxf>
      <fill>
        <patternFill patternType="solid">
          <fgColor theme="4" tint="0.79995117038483843"/>
          <bgColor rgb="FFD9E1F2"/>
        </patternFill>
      </fill>
    </dxf>
    <dxf>
      <fill>
        <patternFill patternType="solid">
          <fgColor theme="4" tint="0.79995117038483843"/>
          <bgColor rgb="FFD9E1F2"/>
        </patternFill>
      </fill>
    </dxf>
    <dxf>
      <font>
        <b/>
        <color theme="1"/>
      </font>
    </dxf>
    <dxf>
      <font>
        <b/>
        <color theme="1"/>
      </font>
    </dxf>
    <dxf>
      <font>
        <b/>
        <color theme="1"/>
      </font>
      <border>
        <top style="double">
          <color rgb="FF4472C4"/>
        </top>
      </border>
    </dxf>
    <dxf>
      <font>
        <b/>
        <color theme="0"/>
      </font>
      <fill>
        <patternFill patternType="solid">
          <fgColor theme="4"/>
          <bgColor rgb="FF4472C4"/>
        </patternFill>
      </fill>
    </dxf>
    <dxf>
      <font>
        <color theme="1"/>
      </font>
      <fill>
        <patternFill patternType="none">
          <bgColor auto="1"/>
        </patternFill>
      </fill>
      <border>
        <left style="thin">
          <color rgb="FF8EA9DB"/>
        </left>
        <right style="thin">
          <color rgb="FF8EA9DB"/>
        </right>
        <top style="thin">
          <color rgb="FF8EA9DB"/>
        </top>
        <bottom style="thin">
          <color rgb="FF8EA9DB"/>
        </bottom>
        <horizontal style="thin">
          <color rgb="FF8EA9DB"/>
        </horizontal>
      </border>
    </dxf>
  </dxfs>
  <tableStyles count="1" defaultTableStyle="TableStyleMedium2" defaultPivotStyle="PivotStyleLight16">
    <tableStyle name="RANAS Analyser Hidden Table Style" pivot="0" count="7" xr9:uid="{63C53791-DCD1-4204-AD23-43C051B61560}">
      <tableStyleElement type="wholeTable" dxfId="246"/>
      <tableStyleElement type="headerRow" dxfId="245"/>
      <tableStyleElement type="totalRow" dxfId="244"/>
      <tableStyleElement type="firstColumn" dxfId="243"/>
      <tableStyleElement type="lastColumn" dxfId="242"/>
      <tableStyleElement type="firstRowStripe" dxfId="241"/>
      <tableStyleElement type="firstColumnStripe" dxfId="240"/>
    </tableStyle>
  </tableStyles>
  <colors>
    <mruColors>
      <color rgb="FFFFCDE6"/>
      <color rgb="FF2DC8FF"/>
      <color rgb="FF8DF870"/>
      <color rgb="FFCDFFCD"/>
      <color rgb="FFFFB7DB"/>
      <color rgb="FF99B78F"/>
      <color rgb="FFEBCC95"/>
      <color rgb="FFE0A790"/>
      <color rgb="FFBAA1D3"/>
      <color rgb="FFB9DD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57265168281736"/>
          <c:y val="0.160225105058589"/>
          <c:w val="0.87389729979161335"/>
          <c:h val="0.61800051632890152"/>
        </c:manualLayout>
      </c:layout>
      <c:barChart>
        <c:barDir val="col"/>
        <c:grouping val="stacked"/>
        <c:varyColors val="0"/>
        <c:ser>
          <c:idx val="1"/>
          <c:order val="0"/>
          <c:tx>
            <c:strRef>
              <c:f>'Cutoff - Seuil'!$F$24</c:f>
              <c:strCache>
                <c:ptCount val="1"/>
                <c:pt idx="0">
                  <c:v>No hacedores</c:v>
                </c:pt>
              </c:strCache>
            </c:strRef>
          </c:tx>
          <c:spPr>
            <a:solidFill>
              <a:schemeClr val="accent1"/>
            </a:solidFill>
            <a:ln>
              <a:noFill/>
            </a:ln>
            <a:effectLst/>
          </c:spPr>
          <c:invertIfNegative val="0"/>
          <c:cat>
            <c:strRef>
              <c:f>'Cutoff - Seuil'!$D$26:$D$35</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'Cutoff - Seuil'!$F$26:$F$35</c:f>
              <c:numCache>
                <c:formatCode>General</c:formatCode>
                <c:ptCount val="10"/>
                <c:pt idx="0">
                  <c:v>2</c:v>
                </c:pt>
                <c:pt idx="1">
                  <c:v>9</c:v>
                </c:pt>
                <c:pt idx="2">
                  <c:v>15</c:v>
                </c:pt>
                <c:pt idx="3">
                  <c:v>29</c:v>
                </c:pt>
                <c:pt idx="4">
                  <c:v>44</c:v>
                </c:pt>
                <c:pt idx="5">
                  <c:v>48</c:v>
                </c:pt>
                <c:pt idx="6">
                  <c:v>0</c:v>
                </c:pt>
                <c:pt idx="7">
                  <c:v>0</c:v>
                </c:pt>
                <c:pt idx="8">
                  <c:v>0</c:v>
                </c:pt>
                <c:pt idx="9">
                  <c:v>0</c:v>
                </c:pt>
              </c:numCache>
            </c:numRef>
          </c:val>
          <c:extLst>
            <c:ext xmlns:c16="http://schemas.microsoft.com/office/drawing/2014/chart" uri="{C3380CC4-5D6E-409C-BE32-E72D297353CC}">
              <c16:uniqueId val="{00000000-680E-4296-A2B0-E5D50876C606}"/>
            </c:ext>
          </c:extLst>
        </c:ser>
        <c:ser>
          <c:idx val="0"/>
          <c:order val="1"/>
          <c:tx>
            <c:strRef>
              <c:f>'Cutoff - Seuil'!$G$24</c:f>
              <c:strCache>
                <c:ptCount val="1"/>
                <c:pt idx="0">
                  <c:v>Hacedores</c:v>
                </c:pt>
              </c:strCache>
            </c:strRef>
          </c:tx>
          <c:spPr>
            <a:solidFill>
              <a:schemeClr val="accent2"/>
            </a:solidFill>
            <a:ln>
              <a:noFill/>
            </a:ln>
            <a:effectLst/>
          </c:spPr>
          <c:invertIfNegative val="0"/>
          <c:cat>
            <c:strRef>
              <c:f>'Cutoff - Seuil'!$D$26:$D$35</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'Cutoff - Seuil'!$G$26:$G$35</c:f>
              <c:numCache>
                <c:formatCode>General</c:formatCode>
                <c:ptCount val="10"/>
                <c:pt idx="0">
                  <c:v>0</c:v>
                </c:pt>
                <c:pt idx="1">
                  <c:v>0</c:v>
                </c:pt>
                <c:pt idx="2">
                  <c:v>0</c:v>
                </c:pt>
                <c:pt idx="3">
                  <c:v>0</c:v>
                </c:pt>
                <c:pt idx="4">
                  <c:v>0</c:v>
                </c:pt>
                <c:pt idx="5">
                  <c:v>7</c:v>
                </c:pt>
                <c:pt idx="6">
                  <c:v>59</c:v>
                </c:pt>
                <c:pt idx="7">
                  <c:v>35</c:v>
                </c:pt>
                <c:pt idx="8">
                  <c:v>7</c:v>
                </c:pt>
                <c:pt idx="9">
                  <c:v>3</c:v>
                </c:pt>
              </c:numCache>
            </c:numRef>
          </c:val>
          <c:extLst>
            <c:ext xmlns:c16="http://schemas.microsoft.com/office/drawing/2014/chart" uri="{C3380CC4-5D6E-409C-BE32-E72D297353CC}">
              <c16:uniqueId val="{00000001-680E-4296-A2B0-E5D50876C606}"/>
            </c:ext>
          </c:extLst>
        </c:ser>
        <c:dLbls>
          <c:showLegendKey val="0"/>
          <c:showVal val="0"/>
          <c:showCatName val="0"/>
          <c:showSerName val="0"/>
          <c:showPercent val="0"/>
          <c:showBubbleSize val="0"/>
        </c:dLbls>
        <c:gapWidth val="100"/>
        <c:overlap val="100"/>
        <c:axId val="728579384"/>
        <c:axId val="726748168"/>
      </c:barChart>
      <c:catAx>
        <c:axId val="728579384"/>
        <c:scaling>
          <c:orientation val="minMax"/>
        </c:scaling>
        <c:delete val="0"/>
        <c:axPos val="b"/>
        <c:title>
          <c:tx>
            <c:strRef>
              <c:f>[0]!langSpecBehaviourScore</c:f>
              <c:strCache>
                <c:ptCount val="1"/>
                <c:pt idx="0">
                  <c:v>Nota de comportamiento</c:v>
                </c:pt>
              </c:strCache>
            </c:strRef>
          </c:tx>
          <c:overlay val="0"/>
          <c:spPr>
            <a:noFill/>
            <a:ln>
              <a:noFill/>
            </a:ln>
            <a:effectLst/>
          </c:spPr>
          <c:txPr>
            <a:bodyPr rot="0" spcFirstLastPara="1" vertOverflow="ellipsis" vert="horz" wrap="square" anchor="ctr" anchorCtr="1"/>
            <a:lstStyle/>
            <a:p>
              <a:pPr algn="ctr" rtl="0">
                <a:defRPr lang="en-GB" sz="1400" b="1"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ysClr val="windowText" lastClr="000000"/>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6748168"/>
        <c:crosses val="autoZero"/>
        <c:auto val="1"/>
        <c:lblAlgn val="ctr"/>
        <c:lblOffset val="100"/>
        <c:noMultiLvlLbl val="0"/>
      </c:catAx>
      <c:valAx>
        <c:axId val="726748168"/>
        <c:scaling>
          <c:orientation val="minMax"/>
        </c:scaling>
        <c:delete val="0"/>
        <c:axPos val="l"/>
        <c:majorGridlines>
          <c:spPr>
            <a:ln w="9525" cap="flat" cmpd="sng" algn="ctr">
              <a:solidFill>
                <a:schemeClr val="tx1">
                  <a:lumMod val="15000"/>
                  <a:lumOff val="85000"/>
                </a:schemeClr>
              </a:solidFill>
              <a:round/>
            </a:ln>
            <a:effectLst/>
          </c:spPr>
        </c:majorGridlines>
        <c:title>
          <c:tx>
            <c:strRef>
              <c:f>[0]!langSpecNumResponses</c:f>
              <c:strCache>
                <c:ptCount val="1"/>
                <c:pt idx="0">
                  <c:v>Nº de respuestas</c:v>
                </c:pt>
              </c:strCache>
            </c:strRef>
          </c:tx>
          <c:layout>
            <c:manualLayout>
              <c:xMode val="edge"/>
              <c:yMode val="edge"/>
              <c:x val="2.6129152668906308E-2"/>
              <c:y val="0.259651047717396"/>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85793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55900165568856"/>
          <c:y val="0.13855498622017404"/>
          <c:w val="0.74743220025560975"/>
          <c:h val="0.78433146061380798"/>
        </c:manualLayout>
      </c:layout>
      <c:barChart>
        <c:barDir val="col"/>
        <c:grouping val="clustered"/>
        <c:varyColors val="0"/>
        <c:ser>
          <c:idx val="0"/>
          <c:order val="0"/>
          <c:tx>
            <c:strRef>
              <c:f>'Cutoff - Seuil'!$K$24</c:f>
              <c:strCache>
                <c:ptCount val="1"/>
                <c:pt idx="0">
                  <c:v>No hacedores</c:v>
                </c:pt>
              </c:strCache>
            </c:strRef>
          </c:tx>
          <c:spPr>
            <a:solidFill>
              <a:schemeClr val="accent1"/>
            </a:solidFill>
            <a:ln>
              <a:noFill/>
            </a:ln>
            <a:effectLst/>
          </c:spPr>
          <c:invertIfNegative val="0"/>
          <c:val>
            <c:numRef>
              <c:f>'Cutoff - Seuil'!$K$26</c:f>
              <c:numCache>
                <c:formatCode>0.0%</c:formatCode>
                <c:ptCount val="1"/>
                <c:pt idx="0">
                  <c:v>0.56976744186046513</c:v>
                </c:pt>
              </c:numCache>
            </c:numRef>
          </c:val>
          <c:extLst>
            <c:ext xmlns:c16="http://schemas.microsoft.com/office/drawing/2014/chart" uri="{C3380CC4-5D6E-409C-BE32-E72D297353CC}">
              <c16:uniqueId val="{00000000-52B6-4F07-9DA0-33D5EC459235}"/>
            </c:ext>
          </c:extLst>
        </c:ser>
        <c:ser>
          <c:idx val="1"/>
          <c:order val="1"/>
          <c:tx>
            <c:strRef>
              <c:f>'Cutoff - Seuil'!$L$24</c:f>
              <c:strCache>
                <c:ptCount val="1"/>
                <c:pt idx="0">
                  <c:v>Hacedores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2D48-4620-95F1-46086A232F02}"/>
              </c:ext>
            </c:extLst>
          </c:dPt>
          <c:val>
            <c:numRef>
              <c:f>'Cutoff - Seuil'!$L$26</c:f>
              <c:numCache>
                <c:formatCode>0.0%</c:formatCode>
                <c:ptCount val="1"/>
                <c:pt idx="0">
                  <c:v>0.43023255813953487</c:v>
                </c:pt>
              </c:numCache>
            </c:numRef>
          </c:val>
          <c:extLst>
            <c:ext xmlns:c16="http://schemas.microsoft.com/office/drawing/2014/chart" uri="{C3380CC4-5D6E-409C-BE32-E72D297353CC}">
              <c16:uniqueId val="{00000001-52B6-4F07-9DA0-33D5EC459235}"/>
            </c:ext>
          </c:extLst>
        </c:ser>
        <c:ser>
          <c:idx val="2"/>
          <c:order val="2"/>
          <c:tx>
            <c:strRef>
              <c:f>'Cutoff - Seuil'!$M$24</c:f>
              <c:strCache>
                <c:ptCount val="1"/>
                <c:pt idx="0">
                  <c:v>Diferencia</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4214-484B-AC02-AA7DC581D2AE}"/>
              </c:ext>
            </c:extLst>
          </c:dPt>
          <c:val>
            <c:numRef>
              <c:f>'Cutoff - Seuil'!$M$26</c:f>
              <c:numCache>
                <c:formatCode>0.0%</c:formatCode>
                <c:ptCount val="1"/>
                <c:pt idx="0">
                  <c:v>-0.13953488372093026</c:v>
                </c:pt>
              </c:numCache>
            </c:numRef>
          </c:val>
          <c:extLst>
            <c:ext xmlns:c16="http://schemas.microsoft.com/office/drawing/2014/chart" uri="{C3380CC4-5D6E-409C-BE32-E72D297353CC}">
              <c16:uniqueId val="{00000002-52B6-4F07-9DA0-33D5EC459235}"/>
            </c:ext>
          </c:extLst>
        </c:ser>
        <c:dLbls>
          <c:showLegendKey val="0"/>
          <c:showVal val="0"/>
          <c:showCatName val="0"/>
          <c:showSerName val="0"/>
          <c:showPercent val="0"/>
          <c:showBubbleSize val="0"/>
        </c:dLbls>
        <c:gapWidth val="219"/>
        <c:overlap val="-27"/>
        <c:axId val="1335311871"/>
        <c:axId val="1335310207"/>
      </c:barChart>
      <c:catAx>
        <c:axId val="1335311871"/>
        <c:scaling>
          <c:orientation val="minMax"/>
        </c:scaling>
        <c:delete val="0"/>
        <c:axPos val="b"/>
        <c:numFmt formatCode="General" sourceLinked="1"/>
        <c:majorTickMark val="none"/>
        <c:minorTickMark val="none"/>
        <c:tickLblPos val="none"/>
        <c:spPr>
          <a:noFill/>
          <a:ln w="12700"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310207"/>
        <c:crosses val="autoZero"/>
        <c:auto val="1"/>
        <c:lblAlgn val="ctr"/>
        <c:lblOffset val="100"/>
        <c:noMultiLvlLbl val="0"/>
      </c:catAx>
      <c:valAx>
        <c:axId val="1335310207"/>
        <c:scaling>
          <c:orientation val="minMax"/>
          <c:max val="1"/>
          <c:min val="-1"/>
        </c:scaling>
        <c:delete val="0"/>
        <c:axPos val="l"/>
        <c:majorGridlines>
          <c:spPr>
            <a:ln w="9525" cap="flat" cmpd="sng" algn="ctr">
              <a:solidFill>
                <a:schemeClr val="tx1">
                  <a:lumMod val="15000"/>
                  <a:lumOff val="85000"/>
                </a:schemeClr>
              </a:solidFill>
              <a:round/>
            </a:ln>
            <a:effectLst/>
          </c:spPr>
        </c:majorGridlines>
        <c:title>
          <c:tx>
            <c:strRef>
              <c:f>[0]!langSpecPercentResponses</c:f>
              <c:strCache>
                <c:ptCount val="1"/>
                <c:pt idx="0">
                  <c:v>% de respuestas</c:v>
                </c:pt>
              </c:strCache>
            </c:strRef>
          </c:tx>
          <c:overlay val="0"/>
          <c:spPr>
            <a:noFill/>
            <a:ln>
              <a:noFill/>
            </a:ln>
            <a:effectLst/>
          </c:spPr>
          <c:txPr>
            <a:bodyPr rot="-5400000" spcFirstLastPara="1" vertOverflow="ellipsis" vert="horz" wrap="square" anchor="ctr" anchorCtr="1"/>
            <a:lstStyle/>
            <a:p>
              <a:pPr algn="ctr" rtl="0">
                <a:defRPr lang="en-US" sz="1400" b="1"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353118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Analysis!$H$49</c:f>
              <c:strCache>
                <c:ptCount val="1"/>
                <c:pt idx="0">
                  <c:v>No hacedores</c:v>
                </c:pt>
              </c:strCache>
            </c:strRef>
          </c:tx>
          <c:spPr>
            <a:solidFill>
              <a:schemeClr val="accent1"/>
            </a:solidFill>
            <a:ln>
              <a:noFill/>
            </a:ln>
            <a:effectLst/>
          </c:spPr>
          <c:invertIfNegative val="0"/>
          <c:cat>
            <c:strRef>
              <c:f>[0]!chartFactorRange2</c:f>
              <c:strCache>
                <c:ptCount val="8"/>
                <c:pt idx="0">
                  <c:v>Severidad
[Riesgo]</c:v>
                </c:pt>
                <c:pt idx="1">
                  <c:v>Barreras 2
[Auto‐regulación]</c:v>
                </c:pt>
                <c:pt idx="2">
                  <c:v>Importancia personal
[Normas]</c:v>
                </c:pt>
                <c:pt idx="3">
                  <c:v>Barreras 1
[Auto‐regulación]</c:v>
                </c:pt>
                <c:pt idx="4">
                  <c:v>Beneficios
[Actitud]</c:v>
                </c:pt>
                <c:pt idx="5">
                  <c:v>Confianza en el desempeño
[Habilidad]</c:v>
                </c:pt>
                <c:pt idx="6">
                  <c:v>Costos
[Actitud]</c:v>
                </c:pt>
                <c:pt idx="7">
                  <c:v>Sentimientos
[Actitud]</c:v>
                </c:pt>
              </c:strCache>
            </c:strRef>
          </c:cat>
          <c:val>
            <c:numRef>
              <c:f>[0]!chartNondoersRange2</c:f>
              <c:numCache>
                <c:formatCode>0.0%</c:formatCode>
                <c:ptCount val="8"/>
                <c:pt idx="0">
                  <c:v>0.63435374149659862</c:v>
                </c:pt>
                <c:pt idx="1">
                  <c:v>0.28401360544217685</c:v>
                </c:pt>
                <c:pt idx="2">
                  <c:v>0.72789115646258506</c:v>
                </c:pt>
                <c:pt idx="3">
                  <c:v>0.25170068027210885</c:v>
                </c:pt>
                <c:pt idx="4">
                  <c:v>0.63435374149659862</c:v>
                </c:pt>
                <c:pt idx="5">
                  <c:v>0.68707482993197277</c:v>
                </c:pt>
                <c:pt idx="6">
                  <c:v>0.26785714285714285</c:v>
                </c:pt>
                <c:pt idx="7">
                  <c:v>0.44444444444444442</c:v>
                </c:pt>
              </c:numCache>
            </c:numRef>
          </c:val>
          <c:extLst>
            <c:ext xmlns:c16="http://schemas.microsoft.com/office/drawing/2014/chart" uri="{C3380CC4-5D6E-409C-BE32-E72D297353CC}">
              <c16:uniqueId val="{00000000-F5D1-4DC6-8106-0752DC83C1AB}"/>
            </c:ext>
          </c:extLst>
        </c:ser>
        <c:ser>
          <c:idx val="1"/>
          <c:order val="1"/>
          <c:tx>
            <c:strRef>
              <c:f>Analysis!$I$49</c:f>
              <c:strCache>
                <c:ptCount val="1"/>
                <c:pt idx="0">
                  <c:v>Hacedores</c:v>
                </c:pt>
              </c:strCache>
            </c:strRef>
          </c:tx>
          <c:spPr>
            <a:solidFill>
              <a:schemeClr val="accent2"/>
            </a:solidFill>
            <a:ln>
              <a:noFill/>
            </a:ln>
            <a:effectLst/>
          </c:spPr>
          <c:invertIfNegative val="0"/>
          <c:cat>
            <c:strRef>
              <c:f>[0]!chartFactorRange2</c:f>
              <c:strCache>
                <c:ptCount val="8"/>
                <c:pt idx="0">
                  <c:v>Severidad
[Riesgo]</c:v>
                </c:pt>
                <c:pt idx="1">
                  <c:v>Barreras 2
[Auto‐regulación]</c:v>
                </c:pt>
                <c:pt idx="2">
                  <c:v>Importancia personal
[Normas]</c:v>
                </c:pt>
                <c:pt idx="3">
                  <c:v>Barreras 1
[Auto‐regulación]</c:v>
                </c:pt>
                <c:pt idx="4">
                  <c:v>Beneficios
[Actitud]</c:v>
                </c:pt>
                <c:pt idx="5">
                  <c:v>Confianza en el desempeño
[Habilidad]</c:v>
                </c:pt>
                <c:pt idx="6">
                  <c:v>Costos
[Actitud]</c:v>
                </c:pt>
                <c:pt idx="7">
                  <c:v>Sentimientos
[Actitud]</c:v>
                </c:pt>
              </c:strCache>
            </c:strRef>
          </c:cat>
          <c:val>
            <c:numRef>
              <c:f>[0]!chartDoersRange2</c:f>
              <c:numCache>
                <c:formatCode>0.0%</c:formatCode>
                <c:ptCount val="8"/>
                <c:pt idx="0">
                  <c:v>0.72072072072072069</c:v>
                </c:pt>
                <c:pt idx="1">
                  <c:v>0.20270270270270271</c:v>
                </c:pt>
                <c:pt idx="2">
                  <c:v>0.80855855855855852</c:v>
                </c:pt>
                <c:pt idx="3">
                  <c:v>0.17117117117117117</c:v>
                </c:pt>
                <c:pt idx="4">
                  <c:v>0.70945945945945943</c:v>
                </c:pt>
                <c:pt idx="5">
                  <c:v>0.75225225225225223</c:v>
                </c:pt>
                <c:pt idx="6">
                  <c:v>0.2195945945945946</c:v>
                </c:pt>
                <c:pt idx="7">
                  <c:v>0.46096096096096095</c:v>
                </c:pt>
              </c:numCache>
            </c:numRef>
          </c:val>
          <c:extLst>
            <c:ext xmlns:c16="http://schemas.microsoft.com/office/drawing/2014/chart" uri="{C3380CC4-5D6E-409C-BE32-E72D297353CC}">
              <c16:uniqueId val="{00000001-F5D1-4DC6-8106-0752DC83C1AB}"/>
            </c:ext>
          </c:extLst>
        </c:ser>
        <c:ser>
          <c:idx val="2"/>
          <c:order val="2"/>
          <c:tx>
            <c:strRef>
              <c:f>Analysis!$J$49</c:f>
              <c:strCache>
                <c:ptCount val="1"/>
                <c:pt idx="0">
                  <c:v>Diferencia</c:v>
                </c:pt>
              </c:strCache>
            </c:strRef>
          </c:tx>
          <c:spPr>
            <a:solidFill>
              <a:schemeClr val="accent3"/>
            </a:solidFill>
            <a:ln>
              <a:noFill/>
            </a:ln>
            <a:effectLst/>
          </c:spPr>
          <c:invertIfNegative val="0"/>
          <c:cat>
            <c:strRef>
              <c:f>[0]!chartFactorRange2</c:f>
              <c:strCache>
                <c:ptCount val="8"/>
                <c:pt idx="0">
                  <c:v>Severidad
[Riesgo]</c:v>
                </c:pt>
                <c:pt idx="1">
                  <c:v>Barreras 2
[Auto‐regulación]</c:v>
                </c:pt>
                <c:pt idx="2">
                  <c:v>Importancia personal
[Normas]</c:v>
                </c:pt>
                <c:pt idx="3">
                  <c:v>Barreras 1
[Auto‐regulación]</c:v>
                </c:pt>
                <c:pt idx="4">
                  <c:v>Beneficios
[Actitud]</c:v>
                </c:pt>
                <c:pt idx="5">
                  <c:v>Confianza en el desempeño
[Habilidad]</c:v>
                </c:pt>
                <c:pt idx="6">
                  <c:v>Costos
[Actitud]</c:v>
                </c:pt>
                <c:pt idx="7">
                  <c:v>Sentimientos
[Actitud]</c:v>
                </c:pt>
              </c:strCache>
            </c:strRef>
          </c:cat>
          <c:val>
            <c:numRef>
              <c:f>[0]!chartDifferenceRange2</c:f>
              <c:numCache>
                <c:formatCode>0.0%</c:formatCode>
                <c:ptCount val="8"/>
                <c:pt idx="0">
                  <c:v>8.6366979224122065E-2</c:v>
                </c:pt>
                <c:pt idx="1">
                  <c:v>-8.1310902739474139E-2</c:v>
                </c:pt>
                <c:pt idx="2">
                  <c:v>8.0667402095973451E-2</c:v>
                </c:pt>
                <c:pt idx="3">
                  <c:v>-8.0529509100937674E-2</c:v>
                </c:pt>
                <c:pt idx="4">
                  <c:v>7.5105717962860807E-2</c:v>
                </c:pt>
                <c:pt idx="5">
                  <c:v>6.5177422320279454E-2</c:v>
                </c:pt>
                <c:pt idx="6">
                  <c:v>-4.8262548262548249E-2</c:v>
                </c:pt>
                <c:pt idx="7">
                  <c:v>1.6516516516516533E-2</c:v>
                </c:pt>
              </c:numCache>
            </c:numRef>
          </c:val>
          <c:extLst>
            <c:ext xmlns:c16="http://schemas.microsoft.com/office/drawing/2014/chart" uri="{C3380CC4-5D6E-409C-BE32-E72D297353CC}">
              <c16:uniqueId val="{00000002-F5D1-4DC6-8106-0752DC83C1AB}"/>
            </c:ext>
          </c:extLst>
        </c:ser>
        <c:dLbls>
          <c:showLegendKey val="0"/>
          <c:showVal val="0"/>
          <c:showCatName val="0"/>
          <c:showSerName val="0"/>
          <c:showPercent val="0"/>
          <c:showBubbleSize val="0"/>
        </c:dLbls>
        <c:gapWidth val="219"/>
        <c:overlap val="-27"/>
        <c:axId val="1335311871"/>
        <c:axId val="1335310207"/>
      </c:barChart>
      <c:lineChart>
        <c:grouping val="standard"/>
        <c:varyColors val="0"/>
        <c:ser>
          <c:idx val="3"/>
          <c:order val="3"/>
          <c:tx>
            <c:strRef>
              <c:f>HiddenTables!$AW$2</c:f>
              <c:strCache>
                <c:ptCount val="1"/>
                <c:pt idx="0">
                  <c:v>YaxisLimits</c:v>
                </c:pt>
              </c:strCache>
            </c:strRef>
          </c:tx>
          <c:spPr>
            <a:ln w="28575" cap="rnd">
              <a:noFill/>
              <a:round/>
            </a:ln>
            <a:effectLst/>
          </c:spPr>
          <c:marker>
            <c:symbol val="none"/>
          </c:marker>
          <c:val>
            <c:numRef>
              <c:f>HiddenTables!$AW$3:$AW$4</c:f>
              <c:numCache>
                <c:formatCode>General</c:formatCode>
                <c:ptCount val="2"/>
                <c:pt idx="0">
                  <c:v>-0.19900953778429936</c:v>
                </c:pt>
                <c:pt idx="1">
                  <c:v>1</c:v>
                </c:pt>
              </c:numCache>
            </c:numRef>
          </c:val>
          <c:smooth val="0"/>
          <c:extLst>
            <c:ext xmlns:c16="http://schemas.microsoft.com/office/drawing/2014/chart" uri="{C3380CC4-5D6E-409C-BE32-E72D297353CC}">
              <c16:uniqueId val="{00000001-58E4-4422-8A92-F5AD2199B439}"/>
            </c:ext>
          </c:extLst>
        </c:ser>
        <c:dLbls>
          <c:showLegendKey val="0"/>
          <c:showVal val="0"/>
          <c:showCatName val="0"/>
          <c:showSerName val="0"/>
          <c:showPercent val="0"/>
          <c:showBubbleSize val="0"/>
        </c:dLbls>
        <c:marker val="1"/>
        <c:smooth val="0"/>
        <c:axId val="1335311871"/>
        <c:axId val="1335310207"/>
      </c:lineChart>
      <c:catAx>
        <c:axId val="1335311871"/>
        <c:scaling>
          <c:orientation val="minMax"/>
        </c:scaling>
        <c:delete val="0"/>
        <c:axPos val="b"/>
        <c:numFmt formatCode="General" sourceLinked="1"/>
        <c:majorTickMark val="none"/>
        <c:minorTickMark val="none"/>
        <c:tickLblPos val="low"/>
        <c:spPr>
          <a:noFill/>
          <a:ln w="12700" cap="flat" cmpd="sng" algn="ctr">
            <a:solidFill>
              <a:sysClr val="windowText" lastClr="000000"/>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35310207"/>
        <c:crosses val="autoZero"/>
        <c:auto val="1"/>
        <c:lblAlgn val="ctr"/>
        <c:lblOffset val="100"/>
        <c:noMultiLvlLbl val="0"/>
      </c:catAx>
      <c:valAx>
        <c:axId val="1335310207"/>
        <c:scaling>
          <c:orientation val="minMax"/>
          <c:max val="1"/>
        </c:scaling>
        <c:delete val="0"/>
        <c:axPos val="l"/>
        <c:majorGridlines>
          <c:spPr>
            <a:ln w="9525" cap="flat" cmpd="sng" algn="ctr">
              <a:solidFill>
                <a:schemeClr val="tx1">
                  <a:lumMod val="15000"/>
                  <a:lumOff val="85000"/>
                </a:schemeClr>
              </a:solidFill>
              <a:round/>
            </a:ln>
            <a:effectLst/>
          </c:spPr>
        </c:majorGridlines>
        <c:title>
          <c:tx>
            <c:strRef>
              <c:f>[0]!langSpecMeanScore</c:f>
              <c:strCache>
                <c:ptCount val="1"/>
                <c:pt idx="0">
                  <c:v>Nota media normalizada (0‑100%)</c:v>
                </c:pt>
              </c:strCache>
            </c:strRef>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35311871"/>
        <c:crosses val="autoZero"/>
        <c:crossBetween val="between"/>
      </c:valAx>
      <c:spPr>
        <a:noFill/>
        <a:ln>
          <a:noFill/>
        </a:ln>
        <a:effectLst/>
      </c:spPr>
    </c:plotArea>
    <c:legend>
      <c:legendPos val="t"/>
      <c:legendEntry>
        <c:idx val="3"/>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Analysis!$H$49</c:f>
              <c:strCache>
                <c:ptCount val="1"/>
                <c:pt idx="0">
                  <c:v>No hacedores</c:v>
                </c:pt>
              </c:strCache>
            </c:strRef>
          </c:tx>
          <c:spPr>
            <a:solidFill>
              <a:schemeClr val="accent1"/>
            </a:solidFill>
            <a:ln>
              <a:noFill/>
            </a:ln>
            <a:effectLst/>
          </c:spPr>
          <c:invertIfNegative val="0"/>
          <c:cat>
            <c:strRef>
              <c:f>[0]!chartFactorRange1</c:f>
              <c:strCache>
                <c:ptCount val="9"/>
                <c:pt idx="0">
                  <c:v>Recordar
[Auto‐regulación]</c:v>
                </c:pt>
                <c:pt idx="1">
                  <c:v>Vulnerabilidad
[Riesgo]</c:v>
                </c:pt>
                <c:pt idx="2">
                  <c:v>Planificación de acciones
[Auto‐regulación]</c:v>
                </c:pt>
                <c:pt idx="3">
                  <c:v>Conocimiento de salud
[Riesgo]</c:v>
                </c:pt>
                <c:pt idx="4">
                  <c:v>Confianza en la continuidad
[Habilidad]</c:v>
                </c:pt>
                <c:pt idx="5">
                  <c:v>(Des)aprobación de los demás
[Normas]</c:v>
                </c:pt>
                <c:pt idx="6">
                  <c:v>Comportamiento de los demás
[Normas]</c:v>
                </c:pt>
                <c:pt idx="7">
                  <c:v>Conocimiento de acciones
[Habilidad]</c:v>
                </c:pt>
                <c:pt idx="8">
                  <c:v>Control de acciones
[Riesgo]</c:v>
                </c:pt>
              </c:strCache>
            </c:strRef>
          </c:cat>
          <c:val>
            <c:numRef>
              <c:f>[0]!chartNondoersRange1</c:f>
              <c:numCache>
                <c:formatCode>0.0%</c:formatCode>
                <c:ptCount val="9"/>
                <c:pt idx="0">
                  <c:v>0.29741379310344829</c:v>
                </c:pt>
                <c:pt idx="1">
                  <c:v>0.25</c:v>
                </c:pt>
                <c:pt idx="2">
                  <c:v>0.69387755102040805</c:v>
                </c:pt>
                <c:pt idx="3">
                  <c:v>0.26899092970521543</c:v>
                </c:pt>
                <c:pt idx="4">
                  <c:v>0.50765306122448983</c:v>
                </c:pt>
                <c:pt idx="5">
                  <c:v>0.4375</c:v>
                </c:pt>
                <c:pt idx="6">
                  <c:v>0.61564625850340138</c:v>
                </c:pt>
                <c:pt idx="7">
                  <c:v>0.24529822029822035</c:v>
                </c:pt>
                <c:pt idx="8">
                  <c:v>0.71336206896551724</c:v>
                </c:pt>
              </c:numCache>
            </c:numRef>
          </c:val>
          <c:extLst>
            <c:ext xmlns:c16="http://schemas.microsoft.com/office/drawing/2014/chart" uri="{C3380CC4-5D6E-409C-BE32-E72D297353CC}">
              <c16:uniqueId val="{00000000-F5D1-4DC6-8106-0752DC83C1AB}"/>
            </c:ext>
          </c:extLst>
        </c:ser>
        <c:ser>
          <c:idx val="1"/>
          <c:order val="1"/>
          <c:tx>
            <c:strRef>
              <c:f>Analysis!$I$49</c:f>
              <c:strCache>
                <c:ptCount val="1"/>
                <c:pt idx="0">
                  <c:v>Hacedores</c:v>
                </c:pt>
              </c:strCache>
            </c:strRef>
          </c:tx>
          <c:spPr>
            <a:solidFill>
              <a:schemeClr val="accent2"/>
            </a:solidFill>
            <a:ln>
              <a:noFill/>
            </a:ln>
            <a:effectLst/>
          </c:spPr>
          <c:invertIfNegative val="0"/>
          <c:cat>
            <c:strRef>
              <c:f>[0]!chartFactorRange1</c:f>
              <c:strCache>
                <c:ptCount val="9"/>
                <c:pt idx="0">
                  <c:v>Recordar
[Auto‐regulación]</c:v>
                </c:pt>
                <c:pt idx="1">
                  <c:v>Vulnerabilidad
[Riesgo]</c:v>
                </c:pt>
                <c:pt idx="2">
                  <c:v>Planificación de acciones
[Auto‐regulación]</c:v>
                </c:pt>
                <c:pt idx="3">
                  <c:v>Conocimiento de salud
[Riesgo]</c:v>
                </c:pt>
                <c:pt idx="4">
                  <c:v>Confianza en la continuidad
[Habilidad]</c:v>
                </c:pt>
                <c:pt idx="5">
                  <c:v>(Des)aprobación de los demás
[Normas]</c:v>
                </c:pt>
                <c:pt idx="6">
                  <c:v>Comportamiento de los demás
[Normas]</c:v>
                </c:pt>
                <c:pt idx="7">
                  <c:v>Conocimiento de acciones
[Habilidad]</c:v>
                </c:pt>
                <c:pt idx="8">
                  <c:v>Control de acciones
[Riesgo]</c:v>
                </c:pt>
              </c:strCache>
            </c:strRef>
          </c:cat>
          <c:val>
            <c:numRef>
              <c:f>[0]!chartDoersRange1</c:f>
              <c:numCache>
                <c:formatCode>0.0%</c:formatCode>
                <c:ptCount val="9"/>
                <c:pt idx="0">
                  <c:v>9.8404255319148939E-2</c:v>
                </c:pt>
                <c:pt idx="1">
                  <c:v>0.44144144144144143</c:v>
                </c:pt>
                <c:pt idx="2">
                  <c:v>0.85885885885885915</c:v>
                </c:pt>
                <c:pt idx="3">
                  <c:v>0.40090090090090125</c:v>
                </c:pt>
                <c:pt idx="4">
                  <c:v>0.63063063063063063</c:v>
                </c:pt>
                <c:pt idx="5">
                  <c:v>0.55067567567567566</c:v>
                </c:pt>
                <c:pt idx="6">
                  <c:v>0.713963963963964</c:v>
                </c:pt>
                <c:pt idx="7">
                  <c:v>0.34076089076089089</c:v>
                </c:pt>
                <c:pt idx="8">
                  <c:v>0.80053191489361697</c:v>
                </c:pt>
              </c:numCache>
            </c:numRef>
          </c:val>
          <c:extLst>
            <c:ext xmlns:c16="http://schemas.microsoft.com/office/drawing/2014/chart" uri="{C3380CC4-5D6E-409C-BE32-E72D297353CC}">
              <c16:uniqueId val="{00000001-F5D1-4DC6-8106-0752DC83C1AB}"/>
            </c:ext>
          </c:extLst>
        </c:ser>
        <c:ser>
          <c:idx val="2"/>
          <c:order val="2"/>
          <c:tx>
            <c:strRef>
              <c:f>Analysis!$J$49</c:f>
              <c:strCache>
                <c:ptCount val="1"/>
                <c:pt idx="0">
                  <c:v>Diferencia</c:v>
                </c:pt>
              </c:strCache>
            </c:strRef>
          </c:tx>
          <c:spPr>
            <a:solidFill>
              <a:schemeClr val="accent3"/>
            </a:solidFill>
            <a:ln>
              <a:noFill/>
            </a:ln>
            <a:effectLst/>
          </c:spPr>
          <c:invertIfNegative val="0"/>
          <c:cat>
            <c:strRef>
              <c:f>[0]!chartFactorRange1</c:f>
              <c:strCache>
                <c:ptCount val="9"/>
                <c:pt idx="0">
                  <c:v>Recordar
[Auto‐regulación]</c:v>
                </c:pt>
                <c:pt idx="1">
                  <c:v>Vulnerabilidad
[Riesgo]</c:v>
                </c:pt>
                <c:pt idx="2">
                  <c:v>Planificación de acciones
[Auto‐regulación]</c:v>
                </c:pt>
                <c:pt idx="3">
                  <c:v>Conocimiento de salud
[Riesgo]</c:v>
                </c:pt>
                <c:pt idx="4">
                  <c:v>Confianza en la continuidad
[Habilidad]</c:v>
                </c:pt>
                <c:pt idx="5">
                  <c:v>(Des)aprobación de los demás
[Normas]</c:v>
                </c:pt>
                <c:pt idx="6">
                  <c:v>Comportamiento de los demás
[Normas]</c:v>
                </c:pt>
                <c:pt idx="7">
                  <c:v>Conocimiento de acciones
[Habilidad]</c:v>
                </c:pt>
                <c:pt idx="8">
                  <c:v>Control de acciones
[Riesgo]</c:v>
                </c:pt>
              </c:strCache>
            </c:strRef>
          </c:cat>
          <c:val>
            <c:numRef>
              <c:f>[0]!chartDifferenceRange1</c:f>
              <c:numCache>
                <c:formatCode>0.0%</c:formatCode>
                <c:ptCount val="9"/>
                <c:pt idx="0">
                  <c:v>-0.19900953778429936</c:v>
                </c:pt>
                <c:pt idx="1">
                  <c:v>0.19144144144144143</c:v>
                </c:pt>
                <c:pt idx="2">
                  <c:v>0.16498130783845111</c:v>
                </c:pt>
                <c:pt idx="3">
                  <c:v>0.13190997119568582</c:v>
                </c:pt>
                <c:pt idx="4">
                  <c:v>0.1229775694061408</c:v>
                </c:pt>
                <c:pt idx="5">
                  <c:v>0.11317567567567566</c:v>
                </c:pt>
                <c:pt idx="6">
                  <c:v>9.8317705460562621E-2</c:v>
                </c:pt>
                <c:pt idx="7">
                  <c:v>9.546267046267054E-2</c:v>
                </c:pt>
                <c:pt idx="8">
                  <c:v>8.7169845928099732E-2</c:v>
                </c:pt>
              </c:numCache>
            </c:numRef>
          </c:val>
          <c:extLst>
            <c:ext xmlns:c16="http://schemas.microsoft.com/office/drawing/2014/chart" uri="{C3380CC4-5D6E-409C-BE32-E72D297353CC}">
              <c16:uniqueId val="{00000002-F5D1-4DC6-8106-0752DC83C1AB}"/>
            </c:ext>
          </c:extLst>
        </c:ser>
        <c:dLbls>
          <c:showLegendKey val="0"/>
          <c:showVal val="0"/>
          <c:showCatName val="0"/>
          <c:showSerName val="0"/>
          <c:showPercent val="0"/>
          <c:showBubbleSize val="0"/>
        </c:dLbls>
        <c:gapWidth val="219"/>
        <c:overlap val="-27"/>
        <c:axId val="1335311871"/>
        <c:axId val="1335310207"/>
      </c:barChart>
      <c:lineChart>
        <c:grouping val="standard"/>
        <c:varyColors val="0"/>
        <c:ser>
          <c:idx val="3"/>
          <c:order val="3"/>
          <c:tx>
            <c:strRef>
              <c:f>HiddenTables!$AW$2</c:f>
              <c:strCache>
                <c:ptCount val="1"/>
                <c:pt idx="0">
                  <c:v>YaxisLimits</c:v>
                </c:pt>
              </c:strCache>
            </c:strRef>
          </c:tx>
          <c:spPr>
            <a:ln w="28575" cap="rnd">
              <a:noFill/>
              <a:round/>
            </a:ln>
            <a:effectLst/>
          </c:spPr>
          <c:marker>
            <c:symbol val="none"/>
          </c:marker>
          <c:val>
            <c:numRef>
              <c:f>HiddenTables!$AW$3:$AW$4</c:f>
              <c:numCache>
                <c:formatCode>General</c:formatCode>
                <c:ptCount val="2"/>
                <c:pt idx="0">
                  <c:v>-0.19900953778429936</c:v>
                </c:pt>
                <c:pt idx="1">
                  <c:v>1</c:v>
                </c:pt>
              </c:numCache>
            </c:numRef>
          </c:val>
          <c:smooth val="0"/>
          <c:extLst>
            <c:ext xmlns:c16="http://schemas.microsoft.com/office/drawing/2014/chart" uri="{C3380CC4-5D6E-409C-BE32-E72D297353CC}">
              <c16:uniqueId val="{00000000-8516-409F-B009-B0855F322E26}"/>
            </c:ext>
          </c:extLst>
        </c:ser>
        <c:dLbls>
          <c:showLegendKey val="0"/>
          <c:showVal val="0"/>
          <c:showCatName val="0"/>
          <c:showSerName val="0"/>
          <c:showPercent val="0"/>
          <c:showBubbleSize val="0"/>
        </c:dLbls>
        <c:marker val="1"/>
        <c:smooth val="0"/>
        <c:axId val="1335311871"/>
        <c:axId val="1335310207"/>
      </c:lineChart>
      <c:catAx>
        <c:axId val="1335311871"/>
        <c:scaling>
          <c:orientation val="minMax"/>
        </c:scaling>
        <c:delete val="0"/>
        <c:axPos val="b"/>
        <c:numFmt formatCode="General" sourceLinked="1"/>
        <c:majorTickMark val="none"/>
        <c:minorTickMark val="none"/>
        <c:tickLblPos val="low"/>
        <c:spPr>
          <a:noFill/>
          <a:ln w="12700" cap="flat" cmpd="sng" algn="ctr">
            <a:solidFill>
              <a:sysClr val="windowText" lastClr="000000"/>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35310207"/>
        <c:crosses val="autoZero"/>
        <c:auto val="1"/>
        <c:lblAlgn val="ctr"/>
        <c:lblOffset val="100"/>
        <c:noMultiLvlLbl val="0"/>
      </c:catAx>
      <c:valAx>
        <c:axId val="1335310207"/>
        <c:scaling>
          <c:orientation val="minMax"/>
          <c:max val="1"/>
        </c:scaling>
        <c:delete val="0"/>
        <c:axPos val="l"/>
        <c:majorGridlines>
          <c:spPr>
            <a:ln w="9525" cap="flat" cmpd="sng" algn="ctr">
              <a:solidFill>
                <a:schemeClr val="tx1">
                  <a:lumMod val="15000"/>
                  <a:lumOff val="85000"/>
                </a:schemeClr>
              </a:solidFill>
              <a:round/>
            </a:ln>
            <a:effectLst/>
          </c:spPr>
        </c:majorGridlines>
        <c:title>
          <c:tx>
            <c:strRef>
              <c:f>[0]!langSpecMeanScore</c:f>
              <c:strCache>
                <c:ptCount val="1"/>
                <c:pt idx="0">
                  <c:v>Nota media normalizada (0‑100%)</c:v>
                </c:pt>
              </c:strCache>
            </c:strRef>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35311871"/>
        <c:crosses val="autoZero"/>
        <c:crossBetween val="between"/>
      </c:valAx>
      <c:spPr>
        <a:noFill/>
        <a:ln>
          <a:noFill/>
        </a:ln>
        <a:effectLst/>
      </c:spPr>
    </c:plotArea>
    <c:legend>
      <c:legendPos val="t"/>
      <c:legendEntry>
        <c:idx val="3"/>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26" fmlaLink="$H$6" max="100" page="10" val="57"/>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91440</xdr:rowOff>
    </xdr:from>
    <xdr:ext cx="5505450" cy="1369823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95250" y="91440"/>
          <a:ext cx="5505450" cy="136982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en-GB" sz="1100" b="1" u="sng"/>
            <a:t>Worksheet protection before publication</a:t>
          </a:r>
        </a:p>
        <a:p>
          <a:r>
            <a:rPr lang="en-GB" sz="1100"/>
            <a:t>In the final, end-user version of this workbook, some items are hidden or protected to prevent accidental</a:t>
          </a:r>
          <a:r>
            <a:rPr lang="en-GB" sz="1100" baseline="0"/>
            <a:t> modifications by the user. Here's the step-by-step procedure to publish a new end-user version from the current "dev version". The end-user version is produced in 2 copies: a "blank" version and a "demo" version, the latter containing an example "data" sheet and a "Demo" sheet to illustrate how the Analyser works. There are also (for the time being) two versions for each of those copies: an "Excel 365" version (only compatible with recent versions of Excel) and a "Legacy" version (compatible with older versions of Excel).</a:t>
          </a:r>
        </a:p>
        <a:p>
          <a:endParaRPr lang="en-GB" sz="1100" baseline="0"/>
        </a:p>
        <a:p>
          <a:pPr marL="228600" indent="-228600">
            <a:buFont typeface="+mj-lt"/>
            <a:buAutoNum type="arabicPeriod"/>
          </a:pPr>
          <a:r>
            <a:rPr lang="en-GB" sz="1100" baseline="0"/>
            <a:t>Decide on a version number for the new published version. E.g. "v1.2.0".</a:t>
          </a:r>
        </a:p>
        <a:p>
          <a:pPr marL="228600" indent="-228600">
            <a:buFont typeface="+mj-lt"/>
            <a:buAutoNum type="arabicPeriod"/>
          </a:pPr>
          <a:r>
            <a:rPr lang="en-GB" sz="1100" baseline="0"/>
            <a:t>Update the versionNumber variable in the "MANUAL-ENTRY VARIABLES TABLE" in the "HiddenTables" sheet.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solidFill>
                <a:schemeClr val="dk1"/>
              </a:solidFill>
              <a:effectLst/>
              <a:latin typeface="+mn-lt"/>
              <a:ea typeface="+mn-ea"/>
              <a:cs typeface="+mn-cs"/>
            </a:rPr>
            <a:t>Save the current "dev version"; mark it as final; rename it with the chosen version number; </a:t>
          </a:r>
          <a:r>
            <a:rPr lang="en-GB" sz="1100" b="1" u="sng" baseline="0">
              <a:solidFill>
                <a:schemeClr val="dk1"/>
              </a:solidFill>
              <a:effectLst/>
              <a:latin typeface="+mn-lt"/>
              <a:ea typeface="+mn-ea"/>
              <a:cs typeface="+mn-cs"/>
            </a:rPr>
            <a:t>archive</a:t>
          </a:r>
          <a:r>
            <a:rPr lang="en-GB" sz="1100" baseline="0">
              <a:solidFill>
                <a:schemeClr val="dk1"/>
              </a:solidFill>
              <a:effectLst/>
              <a:latin typeface="+mn-lt"/>
              <a:ea typeface="+mn-ea"/>
              <a:cs typeface="+mn-cs"/>
            </a:rPr>
            <a:t> it.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solidFill>
                <a:schemeClr val="dk1"/>
              </a:solidFill>
              <a:effectLst/>
              <a:latin typeface="+mn-lt"/>
              <a:ea typeface="+mn-ea"/>
              <a:cs typeface="+mn-cs"/>
            </a:rPr>
            <a:t>Make </a:t>
          </a:r>
          <a:r>
            <a:rPr lang="en-GB" sz="1100" b="1" u="sng" baseline="0">
              <a:solidFill>
                <a:schemeClr val="dk1"/>
              </a:solidFill>
              <a:effectLst/>
              <a:latin typeface="+mn-lt"/>
              <a:ea typeface="+mn-ea"/>
              <a:cs typeface="+mn-cs"/>
            </a:rPr>
            <a:t>2</a:t>
          </a:r>
          <a:r>
            <a:rPr lang="en-GB" sz="1100" b="0" u="none" baseline="0">
              <a:solidFill>
                <a:schemeClr val="dk1"/>
              </a:solidFill>
              <a:effectLst/>
              <a:latin typeface="+mn-lt"/>
              <a:ea typeface="+mn-ea"/>
              <a:cs typeface="+mn-cs"/>
            </a:rPr>
            <a:t> copies of that archived version if only producing "Excel 365" versions. Make </a:t>
          </a:r>
          <a:r>
            <a:rPr lang="en-GB" sz="1100" b="1" u="sng" baseline="0">
              <a:solidFill>
                <a:schemeClr val="dk1"/>
              </a:solidFill>
              <a:effectLst/>
              <a:latin typeface="+mn-lt"/>
              <a:ea typeface="+mn-ea"/>
              <a:cs typeface="+mn-cs"/>
            </a:rPr>
            <a:t>3</a:t>
          </a:r>
          <a:r>
            <a:rPr lang="en-GB" sz="1100" b="0" u="none" baseline="0">
              <a:solidFill>
                <a:schemeClr val="dk1"/>
              </a:solidFill>
              <a:effectLst/>
              <a:latin typeface="+mn-lt"/>
              <a:ea typeface="+mn-ea"/>
              <a:cs typeface="+mn-cs"/>
            </a:rPr>
            <a:t> copies if also producing "Legacy" versions from the same file.</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0" u="none" baseline="0">
              <a:solidFill>
                <a:schemeClr val="dk1"/>
              </a:solidFill>
              <a:effectLst/>
              <a:latin typeface="+mn-lt"/>
              <a:ea typeface="+mn-ea"/>
              <a:cs typeface="+mn-cs"/>
            </a:rPr>
            <a:t>One copy is the next "dev version": rename it with an incremented version number (e.g. "v1.2.1"); open it and unmark it as final; update the version number in the "MANUAL-ENTRY VARIABLES TABLE" with this incremented number; save it.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The second copy will be the new published "demo" version: </a:t>
          </a:r>
          <a:r>
            <a:rPr lang="en-GB" sz="1100" b="0" baseline="0">
              <a:solidFill>
                <a:schemeClr val="dk1"/>
              </a:solidFill>
              <a:effectLst/>
              <a:latin typeface="+mn-lt"/>
              <a:ea typeface="+mn-ea"/>
              <a:cs typeface="+mn-cs"/>
            </a:rPr>
            <a:t>rename it with an appropriate name for the "demo" version, keeping its version number (e.g. "RANAS Analyser v1.2.0 (Excel 365) - demo version"); open it and unmark it as final. Do the same with the third copy if also producing a "Legacy" version (and rename it with "(Legacy)").</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0" baseline="0">
              <a:solidFill>
                <a:schemeClr val="dk1"/>
              </a:solidFill>
              <a:effectLst/>
              <a:latin typeface="+mn-lt"/>
              <a:ea typeface="+mn-ea"/>
              <a:cs typeface="+mn-cs"/>
            </a:rPr>
            <a:t>If producing a "Legacy" version, replace all formulae that need it with their "Legacy" versions (in-sheet, Named Manager, CF and DV rules). Also </a:t>
          </a:r>
          <a:r>
            <a:rPr lang="en-GB" sz="1100" b="1" u="sng" baseline="0">
              <a:solidFill>
                <a:schemeClr val="dk1"/>
              </a:solidFill>
              <a:effectLst/>
              <a:latin typeface="+mn-lt"/>
              <a:ea typeface="+mn-ea"/>
              <a:cs typeface="+mn-cs"/>
            </a:rPr>
            <a:t>delete non-legacy objects from the Name Manager</a:t>
          </a:r>
          <a:r>
            <a:rPr lang="en-GB" sz="1100" b="0" baseline="0">
              <a:solidFill>
                <a:schemeClr val="dk1"/>
              </a:solidFill>
              <a:effectLst/>
              <a:latin typeface="+mn-lt"/>
              <a:ea typeface="+mn-ea"/>
              <a:cs typeface="+mn-cs"/>
            </a:rPr>
            <a:t> (user-defined functions using LAMBDA(), LET()), so that they don't generate warnings or errors in older Excel versions. In "Introduction" and "Configuration", replace "(Excel 365 version)" with "(Legacy version)".</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Delete any sheet that's only used for development (e.g. "dev_notes", "Audit" sheets).</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Hide the</a:t>
          </a:r>
          <a:r>
            <a:rPr lang="en-GB" sz="1100" baseline="0">
              <a:effectLst/>
            </a:rPr>
            <a:t> actual header rows of tables (</a:t>
          </a:r>
          <a:r>
            <a:rPr lang="en-GB" sz="1100" baseline="0">
              <a:solidFill>
                <a:schemeClr val="dk1"/>
              </a:solidFill>
              <a:effectLst/>
              <a:latin typeface="+mn-lt"/>
              <a:ea typeface="+mn-ea"/>
              <a:cs typeface="+mn-cs"/>
            </a:rPr>
            <a:t>the visible headers are dummy, language-specific headers for the user).</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"Configuration": the three rows that contain the headers of "behaviourConfigTable", "factorsConfigTable" and "chartTranslationTable".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"Cutoff - Seuil", the row that contains the headers of both "cutoffChartTable" and "doersNondoersChartTable".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"Analysis", the row that contains the headers of "analysisChartTable".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If you get the error "Can't push objects off the sheet", check if there's a cell comment that prevents the hiding.</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solidFill>
                <a:schemeClr val="dk1"/>
              </a:solidFill>
              <a:effectLst/>
              <a:latin typeface="+mn-lt"/>
              <a:ea typeface="+mn-ea"/>
              <a:cs typeface="+mn-cs"/>
            </a:rPr>
            <a:t>If not already done, hide: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all sheets visible to the user, all the rows and columns after the last used ones (i.e., those not defined with a grey background).</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"Configuration", the columns that contain the "hidden" columns of "chartTranslationTable" AFTER the thin black border (i.e., "tag" to "displayedText").</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Again, if you get the error "Can't push objects off the sheet", check if there's a cell comment that prevents the hiding.</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solidFill>
                <a:schemeClr val="dk1"/>
              </a:solidFill>
              <a:effectLst/>
              <a:latin typeface="+mn-lt"/>
              <a:ea typeface="+mn-ea"/>
              <a:cs typeface="+mn-cs"/>
            </a:rPr>
            <a:t>Select all cells in "dataCopy", "HiddenTables", "Introduction", "Demo", "Configuration", "Cutoff - Seuil" and "Analysis", and "lock &amp; hide" them (Format Cells... &gt; Protection &gt; Locked+Hidden). Then:</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"Introduction", </a:t>
          </a:r>
          <a:r>
            <a:rPr kumimoji="0" lang="en-GB" sz="1100" b="1" i="0" u="sng" strike="noStrike" kern="0" cap="none" spc="0" normalizeH="0" baseline="0" noProof="0">
              <a:ln>
                <a:noFill/>
              </a:ln>
              <a:solidFill>
                <a:prstClr val="black"/>
              </a:solidFill>
              <a:effectLst/>
              <a:uLnTx/>
              <a:uFillTx/>
              <a:latin typeface="+mn-lt"/>
              <a:ea typeface="+mn-ea"/>
              <a:cs typeface="+mn-cs"/>
            </a:rPr>
            <a:t>unlock</a:t>
          </a:r>
          <a:r>
            <a:rPr kumimoji="0" lang="en-GB" sz="1100" b="0" i="0" u="none" strike="noStrike" kern="0" cap="none" spc="0" normalizeH="0" baseline="0" noProof="0">
              <a:ln>
                <a:noFill/>
              </a:ln>
              <a:solidFill>
                <a:prstClr val="black"/>
              </a:solidFill>
              <a:effectLst/>
              <a:uLnTx/>
              <a:uFillTx/>
              <a:latin typeface="+mn-lt"/>
              <a:ea typeface="+mn-ea"/>
              <a:cs typeface="+mn-cs"/>
            </a:rPr>
            <a:t> (but keep hidden) the two cells/menus for "Interface language" and "Chart language".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"Configuration", </a:t>
          </a:r>
          <a:r>
            <a:rPr lang="en-GB" sz="1100" b="1" u="sng" baseline="0">
              <a:solidFill>
                <a:schemeClr val="dk1"/>
              </a:solidFill>
              <a:effectLst/>
              <a:latin typeface="+mn-lt"/>
              <a:ea typeface="+mn-ea"/>
              <a:cs typeface="+mn-cs"/>
            </a:rPr>
            <a:t>unlock</a:t>
          </a:r>
          <a:r>
            <a:rPr lang="en-GB" sz="1100" baseline="0">
              <a:solidFill>
                <a:schemeClr val="dk1"/>
              </a:solidFill>
              <a:effectLst/>
              <a:latin typeface="+mn-lt"/>
              <a:ea typeface="+mn-ea"/>
              <a:cs typeface="+mn-cs"/>
            </a:rPr>
            <a:t> and </a:t>
          </a:r>
          <a:r>
            <a:rPr lang="en-GB" sz="1100" b="1" u="sng" baseline="0">
              <a:solidFill>
                <a:schemeClr val="dk1"/>
              </a:solidFill>
              <a:effectLst/>
              <a:latin typeface="+mn-lt"/>
              <a:ea typeface="+mn-ea"/>
              <a:cs typeface="+mn-cs"/>
            </a:rPr>
            <a:t>unhide</a:t>
          </a:r>
          <a:r>
            <a:rPr lang="en-GB" sz="1100" baseline="0">
              <a:solidFill>
                <a:schemeClr val="dk1"/>
              </a:solidFill>
              <a:effectLst/>
              <a:latin typeface="+mn-lt"/>
              <a:ea typeface="+mn-ea"/>
              <a:cs typeface="+mn-cs"/>
            </a:rPr>
            <a:t> the yellow areas of all tables (use the shortcut "Go To... &gt; editableAreas" for a quick selection of those).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"Cutoff - Seuil", </a:t>
          </a:r>
          <a:r>
            <a:rPr lang="en-GB" sz="1100" b="1" u="sng" baseline="0">
              <a:solidFill>
                <a:schemeClr val="dk1"/>
              </a:solidFill>
              <a:effectLst/>
              <a:latin typeface="+mn-lt"/>
              <a:ea typeface="+mn-ea"/>
              <a:cs typeface="+mn-cs"/>
            </a:rPr>
            <a:t>unlock</a:t>
          </a:r>
          <a:r>
            <a:rPr lang="en-GB" sz="1100" baseline="0">
              <a:solidFill>
                <a:schemeClr val="dk1"/>
              </a:solidFill>
              <a:effectLst/>
              <a:latin typeface="+mn-lt"/>
              <a:ea typeface="+mn-ea"/>
              <a:cs typeface="+mn-cs"/>
            </a:rPr>
            <a:t> (but keep hidden) the cell/menu for "Cutoff level".</a:t>
          </a:r>
          <a:br>
            <a:rPr lang="en-GB" sz="1100" baseline="0">
              <a:solidFill>
                <a:schemeClr val="dk1"/>
              </a:solidFill>
              <a:effectLst/>
              <a:latin typeface="+mn-lt"/>
              <a:ea typeface="+mn-ea"/>
              <a:cs typeface="+mn-cs"/>
            </a:rPr>
          </a:br>
          <a:r>
            <a:rPr lang="en-GB" sz="1100">
              <a:solidFill>
                <a:schemeClr val="dk1"/>
              </a:solidFill>
              <a:effectLst/>
              <a:latin typeface="+mn-lt"/>
              <a:ea typeface="+mn-ea"/>
              <a:cs typeface="+mn-cs"/>
            </a:rPr>
            <a:t>- In "Analysis", </a:t>
          </a:r>
          <a:r>
            <a:rPr lang="en-GB" sz="1100" b="1" u="sng" baseline="0">
              <a:solidFill>
                <a:schemeClr val="dk1"/>
              </a:solidFill>
              <a:effectLst/>
              <a:latin typeface="+mn-lt"/>
              <a:ea typeface="+mn-ea"/>
              <a:cs typeface="+mn-cs"/>
            </a:rPr>
            <a:t>unlock</a:t>
          </a:r>
          <a:r>
            <a:rPr lang="en-GB" sz="1100" baseline="0">
              <a:solidFill>
                <a:schemeClr val="dk1"/>
              </a:solidFill>
              <a:effectLst/>
              <a:latin typeface="+mn-lt"/>
              <a:ea typeface="+mn-ea"/>
              <a:cs typeface="+mn-cs"/>
            </a:rPr>
            <a:t> (but keep hidden)</a:t>
          </a:r>
          <a:r>
            <a:rPr lang="en-GB" sz="1100">
              <a:solidFill>
                <a:schemeClr val="dk1"/>
              </a:solidFill>
              <a:effectLst/>
              <a:latin typeface="+mn-lt"/>
              <a:ea typeface="+mn-ea"/>
              <a:cs typeface="+mn-cs"/>
            </a:rPr>
            <a:t> the cell/menu for "Data</a:t>
          </a:r>
          <a:r>
            <a:rPr lang="en-GB" sz="1100" baseline="0">
              <a:solidFill>
                <a:schemeClr val="dk1"/>
              </a:solidFill>
              <a:effectLst/>
              <a:latin typeface="+mn-lt"/>
              <a:ea typeface="+mn-ea"/>
              <a:cs typeface="+mn-cs"/>
            </a:rPr>
            <a:t> sorting</a:t>
          </a:r>
          <a:r>
            <a:rPr lang="en-GB" sz="1100">
              <a:solidFill>
                <a:schemeClr val="dk1"/>
              </a:solidFill>
              <a:effectLst/>
              <a:latin typeface="+mn-lt"/>
              <a:ea typeface="+mn-ea"/>
              <a:cs typeface="+mn-cs"/>
            </a:rPr>
            <a:t>".</a:t>
          </a:r>
          <a:endParaRPr lang="en-GB" sz="1100" baseline="0">
            <a:solidFill>
              <a:schemeClr val="dk1"/>
            </a:solidFill>
            <a:effectLst/>
            <a:latin typeface="+mn-lt"/>
            <a:ea typeface="+mn-ea"/>
            <a:cs typeface="+mn-cs"/>
          </a:endParaRP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Password-protect "dataCopy", "HiddenTables", "Introduction",</a:t>
          </a:r>
          <a:r>
            <a:rPr lang="en-GB" sz="1100" baseline="0">
              <a:solidFill>
                <a:schemeClr val="dk1"/>
              </a:solidFill>
              <a:effectLst/>
              <a:latin typeface="+mn-lt"/>
              <a:ea typeface="+mn-ea"/>
              <a:cs typeface="+mn-cs"/>
            </a:rPr>
            <a:t> "Demo",</a:t>
          </a:r>
          <a:r>
            <a:rPr lang="en-GB" sz="1100">
              <a:effectLst/>
            </a:rPr>
            <a:t> "Configuration", "Cutoff - Seuil" and "Analysis" using the default settings ("Select locked cells" and "Select unlocked cells" enabled).</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Hide the row/columns headings and gridlines in "Introduction",</a:t>
          </a:r>
          <a:r>
            <a:rPr lang="en-GB" sz="1100" baseline="0">
              <a:solidFill>
                <a:schemeClr val="dk1"/>
              </a:solidFill>
              <a:effectLst/>
              <a:latin typeface="+mn-lt"/>
              <a:ea typeface="+mn-ea"/>
              <a:cs typeface="+mn-cs"/>
            </a:rPr>
            <a:t> "Demo",</a:t>
          </a:r>
          <a:r>
            <a:rPr lang="en-GB" sz="1100" baseline="0">
              <a:effectLst/>
            </a:rPr>
            <a:t> </a:t>
          </a:r>
          <a:r>
            <a:rPr lang="en-GB" sz="1100">
              <a:effectLst/>
            </a:rPr>
            <a:t>"Configuration", "Cutoff - Seuil" and "Analysis":</a:t>
          </a:r>
          <a:r>
            <a:rPr lang="en-GB" sz="1100" baseline="0">
              <a:effectLst/>
            </a:rPr>
            <a:t> </a:t>
          </a:r>
          <a:r>
            <a:rPr lang="en-GB" sz="1100">
              <a:effectLst/>
            </a:rPr>
            <a:t>View &gt; Show &gt; Headings+Gridlines. (That's just to make it look better, even though the user can revert this.)</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kumimoji="0" lang="en-GB" sz="1100" b="0" i="0" u="none" strike="noStrike" kern="0" cap="none" spc="0" normalizeH="0" baseline="0" noProof="0">
              <a:ln>
                <a:noFill/>
              </a:ln>
              <a:solidFill>
                <a:prstClr val="black"/>
              </a:solidFill>
              <a:effectLst/>
              <a:uLnTx/>
              <a:uFillTx/>
              <a:latin typeface="+mn-lt"/>
              <a:ea typeface="+mn-ea"/>
              <a:cs typeface="+mn-cs"/>
            </a:rPr>
            <a:t>Hide </a:t>
          </a:r>
          <a:r>
            <a:rPr lang="en-GB" sz="1100" baseline="0">
              <a:solidFill>
                <a:schemeClr val="dk1"/>
              </a:solidFill>
              <a:effectLst/>
              <a:latin typeface="+mn-lt"/>
              <a:ea typeface="+mn-ea"/>
              <a:cs typeface="+mn-cs"/>
            </a:rPr>
            <a:t>"dataCopy" and </a:t>
          </a:r>
          <a:r>
            <a:rPr kumimoji="0" lang="en-GB" sz="1100" b="0" i="0" u="none" strike="noStrike" kern="0" cap="none" spc="0" normalizeH="0" baseline="0" noProof="0">
              <a:ln>
                <a:noFill/>
              </a:ln>
              <a:solidFill>
                <a:prstClr val="black"/>
              </a:solidFill>
              <a:effectLst/>
              <a:uLnTx/>
              <a:uFillTx/>
              <a:latin typeface="+mn-lt"/>
              <a:ea typeface="+mn-ea"/>
              <a:cs typeface="+mn-cs"/>
            </a:rPr>
            <a:t>"HiddenTables" as "very hidden" via the VBA Editor: Alt+F11 (open VBA Editor) &gt; F4 (open Properties window) &gt; set the "Visible" property for these sheets to "2 - xlSheetVeryHidden". Since the workbook cannot be protected (see note below), this will at least make it more difficult to unhide these sheets, because they won't be available through the "Unhide" function.</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effectLst/>
            </a:rPr>
            <a:t>Save the workbook. </a:t>
          </a:r>
          <a:r>
            <a:rPr lang="en-GB" sz="1100" b="1" u="sng" baseline="0">
              <a:effectLst/>
            </a:rPr>
            <a:t>This is the end-user "demo" version.</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effectLst/>
            </a:rPr>
            <a:t>Make </a:t>
          </a:r>
          <a:r>
            <a:rPr lang="en-GB" sz="1100" b="1" u="sng" baseline="0">
              <a:effectLst/>
            </a:rPr>
            <a:t>1</a:t>
          </a:r>
          <a:r>
            <a:rPr lang="en-GB" sz="1100" b="0" u="none" baseline="0">
              <a:effectLst/>
            </a:rPr>
            <a:t> copy of that version and rename it with an appropriate name for the "blank" version (e.g. "RANAS Analyser v1.2.0 (Excel 365)"); open it.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0" u="none" baseline="0">
              <a:effectLst/>
            </a:rPr>
            <a:t>Delete sheets "Demo" and "data". Clear the yellow areas in "Configuration".</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0" u="none" baseline="0">
              <a:effectLst/>
            </a:rPr>
            <a:t>Save the workbook. </a:t>
          </a:r>
          <a:r>
            <a:rPr lang="en-GB" sz="1100" b="1" u="sng" baseline="0">
              <a:effectLst/>
            </a:rPr>
            <a:t>This is the end-user "blank" version.</a:t>
          </a:r>
          <a:endParaRPr lang="en-GB" sz="1100" baseline="0">
            <a:effectLst/>
          </a:endParaRP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endParaRPr lang="en-GB" sz="11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effectLst/>
            </a:rPr>
            <a:t>Notes: </a:t>
          </a:r>
        </a:p>
        <a:p>
          <a:pPr marL="171450" indent="-171450" eaLnBrk="1" fontAlgn="auto" latinLnBrk="0" hangingPunct="1">
            <a:buFont typeface="Arial" panose="020B0604020202020204" pitchFamily="34" charset="0"/>
            <a:buChar char="•"/>
          </a:pPr>
          <a:r>
            <a:rPr lang="en-GB" sz="1100" baseline="0">
              <a:solidFill>
                <a:schemeClr val="dk1"/>
              </a:solidFill>
              <a:effectLst/>
              <a:latin typeface="+mn-lt"/>
              <a:ea typeface="+mn-ea"/>
              <a:cs typeface="+mn-cs"/>
            </a:rPr>
            <a:t>All charts in the "Cutoff - Seuil</a:t>
          </a:r>
          <a:r>
            <a:rPr lang="en-GB" sz="1100">
              <a:solidFill>
                <a:schemeClr val="dk1"/>
              </a:solidFill>
              <a:effectLst/>
              <a:latin typeface="+mn-lt"/>
              <a:ea typeface="+mn-ea"/>
              <a:cs typeface="+mn-cs"/>
            </a:rPr>
            <a:t>"</a:t>
          </a:r>
          <a:r>
            <a:rPr lang="en-GB" sz="1100" baseline="0">
              <a:solidFill>
                <a:schemeClr val="dk1"/>
              </a:solidFill>
              <a:effectLst/>
              <a:latin typeface="+mn-lt"/>
              <a:ea typeface="+mn-ea"/>
              <a:cs typeface="+mn-cs"/>
            </a:rPr>
            <a:t> and "Analysis" worksheets are left unlocked, despite the risk that the user could modify them, because that's currently the only way for the user to be able to copy them.</a:t>
          </a:r>
          <a:endParaRPr lang="en-GB">
            <a:effectLst/>
          </a:endParaRPr>
        </a:p>
        <a:p>
          <a:pPr marL="171450" indent="-171450" eaLnBrk="1" fontAlgn="auto" latinLnBrk="0" hangingPunct="1">
            <a:buFont typeface="Arial" panose="020B0604020202020204" pitchFamily="34" charset="0"/>
            <a:buChar char="•"/>
          </a:pPr>
          <a:r>
            <a:rPr lang="en-GB" sz="1100" baseline="0">
              <a:solidFill>
                <a:schemeClr val="dk1"/>
              </a:solidFill>
              <a:effectLst/>
              <a:latin typeface="+mn-lt"/>
              <a:ea typeface="+mn-ea"/>
              <a:cs typeface="+mn-cs"/>
            </a:rPr>
            <a:t>The workbook itself is left unprotected, otherwise the user wouldn't be able to import their data as a new spreadsheet. This is why the other sheets need to be protected with a password (because sheets protected without a password are only protected when the workbook is protected).</a:t>
          </a:r>
          <a:endParaRPr lang="en-GB">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168520</xdr:colOff>
      <xdr:row>14</xdr:row>
      <xdr:rowOff>1</xdr:rowOff>
    </xdr:from>
    <xdr:to>
      <xdr:col>10</xdr:col>
      <xdr:colOff>0</xdr:colOff>
      <xdr:row>15</xdr:row>
      <xdr:rowOff>0</xdr:rowOff>
    </xdr:to>
    <xdr:grpSp>
      <xdr:nvGrpSpPr>
        <xdr:cNvPr id="5" name="Group 4">
          <a:extLst>
            <a:ext uri="{FF2B5EF4-FFF2-40B4-BE49-F238E27FC236}">
              <a16:creationId xmlns:a16="http://schemas.microsoft.com/office/drawing/2014/main" id="{64BB6042-BC9C-4651-A23F-D67624DAA46D}"/>
            </a:ext>
          </a:extLst>
        </xdr:cNvPr>
        <xdr:cNvGrpSpPr>
          <a:grpSpLocks noChangeAspect="1"/>
        </xdr:cNvGrpSpPr>
      </xdr:nvGrpSpPr>
      <xdr:grpSpPr>
        <a:xfrm>
          <a:off x="426330" y="4085168"/>
          <a:ext cx="14527920" cy="836082"/>
          <a:chOff x="422520" y="4085168"/>
          <a:chExt cx="14531730" cy="836082"/>
        </a:xfrm>
      </xdr:grpSpPr>
      <xdr:sp macro="" textlink="">
        <xdr:nvSpPr>
          <xdr:cNvPr id="3" name="Rectangle 2">
            <a:extLst>
              <a:ext uri="{FF2B5EF4-FFF2-40B4-BE49-F238E27FC236}">
                <a16:creationId xmlns:a16="http://schemas.microsoft.com/office/drawing/2014/main" id="{714B1AC7-F50A-6B33-2A58-71FC8DAA40C5}"/>
              </a:ext>
            </a:extLst>
          </xdr:cNvPr>
          <xdr:cNvSpPr>
            <a:spLocks noChangeAspect="1"/>
          </xdr:cNvSpPr>
        </xdr:nvSpPr>
        <xdr:spPr>
          <a:xfrm>
            <a:off x="422520" y="4085168"/>
            <a:ext cx="14531730" cy="83608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nvGrpSpPr>
          <xdr:cNvPr id="4" name="Group 3">
            <a:extLst>
              <a:ext uri="{FF2B5EF4-FFF2-40B4-BE49-F238E27FC236}">
                <a16:creationId xmlns:a16="http://schemas.microsoft.com/office/drawing/2014/main" id="{ABA6EFEB-50C4-FE34-D5EB-FA81AD0C65A3}"/>
              </a:ext>
            </a:extLst>
          </xdr:cNvPr>
          <xdr:cNvGrpSpPr/>
        </xdr:nvGrpSpPr>
        <xdr:grpSpPr>
          <a:xfrm>
            <a:off x="771912" y="4234904"/>
            <a:ext cx="13832947" cy="536610"/>
            <a:chOff x="731454" y="4254657"/>
            <a:chExt cx="13832947" cy="536610"/>
          </a:xfrm>
        </xdr:grpSpPr>
        <xdr:pic>
          <xdr:nvPicPr>
            <xdr:cNvPr id="6" name="Graphic 5">
              <a:extLst>
                <a:ext uri="{FF2B5EF4-FFF2-40B4-BE49-F238E27FC236}">
                  <a16:creationId xmlns:a16="http://schemas.microsoft.com/office/drawing/2014/main" id="{526B6410-660A-4779-66AF-6EE4EEA240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454" y="4254657"/>
              <a:ext cx="2156663" cy="536610"/>
            </a:xfrm>
            <a:prstGeom prst="rect">
              <a:avLst/>
            </a:prstGeom>
          </xdr:spPr>
        </xdr:pic>
        <xdr:pic>
          <xdr:nvPicPr>
            <xdr:cNvPr id="13" name="Graphic 12">
              <a:extLst>
                <a:ext uri="{FF2B5EF4-FFF2-40B4-BE49-F238E27FC236}">
                  <a16:creationId xmlns:a16="http://schemas.microsoft.com/office/drawing/2014/main" id="{D2BD6D71-CC83-B695-061A-94DB0CFF1FA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57756" y="4300456"/>
              <a:ext cx="2615133" cy="445012"/>
            </a:xfrm>
            <a:prstGeom prst="rect">
              <a:avLst/>
            </a:prstGeom>
          </xdr:spPr>
        </xdr:pic>
        <xdr:pic>
          <xdr:nvPicPr>
            <xdr:cNvPr id="16" name="Graphic 15">
              <a:extLst>
                <a:ext uri="{FF2B5EF4-FFF2-40B4-BE49-F238E27FC236}">
                  <a16:creationId xmlns:a16="http://schemas.microsoft.com/office/drawing/2014/main" id="{84997B4E-FC91-D4C4-94F2-46F5A9857DE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52053" y="4372963"/>
              <a:ext cx="3569030" cy="299998"/>
            </a:xfrm>
            <a:prstGeom prst="rect">
              <a:avLst/>
            </a:prstGeom>
          </xdr:spPr>
        </xdr:pic>
        <xdr:pic>
          <xdr:nvPicPr>
            <xdr:cNvPr id="18" name="Graphic 17">
              <a:extLst>
                <a:ext uri="{FF2B5EF4-FFF2-40B4-BE49-F238E27FC236}">
                  <a16:creationId xmlns:a16="http://schemas.microsoft.com/office/drawing/2014/main" id="{FBFD3DC4-C2E7-3AD2-097E-75F70B04B8B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696436" y="4335775"/>
              <a:ext cx="2867965" cy="374374"/>
            </a:xfrm>
            <a:prstGeom prst="rect">
              <a:avLst/>
            </a:prstGeom>
          </xdr:spPr>
        </xdr:pic>
      </xdr:grpSp>
    </xdr:grpSp>
    <xdr:clientData/>
  </xdr:twoCellAnchor>
  <xdr:twoCellAnchor editAs="oneCell">
    <xdr:from>
      <xdr:col>6</xdr:col>
      <xdr:colOff>201931</xdr:colOff>
      <xdr:row>19</xdr:row>
      <xdr:rowOff>21277</xdr:rowOff>
    </xdr:from>
    <xdr:to>
      <xdr:col>6</xdr:col>
      <xdr:colOff>857250</xdr:colOff>
      <xdr:row>20</xdr:row>
      <xdr:rowOff>361587</xdr:rowOff>
    </xdr:to>
    <xdr:pic>
      <xdr:nvPicPr>
        <xdr:cNvPr id="17" name="Graphic 16">
          <a:extLst>
            <a:ext uri="{FF2B5EF4-FFF2-40B4-BE49-F238E27FC236}">
              <a16:creationId xmlns:a16="http://schemas.microsoft.com/office/drawing/2014/main" id="{7853E092-38A2-5B7A-D623-6011A5B4A8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002906" y="6412552"/>
          <a:ext cx="655319" cy="6565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2118869</xdr:colOff>
      <xdr:row>0</xdr:row>
      <xdr:rowOff>92456</xdr:rowOff>
    </xdr:from>
    <xdr:to>
      <xdr:col>4</xdr:col>
      <xdr:colOff>3478</xdr:colOff>
      <xdr:row>2</xdr:row>
      <xdr:rowOff>0</xdr:rowOff>
    </xdr:to>
    <xdr:grpSp>
      <xdr:nvGrpSpPr>
        <xdr:cNvPr id="7" name="Group 6">
          <a:extLst>
            <a:ext uri="{FF2B5EF4-FFF2-40B4-BE49-F238E27FC236}">
              <a16:creationId xmlns:a16="http://schemas.microsoft.com/office/drawing/2014/main" id="{3703EAD7-F278-413E-8FE3-E2B53DC0BAFE}"/>
            </a:ext>
          </a:extLst>
        </xdr:cNvPr>
        <xdr:cNvGrpSpPr>
          <a:grpSpLocks noChangeAspect="1"/>
        </xdr:cNvGrpSpPr>
      </xdr:nvGrpSpPr>
      <xdr:grpSpPr>
        <a:xfrm>
          <a:off x="5172584" y="96266"/>
          <a:ext cx="3489119" cy="399034"/>
          <a:chOff x="11948161" y="121920"/>
          <a:chExt cx="3493008" cy="423672"/>
        </a:xfrm>
      </xdr:grpSpPr>
      <xdr:grpSp>
        <xdr:nvGrpSpPr>
          <xdr:cNvPr id="8" name="Group 7">
            <a:extLst>
              <a:ext uri="{FF2B5EF4-FFF2-40B4-BE49-F238E27FC236}">
                <a16:creationId xmlns:a16="http://schemas.microsoft.com/office/drawing/2014/main" id="{658F7B09-C74D-1977-1984-393B3DD5EFF2}"/>
              </a:ext>
            </a:extLst>
          </xdr:cNvPr>
          <xdr:cNvGrpSpPr>
            <a:grpSpLocks noChangeAspect="1"/>
          </xdr:cNvGrpSpPr>
        </xdr:nvGrpSpPr>
        <xdr:grpSpPr>
          <a:xfrm>
            <a:off x="12004971" y="161606"/>
            <a:ext cx="3379386" cy="344301"/>
            <a:chOff x="14072871" y="518584"/>
            <a:chExt cx="5446507" cy="532800"/>
          </a:xfrm>
        </xdr:grpSpPr>
        <xdr:pic>
          <xdr:nvPicPr>
            <xdr:cNvPr id="10" name="Graphic 9">
              <a:extLst>
                <a:ext uri="{FF2B5EF4-FFF2-40B4-BE49-F238E27FC236}">
                  <a16:creationId xmlns:a16="http://schemas.microsoft.com/office/drawing/2014/main" id="{4139EAC1-B87D-E6DB-6822-2B0A277537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072871" y="518584"/>
              <a:ext cx="2141283" cy="532800"/>
            </a:xfrm>
            <a:prstGeom prst="rect">
              <a:avLst/>
            </a:prstGeom>
          </xdr:spPr>
        </xdr:pic>
        <xdr:pic>
          <xdr:nvPicPr>
            <xdr:cNvPr id="11" name="Graphic 10">
              <a:extLst>
                <a:ext uri="{FF2B5EF4-FFF2-40B4-BE49-F238E27FC236}">
                  <a16:creationId xmlns:a16="http://schemas.microsoft.com/office/drawing/2014/main" id="{E53888C3-E9C7-C382-26E7-8BA9BA08169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920062" y="555201"/>
              <a:ext cx="2599316" cy="451945"/>
            </a:xfrm>
            <a:prstGeom prst="rect">
              <a:avLst/>
            </a:prstGeom>
          </xdr:spPr>
        </xdr:pic>
      </xdr:grpSp>
      <xdr:sp macro="" textlink="">
        <xdr:nvSpPr>
          <xdr:cNvPr id="9" name="Rectangle 8">
            <a:extLst>
              <a:ext uri="{FF2B5EF4-FFF2-40B4-BE49-F238E27FC236}">
                <a16:creationId xmlns:a16="http://schemas.microsoft.com/office/drawing/2014/main" id="{BA0671C0-FCFD-CB9E-7FC7-2BF254867564}"/>
              </a:ext>
            </a:extLst>
          </xdr:cNvPr>
          <xdr:cNvSpPr>
            <a:spLocks noChangeAspect="1"/>
          </xdr:cNvSpPr>
        </xdr:nvSpPr>
        <xdr:spPr>
          <a:xfrm>
            <a:off x="11948161" y="121920"/>
            <a:ext cx="3493008" cy="4236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1095249</xdr:colOff>
      <xdr:row>0</xdr:row>
      <xdr:rowOff>82296</xdr:rowOff>
    </xdr:from>
    <xdr:to>
      <xdr:col>15</xdr:col>
      <xdr:colOff>0</xdr:colOff>
      <xdr:row>2</xdr:row>
      <xdr:rowOff>0</xdr:rowOff>
    </xdr:to>
    <xdr:grpSp>
      <xdr:nvGrpSpPr>
        <xdr:cNvPr id="5" name="Group 4">
          <a:extLst>
            <a:ext uri="{FF2B5EF4-FFF2-40B4-BE49-F238E27FC236}">
              <a16:creationId xmlns:a16="http://schemas.microsoft.com/office/drawing/2014/main" id="{0D2DA0E2-5A13-4298-A182-B838A5DCD770}"/>
            </a:ext>
          </a:extLst>
        </xdr:cNvPr>
        <xdr:cNvGrpSpPr>
          <a:grpSpLocks noChangeAspect="1"/>
        </xdr:cNvGrpSpPr>
      </xdr:nvGrpSpPr>
      <xdr:grpSpPr>
        <a:xfrm>
          <a:off x="12068261" y="84201"/>
          <a:ext cx="3468072" cy="402632"/>
          <a:chOff x="11948160" y="121920"/>
          <a:chExt cx="3493008" cy="423672"/>
        </a:xfrm>
      </xdr:grpSpPr>
      <xdr:grpSp>
        <xdr:nvGrpSpPr>
          <xdr:cNvPr id="6" name="Group 5">
            <a:extLst>
              <a:ext uri="{FF2B5EF4-FFF2-40B4-BE49-F238E27FC236}">
                <a16:creationId xmlns:a16="http://schemas.microsoft.com/office/drawing/2014/main" id="{A158167F-818F-5967-CB60-612C83BEAF95}"/>
              </a:ext>
            </a:extLst>
          </xdr:cNvPr>
          <xdr:cNvGrpSpPr>
            <a:grpSpLocks noChangeAspect="1"/>
          </xdr:cNvGrpSpPr>
        </xdr:nvGrpSpPr>
        <xdr:grpSpPr>
          <a:xfrm>
            <a:off x="12004971" y="161606"/>
            <a:ext cx="3379386" cy="344301"/>
            <a:chOff x="14072871" y="518584"/>
            <a:chExt cx="5446507" cy="532800"/>
          </a:xfrm>
        </xdr:grpSpPr>
        <xdr:pic>
          <xdr:nvPicPr>
            <xdr:cNvPr id="9" name="Graphic 8">
              <a:extLst>
                <a:ext uri="{FF2B5EF4-FFF2-40B4-BE49-F238E27FC236}">
                  <a16:creationId xmlns:a16="http://schemas.microsoft.com/office/drawing/2014/main" id="{A6D4DBA9-4A74-E199-64D3-6E29B62F36F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072871" y="518584"/>
              <a:ext cx="2141283" cy="532800"/>
            </a:xfrm>
            <a:prstGeom prst="rect">
              <a:avLst/>
            </a:prstGeom>
          </xdr:spPr>
        </xdr:pic>
        <xdr:pic>
          <xdr:nvPicPr>
            <xdr:cNvPr id="10" name="Graphic 9">
              <a:extLst>
                <a:ext uri="{FF2B5EF4-FFF2-40B4-BE49-F238E27FC236}">
                  <a16:creationId xmlns:a16="http://schemas.microsoft.com/office/drawing/2014/main" id="{9609098D-CD02-B2A8-5001-B4A4F3F4CAA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920062" y="555201"/>
              <a:ext cx="2599316" cy="451945"/>
            </a:xfrm>
            <a:prstGeom prst="rect">
              <a:avLst/>
            </a:prstGeom>
          </xdr:spPr>
        </xdr:pic>
      </xdr:grpSp>
      <xdr:sp macro="" textlink="">
        <xdr:nvSpPr>
          <xdr:cNvPr id="8" name="Rectangle 7">
            <a:extLst>
              <a:ext uri="{FF2B5EF4-FFF2-40B4-BE49-F238E27FC236}">
                <a16:creationId xmlns:a16="http://schemas.microsoft.com/office/drawing/2014/main" id="{D5F75F68-1369-6DA0-B6B3-866754F556B4}"/>
              </a:ext>
            </a:extLst>
          </xdr:cNvPr>
          <xdr:cNvSpPr>
            <a:spLocks noChangeAspect="1"/>
          </xdr:cNvSpPr>
        </xdr:nvSpPr>
        <xdr:spPr>
          <a:xfrm>
            <a:off x="11948160" y="121920"/>
            <a:ext cx="3493008" cy="4236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168813</xdr:colOff>
      <xdr:row>7</xdr:row>
      <xdr:rowOff>11850</xdr:rowOff>
    </xdr:from>
    <xdr:to>
      <xdr:col>8</xdr:col>
      <xdr:colOff>49530</xdr:colOff>
      <xdr:row>22</xdr:row>
      <xdr:rowOff>20955</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9</xdr:col>
      <xdr:colOff>440627</xdr:colOff>
      <xdr:row>3</xdr:row>
      <xdr:rowOff>19980</xdr:rowOff>
    </xdr:from>
    <xdr:to>
      <xdr:col>13</xdr:col>
      <xdr:colOff>365034</xdr:colOff>
      <xdr:row>21</xdr:row>
      <xdr:rowOff>152823</xdr:rowOff>
    </xdr:to>
    <xdr:graphicFrame macro="">
      <xdr:nvGraphicFramePr>
        <xdr:cNvPr id="7" name="Chart 6">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mc:AlternateContent xmlns:mc="http://schemas.openxmlformats.org/markup-compatibility/2006">
    <mc:Choice xmlns:a14="http://schemas.microsoft.com/office/drawing/2010/main" Requires="a14">
      <xdr:twoCellAnchor editAs="oneCell">
        <xdr:from>
          <xdr:col>8</xdr:col>
          <xdr:colOff>30480</xdr:colOff>
          <xdr:row>4</xdr:row>
          <xdr:rowOff>243840</xdr:rowOff>
        </xdr:from>
        <xdr:to>
          <xdr:col>8</xdr:col>
          <xdr:colOff>220980</xdr:colOff>
          <xdr:row>6</xdr:row>
          <xdr:rowOff>76200</xdr:rowOff>
        </xdr:to>
        <xdr:sp macro="" textlink="">
          <xdr:nvSpPr>
            <xdr:cNvPr id="10243" name="Spinner 3" hidden="1">
              <a:extLst>
                <a:ext uri="{63B3BB69-23CF-44E3-9099-C40C66FF867C}">
                  <a14:compatExt spid="_x0000_s10243"/>
                </a:ext>
                <a:ext uri="{FF2B5EF4-FFF2-40B4-BE49-F238E27FC236}">
                  <a16:creationId xmlns:a16="http://schemas.microsoft.com/office/drawing/2014/main" id="{00000000-0008-0000-0500-000003280000}"/>
                </a:ext>
              </a:extLst>
            </xdr:cNvPr>
            <xdr:cNvSpPr/>
          </xdr:nvSpPr>
          <xdr:spPr bwMode="auto">
            <a:xfrm>
              <a:off x="0" y="0"/>
              <a:ext cx="0" cy="0"/>
            </a:xfrm>
            <a:prstGeom prst="rect">
              <a:avLst/>
            </a:prstGeom>
            <a:noFill/>
            <a:ln w="9525">
              <a:miter lim="800000"/>
              <a:headEnd/>
              <a:tailEnd/>
            </a:ln>
          </xdr:spPr>
        </xdr:sp>
        <xdr:clientData fLocksWithSheet="0"/>
      </xdr:twoCellAnchor>
    </mc:Choice>
    <mc:Fallback/>
  </mc:AlternateContent>
  <xdr:twoCellAnchor editAs="oneCell">
    <xdr:from>
      <xdr:col>11</xdr:col>
      <xdr:colOff>168682</xdr:colOff>
      <xdr:row>0</xdr:row>
      <xdr:rowOff>87448</xdr:rowOff>
    </xdr:from>
    <xdr:to>
      <xdr:col>14</xdr:col>
      <xdr:colOff>245918</xdr:colOff>
      <xdr:row>2</xdr:row>
      <xdr:rowOff>115</xdr:rowOff>
    </xdr:to>
    <xdr:grpSp>
      <xdr:nvGrpSpPr>
        <xdr:cNvPr id="6" name="Group 5">
          <a:extLst>
            <a:ext uri="{FF2B5EF4-FFF2-40B4-BE49-F238E27FC236}">
              <a16:creationId xmlns:a16="http://schemas.microsoft.com/office/drawing/2014/main" id="{C2437FA1-D591-4107-9B2B-EB459B572580}"/>
            </a:ext>
          </a:extLst>
        </xdr:cNvPr>
        <xdr:cNvGrpSpPr>
          <a:grpSpLocks noChangeAspect="1"/>
        </xdr:cNvGrpSpPr>
      </xdr:nvGrpSpPr>
      <xdr:grpSpPr>
        <a:xfrm>
          <a:off x="11951742" y="89353"/>
          <a:ext cx="3463903" cy="397595"/>
          <a:chOff x="11948160" y="121920"/>
          <a:chExt cx="3493008" cy="423672"/>
        </a:xfrm>
      </xdr:grpSpPr>
      <xdr:grpSp>
        <xdr:nvGrpSpPr>
          <xdr:cNvPr id="10" name="Group 9">
            <a:extLst>
              <a:ext uri="{FF2B5EF4-FFF2-40B4-BE49-F238E27FC236}">
                <a16:creationId xmlns:a16="http://schemas.microsoft.com/office/drawing/2014/main" id="{D09753A8-B573-E8EB-B583-5118CD95FD4E}"/>
              </a:ext>
            </a:extLst>
          </xdr:cNvPr>
          <xdr:cNvGrpSpPr>
            <a:grpSpLocks noChangeAspect="1"/>
          </xdr:cNvGrpSpPr>
        </xdr:nvGrpSpPr>
        <xdr:grpSpPr>
          <a:xfrm>
            <a:off x="12004971" y="161606"/>
            <a:ext cx="3379386" cy="344301"/>
            <a:chOff x="14072871" y="518584"/>
            <a:chExt cx="5446507" cy="532800"/>
          </a:xfrm>
        </xdr:grpSpPr>
        <xdr:pic>
          <xdr:nvPicPr>
            <xdr:cNvPr id="12" name="Graphic 11">
              <a:extLst>
                <a:ext uri="{FF2B5EF4-FFF2-40B4-BE49-F238E27FC236}">
                  <a16:creationId xmlns:a16="http://schemas.microsoft.com/office/drawing/2014/main" id="{67A077E3-C694-5482-70E0-25F0DC75E73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072871" y="518584"/>
              <a:ext cx="2141283" cy="532800"/>
            </a:xfrm>
            <a:prstGeom prst="rect">
              <a:avLst/>
            </a:prstGeom>
          </xdr:spPr>
        </xdr:pic>
        <xdr:pic>
          <xdr:nvPicPr>
            <xdr:cNvPr id="13" name="Graphic 12">
              <a:extLst>
                <a:ext uri="{FF2B5EF4-FFF2-40B4-BE49-F238E27FC236}">
                  <a16:creationId xmlns:a16="http://schemas.microsoft.com/office/drawing/2014/main" id="{9EDD1F7E-F00A-089C-4CC6-F4CA4925EC9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920062" y="555201"/>
              <a:ext cx="2599316" cy="451945"/>
            </a:xfrm>
            <a:prstGeom prst="rect">
              <a:avLst/>
            </a:prstGeom>
          </xdr:spPr>
        </xdr:pic>
      </xdr:grpSp>
      <xdr:sp macro="" textlink="">
        <xdr:nvSpPr>
          <xdr:cNvPr id="11" name="Rectangle 10">
            <a:extLst>
              <a:ext uri="{FF2B5EF4-FFF2-40B4-BE49-F238E27FC236}">
                <a16:creationId xmlns:a16="http://schemas.microsoft.com/office/drawing/2014/main" id="{ADD8BE7E-DB36-A94D-EC47-D20A0E7B7F75}"/>
              </a:ext>
            </a:extLst>
          </xdr:cNvPr>
          <xdr:cNvSpPr>
            <a:spLocks noChangeAspect="1"/>
          </xdr:cNvSpPr>
        </xdr:nvSpPr>
        <xdr:spPr>
          <a:xfrm>
            <a:off x="11948160" y="121920"/>
            <a:ext cx="3493008" cy="4236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150283</xdr:colOff>
      <xdr:row>28</xdr:row>
      <xdr:rowOff>39604</xdr:rowOff>
    </xdr:from>
    <xdr:to>
      <xdr:col>15</xdr:col>
      <xdr:colOff>114790</xdr:colOff>
      <xdr:row>46</xdr:row>
      <xdr:rowOff>155358</xdr:rowOff>
    </xdr:to>
    <xdr:graphicFrame macro="">
      <xdr:nvGraphicFramePr>
        <xdr:cNvPr id="6" name="Chart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xdr:col>
      <xdr:colOff>154093</xdr:colOff>
      <xdr:row>8</xdr:row>
      <xdr:rowOff>91577</xdr:rowOff>
    </xdr:from>
    <xdr:to>
      <xdr:col>15</xdr:col>
      <xdr:colOff>110980</xdr:colOff>
      <xdr:row>27</xdr:row>
      <xdr:rowOff>21666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editAs="oneCell">
    <xdr:from>
      <xdr:col>11</xdr:col>
      <xdr:colOff>299954</xdr:colOff>
      <xdr:row>0</xdr:row>
      <xdr:rowOff>88791</xdr:rowOff>
    </xdr:from>
    <xdr:to>
      <xdr:col>16</xdr:col>
      <xdr:colOff>0</xdr:colOff>
      <xdr:row>2</xdr:row>
      <xdr:rowOff>0</xdr:rowOff>
    </xdr:to>
    <xdr:grpSp>
      <xdr:nvGrpSpPr>
        <xdr:cNvPr id="4" name="Group 3">
          <a:extLst>
            <a:ext uri="{FF2B5EF4-FFF2-40B4-BE49-F238E27FC236}">
              <a16:creationId xmlns:a16="http://schemas.microsoft.com/office/drawing/2014/main" id="{C09F9609-5409-43D3-B511-D7805ECFA621}"/>
            </a:ext>
          </a:extLst>
        </xdr:cNvPr>
        <xdr:cNvGrpSpPr>
          <a:grpSpLocks noChangeAspect="1"/>
        </xdr:cNvGrpSpPr>
      </xdr:nvGrpSpPr>
      <xdr:grpSpPr>
        <a:xfrm>
          <a:off x="11982049" y="92601"/>
          <a:ext cx="3469618" cy="394232"/>
          <a:chOff x="11948160" y="121920"/>
          <a:chExt cx="3493008" cy="423672"/>
        </a:xfrm>
      </xdr:grpSpPr>
      <xdr:grpSp>
        <xdr:nvGrpSpPr>
          <xdr:cNvPr id="5" name="Group 4">
            <a:extLst>
              <a:ext uri="{FF2B5EF4-FFF2-40B4-BE49-F238E27FC236}">
                <a16:creationId xmlns:a16="http://schemas.microsoft.com/office/drawing/2014/main" id="{A29AA3D3-74E6-5F52-B053-16F44BF8600E}"/>
              </a:ext>
            </a:extLst>
          </xdr:cNvPr>
          <xdr:cNvGrpSpPr>
            <a:grpSpLocks noChangeAspect="1"/>
          </xdr:cNvGrpSpPr>
        </xdr:nvGrpSpPr>
        <xdr:grpSpPr>
          <a:xfrm>
            <a:off x="12004971" y="161606"/>
            <a:ext cx="3379386" cy="344301"/>
            <a:chOff x="14072871" y="518584"/>
            <a:chExt cx="5446507" cy="532800"/>
          </a:xfrm>
        </xdr:grpSpPr>
        <xdr:pic>
          <xdr:nvPicPr>
            <xdr:cNvPr id="13" name="Graphic 12">
              <a:extLst>
                <a:ext uri="{FF2B5EF4-FFF2-40B4-BE49-F238E27FC236}">
                  <a16:creationId xmlns:a16="http://schemas.microsoft.com/office/drawing/2014/main" id="{12BA0087-8552-772C-DD37-A8D3E50CAEA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072871" y="518584"/>
              <a:ext cx="2141283" cy="532800"/>
            </a:xfrm>
            <a:prstGeom prst="rect">
              <a:avLst/>
            </a:prstGeom>
          </xdr:spPr>
        </xdr:pic>
        <xdr:pic>
          <xdr:nvPicPr>
            <xdr:cNvPr id="14" name="Graphic 13">
              <a:extLst>
                <a:ext uri="{FF2B5EF4-FFF2-40B4-BE49-F238E27FC236}">
                  <a16:creationId xmlns:a16="http://schemas.microsoft.com/office/drawing/2014/main" id="{81091D63-3472-E70B-8D25-C838E76A59F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920062" y="555201"/>
              <a:ext cx="2599316" cy="451945"/>
            </a:xfrm>
            <a:prstGeom prst="rect">
              <a:avLst/>
            </a:prstGeom>
          </xdr:spPr>
        </xdr:pic>
      </xdr:grpSp>
      <xdr:sp macro="" textlink="">
        <xdr:nvSpPr>
          <xdr:cNvPr id="12" name="Rectangle 11">
            <a:extLst>
              <a:ext uri="{FF2B5EF4-FFF2-40B4-BE49-F238E27FC236}">
                <a16:creationId xmlns:a16="http://schemas.microsoft.com/office/drawing/2014/main" id="{2F488B77-6598-CBF7-FC1B-F8E1E89812BE}"/>
              </a:ext>
            </a:extLst>
          </xdr:cNvPr>
          <xdr:cNvSpPr>
            <a:spLocks noChangeAspect="1"/>
          </xdr:cNvSpPr>
        </xdr:nvSpPr>
        <xdr:spPr>
          <a:xfrm>
            <a:off x="11948160" y="121920"/>
            <a:ext cx="3493008" cy="4236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clientData/>
  </xdr:twoCellAnchor>
</xdr:wsDr>
</file>

<file path=xl/persons/person.xml><?xml version="1.0" encoding="utf-8"?>
<personList xmlns="http://schemas.microsoft.com/office/spreadsheetml/2018/threadedcomments" xmlns:x="http://schemas.openxmlformats.org/spreadsheetml/2006/main">
  <person displayName="Sébastien MERCIER" id="{5D3AF245-2A3F-4AAD-90B1-868E92451BE0}" userId="S::sebastien.mercier@tdh.ch::30c3b16c-b0a8-48a6-afc1-161cafeb8c4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CF5A421-5823-4B73-B189-B78612F8E60D}" name="factorsTable" displayName="factorsTable" ref="CM2:DV32" totalsRowShown="0" headerRowDxfId="239" dataDxfId="238">
  <autoFilter ref="CM2:DV32" xr:uid="{7CF5A421-5823-4B73-B189-B78612F8E60D}"/>
  <tableColumns count="36">
    <tableColumn id="1" xr3:uid="{82BC3950-7955-42C1-A626-044D10F72A7B}" name="index" dataDxfId="237">
      <calculatedColumnFormula array="1">ROW()-ROW(factorsTable[#Headers])</calculatedColumnFormula>
    </tableColumn>
    <tableColumn id="5" xr3:uid="{C334C763-0B79-40C4-8C84-35FFF71B9899}" name="factorHeader" dataDxfId="236">
      <calculatedColumnFormula array="1">KeepBlanksFunction(
    _xlfn.XLOOKUP(
      factorsTable[[#This Row],[index]],
      factorsConfigTable[index],
      factorsConfigTable[factorHeader],#REF!,
      0
    )
  )</calculatedColumnFormula>
    </tableColumn>
    <tableColumn id="9" xr3:uid="{5ADEB75C-70DD-4D3C-98E8-BB21F0C4BA10}" name="factorColNum" dataDxfId="235">
      <calculatedColumnFormula>IF(
    factorsTable[[#This Row],[factorHeader]] = "",
    "",
    _xlfn.IFNA(
      MATCH(factorsTable[[#This Row],[factorHeader]], dataHeaders, 0),
      _xlfn.IFNA(
        MATCH("*/" &amp; factorsTable[[#This Row],[factorHeader]], dataHeaders, 0),
        MATCH("*-" &amp; factorsTable[[#This Row],[factorHeader]], dataHeaders, 0)
      )
    )
  )</calculatedColumnFormula>
    </tableColumn>
    <tableColumn id="14" xr3:uid="{0A11D2CC-E16D-4DBE-8A92-2C4B94AA5636}" name="minScore" dataDxfId="234">
      <calculatedColumnFormula>IF(
    factorsTable[[#This Row],[factorHeader]] = "",
    "",
    _xlfn.LET(
      _xlpm.tableValue,
      _xlfn.XLOOKUP(
        factorsTable[[#This Row],[index]],
        factorsConfigTable[index],
        factorsConfigTable[minScore],#REF!,
        0
      ),
      _xlpm.storedValue,
      IF(
        _xlpm.tableValue = "",
        NA(),
        _xlpm.tableValue
      ),
      _xlpm.storedValue
    )
  )</calculatedColumnFormula>
    </tableColumn>
    <tableColumn id="15" xr3:uid="{568168DD-7F72-4643-9852-A444F53C3FE3}" name="maxScore" dataDxfId="233">
      <calculatedColumnFormula>IF(
    factorsTable[[#This Row],[factorHeader]] = "",
    "",
    _xlfn.LET(
      _xlpm.tableValue,
      _xlfn.XLOOKUP(
        factorsTable[[#This Row],[index]],
        factorsConfigTable[index],
        factorsConfigTable[maxScore],#REF!,
        0
      ),
      _xlpm.storedValue,
      IF(
        _xlpm.tableValue = "",
        NA(),
        _xlpm.tableValue
      ),
      _xlpm.storedValue
    )
  )</calculatedColumnFormula>
    </tableColumn>
    <tableColumn id="3" xr3:uid="{9299B28D-2017-439E-8B00-00DCA6FE13E9}" name="minValue" dataDxfId="232">
      <calculatedColumnFormula>IF(
    factorsTable[[#This Row],[factorHeader]] = "",
    "",
    IF(
      ISERROR(factorsTable[[#This Row],[factorColNum]]),
      NA(),
      IF(
        ISNA(INDEX(dataRange,1,1)),
        NA(),
        MIN(INDEX(dataRange, , factorsTable[[#This Row],[factorColNum]]))
      )
    )
  )</calculatedColumnFormula>
    </tableColumn>
    <tableColumn id="8" xr3:uid="{87D4DA42-E1CB-4BAA-AD75-046EE9E49A5E}" name="maxValue" dataDxfId="231">
      <calculatedColumnFormula>IF(
    factorsTable[[#This Row],[factorHeader]] = "",
    "",
    IF(
      ISERROR(factorsTable[[#This Row],[factorColNum]]),
      NA(),
      IF(
        ISNA(INDEX(dataRange,1,1)),
        NA(),
        MAX(INDEX(dataRange, , factorsTable[[#This Row],[factorColNum]]))
      )
    )
  )</calculatedColumnFormula>
    </tableColumn>
    <tableColumn id="16" xr3:uid="{26229385-59A4-45ED-BD26-502C90A4D6A0}" name="minOutOfRange" dataDxfId="230">
      <calculatedColumnFormula array="1">AND(
    NOT(errorNoDataSheet),
    factorsTable[[#This Row],[factorHeader]] &lt;&gt; "",
    NOT(ISERROR(factorsTable[[#This Row],[factorColNum]])),
    IFERROR(factorsTable[[#This Row],[display]], FALSE),
    IFERROR(factorsTable[[#This Row],[minValue]] &lt; factorsTable[[#This Row],[minScore]], FALSE)
  )</calculatedColumnFormula>
    </tableColumn>
    <tableColumn id="17" xr3:uid="{D02B2224-E8C8-4264-9E03-631D8856935E}" name="maxOutOfRange" dataDxfId="229">
      <calculatedColumnFormula array="1">AND(
    NOT(errorNoDataSheet),
    factorsTable[[#This Row],[factorHeader]] &lt;&gt; "",
    NOT(ISERROR(factorsTable[[#This Row],[factorColNum]])),
    IFERROR(factorsTable[[#This Row],[display]], FALSE),
    IFERROR(factorsTable[[#This Row],[maxValue]] &gt; factorsTable[[#This Row],[maxScore]], FALSE)
  )</calculatedColumnFormula>
    </tableColumn>
    <tableColumn id="10" xr3:uid="{7034CAAD-F9E3-4C5E-BFBC-10F69E82E55E}" name="numNondoers" dataDxfId="228">
      <calculatedColumnFormula array="1">IF(
    factorsTable[[#This Row],[factorHeader]] = "",
    "",
    IF(
      ISNA(INDEX(dataRange,1,1)),
      NA(),
      SUMPRODUCT(
          IF(isDoer = "", 0, NOT(isDoer))
        * (INDEX(dataRange, , factorsTable[[#This Row],[factorColNum]]) &lt;&gt; "")
      )
    )
  )</calculatedColumnFormula>
    </tableColumn>
    <tableColumn id="11" xr3:uid="{0B3445FB-3943-446B-84EF-E6F032B77EBC}" name="numDoers" dataDxfId="227">
      <calculatedColumnFormula array="1">IF(
    factorsTable[[#This Row],[factorHeader]] = "",
    "",
    IF(
      ISNA(INDEX(dataRange,1,1)),
      NA(),
      SUMPRODUCT(
          IF(isDoer = "", 0, isDoer)
        * (INDEX(dataRange, , factorsTable[[#This Row],[factorColNum]]) &lt;&gt; "")
      )
    )
  )</calculatedColumnFormula>
    </tableColumn>
    <tableColumn id="12" xr3:uid="{6194FB4A-EAE1-4EB2-91CC-BAEB08C55F79}" name="numTotal" dataDxfId="226">
      <calculatedColumnFormula array="1">IF(
    factorsTable[[#This Row],[factorHeader]] = "",
    "",
    IF(
      ISERROR(factorsTable[[#This Row],[factorColNum]]),
      UITranslateForValueTable("dataNotFound", UITranslationTable[tag], UITranslationTable[], UITranslationTable[#Headers]),
      factorsTable[[#This Row],[numDoers]] + factorsTable[[#This Row],[numNondoers]]
    )
  )</calculatedColumnFormula>
    </tableColumn>
    <tableColumn id="6" xr3:uid="{DC2441ED-25F7-4797-922A-27071D9A5F9B}" name="nondoers" dataDxfId="225">
      <calculatedColumnFormula array="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calculatedColumnFormula>
    </tableColumn>
    <tableColumn id="7" xr3:uid="{90E25F9A-68D3-4200-94FB-54A4734CD141}" name="doers" dataDxfId="224">
      <calculatedColumnFormula array="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calculatedColumnFormula>
    </tableColumn>
    <tableColumn id="4" xr3:uid="{23018A48-D49F-4352-A661-90DE45924ACF}" name="difference" dataDxfId="223">
      <calculatedColumnFormula>IF(
    factorsTable[[#This Row],[factorHeader]] = "",
    "",
    factorsTable[[#This Row],[doers]] - factorsTable[[#This Row],[nondoers]]
  )</calculatedColumnFormula>
    </tableColumn>
    <tableColumn id="2" xr3:uid="{00438B83-C38E-4558-A35F-4C6C6283246C}" name="displayConfig" dataDxfId="222">
      <calculatedColumnFormula>IF(
    factorsTable[[#This Row],[factorHeader]] = "",
    "",
    _xlfn.XLOOKUP(
      _xlfn.XLOOKUP(
        factorsTable[[#This Row],[index]],
        factorsConfigTable[index],
        factorsConfigTable[displayConfig],#REF!,
        0
      ),
      yesNoTable[label],
      yesNoTable[tag],
      "",
      0
    )
  )</calculatedColumnFormula>
    </tableColumn>
    <tableColumn id="18" xr3:uid="{18B128E5-4F26-4C09-85B4-EBFFB7C9392D}" name="display" dataDxfId="221">
      <calculatedColumnFormula>IF(
    factorsTable[[#This Row],[factorHeader]] = "",
    FALSE,
    IF(
      factorsTable[[#This Row],[displayConfig]] = "yes",
      TRUE,
      IF(
        factorsTable[[#This Row],[displayConfig]] = "no",
        FALSE,
        NA()
      )
    )
  )</calculatedColumnFormula>
    </tableColumn>
    <tableColumn id="19" xr3:uid="{BD9024DC-7C2F-475B-ACC4-8A5034D36271}" name="filteredIndex" dataDxfId="220">
      <calculatedColumnFormula array="1">FilterTrueColumn(factorsTable[[#This Row],[index]], factorsTable[index], factorsTable[filteredIndex], factorsTable[display])</calculatedColumnFormula>
    </tableColumn>
    <tableColumn id="35" xr3:uid="{52AD6342-D0B2-4EC7-9A4D-DB12CB75927D}" name="relDiff" dataDxfId="219">
      <calculatedColumnFormula>IF(
    factorsTable[[#This Row],[filteredIndex]] = "",
    "",
    _xlfn.IFNA(
      _xlfn.XLOOKUP(factorsTable[[#This Row],[filteredIndex]], factorsTable[index], factorsTable[difference]),
      -99
    )
  )</calculatedColumnFormula>
    </tableColumn>
    <tableColumn id="36" xr3:uid="{FF853AE2-5312-4BF5-B35B-1F9A2FB0ACA9}" name="absDiff" dataDxfId="218">
      <calculatedColumnFormula>IF(
    factorsTable[[#This Row],[filteredIndex]] = "",
    "",
    IF(
      factorsTable[[#This Row],[relDiff]] = -99,
      -99,
      ABS(factorsTable[[#This Row],[relDiff]])
    )
  )</calculatedColumnFormula>
    </tableColumn>
    <tableColumn id="37" xr3:uid="{08369B9A-20E9-432E-B1A7-396C8F770DC9}" name="RANASIndex" dataDxfId="217">
      <calculatedColumnFormula>IF(
    factorsTable[[#This Row],[filteredIndex]] = "",
    "",
    _xlfn.XLOOKUP(
      _xlfn.XLOOKUP(
        factorsTable[[#This Row],[filteredIndex]],
        factorsConfigTable[index],
        factorsConfigTable[RANASBlock],#REF!,
        0
      ),
      RANASBlocksTable[label],
      RANASBlocksTable[index],
      6,
      0
    )
  )</calculatedColumnFormula>
    </tableColumn>
    <tableColumn id="32" xr3:uid="{9E341CD6-683C-4366-ADB6-E5F93DBA0AE1}" name="relDiffRank" dataDxfId="216">
      <calculatedColumnFormula>IF(
    factorsTable[[#This Row],[filteredIndex]] = "",
    "",
    _xlfn.RANK.EQ(factorsTable[[#This Row],[relDiff]], factorsTable[relDiff], 0)
  )</calculatedColumnFormula>
    </tableColumn>
    <tableColumn id="31" xr3:uid="{0A5FAB1A-9422-407E-A938-D6D06FD3CD9F}" name="absDiffRank" dataDxfId="215">
      <calculatedColumnFormula>IF(
    factorsTable[[#This Row],[filteredIndex]] = "",
    "",
    _xlfn.RANK.EQ(factorsTable[[#This Row],[absDiff]], factorsTable[absDiff], 0)
  )</calculatedColumnFormula>
    </tableColumn>
    <tableColumn id="30" xr3:uid="{0DF5B1D8-1506-4D45-A9CD-5979C5718C18}" name="RANASRank" dataDxfId="214">
      <calculatedColumnFormula>IF(
    factorsTable[[#This Row],[filteredIndex]] = "",
    "",
    _xlfn.RANK.EQ(factorsTable[[#This Row],[RANASIndex]], factorsTable[RANASIndex], 1)
  )</calculatedColumnFormula>
    </tableColumn>
    <tableColumn id="38" xr3:uid="{13B86249-923F-4137-AB9E-07CD3E7F3FB7}" name="selectedRank" dataDxfId="213">
      <calculatedColumnFormula array="1">_xlfn.SWITCH(
    sortingMethodTag,
    "none", factorsTable[[#This Row],[filteredIndex]],
    "relDiff", factorsTable[[#This Row],[relDiffRank]],
    "absDiff", factorsTable[[#This Row],[absDiffRank]],
    "RANAS", factorsTable[[#This Row],[RANASRank]],
    factorsTable[[#This Row],[filteredIndex]]
  )</calculatedColumnFormula>
    </tableColumn>
    <tableColumn id="23" xr3:uid="{62BD2B63-0DCC-426B-A21E-D5A0544A9635}" name="uniqueRank" dataDxfId="212">
      <calculatedColumnFormula>IF(
    factorsTable[[#This Row],[filteredIndex]] = "",
    "",
    factorsTable[[#This Row],[selectedRank]]
      + COUNTIF(INDEX(factorsTable[selectedRank], 1):INDEX(factorsTable[selectedRank], factorsTable[[#This Row],[index]]), factorsTable[[#This Row],[selectedRank]])
      - 1
  )</calculatedColumnFormula>
    </tableColumn>
    <tableColumn id="20" xr3:uid="{048673BF-9B8A-42A8-89AF-54DC03EED6D7}" name="sortedIndex" dataDxfId="211">
      <calculatedColumnFormula>IF(
    factorsTable[[#This Row],[filteredIndex]] = "",
    "",
    _xlfn.XLOOKUP(
      factorsTable[[#This Row],[index]],
      factorsTable[uniqueRank],
      factorsTable[filteredIndex],#REF!,
      0
    )
  )</calculatedColumnFormula>
    </tableColumn>
    <tableColumn id="21" xr3:uid="{EB7CE240-3840-4014-92DF-AF38D361033C}" name="langSpecFactor" dataDxfId="210">
      <calculatedColumnFormula array="1">IF(
    factorsTable[[#This Row],[sortedIndex]] = "",
    "",
    KeepBlanksFunction(
      _xlfn.XLOOKUP(
        factorsTable[[#This Row],[sortedIndex]],
        factorsConfigTable[index],
        INDEX(
          factorsConfigTable[],
          0,
          MATCH(
            chartLanguage,
            languageHeadersList,
            0
          )
          + MATCH(factorsConfigTable[[#Headers],[lang1]], factorsConfigTable[#Headers], 0)
          - 1
        ),#REF!,
        0
      )
    )
  )</calculatedColumnFormula>
    </tableColumn>
    <tableColumn id="22" xr3:uid="{3817E727-BEC8-4531-9AB7-D3DCA6BCC3BB}" name="displayedFactor" dataDxfId="209">
      <calculatedColumnFormula array="1">IF(
    factorsTable[[#This Row],[sortedIndex]] = "",
    "",
    IF(
      factorsTable[[#This Row],[langSpecFactor]] = "",
      UITranslateForValueTable("noTranslation", UITranslationTable[tag], UITranslationTable[], UITranslationTable[#Headers]),
      factorsTable[[#This Row],[langSpecFactor]]
    )
  )</calculatedColumnFormula>
    </tableColumn>
    <tableColumn id="34" xr3:uid="{904AAD75-D400-45A7-AB40-8F2F7CDF85C6}" name="RANASTag" dataDxfId="208">
      <calculatedColumnFormula>IF(
    factorsTable[[#This Row],[sortedIndex]] = "",
    "",
    _xlfn.XLOOKUP(
      _xlfn.XLOOKUP(
        factorsTable[[#This Row],[sortedIndex]],
        factorsConfigTable[index],
        factorsConfigTable[RANASBlock],#REF!,
        0
      ),
      RANASBlocksTable[label],
      RANASBlocksTable[tag],
      NA(),
      0
    )
  )</calculatedColumnFormula>
    </tableColumn>
    <tableColumn id="28" xr3:uid="{1B3A54FC-B133-42B0-8449-81B8DC66E8A9}" name="displayedRANASBlock" dataDxfId="207">
      <calculatedColumnFormula array="1">IF(
    factorsTable[[#This Row],[sortedIndex]] = "",
    "",
    _xlfn.IFNA(
      _xlfn.XLOOKUP(factorsTable[[#This Row],[RANASTag]], RANASBlocksTable[tag], RANASBlocksTable[langSpecLabel]),
      UITranslateForValueTable("noRANASBlock", UITranslationTable[tag], UITranslationTable[], UITranslationTable[#Headers])
    )
  )</calculatedColumnFormula>
    </tableColumn>
    <tableColumn id="24" xr3:uid="{0010B1FE-6B67-4704-88F3-8EB8057E0527}" name="chartLabel" dataDxfId="206">
      <calculatedColumnFormula>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calculatedColumnFormula>
    </tableColumn>
    <tableColumn id="25" xr3:uid="{0EC9F653-6B28-495B-B4E3-C653DA8D708C}" name="sortedNumTotal" dataDxfId="205">
      <calculatedColumnFormula>IF(
    factorsTable[[#This Row],[sortedIndex]] = "",
    "",
    _xlfn.XLOOKUP(factorsTable[[#This Row],[sortedIndex]], factorsTable[index], factorsTable[numTotal])
  )</calculatedColumnFormula>
    </tableColumn>
    <tableColumn id="29" xr3:uid="{C63C1D5F-847C-4F2F-A655-A9404A302B5C}" name="sortedNondoers" dataDxfId="204">
      <calculatedColumnFormula>IF(
    factorsTable[[#This Row],[sortedIndex]] = "",
    "",
    _xlfn.XLOOKUP(factorsTable[[#This Row],[sortedIndex]], factorsTable[index], factorsTable[nondoers])
  )</calculatedColumnFormula>
    </tableColumn>
    <tableColumn id="26" xr3:uid="{B3313D7F-936C-428E-A332-C62ACFDCFDB4}" name="sortedDoers" dataDxfId="203">
      <calculatedColumnFormula>IF(
    factorsTable[[#This Row],[sortedIndex]] = "",
    "",
    _xlfn.XLOOKUP(factorsTable[[#This Row],[sortedIndex]], factorsTable[index], factorsTable[doers])
  )</calculatedColumnFormula>
    </tableColumn>
    <tableColumn id="27" xr3:uid="{2E011E21-7BBF-4AA7-8219-246E6ABE2ECA}" name="sortedDifference" dataDxfId="202">
      <calculatedColumnFormula>IF(
    factorsTable[[#This Row],[sortedIndex]] = "",
    "",
    _xlfn.XLOOKUP(factorsTable[[#This Row],[sortedIndex]], factorsTable[index], factorsTable[difference])
  )</calculatedColumnFormula>
    </tableColumn>
  </tableColumns>
  <tableStyleInfo name="RANAS Analyser Hidden Table 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1A987BA-385B-43CF-8D75-8A20E76AD886}" name="UITranslationTable" displayName="UITranslationTable" ref="E2:H93" totalsRowShown="0" headerRowDxfId="201" dataDxfId="200">
  <autoFilter ref="E2:H93" xr:uid="{E1A987BA-385B-43CF-8D75-8A20E76AD886}"/>
  <tableColumns count="4">
    <tableColumn id="3" xr3:uid="{17CAD664-B418-4D78-BD59-D4B5737AD7EE}" name="index" dataDxfId="199">
      <calculatedColumnFormula array="1">ROW()-ROW(UITranslationTable[#Headers])</calculatedColumnFormula>
    </tableColumn>
    <tableColumn id="4" xr3:uid="{03C503E5-E9D8-4551-A8B5-9FDA56521045}" name="tag" dataDxfId="198"/>
    <tableColumn id="1" xr3:uid="{ECDE7AEB-F368-44E7-BFCF-A5753FD7A477}" name="English" dataDxfId="197"/>
    <tableColumn id="2" xr3:uid="{946F114A-2EA8-47CB-BD50-78D857845A99}" name="Français" dataDxfId="196"/>
  </tableColumns>
  <tableStyleInfo name="RANAS Analyser Hidden Table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4C4E278-58A9-4D09-BB20-6D25AF029CB5}" name="manualEntryVariablesTable" displayName="manualEntryVariablesTable" ref="S2:U9" totalsRowShown="0" headerRowDxfId="195" dataDxfId="194">
  <autoFilter ref="S2:U9" xr:uid="{14C4E278-58A9-4D09-BB20-6D25AF029CB5}"/>
  <tableColumns count="3">
    <tableColumn id="1" xr3:uid="{912A0017-B2A0-4A04-8A68-66A7A1E432D1}" name="index" dataDxfId="193">
      <calculatedColumnFormula array="1">ROW()-ROW(manualEntryVariablesTable[#Headers])</calculatedColumnFormula>
    </tableColumn>
    <tableColumn id="2" xr3:uid="{52453FB5-F9AE-4E53-B527-C38E684511CB}" name="name" dataDxfId="192"/>
    <tableColumn id="3" xr3:uid="{029DACD9-A350-4330-B274-0DE49C3615C4}" name="value" dataDxfId="191"/>
  </tableColumns>
  <tableStyleInfo name="RANAS Analyser Hidden Table 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DE5A4B-2319-4FD1-AC15-9BE5A872EDDF}" name="behaviourTable" displayName="behaviourTable" ref="AY2:BK7" totalsRowShown="0" headerRowDxfId="190" dataDxfId="189">
  <autoFilter ref="AY2:BK7" xr:uid="{5FDE5A4B-2319-4FD1-AC15-9BE5A872EDDF}"/>
  <tableColumns count="13">
    <tableColumn id="1" xr3:uid="{DA0F2668-A103-4359-B616-FFC277054B9F}" name="index" dataDxfId="188">
      <calculatedColumnFormula array="1">ROW()-ROW(behaviourTable[#Headers])</calculatedColumnFormula>
    </tableColumn>
    <tableColumn id="3" xr3:uid="{49F46BD0-801C-4055-8591-0CFDACBD2D40}" name="behaviourHeader" dataDxfId="187">
      <calculatedColumnFormula array="1">KeepBlanksFunction(
    _xlfn.XLOOKUP(
      behaviourTable[[#This Row],[index]],
      behaviourConfigTable[index],
      behaviourConfigTable[behaviourHeader],#REF!,
      0
    )
  )</calculatedColumnFormula>
    </tableColumn>
    <tableColumn id="11" xr3:uid="{4860B4A1-8BF8-4F96-B9BF-FD4AF26F2F9A}" name="includeConfig" dataDxfId="186">
      <calculatedColumnFormula>IF(
    behaviourTable[[#This Row],[behaviourHeader]] = "",
    "",
    _xlfn.XLOOKUP(
      _xlfn.XLOOKUP(
        behaviourTable[[#This Row],[index]],
        behaviourConfigTable[index],
        behaviourConfigTable[includeConfig],#REF!,
        0
      ),
      yesNoTable[label],
      yesNoTable[tag],
      "",
      0
    )
  )</calculatedColumnFormula>
    </tableColumn>
    <tableColumn id="7" xr3:uid="{903BBE01-8B4D-4C5F-BDDD-C592210169B0}" name="include" dataDxfId="185">
      <calculatedColumnFormula>IF(
    behaviourTable[[#This Row],[behaviourHeader]] = "",
    FALSE,
    IF(
      behaviourTable[[#This Row],[includeConfig]] = "yes",
      TRUE,
      IF(
        behaviourTable[[#This Row],[includeConfig]] = "no",
        FALSE,
        NA()
      )
    )
  )</calculatedColumnFormula>
    </tableColumn>
    <tableColumn id="4" xr3:uid="{9878937E-978B-416D-B361-0E258C1B1556}" name="behaviourColNum" dataDxfId="184">
      <calculatedColumnFormula>IF(
    behaviourTable[[#This Row],[behaviourHeader]] = "",
    "",
    _xlfn.IFNA(
      MATCH(behaviourTable[[#This Row],[behaviourHeader]], dataHeaders, 0),
      _xlfn.IFNA(
        MATCH("*/" &amp; behaviourTable[[#This Row],[behaviourHeader]], dataHeaders, 0),
        MATCH("*-" &amp; behaviourTable[[#This Row],[behaviourHeader]], dataHeaders, 0)
      )
    )
  )</calculatedColumnFormula>
    </tableColumn>
    <tableColumn id="9" xr3:uid="{1696FAA8-5ACD-4FF4-A9A6-119C8FA14B41}" name="minScore" dataDxfId="183">
      <calculatedColumnFormula>IF(
    behaviourTable[[#This Row],[behaviourHeader]] = "",
    "",
    _xlfn.LET(
      _xlpm.tableValue,
      _xlfn.XLOOKUP(
        behaviourTable[[#This Row],[index]],
        behaviourConfigTable[index],
        behaviourConfigTable[minScore],#REF!,
        0
      ),
      _xlpm.storedValue,
      IF(
        _xlpm.tableValue = "",
        NA(),
        _xlpm.tableValue
      ),
      _xlpm.storedValue
    )
  )</calculatedColumnFormula>
    </tableColumn>
    <tableColumn id="10" xr3:uid="{478B80A2-9BB7-4CEE-973B-907ABC66097C}" name="maxScore" dataDxfId="182">
      <calculatedColumnFormula>IF(
    behaviourTable[[#This Row],[behaviourHeader]] = "",
    "",
    _xlfn.LET(
      _xlpm.tableValue,
      _xlfn.XLOOKUP(
        behaviourTable[[#This Row],[index]],
        behaviourConfigTable[index],
        behaviourConfigTable[maxScore],#REF!,
        0
      ),
      _xlpm.storedValue,
      IF(
        _xlpm.tableValue = "",
        NA(),
        _xlpm.tableValue
      ),
      _xlpm.storedValue
    )
  )</calculatedColumnFormula>
    </tableColumn>
    <tableColumn id="2" xr3:uid="{2442D8FE-2472-42CF-B04F-67F3F6C3F2EC}" name="minValue" dataDxfId="181">
      <calculatedColumnFormula>IF(
    behaviourTable[[#This Row],[behaviourHeader]] = "",
    "",
    MIN(behaviourDataForIndex(behaviourTable[[#This Row],[index]]))
  )</calculatedColumnFormula>
    </tableColumn>
    <tableColumn id="12" xr3:uid="{E08D2F4D-5983-4350-9C20-AF28D7B6127E}" name="maxValue" dataDxfId="180">
      <calculatedColumnFormula>IF(
    behaviourTable[[#This Row],[behaviourHeader]] = "",
    "",
    MAX(behaviourDataForIndex(behaviourTable[[#This Row],[index]]))
  )</calculatedColumnFormula>
    </tableColumn>
    <tableColumn id="13" xr3:uid="{911173CE-D06E-4A78-BDC9-715BBB20BECA}" name="minOutOfRange" dataDxfId="179">
      <calculatedColumnFormula array="1">AND(
    NOT(errorNoDataSheet),
    behaviourTable[[#This Row],[behaviourHeader]] &lt;&gt; "",
    NOT(ISERROR(behaviourTable[[#This Row],[behaviourColNum]])),
    IFERROR(behaviourTable[[#This Row],[include]], FALSE),
    IFERROR(behaviourTable[[#This Row],[minValue]] &lt; behaviourTable[[#This Row],[minScore]], FALSE)
  )</calculatedColumnFormula>
    </tableColumn>
    <tableColumn id="14" xr3:uid="{E1E7F99A-51A0-4D5A-ADED-F100F7E230FC}" name="maxOutOfRange" dataDxfId="178">
      <calculatedColumnFormula array="1">AND(
    NOT(errorNoDataSheet),
    behaviourTable[[#This Row],[behaviourHeader]] &lt;&gt; "",
    NOT(ISERROR(behaviourTable[[#This Row],[behaviourColNum]])),
    IFERROR(behaviourTable[[#This Row],[include]], FALSE),
    IFERROR(behaviourTable[[#This Row],[maxValue]] &gt; behaviourTable[[#This Row],[maxScore]], FALSE)
  )</calculatedColumnFormula>
    </tableColumn>
    <tableColumn id="5" xr3:uid="{A4F0FFD7-4D9A-4925-8656-F33ED8C27B89}" name="numResponses" dataDxfId="177">
      <calculatedColumnFormula array="1">IF(
    behaviourTable[[#This Row],[behaviourHeader]] = "",
    "",
    IF(
      ISERROR(behaviourTable[[#This Row],[behaviourColNum]]),
      UITranslateForValueTable("dataNotFound", UITranslationTable[tag], UITranslationTable[], UITranslationTable[#Headers]),
      SUMPRODUCT(--(behaviourDataForIndex(behaviourTable[[#This Row],[index]]) &lt;&gt; ""))
    )
  )</calculatedColumnFormula>
    </tableColumn>
    <tableColumn id="6" xr3:uid="{4707CFD5-D28C-4733-A0AE-D9614A3D98E6}" name="numBlanks" dataDxfId="176">
      <calculatedColumnFormula array="1">IF(
    behaviourTable[[#This Row],[behaviourHeader]] = "",
    "",
    IF(
      ISERROR(behaviourTable[[#This Row],[behaviourColNum]]),
      UITranslateForValueTable("dataNotFound", UITranslationTable[tag], UITranslationTable[], UITranslationTable[#Headers]),
      numEntries - behaviourTable[[#This Row],[numResponses]]
    )
  )</calculatedColumnFormula>
    </tableColumn>
  </tableColumns>
  <tableStyleInfo name="RANAS Analyser Hidden Table 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26C3707-EDFC-4B32-99EA-4581A83A4BC6}" name="cutoffTable" displayName="cutoffTable" ref="BW2:CB12" totalsRowShown="0" headerRowDxfId="175" dataDxfId="174">
  <autoFilter ref="BW2:CB12" xr:uid="{626C3707-EDFC-4B32-99EA-4581A83A4BC6}"/>
  <tableColumns count="6">
    <tableColumn id="1" xr3:uid="{7E5FC355-9944-4804-BFC7-5349A6B5424B}" name="index" dataDxfId="173" dataCellStyle="Percent">
      <calculatedColumnFormula array="1">ROW()-ROW(cutoffTable[#Headers])</calculatedColumnFormula>
    </tableColumn>
    <tableColumn id="7" xr3:uid="{7AB9D2B2-F8A1-4FC8-9BE6-857137E1B164}" name="cutoffLevel" dataDxfId="172" dataCellStyle="Percent"/>
    <tableColumn id="2" xr3:uid="{F1876B10-5AAD-47FC-BA19-E3F64A284499}" name="label" dataDxfId="171"/>
    <tableColumn id="3" xr3:uid="{3D08B3FA-BE94-4F05-8C7E-208F67B1368E}" name="numResponses" dataDxfId="170">
      <calculatedColumnFormula array="1">SUMPRODUCT(
    (behaviourScore &lt;&gt; "")
  * (behaviourScore &gt;= IF(cutoffTable[[#This Row],[index]] = 1, 0, INDEX(cutoffTable[cutoffLevel], cutoffTable[[#This Row],[index]]-1)))
  * IF(
      cutoffTable[[#This Row],[cutoffLevel]] = 1,
      behaviourScore &lt;= 1,
      behaviourScore &lt; cutoffTable[[#This Row],[cutoffLevel]]
    )
  )</calculatedColumnFormula>
    </tableColumn>
    <tableColumn id="4" xr3:uid="{9C1EEF13-B70A-466F-9372-1089744CB9D1}" name="numNondoersBin" dataDxfId="169">
      <calculatedColumnFormula array="1">SUMPRODUCT(
    (behaviourScore &lt;&gt; "")
  * (behaviourScore &gt;= IF(cutoffTable[[#This Row],[index]] = 1, 0, INDEX(cutoffTable[cutoffLevel], cutoffTable[[#This Row],[index]]-1)))
  * IF(
      cutoffTable[[#This Row],[cutoffLevel]] = 1,
      behaviourScore &lt;= 1,
      behaviourScore &lt; cutoffTable[[#This Row],[cutoffLevel]]
    )
  * (behaviourScore &lt; cutoffLevel)
  )</calculatedColumnFormula>
    </tableColumn>
    <tableColumn id="5" xr3:uid="{31E07016-4269-467F-A5CF-C1E939DAD00E}" name="numDoersBin" dataDxfId="168">
      <calculatedColumnFormula array="1">SUMPRODUCT(
    (behaviourScore &lt;&gt; "")
  * (behaviourScore &gt;= IF(cutoffTable[[#This Row],[index]] = 1, 0, INDEX(cutoffTable[cutoffLevel], cutoffTable[[#This Row],[index]]-1)))
  * IF(
      cutoffTable[[#This Row],[cutoffLevel]] = 1,
      behaviourScore &lt;= 1,
      behaviourScore &lt; cutoffTable[[#This Row],[cutoffLevel]]
    )
  * (behaviourScore &gt;= cutoffLevel)
  )</calculatedColumnFormula>
    </tableColumn>
  </tableColumns>
  <tableStyleInfo name="RANAS Analyser Hidden Table 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370E1FF-62B3-4C6A-BFCE-37C7A704AE2E}" name="doersNondoersTable" displayName="doersNondoersTable" ref="CH2:CK3" totalsRowShown="0" headerRowDxfId="167" dataDxfId="166" dataCellStyle="Percent">
  <autoFilter ref="CH2:CK3" xr:uid="{8370E1FF-62B3-4C6A-BFCE-37C7A704AE2E}"/>
  <tableColumns count="4">
    <tableColumn id="4" xr3:uid="{A1DD797A-BD13-4265-B3BB-DEC48664BB26}" name="index" dataDxfId="165" dataCellStyle="Percent">
      <calculatedColumnFormula array="1">ROW()-ROW(doersNondoersTable[#Headers])</calculatedColumnFormula>
    </tableColumn>
    <tableColumn id="1" xr3:uid="{CE98A6BF-A591-490B-B7FF-95F0757BEC26}" name="percentNondoers" dataDxfId="164" dataCellStyle="Percent">
      <calculatedColumnFormula>SUM(cutoffTable[numNondoersBin]) / SUM(cutoffTable[numResponses])</calculatedColumnFormula>
    </tableColumn>
    <tableColumn id="2" xr3:uid="{4405B7FD-EADF-4B9D-8F61-ECF6DB7DD9D2}" name="percentDoers" dataDxfId="163" dataCellStyle="Percent">
      <calculatedColumnFormula>SUM(cutoffTable[numDoersBin]) / SUM(cutoffTable[numResponses])</calculatedColumnFormula>
    </tableColumn>
    <tableColumn id="3" xr3:uid="{26EBCF1F-F51C-47CB-8FDE-C0F16439573B}" name="difference" dataDxfId="162" dataCellStyle="Percent">
      <calculatedColumnFormula>doersNondoersTable[[#This Row],[percentDoers]] - doersNondoersTable[[#This Row],[percentNondoers]]</calculatedColumnFormula>
    </tableColumn>
  </tableColumns>
  <tableStyleInfo name="RANAS Analyser Hidden Table 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CB9BB5F-79E5-40A7-918D-2DAA96437C0C}" name="yesNoTable" displayName="yesNoTable" ref="AJ2:AL4" totalsRowShown="0" headerRowDxfId="161" dataDxfId="160">
  <autoFilter ref="AJ2:AL4" xr:uid="{3CB9BB5F-79E5-40A7-918D-2DAA96437C0C}"/>
  <tableColumns count="3">
    <tableColumn id="1" xr3:uid="{7BF02E13-E0BD-4B20-B095-39672FC2BC73}" name="index" dataDxfId="159">
      <calculatedColumnFormula array="1">ROW()-ROW(yesNoTable[#Headers])</calculatedColumnFormula>
    </tableColumn>
    <tableColumn id="2" xr3:uid="{21B32DDF-C526-4F99-9BEC-BF9E504269BD}" name="tag" dataDxfId="158"/>
    <tableColumn id="3" xr3:uid="{C36A9535-CE17-4A1D-A3B2-94720DE568F7}" name="label" dataDxfId="157"/>
  </tableColumns>
  <tableStyleInfo name="RANAS Analyser Hidden Table Sty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09F1969-0E0C-4887-8029-F381EE40E627}" name="RANASBlocksTable" displayName="RANASBlocksTable" ref="AN2:AQ7" totalsRowShown="0" headerRowDxfId="156" dataDxfId="155">
  <autoFilter ref="AN2:AQ7" xr:uid="{D09F1969-0E0C-4887-8029-F381EE40E627}"/>
  <tableColumns count="4">
    <tableColumn id="1" xr3:uid="{B60E233B-4CF5-4D31-B9A9-F2820E4C2F91}" name="index" dataDxfId="154">
      <calculatedColumnFormula array="1">ROW()-ROW(RANASBlocksTable[#Headers])</calculatedColumnFormula>
    </tableColumn>
    <tableColumn id="2" xr3:uid="{C24DA6E5-D528-4966-A411-051C61457E97}" name="tag" dataDxfId="153"/>
    <tableColumn id="3" xr3:uid="{DCDA070F-C663-438D-AA33-F480D39AF44C}" name="label" dataDxfId="152">
      <calculatedColumnFormula>_xlfn.XLOOKUP(RANASBlocksTable[[#This Row],[tag]], chartTranslationTable[tag], chartTranslationTable[lang1])
 &amp; " / "
 &amp; _xlfn.XLOOKUP(RANASBlocksTable[[#This Row],[tag]], chartTranslationTable[tag], chartTranslationTable[lang2])</calculatedColumnFormula>
    </tableColumn>
    <tableColumn id="4" xr3:uid="{96A5596B-F6F5-4CC3-9704-7FA7D258009B}" name="langSpecLabel" dataDxfId="151">
      <calculatedColumnFormula>_xlfn.XLOOKUP(RANASBlocksTable[[#This Row],[tag]], chartTranslationTable[tag], chartTranslationTable[displayedText])</calculatedColumnFormula>
    </tableColumn>
  </tableColumns>
  <tableStyleInfo name="RANAS Analyser Hidden Table Sty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6572049-63CB-4771-ADE3-A97A3C740CAE}" name="sortMenuTable" displayName="sortMenuTable" ref="AS2:AU6" totalsRowShown="0" headerRowDxfId="150" dataDxfId="149">
  <autoFilter ref="AS2:AU6" xr:uid="{46572049-63CB-4771-ADE3-A97A3C740CAE}"/>
  <tableColumns count="3">
    <tableColumn id="1" xr3:uid="{ACC44954-6B90-44FE-88E1-190E6A569A67}" name="index" dataDxfId="148">
      <calculatedColumnFormula array="1">ROW()-ROW(sortMenuTable[#Headers])</calculatedColumnFormula>
    </tableColumn>
    <tableColumn id="2" xr3:uid="{4D51B9A4-2B71-4841-B8D6-EA667254BD8B}" name="tag" dataDxfId="147"/>
    <tableColumn id="3" xr3:uid="{1D506C08-274F-4C63-9890-FC6BB8AB0B98}" name="label" dataDxfId="146"/>
  </tableColumns>
  <tableStyleInfo name="RANAS Analyser Hidden Table Sty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B69D290-14F6-40FE-BED8-CCD81ECD108D}" name="errorMessagesTable" displayName="errorMessagesTable" ref="J2:Q22" totalsRowShown="0" headerRowDxfId="145" dataDxfId="144">
  <autoFilter ref="J2:Q22" xr:uid="{AB69D290-14F6-40FE-BED8-CCD81ECD108D}"/>
  <tableColumns count="8">
    <tableColumn id="1" xr3:uid="{3D127308-F44A-49E6-9F3C-C656E68E8ED1}" name="index" dataDxfId="143">
      <calculatedColumnFormula array="1">ROW()-ROW(errorMessagesTable[#Headers])</calculatedColumnFormula>
    </tableColumn>
    <tableColumn id="8" xr3:uid="{AA75FF76-EA7C-4094-83A5-B190354EF05A}" name="name" dataDxfId="142"/>
    <tableColumn id="2" xr3:uid="{FFA21826-123C-4CB7-9DF9-678C1EE3C288}" name="condition" dataDxfId="141"/>
    <tableColumn id="3" xr3:uid="{AC91FBF4-9C1F-4FA0-A6A4-FF295EDC8FCE}" name="English" dataDxfId="140"/>
    <tableColumn id="4" xr3:uid="{D4F08017-9763-449D-916C-76BCDA80CA8E}" name="Français" dataDxfId="139"/>
    <tableColumn id="5" xr3:uid="{E82D8A26-C0DB-40D7-A244-F53F76AF432C}" name="filteredIndex" dataDxfId="138">
      <calculatedColumnFormula array="1">FilterTrueColumn(errorMessagesTable[[#This Row],[index]], errorMessagesTable[index], errorMessagesTable[filteredIndex], errorMessagesTable[condition])</calculatedColumnFormula>
    </tableColumn>
    <tableColumn id="6" xr3:uid="{7B9D172B-977C-41C6-89D0-C603BCD7ECCB}" name="langSpecError" dataDxfId="137">
      <calculatedColumnFormula array="1">IF(
    errorMessagesTable[[#This Row],[filteredIndex]] = "",
    "",
    IF(
      errorMessagesTable[[#This Row],[index]] = 1,
      CHAR(10),
     ""
    )
    &amp; errorMessagesTable[[#This Row],[index]] &amp; ". "
    &amp; UITranslateForValueTable(errorMessagesTable[[#This Row],[filteredIndex]], errorMessagesTable[index], errorMessagesTable[], errorMessagesTable[#Headers])
  )</calculatedColumnFormula>
    </tableColumn>
    <tableColumn id="7" xr3:uid="{079D933C-40BE-4252-8C8A-7D0F8055F81D}" name="concatErrors" dataDxfId="136">
      <calculatedColumnFormula array="1">IF(
    errorMessagesTable[[#This Row],[filteredIndex]] = "",
    "",
    IF(
      errorMessagesTable[[#This Row],[index]] = 1,
      "",
      INDEX(errorMessagesTable[concatErrors], errorMessagesTable[[#This Row],[index]]-1)
      &amp; CHAR(10) &amp; CHAR(10)
    )
    &amp; INDEX(errorMessagesTable[langSpecError], errorMessagesTable[[#This Row],[index]])
  )</calculatedColumnFormula>
    </tableColumn>
  </tableColumns>
  <tableStyleInfo name="RANAS Analyser Hidden Table Sty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23C4FF4-8FD9-4D15-B4B0-8CA194D8A016}" name="languageTable" displayName="languageTable" ref="AD2:AH7" totalsRowShown="0" headerRowDxfId="135" dataDxfId="134">
  <autoFilter ref="AD2:AH7" xr:uid="{E23C4FF4-8FD9-4D15-B4B0-8CA194D8A016}"/>
  <tableColumns count="5">
    <tableColumn id="1" xr3:uid="{9A98E7F9-13A5-4FB5-A569-F8A363E10403}" name="index" dataDxfId="133">
      <calculatedColumnFormula array="1">ROW()-ROW(languageTable[#Headers])</calculatedColumnFormula>
    </tableColumn>
    <tableColumn id="2" xr3:uid="{60B4F238-6219-48F8-A2CB-CD0410D91196}" name="languageHeaders" dataDxfId="132">
      <calculatedColumnFormula array="1">KeepBlanksFunction(INDEX(languageHeadersList, languageTable[[#This Row],[index]]))</calculatedColumnFormula>
    </tableColumn>
    <tableColumn id="5" xr3:uid="{A6991E2D-E892-482B-A043-A4CE9032B971}" name="hasValue" dataDxfId="131">
      <calculatedColumnFormula>languageTable[[#This Row],[languageHeaders]] &lt;&gt; ""</calculatedColumnFormula>
    </tableColumn>
    <tableColumn id="6" xr3:uid="{C425EB26-4BEF-4C04-82E8-AC8F24CD68F9}" name="filteredIndex" dataDxfId="130">
      <calculatedColumnFormula array="1">FilterTrueColumn(languageTable[[#This Row],[index]], languageTable[index], languageTable[filteredIndex], languageTable[hasValue])</calculatedColumnFormula>
    </tableColumn>
    <tableColumn id="4" xr3:uid="{98FCEBFB-8113-4BCC-81CD-7849AB1DB835}" name="languageList" dataDxfId="129">
      <calculatedColumnFormula array="1">IFERROR(
    INDEX(languageTable[languageHeaders], languageTable[[#This Row],[filteredIndex]]),
    ""
  )</calculatedColumnFormula>
    </tableColumn>
  </tableColumns>
  <tableStyleInfo name="RANAS Analyser Hidden Table Sty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8A35650-374D-4C03-A6DB-6A4E389D6F32}" name="YaxisLimitsTable" displayName="YaxisLimitsTable" ref="AW2:AW4" totalsRowShown="0" headerRowDxfId="128" dataDxfId="127" tableBorderDxfId="126">
  <autoFilter ref="AW2:AW4" xr:uid="{58A35650-374D-4C03-A6DB-6A4E389D6F32}"/>
  <tableColumns count="1">
    <tableColumn id="1" xr3:uid="{51ECF4B0-F9CD-455D-B50C-D6D778696F7C}" name="YaxisLimits" dataDxfId="125"/>
  </tableColumns>
  <tableStyleInfo name="RANAS Analyser Hidden Table Sty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92EECF3-DDE0-43E0-9DE9-A1D6AC8735DA}" name="structuredFormulaeTable" displayName="structuredFormulaeTable" ref="W2:AB118" totalsRowShown="0" headerRowDxfId="124" dataDxfId="123">
  <autoFilter ref="W2:AB118" xr:uid="{692EECF3-DDE0-43E0-9DE9-A1D6AC8735DA}"/>
  <tableColumns count="6">
    <tableColumn id="1" xr3:uid="{37BD9ACD-8233-46EE-A8D7-31FF3F136553}" name="index" dataDxfId="122">
      <calculatedColumnFormula array="1">ROW()-ROW(structuredFormulaeTable[#Headers])</calculatedColumnFormula>
    </tableColumn>
    <tableColumn id="2" xr3:uid="{55F52F71-A6B4-4919-A316-722AA9191F2E}" name="type" dataDxfId="121"/>
    <tableColumn id="3" xr3:uid="{A58F873E-CB71-4EB2-8AD9-A47999CE859E}" name="name" dataDxfId="120"/>
    <tableColumn id="6" xr3:uid="{40D80251-EECE-436D-9ECB-B9C599419170}" name="value" dataDxfId="119"/>
    <tableColumn id="4" xr3:uid="{7E2294D9-B3F7-4443-9687-4841AA820BF9}" name="formula" dataDxfId="118"/>
    <tableColumn id="5" xr3:uid="{1F5F45D8-BE4C-4548-B2D8-0A288947052A}" name="legacyFormula" dataDxfId="117"/>
  </tableColumns>
  <tableStyleInfo name="RANAS Analyser Hidden Table Sty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4E0D271-5ED9-4A06-BB1A-D1ECD5DBA4D4}" name="recommendedCutoffTable" displayName="recommendedCutoffTable" ref="CD2:CF103" totalsRowShown="0" headerRowDxfId="116" dataDxfId="115">
  <autoFilter ref="CD2:CF103" xr:uid="{A4E0D271-5ED9-4A06-BB1A-D1ECD5DBA4D4}"/>
  <tableColumns count="3">
    <tableColumn id="1" xr3:uid="{2E51A376-278D-40B9-812B-617F78121C99}" name="index" dataDxfId="114">
      <calculatedColumnFormula array="1">ROW()-ROW(recommendedCutoffTable[#Headers])</calculatedColumnFormula>
    </tableColumn>
    <tableColumn id="2" xr3:uid="{5BA56D66-544B-4829-A150-88B6084D2F43}" name="cutoffLevel" dataDxfId="113">
      <calculatedColumnFormula>(recommendedCutoffTable[[#This Row],[index]] - 1) / 100</calculatedColumnFormula>
    </tableColumn>
    <tableColumn id="3" xr3:uid="{B46BA529-015C-4F0E-B5A1-02B39C0B4CD1}" name="absDiff" dataDxfId="112">
      <calculatedColumnFormula array="1">ABS(
    numScores
  - 2 * SUMPRODUCT((behaviourScore &lt;&gt; "") * (behaviourScore &lt; recommendedCutoffTable[[#This Row],[cutoffLevel]]))
  )</calculatedColumnFormula>
    </tableColumn>
  </tableColumns>
  <tableStyleInfo name="RANAS Analyser Hidden Table Sty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4547E3B-6B00-48B8-9FC1-175272B3EE45}" name="factorsConfigTable" displayName="factorsConfigTable" ref="C38:N68" totalsRowShown="0" headerRowDxfId="111" dataDxfId="109" headerRowBorderDxfId="110" tableBorderDxfId="108">
  <autoFilter ref="C38:N68" xr:uid="{94547E3B-6B00-48B8-9FC1-175272B3EE4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2D1BEB34-9A84-4FA6-AF32-0E51972E73EE}" name="displayConfig" dataDxfId="107"/>
    <tableColumn id="2" xr3:uid="{89A08754-E7CC-4160-B6E7-5DBF5AF5D2E9}" name="index" dataDxfId="106">
      <calculatedColumnFormula array="1">ROW()-ROW(factorsConfigTable[#Headers])</calculatedColumnFormula>
    </tableColumn>
    <tableColumn id="3" xr3:uid="{04F7C43C-4093-42C9-BC3A-3285917102D9}" name="factorHeader" dataDxfId="105"/>
    <tableColumn id="9" xr3:uid="{190C740B-C44E-44FC-90AA-B78BE7267F6D}" name="minScore" dataDxfId="104"/>
    <tableColumn id="10" xr3:uid="{DD3D6939-ED52-4010-A52D-CDC2F9344A25}" name="maxScore" dataDxfId="103"/>
    <tableColumn id="12" xr3:uid="{2E6D148D-4688-4C67-8B5F-F4C5084E319E}" name="numResponses" dataDxfId="102">
      <calculatedColumnFormula>_xlfn.XLOOKUP(factorsConfigTable[[#This Row],[index]], factorsTable[index], factorsTable[numTotal])</calculatedColumnFormula>
    </tableColumn>
    <tableColumn id="11" xr3:uid="{E56B3153-9766-4BAC-8604-C3AA2DBBD18F}" name="RANASBlock" dataDxfId="101"/>
    <tableColumn id="4" xr3:uid="{4FED2339-5CC8-42E8-8DB8-A6005219AC78}" name="lang1" dataDxfId="100"/>
    <tableColumn id="5" xr3:uid="{EFF58075-D767-4931-93D7-F079E8DB8217}" name="lang2" dataDxfId="99"/>
    <tableColumn id="6" xr3:uid="{DC7804F4-FAD3-439F-851A-0F85D5A99E9B}" name="lang3" dataDxfId="98"/>
    <tableColumn id="7" xr3:uid="{EB15F8F1-6FB7-4181-8D53-53CF9508B29C}" name="lang4" dataDxfId="97"/>
    <tableColumn id="8" xr3:uid="{A3C2536F-3617-4D7E-B46A-E4EE31E086F3}" name="lang5" dataDxfId="96"/>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5730C0-2116-4860-A363-1A54658B1423}" name="chartTranslationTable" displayName="chartTranslationTable" ref="J76:S91" totalsRowShown="0" headerRowDxfId="95" dataDxfId="93" headerRowBorderDxfId="94">
  <autoFilter ref="J76:S91" xr:uid="{645730C0-2116-4860-A363-1A54658B142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CB0001DA-6DF8-4726-9044-9A913BF69F6D}" name="lang1" dataDxfId="92"/>
    <tableColumn id="4" xr3:uid="{D9EBB72D-A365-48F6-B932-6E11687E9300}" name="lang2" dataDxfId="91"/>
    <tableColumn id="5" xr3:uid="{8962A8BA-1FF8-482C-AB9E-760301C355CC}" name="lang3" dataDxfId="90"/>
    <tableColumn id="6" xr3:uid="{79C890F6-D8AF-4509-9754-523928675713}" name="lang4" dataDxfId="89"/>
    <tableColumn id="7" xr3:uid="{D594F7E4-EE1A-4DDA-B4FB-08FBC6DFDEFB}" name="lang5" dataDxfId="88"/>
    <tableColumn id="12" xr3:uid="{EC020DE5-5E0D-420C-B091-995DEF7B60C3}" name="dummyColumn1" dataDxfId="87"/>
    <tableColumn id="2" xr3:uid="{36B11783-3EBB-4BC9-AC3B-2A6F5E0A0816}" name="tag" dataDxfId="86"/>
    <tableColumn id="1" xr3:uid="{D682E62E-539D-4788-B390-71FE3A01FFFF}" name="index" dataDxfId="85">
      <calculatedColumnFormula array="1">ROW()-ROW(chartTranslationTable[#Headers])</calculatedColumnFormula>
    </tableColumn>
    <tableColumn id="8" xr3:uid="{A62E74DE-998F-4619-9065-DED6DB1E31BF}" name="langSpecText" dataDxfId="84">
      <calculatedColumnFormula array="1">IF(
    chartTranslationTable[[#This Row],[tag]] = "",
    "",
    INDEX(
      INDEX(
        chartTranslationTable[],
        0,
        MATCH(
          IF(
            errorChartLanguage,
            "English",
            chartLanguage
          ),
          languageHeadersList,
          0
        )
        + MATCH(chartTranslationTable[[#Headers],[lang1]], chartTranslationTable[#Headers], 0)
        - 1
      ),
      chartTranslationTable[[#This Row],[index]]
    ) &amp; ""
  )</calculatedColumnFormula>
    </tableColumn>
    <tableColumn id="9" xr3:uid="{898CF4B2-0371-4A7C-B4CD-1EE331BD1E68}" name="displayedText" dataDxfId="83">
      <calculatedColumnFormula array="1">IF(
    chartTranslationTable[[#This Row],[tag]] = "",
    "",
    IF(
      chartTranslationTable[[#This Row],[langSpecText]] = "",
      UITranslateForValueTable("noTranslation", UITranslationTable[tag], UITranslationTable[], UITranslationTable[#Headers]),
      chartTranslationTable[[#This Row],[langSpecText]]
    )
  )</calculatedColumnFormula>
    </tableColumn>
  </tableColumns>
  <tableStyleInfo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1DA155-644E-4397-98A5-176CB83384DD}" name="numScoresTable" displayName="numScoresTable" ref="H23:I24" totalsRowShown="0" headerRowDxfId="82" dataDxfId="80" headerRowBorderDxfId="81">
  <autoFilter ref="H23:I24" xr:uid="{451DA155-644E-4397-98A5-176CB83384DD}">
    <filterColumn colId="0" hiddenButton="1"/>
    <filterColumn colId="1" hiddenButton="1"/>
  </autoFilter>
  <tableColumns count="2">
    <tableColumn id="1" xr3:uid="{391F934A-6FCD-4E49-9355-69C18B5E8F58}" name="numScores" dataDxfId="79">
      <calculatedColumnFormula array="1">numScores</calculatedColumnFormula>
    </tableColumn>
    <tableColumn id="2" xr3:uid="{9A99A030-BAE0-48C7-98BC-38A381095921}" name="numBlankScores" dataDxfId="78">
      <calculatedColumnFormula array="1">numEntries - numScores</calculatedColumnFormula>
    </tableColumn>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866AE9-AB86-4D9C-BFBB-FFE98E443F6E}" name="behaviourConfigTable" displayName="behaviourConfigTable" ref="C15:I20" totalsRowShown="0" headerRowDxfId="77" dataDxfId="75" headerRowBorderDxfId="76" tableBorderDxfId="74">
  <autoFilter ref="C15:I20" xr:uid="{0B866AE9-AB86-4D9C-BFBB-FFE98E443F6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E8A7B52-7A59-4B9C-AD27-994C30519632}" name="includeConfig" dataDxfId="73"/>
    <tableColumn id="2" xr3:uid="{49CBA26E-5C7F-47E8-A14C-035629D59FF4}" name="index" dataDxfId="72">
      <calculatedColumnFormula array="1">ROW()-ROW(behaviourConfigTable[#Headers])</calculatedColumnFormula>
    </tableColumn>
    <tableColumn id="3" xr3:uid="{9E321BEB-12BF-410B-A0B8-571168D7CB6E}" name="behaviourHeader" dataDxfId="71"/>
    <tableColumn id="4" xr3:uid="{96B46EBA-0C69-4555-AD13-7D7AF6FF76D9}" name="minScore" dataDxfId="70"/>
    <tableColumn id="5" xr3:uid="{866F458D-33A6-47DD-B1E4-BAFE3681229F}" name="maxScore" dataDxfId="69"/>
    <tableColumn id="6" xr3:uid="{B0F89DAF-D367-4343-8FA7-C52681D5973D}" name="numResponses" dataDxfId="68">
      <calculatedColumnFormula>_xlfn.XLOOKUP(behaviourConfigTable[[#This Row],[index]], behaviourTable[index], behaviourTable[numResponses])</calculatedColumnFormula>
    </tableColumn>
    <tableColumn id="7" xr3:uid="{FC9843CC-967E-4330-BBCB-FF1375BCDA4C}" name="numBlanks" dataDxfId="67">
      <calculatedColumnFormula>_xlfn.XLOOKUP(behaviourConfigTable[[#This Row],[index]], behaviourTable[index], behaviourTable[numBlanks])</calculatedColumnFormula>
    </tableColumn>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273EE6E-2FD0-4ED4-9549-C3C345AE80A9}" name="cutoffChartTable" displayName="cutoffChartTable" ref="C25:G35" totalsRowShown="0" headerRowDxfId="66" dataDxfId="64" headerRowBorderDxfId="65">
  <tableColumns count="5">
    <tableColumn id="1" xr3:uid="{4CB45C51-CB69-4CC1-B338-FF7F101C0FDD}" name="index" dataDxfId="63">
      <calculatedColumnFormula array="1">ROW()-ROW(cutoffChartTable[#Headers])</calculatedColumnFormula>
    </tableColumn>
    <tableColumn id="2" xr3:uid="{0DB2BC85-F6F4-49BC-80BE-1AEE8BC2AE66}" name="label" dataDxfId="62">
      <calculatedColumnFormula>_xlfn.XLOOKUP(cutoffChartTable[[#This Row],[index]], cutoffTable[index], cutoffTable[label])</calculatedColumnFormula>
    </tableColumn>
    <tableColumn id="3" xr3:uid="{1C850F94-CAA9-4191-8D8A-85A8048CCA90}" name="numResponses" dataDxfId="61">
      <calculatedColumnFormula>_xlfn.XLOOKUP(cutoffChartTable[[#This Row],[index]], cutoffTable[index], cutoffTable[numResponses])</calculatedColumnFormula>
    </tableColumn>
    <tableColumn id="4" xr3:uid="{C4768E52-01B5-4D13-9707-17AD7B461447}" name="numNondoersBin" dataDxfId="60">
      <calculatedColumnFormula>_xlfn.XLOOKUP(cutoffChartTable[[#This Row],[index]], cutoffTable[index], cutoffTable[numNondoersBin])</calculatedColumnFormula>
    </tableColumn>
    <tableColumn id="5" xr3:uid="{D194BD99-D6D8-48CB-AA7E-9C7F48284702}" name="numDoersBin" dataDxfId="59">
      <calculatedColumnFormula>_xlfn.XLOOKUP(cutoffChartTable[[#This Row],[index]], cutoffTable[index], cutoffTable[numDoersBin])</calculatedColumnFormula>
    </tableColumn>
  </tableColumns>
  <tableStyleInfo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DC1D0C4-073C-4BDB-91E1-4F84C4B9344E}" name="doersNondoersChartTable" displayName="doersNondoersChartTable" ref="J25:M26" totalsRowShown="0" headerRowDxfId="58" dataDxfId="56" headerRowBorderDxfId="57">
  <tableColumns count="4">
    <tableColumn id="1" xr3:uid="{1614890C-8CFE-49D2-AC79-A06A96C249C1}" name="index" dataDxfId="55"/>
    <tableColumn id="2" xr3:uid="{A96518A4-4144-403E-A144-B1156ED17703}" name="percentNondoers" dataDxfId="54" dataCellStyle="Percent">
      <calculatedColumnFormula>_xlfn.XLOOKUP(doersNondoersChartTable[[#This Row],[index]], doersNondoersTable[index], doersNondoersTable[percentNondoers])</calculatedColumnFormula>
    </tableColumn>
    <tableColumn id="3" xr3:uid="{52331AC1-DDEC-4492-B14D-59610AA44305}" name="percentDoers" dataDxfId="53" dataCellStyle="Percent">
      <calculatedColumnFormula>_xlfn.XLOOKUP(doersNondoersChartTable[[#This Row],[index]], doersNondoersTable[index], doersNondoersTable[percentDoers])</calculatedColumnFormula>
    </tableColumn>
    <tableColumn id="4" xr3:uid="{304F33DB-9E7C-4AE3-B895-B43D2DD3C077}" name="difference" dataDxfId="52" dataCellStyle="Percent">
      <calculatedColumnFormula>_xlfn.XLOOKUP(doersNondoersChartTable[[#This Row],[index]], doersNondoersTable[index], doersNondoersTable[difference])</calculatedColumnFormula>
    </tableColumn>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B2528C8-83F2-4D54-B52D-C6543471DD7C}" name="analysisChartTable" displayName="analysisChartTable" ref="C50:K80" totalsRowShown="0" headerRowDxfId="51" dataDxfId="49" headerRowBorderDxfId="50">
  <tableColumns count="9">
    <tableColumn id="7" xr3:uid="{73A9F968-C223-45AF-9B43-D37C15C90BDA}" name="index" dataDxfId="48">
      <calculatedColumnFormula array="1">ROW()-ROW(analysisChartTable[#Headers])</calculatedColumnFormula>
    </tableColumn>
    <tableColumn id="6" xr3:uid="{24D8732E-0D42-456B-A89F-B6F2988575FD}" name="chartLabel" dataDxfId="47">
      <calculatedColumnFormula>_xlfn.XLOOKUP(analysisChartTable[[#This Row],[index]], factorsTable[index], factorsTable[chartLabel])</calculatedColumnFormula>
    </tableColumn>
    <tableColumn id="9" xr3:uid="{E584D00C-BD4D-4805-BD0C-15F1ECDB3164}" name="RANASTag" dataDxfId="46">
      <calculatedColumnFormula>_xlfn.XLOOKUP(analysisChartTable[[#This Row],[index]], factorsTable[index], factorsTable[RANASTag])</calculatedColumnFormula>
    </tableColumn>
    <tableColumn id="1" xr3:uid="{D7B991BD-4644-4836-A962-8B6228469595}" name="displayedFactor" dataDxfId="45">
      <calculatedColumnFormula>_xlfn.XLOOKUP(analysisChartTable[[#This Row],[index]], factorsTable[index], factorsTable[displayedFactor])</calculatedColumnFormula>
    </tableColumn>
    <tableColumn id="8" xr3:uid="{948C760D-3BFA-4038-9E7E-26D392A9ABAD}" name="displayedRANASBlock" dataDxfId="44">
      <calculatedColumnFormula>_xlfn.XLOOKUP(analysisChartTable[[#This Row],[index]], factorsTable[index], factorsTable[displayedRANASBlock])</calculatedColumnFormula>
    </tableColumn>
    <tableColumn id="2" xr3:uid="{6FF69577-BFF1-4BAB-A33F-8907707E7F23}" name="sortedNondoers" dataDxfId="43" dataCellStyle="Percent">
      <calculatedColumnFormula>_xlfn.XLOOKUP(analysisChartTable[[#This Row],[index]], factorsTable[index], factorsTable[sortedNondoers])</calculatedColumnFormula>
    </tableColumn>
    <tableColumn id="3" xr3:uid="{AAA2ADF6-CA6C-4194-A2EA-95548C570799}" name="sortedDoers" dataDxfId="42" dataCellStyle="Percent">
      <calculatedColumnFormula>_xlfn.XLOOKUP(analysisChartTable[[#This Row],[index]], factorsTable[index], factorsTable[sortedDoers])</calculatedColumnFormula>
    </tableColumn>
    <tableColumn id="4" xr3:uid="{225894AD-DD7A-493E-A5EC-B5B242433372}" name="sortedDifference" dataDxfId="41" dataCellStyle="Percent">
      <calculatedColumnFormula>_xlfn.XLOOKUP(analysisChartTable[[#This Row],[index]], factorsTable[index], factorsTable[sortedDifference])</calculatedColumnFormula>
    </tableColumn>
    <tableColumn id="5" xr3:uid="{0EF07200-BD5E-4F9F-9DDA-0A2E76BC4044}" name="sortedNumTotal" dataDxfId="40">
      <calculatedColumnFormula>_xlfn.XLOOKUP(analysisChartTable[[#This Row],[index]], factorsTable[index], factorsTable[sortedNumTotal])</calculatedColumnFormula>
    </tableColumn>
  </tableColumns>
  <tableStyleInfo showFirstColumn="0" showLastColumn="0" showRowStripes="0"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FF99CC"/>
      </a:accent1>
      <a:accent2>
        <a:srgbClr val="99FF99"/>
      </a:accent2>
      <a:accent3>
        <a:srgbClr val="FFC000"/>
      </a:accent3>
      <a:accent4>
        <a:srgbClr val="FFC000"/>
      </a:accent4>
      <a:accent5>
        <a:srgbClr val="5B9BD5"/>
      </a:accent5>
      <a:accent6>
        <a:srgbClr val="70AD47"/>
      </a:accent6>
      <a:hlink>
        <a:srgbClr val="0563C1"/>
      </a:hlink>
      <a:folHlink>
        <a:srgbClr val="0563C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6-02-04T20:03:45.22" personId="{5D3AF245-2A3F-4AAD-90B1-868E92451BE0}" id="{642E0654-908C-444E-B518-0916D3BF50B9}">
    <text>Copy of the first row of the "data" sheet, up to column 'maxColNum'. Used to eventually define dataHeaders and dataRange.</text>
  </threadedComment>
  <threadedComment ref="A4" dT="2026-02-04T20:23:44.08" personId="{5D3AF245-2A3F-4AAD-90B1-868E92451BE0}" id="{6C44E4F4-0698-4275-8CC6-863951580E48}">
    <text>Copy (down to row 'maxRowNum') of the data column from the "data" sheet that serves as an index for the survey submissions. Used to count the total number of data entries.</text>
  </threadedComment>
  <threadedComment ref="C4" dT="2026-02-04T20:11:26.84" personId="{5D3AF245-2A3F-4AAD-90B1-868E92451BE0}" id="{3F594EE3-B120-4423-93D2-26576404B3DB}">
    <text>Copy of the row of column headers in the "data" sheet. Used in various formula to look up / reference column headers.</text>
  </threadedComment>
  <threadedComment ref="C5" dT="2026-02-04T22:36:56.02" personId="{5D3AF245-2A3F-4AAD-90B1-868E92451BE0}" id="{79BD005D-9F85-49B3-8F64-CAA0A13BDEFF}">
    <text>Copy of the range of the "data" sheet from row 2 (i.e., without the column headers) and 'numEntries'-row high, and from columns 1 to dataLastColNum. Used to then reference data columns with the INDEX() function.</text>
  </threadedComment>
  <threadedComment ref="C6" dT="2026-01-09T14:36:51.16" personId="{5D3AF245-2A3F-4AAD-90B1-868E92451BE0}" id="{BECC8FE3-2FC4-4C87-AA48-5F5B24B15A35}">
    <text>Legacy version</text>
  </threadedComment>
</ThreadedComments>
</file>

<file path=xl/threadedComments/threadedComment2.xml><?xml version="1.0" encoding="utf-8"?>
<ThreadedComments xmlns="http://schemas.microsoft.com/office/spreadsheetml/2018/threadedcomments" xmlns:x="http://schemas.openxmlformats.org/spreadsheetml/2006/main">
  <threadedComment ref="O1" dT="2026-01-09T14:36:51.16" personId="{5D3AF245-2A3F-4AAD-90B1-868E92451BE0}" id="{39E6F978-3C84-41CD-A7D0-97EAFDDCED97}">
    <text>Legacy version</text>
  </threadedComment>
  <threadedComment ref="P1" dT="2026-01-09T14:36:51.16" personId="{5D3AF245-2A3F-4AAD-90B1-868E92451BE0}" id="{BBD831BC-6DBE-4E41-8B1E-3111352333B8}">
    <text>Legacy version</text>
  </threadedComment>
  <threadedComment ref="S1" dT="2023-02-27T05:26:28.24" personId="{5D3AF245-2A3F-4AAD-90B1-868E92451BE0}" id="{38C86FA5-742F-4C4C-B63F-FFE18671B4F8}">
    <text>This table contains variables whose values are manually entered in the "value" column and that are defined as named objects in the Name Manager, their associated formula being just a lookup in the "value" column. The idea is to make it easier to change their value, by using this table instead of the Name Manager.</text>
  </threadedComment>
  <threadedComment ref="Q2" dT="2023-02-28T21:36:36.05" personId="{5D3AF245-2A3F-4AAD-90B1-868E92451BE0}" id="{0CF385CD-78A4-4D17-BD9F-9F454DA9DC1A}">
    <text>This column is only useful in the backward-compatible version of the Analyser, because the TEXTJOIN() function which is used in the errorMessages variable to concatenate the error messages is only available in Excel 2019 and later.
In other words, this column could be deleted in the "Excel 365"-compatible version of the Analyser. It is however currently kept to facilitate the production of the "Legacy" version from the "Excel 365" version, at least while that Legacy version is maintained.</text>
  </threadedComment>
  <threadedComment ref="AB2" dT="2026-01-08T10:36:06.68" personId="{5D3AF245-2A3F-4AAD-90B1-868E92451BE0}" id="{FA99D751-4424-4719-B4F2-AA71785A3DE4}">
    <text>This column contains the formulae that should replace those in the "formula" column in the "Legacy" version of the file.</text>
  </threadedComment>
  <threadedComment ref="BM2" dT="2026-01-09T14:36:51.16" personId="{5D3AF245-2A3F-4AAD-90B1-868E92451BE0}" id="{C1D74717-9E3A-49D1-90BE-1473D382D71B}">
    <text>Legacy version</text>
  </threadedComment>
  <threadedComment ref="BN2" dT="2026-01-09T14:36:51.16" personId="{5D3AF245-2A3F-4AAD-90B1-868E92451BE0}" id="{147FD3D0-9ECF-453D-A2C3-68A746F7A623}">
    <text>Legacy version</text>
  </threadedComment>
  <threadedComment ref="BO2" dT="2026-01-09T14:36:51.16" personId="{5D3AF245-2A3F-4AAD-90B1-868E92451BE0}" id="{B683A297-2ED4-4146-B01E-9A17A755844B}">
    <text>Legacy version</text>
  </threadedComment>
  <threadedComment ref="BP2" dT="2026-01-09T14:36:51.16" personId="{5D3AF245-2A3F-4AAD-90B1-868E92451BE0}" id="{3F80F0C2-C9D4-4865-905C-3A4FA27C3A23}">
    <text>Legacy version</text>
  </threadedComment>
  <threadedComment ref="BQ2" dT="2026-01-09T14:36:51.16" personId="{5D3AF245-2A3F-4AAD-90B1-868E92451BE0}" id="{67BB9B8F-1554-431D-9876-BACFAA44CCE2}">
    <text>Legacy version</text>
  </threadedComment>
  <threadedComment ref="T3" dT="2026-01-07T11:14:25.42" personId="{5D3AF245-2A3F-4AAD-90B1-868E92451BE0}" id="{7B30AC4B-A213-4136-836D-7C16FEE2FD13}">
    <text>Name of the "data" sheet, used in UI text and to reference the data columns. Its value (currently "data") is hard-coded in the "Manual-entry variables table" and can be changed there if wanted.</text>
  </threadedComment>
  <threadedComment ref="Y3" dT="2026-01-13T17:48:06.21" personId="{5D3AF245-2A3F-4AAD-90B1-868E92451BE0}" id="{7C0EDA3B-30AE-489A-8FA0-C8643C6FDB18}">
    <text>User-defined function that takes as argument a "behaviourIndex" and returns the corresponding data column from dataRange.</text>
  </threadedComment>
  <threadedComment ref="BM3" dT="2026-02-04T22:43:41.86" personId="{5D3AF245-2A3F-4AAD-90B1-868E92451BE0}" id="{66853D4F-F89F-4E32-AC13-26DC354E4FC9}">
    <text>Copy of the "data" column for behaviour header #1. Used to simplify formulae.</text>
  </threadedComment>
  <threadedComment ref="BN3" dT="2026-02-04T22:43:41.86" personId="{5D3AF245-2A3F-4AAD-90B1-868E92451BE0}" id="{182165B5-26F6-4F81-8E85-1DC77B044D16}">
    <text>Copy of the "data" column for behaviour header #2. Used to simplify formulae.</text>
  </threadedComment>
  <threadedComment ref="BO3" dT="2026-02-04T22:43:41.86" personId="{5D3AF245-2A3F-4AAD-90B1-868E92451BE0}" id="{3386F9D7-AF8D-4721-8A64-9206E9EAD5C5}">
    <text>Copy of the "data" column for behaviour header #3. Used to simplify formulae.</text>
  </threadedComment>
  <threadedComment ref="BP3" dT="2026-02-04T22:43:41.86" personId="{5D3AF245-2A3F-4AAD-90B1-868E92451BE0}" id="{6F6D2AF2-3646-4E7D-B4E4-37DC032D7DCF}">
    <text>Copy of the "data" column for behaviour header #4. Used to simplify formulae.</text>
  </threadedComment>
  <threadedComment ref="BQ3" dT="2026-02-04T22:43:41.86" personId="{5D3AF245-2A3F-4AAD-90B1-868E92451BE0}" id="{27F75A60-E649-42E2-99F4-B0C513C2107C}">
    <text>Copy of the "data" column for behaviour header #5. Used to simplify formulae.</text>
  </threadedComment>
  <threadedComment ref="BR3" dT="2026-02-04T22:46:12.32" personId="{5D3AF245-2A3F-4AAD-90B1-868E92451BE0}" id="{D1457836-9247-487C-997C-ED15C9A5819C}">
    <text>Array containing the numerator of the behaviour score for each data entry. It is computed on its own to simplify the overall formula for the behaviour score.</text>
  </threadedComment>
  <threadedComment ref="BS3" dT="2026-02-04T22:46:38.04" personId="{5D3AF245-2A3F-4AAD-90B1-868E92451BE0}" id="{1400722F-15C4-48B1-A517-E579917D6EC0}">
    <text>Array containing the denominator of the behaviour score for each data entry. It is computed on its own to simplify the overall formula for the behaviour score.</text>
  </threadedComment>
  <threadedComment ref="BT3" dT="2026-02-04T22:47:01.45" personId="{5D3AF245-2A3F-4AAD-90B1-868E92451BE0}" id="{8C48700E-31ED-4FB7-964A-A27A91D2807F}">
    <text>Array containing the normalized behaviour score (0-100%) for each data entry for which a score can be computed.</text>
  </threadedComment>
  <threadedComment ref="BU3" dT="2026-01-16T14:23:13.33" personId="{5D3AF245-2A3F-4AAD-90B1-868E92451BE0}" id="{ED77F99E-76D8-4872-9F5C-0F0146EEBF56}">
    <text>Array containing a TRUE/FALSE value for each data entry, indicating a doer/non-doer, or an empty value if a behaviour score cannot be computed.</text>
  </threadedComment>
  <threadedComment ref="T4" dT="2026-01-07T11:16:35.69" personId="{5D3AF245-2A3F-4AAD-90B1-868E92451BE0}" id="{3BEF204C-2584-4591-9B34-6AD9FD391CC5}">
    <text>Version number of the RANAS Analyser. Set in the "HiddenTables" sheet and used in various places.</text>
  </threadedComment>
  <threadedComment ref="Y4" dT="2026-01-13T17:48:06.21" personId="{5D3AF245-2A3F-4AAD-90B1-868E92451BE0}" id="{5D1BC0D0-EA03-4732-8325-CAC25158754F}">
    <text>User-defined function that takes as argument a "behaviourIndex" and returns the corresponding "include" value from behaviourTable. Used to simplify formulae.</text>
  </threadedComment>
  <threadedComment ref="T5" dT="2026-01-07T11:17:00.68" personId="{5D3AF245-2A3F-4AAD-90B1-868E92451BE0}" id="{C1E92698-CDF4-4626-9560-1E7560AB8D3D}">
    <text>Permanent link to the webpage that hosts the reference version of this file available to the public (plus possibly documentation and archived versions).</text>
  </threadedComment>
  <threadedComment ref="Y5" dT="2026-01-13T17:48:06.21" personId="{5D3AF245-2A3F-4AAD-90B1-868E92451BE0}" id="{CB05F824-A649-4013-8CFB-A7519B734B18}">
    <text>User-defined function that takes as argument a "behaviourIndex" and returns the corresponding "maxScore" value from behaviourTable. Used to simplify formulae.</text>
  </threadedComment>
  <threadedComment ref="T6" dT="2026-01-07T11:17:25.23" personId="{5D3AF245-2A3F-4AAD-90B1-868E92451BE0}" id="{056945A4-78A6-4F8F-B2C5-B191DCB18BFE}">
    <text>Link to the RANAS website.</text>
  </threadedComment>
  <threadedComment ref="Y6" dT="2026-01-13T17:48:06.21" personId="{5D3AF245-2A3F-4AAD-90B1-868E92451BE0}" id="{6DC96BFF-B3D6-46B1-8D38-5EA4AB8BD543}">
    <text>User-defined function that takes as argument a "behaviourIndex" and returns the corresponding "minScore" value from behaviourTable. Used to simplify formulae.</text>
  </threadedComment>
  <threadedComment ref="T7" dT="2026-01-07T11:17:50.84" personId="{5D3AF245-2A3F-4AAD-90B1-868E92451BE0}" id="{642A9713-8C2F-44C4-8481-0F64559453E8}">
    <text>Maximum number of rows allowed in the "data" sheet (used to prevent slow calculations).</text>
  </threadedComment>
  <threadedComment ref="Y7" dT="2026-01-09T13:36:12.50" personId="{5D3AF245-2A3F-4AAD-90B1-868E92451BE0}" id="{8028B8F5-12DE-412E-B03F-538113D6F08F}">
    <text>User-defined function to be used in an Excel table. The table contains an index column and a column with TRUE/FALSE values. The function is entered in a filteredIndexCol column and returns the list of indices corresponding to TRUE values, without blanks.</text>
  </threadedComment>
  <threadedComment ref="T8" dT="2026-01-07T11:18:05.52" personId="{5D3AF245-2A3F-4AAD-90B1-868E92451BE0}" id="{E6311091-327B-4EB1-8DB1-BF2EF6D42508}">
    <text>Maximum number of columns allowed in the "data" sheet (used to prevent slow calculations).</text>
  </threadedComment>
  <threadedComment ref="Y8" dT="2025-07-20T19:29:01.41" personId="{5D3AF245-2A3F-4AAD-90B1-868E92451BE0}" id="{AB114D5E-8F5A-426D-A437-3853E174B4FF}">
    <text>User-defined function that takes as argument any value and returns that same value, even if it is blank (i.e. the empty string "" or from an empty cell). Used to keep empty values as such, e.g. to prevent the XLOOKUP of an empty cell being converted to 0.</text>
  </threadedComment>
  <threadedComment ref="Y8" dT="2025-11-20T14:02:27.01" personId="{5D3AF245-2A3F-4AAD-90B1-868E92451BE0}" id="{50CCE661-3D11-454C-A688-FA002255D931}" parentId="{AB114D5E-8F5A-426D-A437-3853E174B4FF}">
    <text>Note: After some tests, it seems that an empty result of an XLOOKUP call gets converted to 0 only when both these conditions are met:
1. The looked-up cell is ACTUALLY empty (i.e., if the looked-up cell contains a formula that evaluates to an empty string, the result will be an empty string and won’t be converted to 0).
2. The result of the XLOOKUP call is the final value that is evaluated in the cell (i.e., if the result of the XLOOKUP call is only used as an intermediate variable inside a user-defined function, for example, it will still be considered as an empty value equal to "").
In conclusion, KeepBlanksFunction only needs to be used in cases where both these conditions are met. If in doubt, do some tests and/or include it to be on the safe side.</text>
  </threadedComment>
  <threadedComment ref="T9" dT="2026-01-07T14:26:22.79" personId="{5D3AF245-2A3F-4AAD-90B1-868E92451BE0}" id="{08C4D84F-9FD3-4C12-BA3E-9D1DE87ECB99}">
    <text>If the number of factors selected for display by the user is less than or equal to this threshold, all factors will be displayed in the first chart. If it is above the threshold, the factors will be evenly split across both charts.</text>
  </threadedComment>
  <threadedComment ref="Y9" dT="2026-01-26T20:11:06.95" personId="{5D3AF245-2A3F-4AAD-90B1-868E92451BE0}" id="{C6EF09CE-66FC-420A-9DB2-24EB149724A7}">
    <text>User-defined function that takes as arguments a "reference" on a worksheet (e.g., cell address, named range) and a "defaultName", and returns the name of that worksheet (or the defaultName).</text>
  </threadedComment>
  <threadedComment ref="AB9" dT="2026-01-16T17:30:04.27" personId="{5D3AF245-2A3F-4AAD-90B1-868E92451BE0}" id="{B7EB3A7C-296A-4B23-A576-77E53F899698}">
    <text>For an explanation for the use of MATCH() with 1/(MID...) to find the last match in the string, see this link where the same strategy is used:
https://exceljet.net/formulas/lookup-latest-price</text>
    <extLst>
      <x:ext xmlns:xltc2="http://schemas.microsoft.com/office/spreadsheetml/2020/threadedcomments2" uri="{F7C98A9C-CBB3-438F-8F68-D28B6AF4A901}">
        <xltc2:checksum>619791977</xltc2:checksum>
        <xltc2:hyperlink startIndex="143" length="49" url="https://exceljet.net/formulas/lookup-latest-price"/>
      </x:ext>
    </extLst>
  </threadedComment>
  <threadedComment ref="AE9" dT="2026-01-09T14:36:51.16" personId="{5D3AF245-2A3F-4AAD-90B1-868E92451BE0}" id="{137C8FC4-AF6C-45E3-B2C8-AE3BE30F10E9}">
    <text>Legacy version</text>
  </threadedComment>
  <threadedComment ref="AG9" dT="2026-01-09T14:36:51.16" personId="{5D3AF245-2A3F-4AAD-90B1-868E92451BE0}" id="{0EF8A64D-BC06-4E49-ADA5-514829E8355A}">
    <text>Legacy version</text>
  </threadedComment>
  <threadedComment ref="AP9" dT="2026-01-09T14:36:51.16" personId="{5D3AF245-2A3F-4AAD-90B1-868E92451BE0}" id="{37375FA1-022D-4780-AE17-17184A876CCF}">
    <text>Legacy version</text>
  </threadedComment>
  <threadedComment ref="AQ9" dT="2026-01-09T14:36:51.16" personId="{5D3AF245-2A3F-4AAD-90B1-868E92451BE0}" id="{696FC813-9452-43F5-9B07-B25C73CC8152}">
    <text>Legacy version</text>
  </threadedComment>
  <threadedComment ref="AZ9" dT="2026-01-09T14:36:51.16" personId="{5D3AF245-2A3F-4AAD-90B1-868E92451BE0}" id="{0EA9F409-7F70-408C-8B40-A2753E65D588}">
    <text>Legacy version</text>
  </threadedComment>
  <threadedComment ref="BA9" dT="2026-01-09T14:36:51.16" personId="{5D3AF245-2A3F-4AAD-90B1-868E92451BE0}" id="{3E47D23E-F675-4CBA-968E-26EDF8823513}">
    <text>Legacy version</text>
  </threadedComment>
  <threadedComment ref="BD9" dT="2026-01-09T14:36:51.16" personId="{5D3AF245-2A3F-4AAD-90B1-868E92451BE0}" id="{551A561B-2DCB-4801-8052-FE795B3244CB}">
    <text>Legacy version</text>
  </threadedComment>
  <threadedComment ref="BE9" dT="2026-01-09T14:36:51.16" personId="{5D3AF245-2A3F-4AAD-90B1-868E92451BE0}" id="{D1C10C29-B0EA-46F1-A01E-46EFABEF5D51}">
    <text>Legacy version</text>
  </threadedComment>
  <threadedComment ref="BF9" dT="2026-01-09T14:36:51.16" personId="{5D3AF245-2A3F-4AAD-90B1-868E92451BE0}" id="{99B71060-9919-4866-B80C-342391F7441F}">
    <text>Legacy version</text>
  </threadedComment>
  <threadedComment ref="BG9" dT="2026-01-09T14:36:51.16" personId="{5D3AF245-2A3F-4AAD-90B1-868E92451BE0}" id="{D59BEEB3-68F4-4FA3-8443-1CBA6C475507}">
    <text>Legacy version</text>
  </threadedComment>
  <threadedComment ref="BJ9" dT="2026-01-09T14:36:51.16" personId="{5D3AF245-2A3F-4AAD-90B1-868E92451BE0}" id="{D2577CAA-09DA-4035-AFF6-A1A925BDB61E}">
    <text>Legacy version</text>
  </threadedComment>
  <threadedComment ref="BK9" dT="2026-01-09T14:36:51.16" personId="{5D3AF245-2A3F-4AAD-90B1-868E92451BE0}" id="{23E12202-66A6-463D-955A-38450B307E0D}">
    <text>Legacy version</text>
  </threadedComment>
  <threadedComment ref="Y10" dT="2026-01-08T15:51:19.02" personId="{5D3AF245-2A3F-4AAD-90B1-868E92451BE0}" id="{CBE2BC9A-1F21-4A1D-AAFE-EDCADD10E0DA}">
    <text>User-defined function that takes as arguments a "value" and references to a translation table (reference column, table itself, and table header), and returns the translation of that value into the selected UI language.</text>
  </threadedComment>
  <threadedComment ref="Y11" dT="2026-01-27T14:35:24.77" personId="{5D3AF245-2A3F-4AAD-90B1-868E92451BE0}" id="{FF68B974-7419-4BC2-B43C-2DDBF67903C2}">
    <text>Value of the "include" parameter for behaviour header #1, combining the user selection in the "Include?" column and whether a data header for that question is defined or not. Used to simplify formulae.</text>
  </threadedComment>
  <threadedComment ref="Y12" dT="2026-01-27T14:35:24.77" personId="{5D3AF245-2A3F-4AAD-90B1-868E92451BE0}" id="{C7B745AE-F254-4B1D-AE90-BBCD690A5D5C}">
    <text>Value of the "include" parameter for behaviour header #2, combining the user selection in the "Include?" column and whether a data header for that question is defined or not. Used to simplify formulae.</text>
  </threadedComment>
  <threadedComment ref="Y13" dT="2026-01-27T14:35:24.77" personId="{5D3AF245-2A3F-4AAD-90B1-868E92451BE0}" id="{7B7AF2D4-8C72-4E2E-8C0D-767D1839A0CF}">
    <text>Value of the "include" parameter for behaviour header #3, combining the user selection in the "Include?" column and whether a data header for that question is defined or not. Used to simplify formulae.</text>
  </threadedComment>
  <threadedComment ref="Y14" dT="2026-01-27T14:35:24.77" personId="{5D3AF245-2A3F-4AAD-90B1-868E92451BE0}" id="{E6DB978E-E1C8-48FF-9945-B7C966618BAD}">
    <text>Value of the "include" parameter for behaviour header #4, combining the user selection in the "Include?" column and whether a data header for that question is defined or not. Used to simplify formulae.</text>
  </threadedComment>
  <threadedComment ref="Y15" dT="2026-01-27T14:35:24.77" personId="{5D3AF245-2A3F-4AAD-90B1-868E92451BE0}" id="{5FA0289D-9367-4DE5-9F5C-6E6087B2AF36}">
    <text>Value of the "include" parameter for behaviour header #5, combining the user selection in the "Include?" column and whether a data header for that question is defined or not. Used to simplify formulae.</text>
  </threadedComment>
  <threadedComment ref="Y16" dT="2026-01-27T15:09:22.35" personId="{5D3AF245-2A3F-4AAD-90B1-868E92451BE0}" id="{069E79A2-8650-4DCC-9FB2-91D4E9692E77}">
    <text>Reference to the maximum score for behaviour header #1. Used to simplify formulae.</text>
  </threadedComment>
  <threadedComment ref="Y17" dT="2026-01-27T15:09:22.35" personId="{5D3AF245-2A3F-4AAD-90B1-868E92451BE0}" id="{B9A10C44-0FAD-4F37-B36C-EC48DF08F035}">
    <text>Reference to the maximum score for behaviour header #2. Used to simplify formulae.</text>
  </threadedComment>
  <threadedComment ref="Y18" dT="2026-01-27T15:09:22.35" personId="{5D3AF245-2A3F-4AAD-90B1-868E92451BE0}" id="{B7AC37A0-A4A5-4D6E-8DA5-A3AA096A1CD7}">
    <text>Reference to the maximum score for behaviour header #3. Used to simplify formulae.</text>
  </threadedComment>
  <threadedComment ref="Y19" dT="2026-01-27T15:09:22.35" personId="{5D3AF245-2A3F-4AAD-90B1-868E92451BE0}" id="{7681F98F-BA2F-4A93-82EE-B4B6184663E7}">
    <text>Reference to the maximum score for behaviour header #4. Used to simplify formulae.</text>
  </threadedComment>
  <threadedComment ref="Y20" dT="2026-01-27T15:09:22.35" personId="{5D3AF245-2A3F-4AAD-90B1-868E92451BE0}" id="{A54C0B2F-E66A-4DC0-8D93-ACC628DEE982}">
    <text>Reference to the maximum score for behaviour header #5. Used to simplify formulae.</text>
  </threadedComment>
  <threadedComment ref="Y21" dT="2026-01-27T15:14:22.31" personId="{5D3AF245-2A3F-4AAD-90B1-868E92451BE0}" id="{61C1D618-FBEB-4B53-AF51-A6383E6ECD64}">
    <text>Reference to the minimum score for behaviour header #1. Used to simplify formulae.</text>
  </threadedComment>
  <threadedComment ref="Y22" dT="2026-01-27T15:14:22.31" personId="{5D3AF245-2A3F-4AAD-90B1-868E92451BE0}" id="{4F8EC9CC-41AD-4070-82C6-6BC77148DA2F}">
    <text>Reference to the minimum score for behaviour header #2. Used to simplify formulae.</text>
  </threadedComment>
  <threadedComment ref="Y23" dT="2026-01-27T15:14:22.31" personId="{5D3AF245-2A3F-4AAD-90B1-868E92451BE0}" id="{6E273767-BDEA-4A32-B36C-30AB1F7F23E4}">
    <text>Reference to the minimum score for behaviour header #3. Used to simplify formulae.</text>
  </threadedComment>
  <threadedComment ref="Y24" dT="2026-01-27T15:14:22.31" personId="{5D3AF245-2A3F-4AAD-90B1-868E92451BE0}" id="{D089B2D2-7239-491C-880E-0D381B82E98B}">
    <text>Reference to the minimum score for behaviour header #4. Used to simplify formulae.</text>
  </threadedComment>
  <threadedComment ref="Y25" dT="2026-01-27T15:14:22.31" personId="{5D3AF245-2A3F-4AAD-90B1-868E92451BE0}" id="{0BB4B623-2B26-4B74-BC84-1ECA6D9A74E5}">
    <text>Reference to the minimum score for behaviour header #5. Used to simplify formulae.</text>
  </threadedComment>
  <threadedComment ref="Y26" dT="2026-01-27T13:09:53.11" personId="{5D3AF245-2A3F-4AAD-90B1-868E92451BE0}" id="{B37F5880-FC94-4A10-A839-9DBF44F1621D}">
    <text>List of "Difference" values for the first chart in the "Analysis" sheet, defined as a dynamic named range to include only the number of factors defined by "numFactorsChart1".</text>
  </threadedComment>
  <threadedComment ref="Y27" dT="2026-01-27T13:18:04.66" personId="{5D3AF245-2A3F-4AAD-90B1-868E92451BE0}" id="{79AFA561-4FC7-42D1-8F8B-DC2A23C007C4}">
    <text>List of "Difference" values for the second chart in the "Analysis" sheet, defined as a dynamic named range to include only the number of factors defined by "numFactorsChart2".</text>
  </threadedComment>
  <threadedComment ref="Y28" dT="2026-01-27T13:19:55.33" personId="{5D3AF245-2A3F-4AAD-90B1-868E92451BE0}" id="{30D27FDA-2F44-4607-9CA3-4F3260F09905}">
    <text>List of "Doers" values for the first chart in the "Analysis" sheet, defined as a dynamic named range to include only the number of factors defined by "numFactorsChart1".</text>
  </threadedComment>
  <threadedComment ref="Y29" dT="2026-01-27T13:23:12.06" personId="{5D3AF245-2A3F-4AAD-90B1-868E92451BE0}" id="{C2CE5CB3-64A7-4FB0-8B0C-43DB64F8CC19}">
    <text>List of "Doers" values for the second chart in the "Analysis" sheet, defined as a dynamic named range to include only the number of factors defined by "numFactorsChart2".</text>
  </threadedComment>
  <threadedComment ref="Y30" dT="2026-01-27T13:29:52.24" personId="{5D3AF245-2A3F-4AAD-90B1-868E92451BE0}" id="{55A0EB8F-A113-47F0-81DB-8D5E8793BCAA}">
    <text>List of "Factor" values for the first chart in the "Analysis" sheet, defined as a dynamic named range to include only the number of factors defined by "numFactorsChart1".</text>
  </threadedComment>
  <threadedComment ref="Y31" dT="2026-01-27T13:30:23.30" personId="{5D3AF245-2A3F-4AAD-90B1-868E92451BE0}" id="{4C49E352-E88B-4329-BDAC-50FEE4297B25}">
    <text>List of "Factor" values for the second chart in the "Analysis" sheet, defined as a dynamic named range to include only the number of factors defined by "numFactorsChart2".</text>
  </threadedComment>
  <threadedComment ref="Y32" dT="2026-01-27T13:36:57.76" personId="{5D3AF245-2A3F-4AAD-90B1-868E92451BE0}" id="{BEDC556C-09DF-4A70-ABC5-8A7A8D720EFD}">
    <text>List of languages that the user can choose from for text elements in the charts. It starts with the languages already available for the user interface (UI), followed by languages that the user can define in the "Configuration" tab.</text>
  </threadedComment>
  <threadedComment ref="Y33" dT="2026-01-27T13:42:41.98" personId="{5D3AF245-2A3F-4AAD-90B1-868E92451BE0}" id="{64898062-36E6-45FA-BBD7-0F6344739EC5}">
    <text>List of "Non-doers" values for the first chart in the "Analysis" sheet, defined as a dynamic named range to include only the number of factors defined by "numFactorsChart1".</text>
  </threadedComment>
  <threadedComment ref="Y34" dT="2026-01-27T13:43:08.05" personId="{5D3AF245-2A3F-4AAD-90B1-868E92451BE0}" id="{21AED473-6BF6-4329-B639-FC160108CCFD}">
    <text>List of "Non-doers" values for the second chart in the "Analysis" sheet, defined as a dynamic named range to include only the number of factors defined by "numFactorsChart2".</text>
  </threadedComment>
  <threadedComment ref="CN34" dT="2026-01-09T14:36:51.16" personId="{5D3AF245-2A3F-4AAD-90B1-868E92451BE0}" id="{343F2EB5-57A6-4C8D-A3F3-E9B8E0BBE862}">
    <text>Legacy version</text>
  </threadedComment>
  <threadedComment ref="CP34" dT="2026-01-09T14:36:51.16" personId="{5D3AF245-2A3F-4AAD-90B1-868E92451BE0}" id="{994267E3-3361-4824-B4A3-30F5E5D59019}">
    <text>Legacy version</text>
  </threadedComment>
  <threadedComment ref="CQ34" dT="2026-01-09T14:36:51.16" personId="{5D3AF245-2A3F-4AAD-90B1-868E92451BE0}" id="{D4A4D34B-5EE5-43AF-97C8-F95147B19289}">
    <text>Legacy version</text>
  </threadedComment>
  <threadedComment ref="CX34" dT="2026-01-09T14:36:51.16" personId="{5D3AF245-2A3F-4AAD-90B1-868E92451BE0}" id="{8357C38D-C22E-493C-B7E3-7BDF57F9A627}">
    <text>Legacy version</text>
  </threadedComment>
  <threadedComment ref="DB34" dT="2026-01-09T14:36:51.16" personId="{5D3AF245-2A3F-4AAD-90B1-868E92451BE0}" id="{01B6D153-1091-43BE-8750-4818FF608602}">
    <text>Legacy version</text>
  </threadedComment>
  <threadedComment ref="DD34" dT="2026-01-09T14:36:51.16" personId="{5D3AF245-2A3F-4AAD-90B1-868E92451BE0}" id="{542614EF-4E61-43DB-B965-327B07EFA70D}">
    <text>Legacy version</text>
  </threadedComment>
  <threadedComment ref="DE34" dT="2026-01-09T14:36:51.16" personId="{5D3AF245-2A3F-4AAD-90B1-868E92451BE0}" id="{BAF157BD-7CBA-495D-842C-F1622F67F52F}">
    <text>Legacy version</text>
  </threadedComment>
  <threadedComment ref="DG34" dT="2026-01-09T14:36:51.16" personId="{5D3AF245-2A3F-4AAD-90B1-868E92451BE0}" id="{AAF340A8-69FE-4884-BFA9-28F6DC56FB6D}">
    <text>Legacy version</text>
  </threadedComment>
  <threadedComment ref="DK34" dT="2026-01-09T14:36:51.16" personId="{5D3AF245-2A3F-4AAD-90B1-868E92451BE0}" id="{758CCC2C-7031-4F18-AA27-22795F830487}">
    <text>Legacy version</text>
  </threadedComment>
  <threadedComment ref="DM34" dT="2026-01-09T14:36:51.16" personId="{5D3AF245-2A3F-4AAD-90B1-868E92451BE0}" id="{5358B228-A2E0-4877-A34B-42B5C277DDA7}">
    <text>Legacy version</text>
  </threadedComment>
  <threadedComment ref="DN34" dT="2026-01-09T14:36:51.16" personId="{5D3AF245-2A3F-4AAD-90B1-868E92451BE0}" id="{F1A10D28-1D9D-4779-B879-39DB213B5C02}">
    <text>Legacy version</text>
  </threadedComment>
  <threadedComment ref="DO34" dT="2026-01-09T14:36:51.16" personId="{5D3AF245-2A3F-4AAD-90B1-868E92451BE0}" id="{CE1D0935-7D3B-40B0-873F-43F1536A4A98}">
    <text>Legacy version</text>
  </threadedComment>
  <threadedComment ref="DP34" dT="2026-01-09T14:36:51.16" personId="{5D3AF245-2A3F-4AAD-90B1-868E92451BE0}" id="{48281D58-DC50-4E69-890E-E31654A3982D}">
    <text>Legacy version</text>
  </threadedComment>
  <threadedComment ref="DQ34" dT="2026-01-09T14:36:51.16" personId="{5D3AF245-2A3F-4AAD-90B1-868E92451BE0}" id="{6775F86F-7A02-46F0-9A62-861834EB7FD9}">
    <text>Legacy version</text>
  </threadedComment>
  <threadedComment ref="DR34" dT="2026-01-09T14:36:51.16" personId="{5D3AF245-2A3F-4AAD-90B1-868E92451BE0}" id="{3FCA4CB4-4C73-499A-A5BF-0CE3AFE94B58}">
    <text>Legacy version</text>
  </threadedComment>
  <threadedComment ref="DS34" dT="2026-01-09T14:36:51.16" personId="{5D3AF245-2A3F-4AAD-90B1-868E92451BE0}" id="{774982DB-0BFC-42DE-80B0-309BC14D86BC}">
    <text>Legacy version</text>
  </threadedComment>
  <threadedComment ref="DT34" dT="2026-01-09T14:36:51.16" personId="{5D3AF245-2A3F-4AAD-90B1-868E92451BE0}" id="{56FDB060-5736-4CE6-8729-A0A1A1D541BB}">
    <text>Legacy version</text>
  </threadedComment>
  <threadedComment ref="DU34" dT="2026-01-09T14:36:51.16" personId="{5D3AF245-2A3F-4AAD-90B1-868E92451BE0}" id="{B8CADD6B-7EBB-43FB-A3C4-32DF9A625650}">
    <text>Legacy version</text>
  </threadedComment>
  <threadedComment ref="DV34" dT="2026-01-09T14:36:51.16" personId="{5D3AF245-2A3F-4AAD-90B1-868E92451BE0}" id="{F41DA8C5-C198-4E74-82C2-D3B151C97384}">
    <text>Legacy version</text>
  </threadedComment>
  <threadedComment ref="Y35" dT="2026-01-07T14:10:05.99" personId="{5D3AF245-2A3F-4AAD-90B1-868E92451BE0}" id="{48BC226F-FD01-45D2-B60B-B5C969AFB89B}">
    <text>Recommended cutoff level that minimizes the absolute difference between the number of doers and the number of non-doers.</text>
  </threadedComment>
  <threadedComment ref="AB35" dT="2026-01-16T17:30:04.27" personId="{5D3AF245-2A3F-4AAD-90B1-868E92451BE0}" id="{1FC628A3-BD28-40B4-BB5E-DA52123B1EFC}">
    <text>For an explanation for the use of LOOKUP() to find the last match in an array, see this link:
https://exceljet.net/formulas/lookup-latest-price</text>
    <extLst>
      <x:ext xmlns:xltc2="http://schemas.microsoft.com/office/spreadsheetml/2020/threadedcomments2" uri="{F7C98A9C-CBB3-438F-8F68-D28B6AF4A901}">
        <xltc2:checksum>41752812</xltc2:checksum>
        <xltc2:hyperlink startIndex="94" length="49" url="https://exceljet.net/formulas/lookup-latest-price"/>
      </x:ext>
    </extLst>
  </threadedComment>
  <threadedComment ref="Y36" dT="2026-01-08T17:25:09.73" personId="{5D3AF245-2A3F-4AAD-90B1-868E92451BE0}" id="{231D4EA3-8C4C-428C-A7BC-96D26254D798}">
    <text>Column number of the last non-empty cell (up to maxColNum) in dataFirstRow. Used to define dataHeaders.</text>
  </threadedComment>
  <threadedComment ref="Y37" dT="2026-01-07T11:27:55.11" personId="{5D3AF245-2A3F-4AAD-90B1-868E92451BE0}" id="{54CCF8C4-939A-4969-9C71-D43B5659856B}">
    <text>Column number of the data column that serves as an index for the survey submissions. Used to copy that column (as dataRefCol) and count the total number of data entries.</text>
  </threadedComment>
  <threadedComment ref="AA37" dT="2026-01-07T11:38:32.15" personId="{5D3AF245-2A3F-4AAD-90B1-868E92451BE0}" id="{3EA9EAB6-464C-40FF-A29C-5AC5F2CF62A3}">
    <text>The formula for dataRefColNum is currently configured to look in dataHeaders for column headers of "index" columns that are found in data exports from KoboToolbox ("_uuid") and ODK ("instanceID" or "meta-instanceID").
This may need to be expanded in the future if those default values change or if support for other platforms is needed.</text>
  </threadedComment>
  <threadedComment ref="Y38" dT="2026-01-27T15:20:26.86" personId="{5D3AF245-2A3F-4AAD-90B1-868E92451BE0}" id="{9FBCCA0B-0F3E-4D10-B107-0F855F175A52}">
    <text>Union of all yellow user-editable areas in the tables of the "Configuration" sheet. Used as a shortcut to quickly select them with "Go To..." and define their "locked/hidden" settings. /!\ If these areas change, check if the range resized accordingly /!\</text>
  </threadedComment>
  <threadedComment ref="Y39" dT="2026-01-10T17:53:59.79" personId="{5D3AF245-2A3F-4AAD-90B1-868E92451BE0}" id="{1ED1FFBF-B238-4A39-A3E3-7CCB2BA2EEE9}">
    <text>Error that evaluates to TRUE if any selected behaviour header in behaviourConfigTable is not found in the "data" sheet.</text>
  </threadedComment>
  <threadedComment ref="Y40" dT="2026-01-12T13:36:47.18" personId="{5D3AF245-2A3F-4AAD-90B1-868E92451BE0}" id="{1BCD0FF1-DA5D-4539-B94C-19746D52FE99}">
    <text>Error that evaluates to TRUE if the "Include?" value for a non-empty behaviour header in behaviourConfigTable is missing or invalid.</text>
  </threadedComment>
  <threadedComment ref="Y41" dT="2026-01-12T19:43:39.68" personId="{5D3AF245-2A3F-4AAD-90B1-868E92451BE0}" id="{DB77FBFE-A695-4012-850B-37FA9B88E51C}">
    <text>Error that evaluates to TRUE if a min. or max. score for a selected, non-empty behaviour header in behaviourConfigTable is missing or invalid (e.g., min &gt;= max).</text>
  </threadedComment>
  <threadedComment ref="Y42" dT="2026-01-12T17:12:08.01" personId="{5D3AF245-2A3F-4AAD-90B1-868E92451BE0}" id="{4199D389-F3F7-4C37-85DB-77F36C5CEE14}">
    <text>Error that evaluates to TRUE if none of the valid behaviour headers in behaviourConfigTable (i.e. headers successfully found in the "data" sheet) is selected in the "Include?" column.</text>
  </threadedComment>
  <threadedComment ref="Y43" dT="2026-01-13T07:52:57.14" personId="{5D3AF245-2A3F-4AAD-90B1-868E92451BE0}" id="{736B03EB-F22F-4F8F-AE7B-DD9DDFD55729}">
    <text>Error that evaluates to TRUE if any value in the "data" sheet for the selected behaviour headers falls outside of the corresponding "Min. score"-"Max. score" range defined in behaviourConfigTable.</text>
  </threadedComment>
  <threadedComment ref="Y44" dT="2026-01-20T18:20:38.59" personId="{5D3AF245-2A3F-4AAD-90B1-868E92451BE0}" id="{E948A971-AEFD-4E80-BF50-D017BABD9D29}">
    <text>Error that evaluates to TRUE if the selected chartLanguage is not from the allowed chartLanguageList.</text>
  </threadedComment>
  <threadedComment ref="Y45" dT="2026-01-21T16:39:16.55" personId="{5D3AF245-2A3F-4AAD-90B1-868E92451BE0}" id="{17B9A7AA-8B5C-47F6-A1CE-B38EA8D2E485}">
    <text>Error that evaluates to TRUE if the translation into chartLanguage for any entry in chartTranslationTable is missing.</text>
  </threadedComment>
  <threadedComment ref="Y46" dT="2026-01-21T22:25:51.86" personId="{5D3AF245-2A3F-4AAD-90B1-868E92451BE0}" id="{14283CDC-D4F3-4C5C-A3BB-E8763029DBAB}">
    <text>Error that evaluates to TRUE if the value entered for cutoffLevel is invalid (i.e., not an integer between 0 and 100%).</text>
  </threadedComment>
  <threadedComment ref="AA46" dT="2026-01-26T12:28:29.35" personId="{5D3AF245-2A3F-4AAD-90B1-868E92451BE0}" id="{CE1B0804-00CA-4D76-95CC-70BA8827023F}">
    <text>The test for the whole number is done on the cell itself rather than 100*cutoffLevel, because otherwise rounding errors with the MOD() function can produce false positives.</text>
  </threadedComment>
  <threadedComment ref="Y47" dT="2026-01-09T15:24:34.56" personId="{5D3AF245-2A3F-4AAD-90B1-868E92451BE0}" id="{18BBC9C1-6A69-4400-AD5D-2FBCFBFBA785}">
    <text>Error that evaluates to TRUE if any space character is found in the first row of the "data" sheet. Spaces in column headers could cause problems when referencing those columns.</text>
  </threadedComment>
  <threadedComment ref="Y48" dT="2026-01-21T22:33:24.44" personId="{5D3AF245-2A3F-4AAD-90B1-868E92451BE0}" id="{6C98878A-7F5F-45FC-A412-F804D6DAA995}">
    <text>Error that evaluates to TRUE if the selected sortingMethod is not from the allowed sortMenuList.</text>
  </threadedComment>
  <threadedComment ref="Y49" dT="2026-01-20T16:54:12.61" personId="{5D3AF245-2A3F-4AAD-90B1-868E92451BE0}" id="{7A4E84DF-9EA5-4DBE-BA23-31D8CA68311D}">
    <text>Error that evaluates to TRUE if the "Display?" value for a non-empty factor header in factorConfigTable is missing or invalid.</text>
  </threadedComment>
  <threadedComment ref="Y50" dT="2026-01-20T16:43:49.45" personId="{5D3AF245-2A3F-4AAD-90B1-868E92451BE0}" id="{6327AD21-F5E2-4AA8-99D5-F06E2C68A509}">
    <text>Error that evaluates to TRUE if any selected factor header in factorConfigTable is not found in the "data" sheet.</text>
  </threadedComment>
  <threadedComment ref="Y51" dT="2026-01-20T17:58:05.87" personId="{5D3AF245-2A3F-4AAD-90B1-868E92451BE0}" id="{278C3B32-19EA-42D2-A788-E923A8488E96}">
    <text>Error that evaluates to TRUE if a min. or max. score for a selected, non-empty factor header in factorConfigTable is missing or invalid (e.g., min &gt;= max).</text>
  </threadedComment>
  <threadedComment ref="Y52" dT="2026-01-20T17:05:14.09" personId="{5D3AF245-2A3F-4AAD-90B1-868E92451BE0}" id="{01C52DD6-00F8-4D6C-B072-6B0E9824E8FF}">
    <text>Error that evaluates to TRUE if none of the valid factor headers in factorConfigTable (i.e. headers successfully found in the "data" sheet) is selected in the "Display?" column.</text>
  </threadedComment>
  <threadedComment ref="Y53" dT="2026-01-20T18:15:06.05" personId="{5D3AF245-2A3F-4AAD-90B1-868E92451BE0}" id="{DE2D93FE-8BD9-4A7F-88F1-9C72626ABAAD}">
    <text>Error that evaluates to TRUE if any value in the "data" sheet for the selected factor headers falls outside of the corresponding "Min. score"-"Max. score" range defined in factorConfigTable.</text>
  </threadedComment>
  <threadedComment ref="Y54" dT="2026-01-21T13:41:21.89" personId="{5D3AF245-2A3F-4AAD-90B1-868E92451BE0}" id="{A539FC2A-A770-47B3-B74C-8A171C72BC85}">
    <text>Error that evaluates to TRUE if the translation into chartLanguage for a selected, non-empty factor header in factorConfigTable is missing.</text>
  </threadedComment>
  <threadedComment ref="Y55" dT="2026-01-07T14:52:16.25" personId="{5D3AF245-2A3F-4AAD-90B1-868E92451BE0}" id="{E1A5970E-EE85-4A4E-9903-F00D568C51F7}">
    <text>List of error messages displayed to the user in the "Configuration" sheet, concatenated from a list of possible messages defined in the hidden "Error messages" table.</text>
  </threadedComment>
  <threadedComment ref="Y56" dT="2026-01-09T09:30:28.02" personId="{5D3AF245-2A3F-4AAD-90B1-868E92451BE0}" id="{AC6C909B-7866-422D-82E8-C6A96A224936}">
    <text>Error that evaluates to TRUE if none of the predefined headers for a reference column is found in the "data" sheet.</text>
  </threadedComment>
  <threadedComment ref="Y57" dT="2026-01-09T09:20:18.63" personId="{5D3AF245-2A3F-4AAD-90B1-868E92451BE0}" id="{AF6E7DC9-01F5-4F75-A174-D8B1DB671270}">
    <text>Error that evaluates to TRUE if the "data" sheet does not exist.</text>
  </threadedComment>
  <threadedComment ref="Y58" dT="2026-01-20T22:46:29.25" personId="{5D3AF245-2A3F-4AAD-90B1-868E92451BE0}" id="{7591502D-8F1C-493C-8B3F-9806BD17D2AF}">
    <text>Error that evaluates to TRUE if a RANAS block for a selected, non-empty factor header in factorConfigTable is missing or invalid.</text>
  </threadedComment>
  <threadedComment ref="Y59" dT="2026-01-09T09:18:27.33" personId="{5D3AF245-2A3F-4AAD-90B1-868E92451BE0}" id="{59345150-73A7-4AFE-860F-BDB68B001667}">
    <text>Error that evaluates to TRUE if the selected UILanguage is not from the allowed UILanguageList.</text>
  </threadedComment>
  <threadedComment ref="Y60" dT="2026-01-07T14:44:46.08" personId="{5D3AF245-2A3F-4AAD-90B1-868E92451BE0}" id="{303A217B-0797-4C81-9D61-BBE0A1E6C70D}">
    <text>Translation of "Behaviour score" into the chartLanguage selected by the user. Used mostly for the axis label on the chart, which can accept a named variable, but not a complex formula.</text>
  </threadedComment>
  <threadedComment ref="Y61" dT="2026-01-07T14:44:07.59" personId="{5D3AF245-2A3F-4AAD-90B1-868E92451BE0}" id="{850F4624-7EC3-460F-AFEC-32934209FD8C}">
    <text>Translation of "Cutoff level" into the chartLanguage selected by the user. Used mostly for the axis label on the chart, which can accept a named variable, but not a complex formula.</text>
  </threadedComment>
  <threadedComment ref="Y62" dT="2026-01-07T14:47:01.58" personId="{5D3AF245-2A3F-4AAD-90B1-868E92451BE0}" id="{F4BC9FE4-A5D3-49D9-8CA6-C4731DC09A31}">
    <text>Translation of "Normalized mean score" into the chartLanguage selected by the user. Used mostly for the axis label on the chart, which can accept a named variable, but not a complex formula.</text>
  </threadedComment>
  <threadedComment ref="AA62" dT="2023-02-25T04:21:27.96" personId="{5D3AF245-2A3F-4AAD-90B1-868E92451BE0}" id="{A7BAF418-6AFA-4735-AF91-43C5DE25FB15}">
    <text>Note: The "(0-100%)" uses a non-breaking hyphen, because for certain zoom levels, the Y-axis label in the "Analysis" charts is split over two lines, and the break would be at the hyphen if it wasn't non-breaking =&gt; not pretty.
BUT! The only "flavor" of non-breaking hyphen that seems to work in a chart axis label is the Unicode character 8209 (2011 in hexadecimal). Others, such as CHAR(173), remain invisible. Hence the UNICHAR(8209) in this formula.</text>
  </threadedComment>
  <threadedComment ref="AB62" dT="2026-01-12T16:49:31.64" personId="{5D3AF245-2A3F-4AAD-90B1-868E92451BE0}" id="{6D2BDB2D-DEF7-4BD0-B302-C5B450709BED}">
    <text>Note: Using the function UNICHAR() in this formula could make it incompatible with Excel versions prior to 2013. Find an alternative (e.g., just use a regular hyphen) if this turns out to be a problem.</text>
  </threadedComment>
  <threadedComment ref="Y63" dT="2026-01-07T14:50:02.83" personId="{5D3AF245-2A3F-4AAD-90B1-868E92451BE0}" id="{DECBFD3E-B119-43A3-8C16-48BE13D1DA62}">
    <text>Translation of "# of responses" into the chartLanguage selected by the user. Used mostly for the axis label on the chart, which can accept a named variable, but not a complex formula.</text>
  </threadedComment>
  <threadedComment ref="Y64" dT="2026-01-07T14:50:59.79" personId="{5D3AF245-2A3F-4AAD-90B1-868E92451BE0}" id="{CBD9C711-5209-416C-8A94-54CD0ED95062}">
    <text>Translation of "% of responses" into the chartLanguage selected by the user. Used mostly for the axis label on the chart, which can accept a named variable, but not a complex formula.</text>
  </threadedComment>
  <threadedComment ref="Y65" dT="2026-01-27T17:51:28.34" personId="{5D3AF245-2A3F-4AAD-90B1-868E92451BE0}" id="{3428773C-B63D-401E-B7F9-7955C0E75568}">
    <text>List of the user-interface + user-defined languages in the header of the "Factors configuration table". Used to compute the "chartLanguageList" and to look up various text values in the selected chartLanguage.</text>
  </threadedComment>
  <threadedComment ref="Y66" dT="2026-01-07T11:13:42.79" personId="{5D3AF245-2A3F-4AAD-90B1-868E92451BE0}" id="{B3C2F7E7-D905-488E-959F-71514EBA8466}">
    <text>Local equivalent of the "address" parameter for the CELL() function, which is specific to the language version of Excel. CELL() is used to dynamically reference the sheets' names, in case they change in the future.</text>
  </threadedComment>
  <threadedComment ref="AA66" dT="2023-02-27T02:54:44.34" personId="{5D3AF245-2A3F-4AAD-90B1-868E92451BE0}" id="{BDFD382D-8813-439A-8635-35E286C7274B}">
    <text>Apparently, there's no clean, language-independent, VBA-free way to retrieve the worksheets' names, so I'm using CELL("address") to do that, but the "address" parameter depends on the local Excel language. This "localAddressParameter" variable stores the local equivalent of "address" by testing different values in different languages, in order to use it with CELL() in the "sheetName..." variables to retrieve each sheet's name. Currently, those languages are: English, Français, Deutsch, Español. If additional languages are added, the formula for this variable must be expanded accordingly. (Check Microsoft's support page for the CELL() function in the given language to check the local equivalent of "address".)
The goal is to have DYNAMIC references to the sheets' names (stored in the "sheetName..." variables), because they might possibly change in the future. Those names are used quite often in the user interface, hence the usefulness to have them dynamically defined.</text>
  </threadedComment>
  <threadedComment ref="Y67" dT="2026-01-07T14:40:30.72" personId="{5D3AF245-2A3F-4AAD-90B1-868E92451BE0}" id="{63EC71EC-6CC4-403B-BC02-E2EE9D085CC6}">
    <text>Maximum doers/non-doers difference (in absolute value) used to define the lower and upper limits of the colour scale in Conditional formatting for the "Difference" column of the "analysisChartTable".</text>
  </threadedComment>
  <threadedComment ref="Y68" dT="2026-01-27T18:06:47.08" personId="{5D3AF245-2A3F-4AAD-90B1-868E92451BE0}" id="{8E5387EE-F35C-4C99-B5A2-501661974AE7}">
    <text>Reference to the label meaning "no" in the drop-down menus of the "Include?" and "Display?" columns of the "Behaviour" and "Factors" configuration tables. Used in UI text.</text>
  </threadedComment>
  <threadedComment ref="Y69" dT="2026-01-07T14:00:40.92" personId="{5D3AF245-2A3F-4AAD-90B1-868E92451BE0}" id="{98EFA81E-B26B-4162-BF70-4BBA624CECE4}">
    <text>Number of entries in the "data" sheet. It is counted as the number of values in the "index" column dataRefCol.</text>
  </threadedComment>
  <threadedComment ref="Y70" dT="2026-01-07T14:16:38.98" personId="{5D3AF245-2A3F-4AAD-90B1-868E92451BE0}" id="{6987FA74-F492-4B7C-99EF-65FE22D4256E}">
    <text>Number of factors selected for display by the user in the Configuration tab (up to 30). Used to calculate the number of factors displayed in each chart of the "Analysis" sheet ("numFactorsChart1" and "numFactorsChart2").</text>
  </threadedComment>
  <threadedComment ref="Y71" dT="2026-01-07T14:24:50.65" personId="{5D3AF245-2A3F-4AAD-90B1-868E92451BE0}" id="{0E5A0A8E-AF58-40CB-BAF5-BF37AA6895DC}">
    <text>Number of factors that will be displayed in the first chart of the "Analysis" sheet. It depends on "numFactors" and "numFactorsThreshold" in order to split the factors across both charts. Used to define a dynamic range for the chart data.</text>
  </threadedComment>
  <threadedComment ref="Y72" dT="2026-01-07T14:27:30.39" personId="{5D3AF245-2A3F-4AAD-90B1-868E92451BE0}" id="{9C2EF22F-7719-45E7-A51A-43194BFC951E}">
    <text>Number of factors that will be displayed in the second chart of the "Analysis" sheet. It depends on "numFactors" and "numFactorsThreshold" in order to split the factors across both charts. Used to define a dynamic range for the chart data.</text>
  </threadedComment>
  <threadedComment ref="Y73" dT="2026-01-07T14:31:54.60" personId="{5D3AF245-2A3F-4AAD-90B1-868E92451BE0}" id="{F8EA8679-A5A3-4E64-B223-C85FD6BD4DCD}">
    <text>Number of languages available to display chart/table text (it includes the UI + the user-defined languages). Used mostly to define a dynamic range for the "Chart language" drop-down menu.</text>
  </threadedComment>
  <threadedComment ref="Y74" dT="2026-01-07T14:05:01.19" personId="{5D3AF245-2A3F-4AAD-90B1-868E92451BE0}" id="{80D50726-EF2C-4C67-9FBB-E23389320578}">
    <text>Number of scores, i.e. number of "data" entries having at least one non-empty value among the selected "behaviour" questions and for which a behaviour score can be computed.</text>
  </threadedComment>
  <threadedComment ref="Y75" dT="2026-01-27T23:01:04.70" personId="{5D3AF245-2A3F-4AAD-90B1-868E92451BE0}" id="{EC282725-E97D-4442-A25E-96E89D8860B6}">
    <text>List of RANAS blocks in (currently) both UI languages (English, Français) used in drop-down menus in the "Factors configuration table".</text>
  </threadedComment>
  <threadedComment ref="Y76" dT="2026-01-07T11:16:08.31" personId="{5D3AF245-2A3F-4AAD-90B1-868E92451BE0}" id="{D7D70823-CDCD-482A-8D64-14AAA174D567}">
    <text>Dynamic reference to the "Analysis" sheet name (in case it changes in the future), used mostly in UI text.</text>
  </threadedComment>
  <threadedComment ref="Y77" dT="2026-01-07T11:15:23.66" personId="{5D3AF245-2A3F-4AAD-90B1-868E92451BE0}" id="{D7107A38-D6DB-469A-8C87-CE953DC74C5C}">
    <text>Dynamic reference to the "Configuration" sheet name (in case it changes in the future), used mostly in UI text.</text>
  </threadedComment>
  <threadedComment ref="Y78" dT="2026-01-07T11:15:54.85" personId="{5D3AF245-2A3F-4AAD-90B1-868E92451BE0}" id="{38B92C36-2D09-4392-B5D0-AB22DF93AA64}">
    <text>Dynamic reference to the "Cutoff" sheet name (in case it changes in the future), used mostly in UI text.</text>
  </threadedComment>
  <threadedComment ref="Y79" dT="2026-01-07T11:14:56.54" personId="{5D3AF245-2A3F-4AAD-90B1-868E92451BE0}" id="{07A2D467-7B27-4D0F-A15A-9EF144A70C0D}">
    <text>Dynamic reference to the "HiddenTables" sheet name (in case it changes in the future).</text>
  </threadedComment>
  <threadedComment ref="AA79" dT="2023-02-27T02:54:44.34" personId="{5D3AF245-2A3F-4AAD-90B1-868E92451BE0}" id="{920D1D5A-2398-4BA7-B424-F90D035B6A6A}">
    <text>Using CELL() with the local language-specific equivalent of the "address" parameter, these formulas DYNAMICALLY compute the sheets' names (in case those names change in the future; see important note below), which are stored as named ranges. They can then be used e.g. in UI text.
Note: One needs to make sure that the range referenced by CELL() within each sheet is unlikely to get deleted (e.g. when changing the sheet's layout), otherwise the link would break =&gt; use a well-established named range located within each sheet (e.g. named cell or named table).
IMPORTANT NOTE: If a sheet name DOES change in the future, the default sheet name at the end of its formula should be updated accordingly, to be on the safe side. This default value serves as a static safeguard in case the local equivalent of the "address" paramater was not found among the currently supported languages (see comment about the "localAddressParameter" variable), or if any other unexpected error occurs.</text>
  </threadedComment>
  <threadedComment ref="Y80" dT="2026-01-07T11:15:12.27" personId="{5D3AF245-2A3F-4AAD-90B1-868E92451BE0}" id="{99D08BBB-6A83-48E4-92DF-884E316E478F}">
    <text>Dynamic reference to the "Introduction" sheet name (in case it changes in the future), used mostly in UI text.</text>
  </threadedComment>
  <threadedComment ref="Y81" dT="2026-01-07T14:43:07.22" personId="{5D3AF245-2A3F-4AAD-90B1-868E92451BE0}" id="{CA9389B5-559B-4E70-9A1A-9063BF203F27}">
    <text>Tag associated with the selected sorting method for the data in the "Factors analysis chart". Used to simplify the formula that sorts the data according to the selected method.</text>
  </threadedComment>
  <threadedComment ref="Y82" dT="2026-01-28T12:17:07.12" personId="{5D3AF245-2A3F-4AAD-90B1-868E92451BE0}" id="{52CA9CC3-2DD0-427C-849D-AA85538CB280}">
    <text>List of sorting options for the "Factors analysis chart". Using symbols to make it (sort of) language-independent, so the options must be described in the UI language next to the menu.</text>
  </threadedComment>
  <threadedComment ref="Y83" dT="2026-01-28T12:27:01.86" personId="{5D3AF245-2A3F-4AAD-90B1-868E92451BE0}" id="{581ECF05-C743-4C62-BBE0-89915C1748BD}">
    <text>List of available languages for the user interface. New languages must be added as new columns in UITranslationTable, errorMessagesTable, factorsConfigTable and chartTranslationTable, completed with all corresponding translations.</text>
  </threadedComment>
  <threadedComment ref="Y84" dT="2026-01-27T18:10:32.10" personId="{5D3AF245-2A3F-4AAD-90B1-868E92451BE0}" id="{2C6136A3-2FA2-4040-B462-4804885A4F56}">
    <text>Reference to the label meaning "yes" in the drop-down menus of the "Include?" and "Display?" columns of the "Behaviour" and "Factors" configuration tables.  Used in UI text and conditional formatting rules.</text>
  </threadedComment>
  <threadedComment ref="Y85" dT="2026-01-28T13:19:06.00" personId="{5D3AF245-2A3F-4AAD-90B1-868E92451BE0}" id="{1B90EA43-A512-4D8C-AED7-B8CCEAA8D002}">
    <text>List of yes/no values (check mark/cross mark) used in drop-down menus in the "Behaviour configuration table" and "Factors configuration table" to include behaviour questions/factors in the behaviour score/analysis chart.</text>
  </threadedComment>
  <threadedComment ref="AA112" dT="2026-01-26T12:28:29.35" personId="{5D3AF245-2A3F-4AAD-90B1-868E92451BE0}" id="{CAE2CE7C-DC90-4E8B-8BFF-5771B8010C60}">
    <text>The test for the whole number is done on the cell itself rather than on 100*cutoffLevel, because otherwise rounding errors with the MOD() function can produce false positives.</text>
  </threadedComment>
  <threadedComment ref="Y113" dT="2026-01-26T11:19:14.46" personId="{5D3AF245-2A3F-4AAD-90B1-868E92451BE0}" id="{C13CC2AB-4B99-40A8-9566-82F95A04CE16}">
    <text>This CF rule displays a decimal digit to the cutoff level value (e.g., 56.7%) to highlight that the entered value is not a whole number.</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table" Target="../tables/table5.xml"/><Relationship Id="rId13" Type="http://schemas.openxmlformats.org/officeDocument/2006/relationships/table" Target="../tables/table10.xml"/><Relationship Id="rId1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table" Target="../tables/table4.xml"/><Relationship Id="rId12" Type="http://schemas.openxmlformats.org/officeDocument/2006/relationships/table" Target="../tables/table9.xml"/><Relationship Id="rId17" Type="http://schemas.openxmlformats.org/officeDocument/2006/relationships/table" Target="../tables/table14.xml"/><Relationship Id="rId2" Type="http://schemas.openxmlformats.org/officeDocument/2006/relationships/drawing" Target="../drawings/drawing1.xml"/><Relationship Id="rId16" Type="http://schemas.openxmlformats.org/officeDocument/2006/relationships/table" Target="../tables/table13.xml"/><Relationship Id="rId1" Type="http://schemas.openxmlformats.org/officeDocument/2006/relationships/printerSettings" Target="../printerSettings/printerSettings1.bin"/><Relationship Id="rId6" Type="http://schemas.openxmlformats.org/officeDocument/2006/relationships/table" Target="../tables/table3.xml"/><Relationship Id="rId11" Type="http://schemas.openxmlformats.org/officeDocument/2006/relationships/table" Target="../tables/table8.xml"/><Relationship Id="rId5" Type="http://schemas.openxmlformats.org/officeDocument/2006/relationships/table" Target="../tables/table2.xml"/><Relationship Id="rId15" Type="http://schemas.openxmlformats.org/officeDocument/2006/relationships/table" Target="../tables/table12.xml"/><Relationship Id="rId10" Type="http://schemas.openxmlformats.org/officeDocument/2006/relationships/table" Target="../tables/table7.xml"/><Relationship Id="rId19" Type="http://schemas.microsoft.com/office/2017/10/relationships/threadedComment" Target="../threadedComments/threadedComment2.xml"/><Relationship Id="rId4" Type="http://schemas.openxmlformats.org/officeDocument/2006/relationships/table" Target="../tables/table1.xml"/><Relationship Id="rId9" Type="http://schemas.openxmlformats.org/officeDocument/2006/relationships/table" Target="../tables/table6.xml"/><Relationship Id="rId14" Type="http://schemas.openxmlformats.org/officeDocument/2006/relationships/table" Target="../tables/table1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4.xml"/><Relationship Id="rId1" Type="http://schemas.openxmlformats.org/officeDocument/2006/relationships/printerSettings" Target="../printerSettings/printerSettings3.bin"/><Relationship Id="rId6" Type="http://schemas.openxmlformats.org/officeDocument/2006/relationships/table" Target="../tables/table18.xml"/><Relationship Id="rId5" Type="http://schemas.openxmlformats.org/officeDocument/2006/relationships/table" Target="../tables/table17.xml"/><Relationship Id="rId4" Type="http://schemas.openxmlformats.org/officeDocument/2006/relationships/table" Target="../tables/table16.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4.bin"/><Relationship Id="rId6" Type="http://schemas.openxmlformats.org/officeDocument/2006/relationships/table" Target="../tables/table20.xml"/><Relationship Id="rId5" Type="http://schemas.openxmlformats.org/officeDocument/2006/relationships/table" Target="../tables/table19.xml"/><Relationship Id="rId4" Type="http://schemas.openxmlformats.org/officeDocument/2006/relationships/ctrlProp" Target="../ctrlProps/ctrlProp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F7F1E-25AA-4AE8-99EF-6E049206A1C6}">
  <sheetPr codeName="Sheet5"/>
  <dimension ref="A1:ALL1003"/>
  <sheetViews>
    <sheetView workbookViewId="0">
      <selection activeCell="C7" sqref="C7"/>
    </sheetView>
  </sheetViews>
  <sheetFormatPr defaultRowHeight="14.4" customHeight="1" x14ac:dyDescent="0.3"/>
  <cols>
    <col min="1" max="1" width="14.21875" style="11" customWidth="1"/>
    <col min="2" max="2" width="11.33203125" style="3" bestFit="1" customWidth="1"/>
    <col min="3" max="3" width="13.5546875" style="3" customWidth="1"/>
    <col min="4" max="16384" width="8.88671875" style="3"/>
  </cols>
  <sheetData>
    <row r="1" spans="1:1000" ht="14.4" customHeight="1" x14ac:dyDescent="0.3">
      <c r="A1" s="82" t="s">
        <v>1308</v>
      </c>
    </row>
    <row r="2" spans="1:1000" ht="14.4" customHeight="1" x14ac:dyDescent="0.3">
      <c r="A2" s="11" t="str" cm="1">
        <f t="array" aca="1" ref="A2:ALL2" ca="1">INDIRECT(
    ADDRESS(1, 1, 1, 0, sheetNameData)
    &amp; ":"
    &amp; ADDRESS(1, maxColNum, 1, 0),
    FALSE
  ) &amp; ""</f>
        <v>ID</v>
      </c>
      <c r="B2" s="3" t="str">
        <f ca="1"/>
        <v>B_b2</v>
      </c>
      <c r="C2" s="3" t="str">
        <f ca="1"/>
        <v>B_b3</v>
      </c>
      <c r="D2" s="3" t="str">
        <f ca="1"/>
        <v>B_b4</v>
      </c>
      <c r="E2" s="3" t="str">
        <f ca="1"/>
        <v>B_b5</v>
      </c>
      <c r="F2" s="3" t="str">
        <f ca="1"/>
        <v>behaviour1</v>
      </c>
      <c r="G2" s="3" t="str">
        <f ca="1"/>
        <v>B_b6</v>
      </c>
      <c r="H2" s="3" t="str">
        <f ca="1"/>
        <v>behaviour2</v>
      </c>
      <c r="I2" s="3" t="str">
        <f ca="1"/>
        <v>B_b7</v>
      </c>
      <c r="J2" s="3" t="str">
        <f ca="1"/>
        <v>behaviour3</v>
      </c>
      <c r="K2" s="3" t="str">
        <f ca="1"/>
        <v>B_b8</v>
      </c>
      <c r="L2" s="3" t="str">
        <f ca="1"/>
        <v>behaviour4</v>
      </c>
      <c r="M2" s="3" t="str">
        <f ca="1"/>
        <v>action_control</v>
      </c>
      <c r="N2" s="3" t="str">
        <f ca="1"/>
        <v>action_knowledge</v>
      </c>
      <c r="O2" s="3" t="str">
        <f ca="1"/>
        <v>action_planning</v>
      </c>
      <c r="P2" s="3" t="str">
        <f ca="1"/>
        <v>barrier1</v>
      </c>
      <c r="Q2" s="3" t="str">
        <f ca="1"/>
        <v>barrier2</v>
      </c>
      <c r="R2" s="3" t="str">
        <f ca="1"/>
        <v>benefits</v>
      </c>
      <c r="S2" s="3" t="str">
        <f ca="1"/>
        <v>conf_continuation</v>
      </c>
      <c r="T2" s="3" t="str">
        <f ca="1"/>
        <v>conf_performance</v>
      </c>
      <c r="U2" s="3" t="str">
        <f ca="1"/>
        <v>costs</v>
      </c>
      <c r="V2" s="3" t="str">
        <f ca="1"/>
        <v>feelings</v>
      </c>
      <c r="W2" s="3" t="str">
        <f ca="1"/>
        <v>health_knowledge</v>
      </c>
      <c r="X2" s="3" t="str">
        <f ca="1"/>
        <v>others_approval</v>
      </c>
      <c r="Y2" s="3" t="str">
        <f ca="1"/>
        <v>others_behaviour</v>
      </c>
      <c r="Z2" s="3" t="str">
        <f ca="1"/>
        <v>personal_importance</v>
      </c>
      <c r="AA2" s="3" t="str">
        <f ca="1"/>
        <v>remembering</v>
      </c>
      <c r="AB2" s="3" t="str">
        <f ca="1"/>
        <v>severity</v>
      </c>
      <c r="AC2" s="3" t="str">
        <f ca="1"/>
        <v>vulnerability</v>
      </c>
      <c r="AD2" s="3" t="str">
        <f ca="1"/>
        <v>meta-instanceID</v>
      </c>
      <c r="AE2" s="3" t="str">
        <f ca="1"/>
        <v/>
      </c>
      <c r="AF2" s="3" t="str">
        <f ca="1"/>
        <v/>
      </c>
      <c r="AG2" s="3" t="str">
        <f ca="1"/>
        <v/>
      </c>
      <c r="AH2" s="3" t="str">
        <f ca="1"/>
        <v/>
      </c>
      <c r="AI2" s="3" t="str">
        <f ca="1"/>
        <v/>
      </c>
      <c r="AJ2" s="3" t="str">
        <f ca="1"/>
        <v/>
      </c>
      <c r="AK2" s="3" t="str">
        <f ca="1"/>
        <v/>
      </c>
      <c r="AL2" s="3" t="str">
        <f ca="1"/>
        <v/>
      </c>
      <c r="AM2" s="3" t="str">
        <f ca="1"/>
        <v/>
      </c>
      <c r="AN2" s="3" t="str">
        <f ca="1"/>
        <v/>
      </c>
      <c r="AO2" s="3" t="str">
        <f ca="1"/>
        <v/>
      </c>
      <c r="AP2" s="3" t="str">
        <f ca="1"/>
        <v/>
      </c>
      <c r="AQ2" s="3" t="str">
        <f ca="1"/>
        <v/>
      </c>
      <c r="AR2" s="3" t="str">
        <f ca="1"/>
        <v/>
      </c>
      <c r="AS2" s="3" t="str">
        <f ca="1"/>
        <v/>
      </c>
      <c r="AT2" s="3" t="str">
        <f ca="1"/>
        <v/>
      </c>
      <c r="AU2" s="3" t="str">
        <f ca="1"/>
        <v/>
      </c>
      <c r="AV2" s="3" t="str">
        <f ca="1"/>
        <v/>
      </c>
      <c r="AW2" s="3" t="str">
        <f ca="1"/>
        <v/>
      </c>
      <c r="AX2" s="3" t="str">
        <f ca="1"/>
        <v/>
      </c>
      <c r="AY2" s="3" t="str">
        <f ca="1"/>
        <v/>
      </c>
      <c r="AZ2" s="3" t="str">
        <f ca="1"/>
        <v/>
      </c>
      <c r="BA2" s="3" t="str">
        <f ca="1"/>
        <v/>
      </c>
      <c r="BB2" s="3" t="str">
        <f ca="1"/>
        <v/>
      </c>
      <c r="BC2" s="3" t="str">
        <f ca="1"/>
        <v/>
      </c>
      <c r="BD2" s="3" t="str">
        <f ca="1"/>
        <v/>
      </c>
      <c r="BE2" s="3" t="str">
        <f ca="1"/>
        <v/>
      </c>
      <c r="BF2" s="3" t="str">
        <f ca="1"/>
        <v/>
      </c>
      <c r="BG2" s="3" t="str">
        <f ca="1"/>
        <v/>
      </c>
      <c r="BH2" s="3" t="str">
        <f ca="1"/>
        <v/>
      </c>
      <c r="BI2" s="3" t="str">
        <f ca="1"/>
        <v/>
      </c>
      <c r="BJ2" s="3" t="str">
        <f ca="1"/>
        <v/>
      </c>
      <c r="BK2" s="3" t="str">
        <f ca="1"/>
        <v/>
      </c>
      <c r="BL2" s="3" t="str">
        <f ca="1"/>
        <v/>
      </c>
      <c r="BM2" s="3" t="str">
        <f ca="1"/>
        <v/>
      </c>
      <c r="BN2" s="3" t="str">
        <f ca="1"/>
        <v/>
      </c>
      <c r="BO2" s="3" t="str">
        <f ca="1"/>
        <v/>
      </c>
      <c r="BP2" s="3" t="str">
        <f ca="1"/>
        <v/>
      </c>
      <c r="BQ2" s="3" t="str">
        <f ca="1"/>
        <v/>
      </c>
      <c r="BR2" s="3" t="str">
        <f ca="1"/>
        <v/>
      </c>
      <c r="BS2" s="3" t="str">
        <f ca="1"/>
        <v/>
      </c>
      <c r="BT2" s="3" t="str">
        <f ca="1"/>
        <v/>
      </c>
      <c r="BU2" s="3" t="str">
        <f ca="1"/>
        <v/>
      </c>
      <c r="BV2" s="3" t="str">
        <f ca="1"/>
        <v/>
      </c>
      <c r="BW2" s="3" t="str">
        <f ca="1"/>
        <v/>
      </c>
      <c r="BX2" s="3" t="str">
        <f ca="1"/>
        <v/>
      </c>
      <c r="BY2" s="3" t="str">
        <f ca="1"/>
        <v/>
      </c>
      <c r="BZ2" s="3" t="str">
        <f ca="1"/>
        <v/>
      </c>
      <c r="CA2" s="3" t="str">
        <f ca="1"/>
        <v/>
      </c>
      <c r="CB2" s="3" t="str">
        <f ca="1"/>
        <v/>
      </c>
      <c r="CC2" s="3" t="str">
        <f ca="1"/>
        <v/>
      </c>
      <c r="CD2" s="3" t="str">
        <f ca="1"/>
        <v/>
      </c>
      <c r="CE2" s="3" t="str">
        <f ca="1"/>
        <v/>
      </c>
      <c r="CF2" s="3" t="str">
        <f ca="1"/>
        <v/>
      </c>
      <c r="CG2" s="3" t="str">
        <f ca="1"/>
        <v/>
      </c>
      <c r="CH2" s="3" t="str">
        <f ca="1"/>
        <v/>
      </c>
      <c r="CI2" s="3" t="str">
        <f ca="1"/>
        <v/>
      </c>
      <c r="CJ2" s="3" t="str">
        <f ca="1"/>
        <v/>
      </c>
      <c r="CK2" s="3" t="str">
        <f ca="1"/>
        <v/>
      </c>
      <c r="CL2" s="3" t="str">
        <f ca="1"/>
        <v/>
      </c>
      <c r="CM2" s="3" t="str">
        <f ca="1"/>
        <v/>
      </c>
      <c r="CN2" s="3" t="str">
        <f ca="1"/>
        <v/>
      </c>
      <c r="CO2" s="3" t="str">
        <f ca="1"/>
        <v/>
      </c>
      <c r="CP2" s="3" t="str">
        <f ca="1"/>
        <v/>
      </c>
      <c r="CQ2" s="3" t="str">
        <f ca="1"/>
        <v/>
      </c>
      <c r="CR2" s="3" t="str">
        <f ca="1"/>
        <v/>
      </c>
      <c r="CS2" s="3" t="str">
        <f ca="1"/>
        <v/>
      </c>
      <c r="CT2" s="3" t="str">
        <f ca="1"/>
        <v/>
      </c>
      <c r="CU2" s="3" t="str">
        <f ca="1"/>
        <v/>
      </c>
      <c r="CV2" s="3" t="str">
        <f ca="1"/>
        <v/>
      </c>
      <c r="CW2" s="3" t="str">
        <f ca="1"/>
        <v/>
      </c>
      <c r="CX2" s="3" t="str">
        <f ca="1"/>
        <v/>
      </c>
      <c r="CY2" s="3" t="str">
        <f ca="1"/>
        <v/>
      </c>
      <c r="CZ2" s="3" t="str">
        <f ca="1"/>
        <v/>
      </c>
      <c r="DA2" s="3" t="str">
        <f ca="1"/>
        <v/>
      </c>
      <c r="DB2" s="3" t="str">
        <f ca="1"/>
        <v/>
      </c>
      <c r="DC2" s="3" t="str">
        <f ca="1"/>
        <v/>
      </c>
      <c r="DD2" s="3" t="str">
        <f ca="1"/>
        <v/>
      </c>
      <c r="DE2" s="3" t="str">
        <f ca="1"/>
        <v/>
      </c>
      <c r="DF2" s="3" t="str">
        <f ca="1"/>
        <v/>
      </c>
      <c r="DG2" s="3" t="str">
        <f ca="1"/>
        <v/>
      </c>
      <c r="DH2" s="3" t="str">
        <f ca="1"/>
        <v/>
      </c>
      <c r="DI2" s="3" t="str">
        <f ca="1"/>
        <v/>
      </c>
      <c r="DJ2" s="3" t="str">
        <f ca="1"/>
        <v/>
      </c>
      <c r="DK2" s="3" t="str">
        <f ca="1"/>
        <v/>
      </c>
      <c r="DL2" s="3" t="str">
        <f ca="1"/>
        <v/>
      </c>
      <c r="DM2" s="3" t="str">
        <f ca="1"/>
        <v/>
      </c>
      <c r="DN2" s="3" t="str">
        <f ca="1"/>
        <v/>
      </c>
      <c r="DO2" s="3" t="str">
        <f ca="1"/>
        <v/>
      </c>
      <c r="DP2" s="3" t="str">
        <f ca="1"/>
        <v/>
      </c>
      <c r="DQ2" s="3" t="str">
        <f ca="1"/>
        <v/>
      </c>
      <c r="DR2" s="3" t="str">
        <f ca="1"/>
        <v/>
      </c>
      <c r="DS2" s="3" t="str">
        <f ca="1"/>
        <v/>
      </c>
      <c r="DT2" s="3" t="str">
        <f ca="1"/>
        <v/>
      </c>
      <c r="DU2" s="3" t="str">
        <f ca="1"/>
        <v/>
      </c>
      <c r="DV2" s="3" t="str">
        <f ca="1"/>
        <v/>
      </c>
      <c r="DW2" s="3" t="str">
        <f ca="1"/>
        <v/>
      </c>
      <c r="DX2" s="3" t="str">
        <f ca="1"/>
        <v/>
      </c>
      <c r="DY2" s="3" t="str">
        <f ca="1"/>
        <v/>
      </c>
      <c r="DZ2" s="3" t="str">
        <f ca="1"/>
        <v/>
      </c>
      <c r="EA2" s="3" t="str">
        <f ca="1"/>
        <v/>
      </c>
      <c r="EB2" s="3" t="str">
        <f ca="1"/>
        <v/>
      </c>
      <c r="EC2" s="3" t="str">
        <f ca="1"/>
        <v/>
      </c>
      <c r="ED2" s="3" t="str">
        <f ca="1"/>
        <v/>
      </c>
      <c r="EE2" s="3" t="str">
        <f ca="1"/>
        <v/>
      </c>
      <c r="EF2" s="3" t="str">
        <f ca="1"/>
        <v/>
      </c>
      <c r="EG2" s="3" t="str">
        <f ca="1"/>
        <v/>
      </c>
      <c r="EH2" s="3" t="str">
        <f ca="1"/>
        <v/>
      </c>
      <c r="EI2" s="3" t="str">
        <f ca="1"/>
        <v/>
      </c>
      <c r="EJ2" s="3" t="str">
        <f ca="1"/>
        <v/>
      </c>
      <c r="EK2" s="3" t="str">
        <f ca="1"/>
        <v/>
      </c>
      <c r="EL2" s="3" t="str">
        <f ca="1"/>
        <v/>
      </c>
      <c r="EM2" s="3" t="str">
        <f ca="1"/>
        <v/>
      </c>
      <c r="EN2" s="3" t="str">
        <f ca="1"/>
        <v/>
      </c>
      <c r="EO2" s="3" t="str">
        <f ca="1"/>
        <v/>
      </c>
      <c r="EP2" s="3" t="str">
        <f ca="1"/>
        <v/>
      </c>
      <c r="EQ2" s="3" t="str">
        <f ca="1"/>
        <v/>
      </c>
      <c r="ER2" s="3" t="str">
        <f ca="1"/>
        <v/>
      </c>
      <c r="ES2" s="3" t="str">
        <f ca="1"/>
        <v/>
      </c>
      <c r="ET2" s="3" t="str">
        <f ca="1"/>
        <v/>
      </c>
      <c r="EU2" s="3" t="str">
        <f ca="1"/>
        <v/>
      </c>
      <c r="EV2" s="3" t="str">
        <f ca="1"/>
        <v/>
      </c>
      <c r="EW2" s="3" t="str">
        <f ca="1"/>
        <v/>
      </c>
      <c r="EX2" s="3" t="str">
        <f ca="1"/>
        <v/>
      </c>
      <c r="EY2" s="3" t="str">
        <f ca="1"/>
        <v/>
      </c>
      <c r="EZ2" s="3" t="str">
        <f ca="1"/>
        <v/>
      </c>
      <c r="FA2" s="3" t="str">
        <f ca="1"/>
        <v/>
      </c>
      <c r="FB2" s="3" t="str">
        <f ca="1"/>
        <v/>
      </c>
      <c r="FC2" s="3" t="str">
        <f ca="1"/>
        <v/>
      </c>
      <c r="FD2" s="3" t="str">
        <f ca="1"/>
        <v/>
      </c>
      <c r="FE2" s="3" t="str">
        <f ca="1"/>
        <v/>
      </c>
      <c r="FF2" s="3" t="str">
        <f ca="1"/>
        <v/>
      </c>
      <c r="FG2" s="3" t="str">
        <f ca="1"/>
        <v/>
      </c>
      <c r="FH2" s="3" t="str">
        <f ca="1"/>
        <v/>
      </c>
      <c r="FI2" s="3" t="str">
        <f ca="1"/>
        <v/>
      </c>
      <c r="FJ2" s="3" t="str">
        <f ca="1"/>
        <v/>
      </c>
      <c r="FK2" s="3" t="str">
        <f ca="1"/>
        <v/>
      </c>
      <c r="FL2" s="3" t="str">
        <f ca="1"/>
        <v/>
      </c>
      <c r="FM2" s="3" t="str">
        <f ca="1"/>
        <v/>
      </c>
      <c r="FN2" s="3" t="str">
        <f ca="1"/>
        <v/>
      </c>
      <c r="FO2" s="3" t="str">
        <f ca="1"/>
        <v/>
      </c>
      <c r="FP2" s="3" t="str">
        <f ca="1"/>
        <v/>
      </c>
      <c r="FQ2" s="3" t="str">
        <f ca="1"/>
        <v/>
      </c>
      <c r="FR2" s="3" t="str">
        <f ca="1"/>
        <v/>
      </c>
      <c r="FS2" s="3" t="str">
        <f ca="1"/>
        <v/>
      </c>
      <c r="FT2" s="3" t="str">
        <f ca="1"/>
        <v/>
      </c>
      <c r="FU2" s="3" t="str">
        <f ca="1"/>
        <v/>
      </c>
      <c r="FV2" s="3" t="str">
        <f ca="1"/>
        <v/>
      </c>
      <c r="FW2" s="3" t="str">
        <f ca="1"/>
        <v/>
      </c>
      <c r="FX2" s="3" t="str">
        <f ca="1"/>
        <v/>
      </c>
      <c r="FY2" s="3" t="str">
        <f ca="1"/>
        <v/>
      </c>
      <c r="FZ2" s="3" t="str">
        <f ca="1"/>
        <v/>
      </c>
      <c r="GA2" s="3" t="str">
        <f ca="1"/>
        <v/>
      </c>
      <c r="GB2" s="3" t="str">
        <f ca="1"/>
        <v/>
      </c>
      <c r="GC2" s="3" t="str">
        <f ca="1"/>
        <v/>
      </c>
      <c r="GD2" s="3" t="str">
        <f ca="1"/>
        <v/>
      </c>
      <c r="GE2" s="3" t="str">
        <f ca="1"/>
        <v/>
      </c>
      <c r="GF2" s="3" t="str">
        <f ca="1"/>
        <v/>
      </c>
      <c r="GG2" s="3" t="str">
        <f ca="1"/>
        <v/>
      </c>
      <c r="GH2" s="3" t="str">
        <f ca="1"/>
        <v/>
      </c>
      <c r="GI2" s="3" t="str">
        <f ca="1"/>
        <v/>
      </c>
      <c r="GJ2" s="3" t="str">
        <f ca="1"/>
        <v/>
      </c>
      <c r="GK2" s="3" t="str">
        <f ca="1"/>
        <v/>
      </c>
      <c r="GL2" s="3" t="str">
        <f ca="1"/>
        <v/>
      </c>
      <c r="GM2" s="3" t="str">
        <f ca="1"/>
        <v/>
      </c>
      <c r="GN2" s="3" t="str">
        <f ca="1"/>
        <v/>
      </c>
      <c r="GO2" s="3" t="str">
        <f ca="1"/>
        <v/>
      </c>
      <c r="GP2" s="3" t="str">
        <f ca="1"/>
        <v/>
      </c>
      <c r="GQ2" s="3" t="str">
        <f ca="1"/>
        <v/>
      </c>
      <c r="GR2" s="3" t="str">
        <f ca="1"/>
        <v/>
      </c>
      <c r="GS2" s="3" t="str">
        <f ca="1"/>
        <v/>
      </c>
      <c r="GT2" s="3" t="str">
        <f ca="1"/>
        <v/>
      </c>
      <c r="GU2" s="3" t="str">
        <f ca="1"/>
        <v/>
      </c>
      <c r="GV2" s="3" t="str">
        <f ca="1"/>
        <v/>
      </c>
      <c r="GW2" s="3" t="str">
        <f ca="1"/>
        <v/>
      </c>
      <c r="GX2" s="3" t="str">
        <f ca="1"/>
        <v/>
      </c>
      <c r="GY2" s="3" t="str">
        <f ca="1"/>
        <v/>
      </c>
      <c r="GZ2" s="3" t="str">
        <f ca="1"/>
        <v/>
      </c>
      <c r="HA2" s="3" t="str">
        <f ca="1"/>
        <v/>
      </c>
      <c r="HB2" s="3" t="str">
        <f ca="1"/>
        <v/>
      </c>
      <c r="HC2" s="3" t="str">
        <f ca="1"/>
        <v/>
      </c>
      <c r="HD2" s="3" t="str">
        <f ca="1"/>
        <v/>
      </c>
      <c r="HE2" s="3" t="str">
        <f ca="1"/>
        <v/>
      </c>
      <c r="HF2" s="3" t="str">
        <f ca="1"/>
        <v/>
      </c>
      <c r="HG2" s="3" t="str">
        <f ca="1"/>
        <v/>
      </c>
      <c r="HH2" s="3" t="str">
        <f ca="1"/>
        <v/>
      </c>
      <c r="HI2" s="3" t="str">
        <f ca="1"/>
        <v/>
      </c>
      <c r="HJ2" s="3" t="str">
        <f ca="1"/>
        <v/>
      </c>
      <c r="HK2" s="3" t="str">
        <f ca="1"/>
        <v/>
      </c>
      <c r="HL2" s="3" t="str">
        <f ca="1"/>
        <v/>
      </c>
      <c r="HM2" s="3" t="str">
        <f ca="1"/>
        <v/>
      </c>
      <c r="HN2" s="3" t="str">
        <f ca="1"/>
        <v/>
      </c>
      <c r="HO2" s="3" t="str">
        <f ca="1"/>
        <v/>
      </c>
      <c r="HP2" s="3" t="str">
        <f ca="1"/>
        <v/>
      </c>
      <c r="HQ2" s="3" t="str">
        <f ca="1"/>
        <v/>
      </c>
      <c r="HR2" s="3" t="str">
        <f ca="1"/>
        <v/>
      </c>
      <c r="HS2" s="3" t="str">
        <f ca="1"/>
        <v/>
      </c>
      <c r="HT2" s="3" t="str">
        <f ca="1"/>
        <v/>
      </c>
      <c r="HU2" s="3" t="str">
        <f ca="1"/>
        <v/>
      </c>
      <c r="HV2" s="3" t="str">
        <f ca="1"/>
        <v/>
      </c>
      <c r="HW2" s="3" t="str">
        <f ca="1"/>
        <v/>
      </c>
      <c r="HX2" s="3" t="str">
        <f ca="1"/>
        <v/>
      </c>
      <c r="HY2" s="3" t="str">
        <f ca="1"/>
        <v/>
      </c>
      <c r="HZ2" s="3" t="str">
        <f ca="1"/>
        <v/>
      </c>
      <c r="IA2" s="3" t="str">
        <f ca="1"/>
        <v/>
      </c>
      <c r="IB2" s="3" t="str">
        <f ca="1"/>
        <v/>
      </c>
      <c r="IC2" s="3" t="str">
        <f ca="1"/>
        <v/>
      </c>
      <c r="ID2" s="3" t="str">
        <f ca="1"/>
        <v/>
      </c>
      <c r="IE2" s="3" t="str">
        <f ca="1"/>
        <v/>
      </c>
      <c r="IF2" s="3" t="str">
        <f ca="1"/>
        <v/>
      </c>
      <c r="IG2" s="3" t="str">
        <f ca="1"/>
        <v/>
      </c>
      <c r="IH2" s="3" t="str">
        <f ca="1"/>
        <v/>
      </c>
      <c r="II2" s="3" t="str">
        <f ca="1"/>
        <v/>
      </c>
      <c r="IJ2" s="3" t="str">
        <f ca="1"/>
        <v/>
      </c>
      <c r="IK2" s="3" t="str">
        <f ca="1"/>
        <v/>
      </c>
      <c r="IL2" s="3" t="str">
        <f ca="1"/>
        <v/>
      </c>
      <c r="IM2" s="3" t="str">
        <f ca="1"/>
        <v/>
      </c>
      <c r="IN2" s="3" t="str">
        <f ca="1"/>
        <v/>
      </c>
      <c r="IO2" s="3" t="str">
        <f ca="1"/>
        <v/>
      </c>
      <c r="IP2" s="3" t="str">
        <f ca="1"/>
        <v/>
      </c>
      <c r="IQ2" s="3" t="str">
        <f ca="1"/>
        <v/>
      </c>
      <c r="IR2" s="3" t="str">
        <f ca="1"/>
        <v/>
      </c>
      <c r="IS2" s="3" t="str">
        <f ca="1"/>
        <v/>
      </c>
      <c r="IT2" s="3" t="str">
        <f ca="1"/>
        <v/>
      </c>
      <c r="IU2" s="3" t="str">
        <f ca="1"/>
        <v/>
      </c>
      <c r="IV2" s="3" t="str">
        <f ca="1"/>
        <v/>
      </c>
      <c r="IW2" s="3" t="str">
        <f ca="1"/>
        <v/>
      </c>
      <c r="IX2" s="3" t="str">
        <f ca="1"/>
        <v/>
      </c>
      <c r="IY2" s="3" t="str">
        <f ca="1"/>
        <v/>
      </c>
      <c r="IZ2" s="3" t="str">
        <f ca="1"/>
        <v/>
      </c>
      <c r="JA2" s="3" t="str">
        <f ca="1"/>
        <v/>
      </c>
      <c r="JB2" s="3" t="str">
        <f ca="1"/>
        <v/>
      </c>
      <c r="JC2" s="3" t="str">
        <f ca="1"/>
        <v/>
      </c>
      <c r="JD2" s="3" t="str">
        <f ca="1"/>
        <v/>
      </c>
      <c r="JE2" s="3" t="str">
        <f ca="1"/>
        <v/>
      </c>
      <c r="JF2" s="3" t="str">
        <f ca="1"/>
        <v/>
      </c>
      <c r="JG2" s="3" t="str">
        <f ca="1"/>
        <v/>
      </c>
      <c r="JH2" s="3" t="str">
        <f ca="1"/>
        <v/>
      </c>
      <c r="JI2" s="3" t="str">
        <f ca="1"/>
        <v/>
      </c>
      <c r="JJ2" s="3" t="str">
        <f ca="1"/>
        <v/>
      </c>
      <c r="JK2" s="3" t="str">
        <f ca="1"/>
        <v/>
      </c>
      <c r="JL2" s="3" t="str">
        <f ca="1"/>
        <v/>
      </c>
      <c r="JM2" s="3" t="str">
        <f ca="1"/>
        <v/>
      </c>
      <c r="JN2" s="3" t="str">
        <f ca="1"/>
        <v/>
      </c>
      <c r="JO2" s="3" t="str">
        <f ca="1"/>
        <v/>
      </c>
      <c r="JP2" s="3" t="str">
        <f ca="1"/>
        <v/>
      </c>
      <c r="JQ2" s="3" t="str">
        <f ca="1"/>
        <v/>
      </c>
      <c r="JR2" s="3" t="str">
        <f ca="1"/>
        <v/>
      </c>
      <c r="JS2" s="3" t="str">
        <f ca="1"/>
        <v/>
      </c>
      <c r="JT2" s="3" t="str">
        <f ca="1"/>
        <v/>
      </c>
      <c r="JU2" s="3" t="str">
        <f ca="1"/>
        <v/>
      </c>
      <c r="JV2" s="3" t="str">
        <f ca="1"/>
        <v/>
      </c>
      <c r="JW2" s="3" t="str">
        <f ca="1"/>
        <v/>
      </c>
      <c r="JX2" s="3" t="str">
        <f ca="1"/>
        <v/>
      </c>
      <c r="JY2" s="3" t="str">
        <f ca="1"/>
        <v/>
      </c>
      <c r="JZ2" s="3" t="str">
        <f ca="1"/>
        <v/>
      </c>
      <c r="KA2" s="3" t="str">
        <f ca="1"/>
        <v/>
      </c>
      <c r="KB2" s="3" t="str">
        <f ca="1"/>
        <v/>
      </c>
      <c r="KC2" s="3" t="str">
        <f ca="1"/>
        <v/>
      </c>
      <c r="KD2" s="3" t="str">
        <f ca="1"/>
        <v/>
      </c>
      <c r="KE2" s="3" t="str">
        <f ca="1"/>
        <v/>
      </c>
      <c r="KF2" s="3" t="str">
        <f ca="1"/>
        <v/>
      </c>
      <c r="KG2" s="3" t="str">
        <f ca="1"/>
        <v/>
      </c>
      <c r="KH2" s="3" t="str">
        <f ca="1"/>
        <v/>
      </c>
      <c r="KI2" s="3" t="str">
        <f ca="1"/>
        <v/>
      </c>
      <c r="KJ2" s="3" t="str">
        <f ca="1"/>
        <v/>
      </c>
      <c r="KK2" s="3" t="str">
        <f ca="1"/>
        <v/>
      </c>
      <c r="KL2" s="3" t="str">
        <f ca="1"/>
        <v/>
      </c>
      <c r="KM2" s="3" t="str">
        <f ca="1"/>
        <v/>
      </c>
      <c r="KN2" s="3" t="str">
        <f ca="1"/>
        <v/>
      </c>
      <c r="KO2" s="3" t="str">
        <f ca="1"/>
        <v/>
      </c>
      <c r="KP2" s="3" t="str">
        <f ca="1"/>
        <v/>
      </c>
      <c r="KQ2" s="3" t="str">
        <f ca="1"/>
        <v/>
      </c>
      <c r="KR2" s="3" t="str">
        <f ca="1"/>
        <v/>
      </c>
      <c r="KS2" s="3" t="str">
        <f ca="1"/>
        <v/>
      </c>
      <c r="KT2" s="3" t="str">
        <f ca="1"/>
        <v/>
      </c>
      <c r="KU2" s="3" t="str">
        <f ca="1"/>
        <v/>
      </c>
      <c r="KV2" s="3" t="str">
        <f ca="1"/>
        <v/>
      </c>
      <c r="KW2" s="3" t="str">
        <f ca="1"/>
        <v/>
      </c>
      <c r="KX2" s="3" t="str">
        <f ca="1"/>
        <v/>
      </c>
      <c r="KY2" s="3" t="str">
        <f ca="1"/>
        <v/>
      </c>
      <c r="KZ2" s="3" t="str">
        <f ca="1"/>
        <v/>
      </c>
      <c r="LA2" s="3" t="str">
        <f ca="1"/>
        <v/>
      </c>
      <c r="LB2" s="3" t="str">
        <f ca="1"/>
        <v/>
      </c>
      <c r="LC2" s="3" t="str">
        <f ca="1"/>
        <v/>
      </c>
      <c r="LD2" s="3" t="str">
        <f ca="1"/>
        <v/>
      </c>
      <c r="LE2" s="3" t="str">
        <f ca="1"/>
        <v/>
      </c>
      <c r="LF2" s="3" t="str">
        <f ca="1"/>
        <v/>
      </c>
      <c r="LG2" s="3" t="str">
        <f ca="1"/>
        <v/>
      </c>
      <c r="LH2" s="3" t="str">
        <f ca="1"/>
        <v/>
      </c>
      <c r="LI2" s="3" t="str">
        <f ca="1"/>
        <v/>
      </c>
      <c r="LJ2" s="3" t="str">
        <f ca="1"/>
        <v/>
      </c>
      <c r="LK2" s="3" t="str">
        <f ca="1"/>
        <v/>
      </c>
      <c r="LL2" s="3" t="str">
        <f ca="1"/>
        <v/>
      </c>
      <c r="LM2" s="3" t="str">
        <f ca="1"/>
        <v/>
      </c>
      <c r="LN2" s="3" t="str">
        <f ca="1"/>
        <v/>
      </c>
      <c r="LO2" s="3" t="str">
        <f ca="1"/>
        <v/>
      </c>
      <c r="LP2" s="3" t="str">
        <f ca="1"/>
        <v/>
      </c>
      <c r="LQ2" s="3" t="str">
        <f ca="1"/>
        <v/>
      </c>
      <c r="LR2" s="3" t="str">
        <f ca="1"/>
        <v/>
      </c>
      <c r="LS2" s="3" t="str">
        <f ca="1"/>
        <v/>
      </c>
      <c r="LT2" s="3" t="str">
        <f ca="1"/>
        <v/>
      </c>
      <c r="LU2" s="3" t="str">
        <f ca="1"/>
        <v/>
      </c>
      <c r="LV2" s="3" t="str">
        <f ca="1"/>
        <v/>
      </c>
      <c r="LW2" s="3" t="str">
        <f ca="1"/>
        <v/>
      </c>
      <c r="LX2" s="3" t="str">
        <f ca="1"/>
        <v/>
      </c>
      <c r="LY2" s="3" t="str">
        <f ca="1"/>
        <v/>
      </c>
      <c r="LZ2" s="3" t="str">
        <f ca="1"/>
        <v/>
      </c>
      <c r="MA2" s="3" t="str">
        <f ca="1"/>
        <v/>
      </c>
      <c r="MB2" s="3" t="str">
        <f ca="1"/>
        <v/>
      </c>
      <c r="MC2" s="3" t="str">
        <f ca="1"/>
        <v/>
      </c>
      <c r="MD2" s="3" t="str">
        <f ca="1"/>
        <v/>
      </c>
      <c r="ME2" s="3" t="str">
        <f ca="1"/>
        <v/>
      </c>
      <c r="MF2" s="3" t="str">
        <f ca="1"/>
        <v/>
      </c>
      <c r="MG2" s="3" t="str">
        <f ca="1"/>
        <v/>
      </c>
      <c r="MH2" s="3" t="str">
        <f ca="1"/>
        <v/>
      </c>
      <c r="MI2" s="3" t="str">
        <f ca="1"/>
        <v/>
      </c>
      <c r="MJ2" s="3" t="str">
        <f ca="1"/>
        <v/>
      </c>
      <c r="MK2" s="3" t="str">
        <f ca="1"/>
        <v/>
      </c>
      <c r="ML2" s="3" t="str">
        <f ca="1"/>
        <v/>
      </c>
      <c r="MM2" s="3" t="str">
        <f ca="1"/>
        <v/>
      </c>
      <c r="MN2" s="3" t="str">
        <f ca="1"/>
        <v/>
      </c>
      <c r="MO2" s="3" t="str">
        <f ca="1"/>
        <v/>
      </c>
      <c r="MP2" s="3" t="str">
        <f ca="1"/>
        <v/>
      </c>
      <c r="MQ2" s="3" t="str">
        <f ca="1"/>
        <v/>
      </c>
      <c r="MR2" s="3" t="str">
        <f ca="1"/>
        <v/>
      </c>
      <c r="MS2" s="3" t="str">
        <f ca="1"/>
        <v/>
      </c>
      <c r="MT2" s="3" t="str">
        <f ca="1"/>
        <v/>
      </c>
      <c r="MU2" s="3" t="str">
        <f ca="1"/>
        <v/>
      </c>
      <c r="MV2" s="3" t="str">
        <f ca="1"/>
        <v/>
      </c>
      <c r="MW2" s="3" t="str">
        <f ca="1"/>
        <v/>
      </c>
      <c r="MX2" s="3" t="str">
        <f ca="1"/>
        <v/>
      </c>
      <c r="MY2" s="3" t="str">
        <f ca="1"/>
        <v/>
      </c>
      <c r="MZ2" s="3" t="str">
        <f ca="1"/>
        <v/>
      </c>
      <c r="NA2" s="3" t="str">
        <f ca="1"/>
        <v/>
      </c>
      <c r="NB2" s="3" t="str">
        <f ca="1"/>
        <v/>
      </c>
      <c r="NC2" s="3" t="str">
        <f ca="1"/>
        <v/>
      </c>
      <c r="ND2" s="3" t="str">
        <f ca="1"/>
        <v/>
      </c>
      <c r="NE2" s="3" t="str">
        <f ca="1"/>
        <v/>
      </c>
      <c r="NF2" s="3" t="str">
        <f ca="1"/>
        <v/>
      </c>
      <c r="NG2" s="3" t="str">
        <f ca="1"/>
        <v/>
      </c>
      <c r="NH2" s="3" t="str">
        <f ca="1"/>
        <v/>
      </c>
      <c r="NI2" s="3" t="str">
        <f ca="1"/>
        <v/>
      </c>
      <c r="NJ2" s="3" t="str">
        <f ca="1"/>
        <v/>
      </c>
      <c r="NK2" s="3" t="str">
        <f ca="1"/>
        <v/>
      </c>
      <c r="NL2" s="3" t="str">
        <f ca="1"/>
        <v/>
      </c>
      <c r="NM2" s="3" t="str">
        <f ca="1"/>
        <v/>
      </c>
      <c r="NN2" s="3" t="str">
        <f ca="1"/>
        <v/>
      </c>
      <c r="NO2" s="3" t="str">
        <f ca="1"/>
        <v/>
      </c>
      <c r="NP2" s="3" t="str">
        <f ca="1"/>
        <v/>
      </c>
      <c r="NQ2" s="3" t="str">
        <f ca="1"/>
        <v/>
      </c>
      <c r="NR2" s="3" t="str">
        <f ca="1"/>
        <v/>
      </c>
      <c r="NS2" s="3" t="str">
        <f ca="1"/>
        <v/>
      </c>
      <c r="NT2" s="3" t="str">
        <f ca="1"/>
        <v/>
      </c>
      <c r="NU2" s="3" t="str">
        <f ca="1"/>
        <v/>
      </c>
      <c r="NV2" s="3" t="str">
        <f ca="1"/>
        <v/>
      </c>
      <c r="NW2" s="3" t="str">
        <f ca="1"/>
        <v/>
      </c>
      <c r="NX2" s="3" t="str">
        <f ca="1"/>
        <v/>
      </c>
      <c r="NY2" s="3" t="str">
        <f ca="1"/>
        <v/>
      </c>
      <c r="NZ2" s="3" t="str">
        <f ca="1"/>
        <v/>
      </c>
      <c r="OA2" s="3" t="str">
        <f ca="1"/>
        <v/>
      </c>
      <c r="OB2" s="3" t="str">
        <f ca="1"/>
        <v/>
      </c>
      <c r="OC2" s="3" t="str">
        <f ca="1"/>
        <v/>
      </c>
      <c r="OD2" s="3" t="str">
        <f ca="1"/>
        <v/>
      </c>
      <c r="OE2" s="3" t="str">
        <f ca="1"/>
        <v/>
      </c>
      <c r="OF2" s="3" t="str">
        <f ca="1"/>
        <v/>
      </c>
      <c r="OG2" s="3" t="str">
        <f ca="1"/>
        <v/>
      </c>
      <c r="OH2" s="3" t="str">
        <f ca="1"/>
        <v/>
      </c>
      <c r="OI2" s="3" t="str">
        <f ca="1"/>
        <v/>
      </c>
      <c r="OJ2" s="3" t="str">
        <f ca="1"/>
        <v/>
      </c>
      <c r="OK2" s="3" t="str">
        <f ca="1"/>
        <v/>
      </c>
      <c r="OL2" s="3" t="str">
        <f ca="1"/>
        <v/>
      </c>
      <c r="OM2" s="3" t="str">
        <f ca="1"/>
        <v/>
      </c>
      <c r="ON2" s="3" t="str">
        <f ca="1"/>
        <v/>
      </c>
      <c r="OO2" s="3" t="str">
        <f ca="1"/>
        <v/>
      </c>
      <c r="OP2" s="3" t="str">
        <f ca="1"/>
        <v/>
      </c>
      <c r="OQ2" s="3" t="str">
        <f ca="1"/>
        <v/>
      </c>
      <c r="OR2" s="3" t="str">
        <f ca="1"/>
        <v/>
      </c>
      <c r="OS2" s="3" t="str">
        <f ca="1"/>
        <v/>
      </c>
      <c r="OT2" s="3" t="str">
        <f ca="1"/>
        <v/>
      </c>
      <c r="OU2" s="3" t="str">
        <f ca="1"/>
        <v/>
      </c>
      <c r="OV2" s="3" t="str">
        <f ca="1"/>
        <v/>
      </c>
      <c r="OW2" s="3" t="str">
        <f ca="1"/>
        <v/>
      </c>
      <c r="OX2" s="3" t="str">
        <f ca="1"/>
        <v/>
      </c>
      <c r="OY2" s="3" t="str">
        <f ca="1"/>
        <v/>
      </c>
      <c r="OZ2" s="3" t="str">
        <f ca="1"/>
        <v/>
      </c>
      <c r="PA2" s="3" t="str">
        <f ca="1"/>
        <v/>
      </c>
      <c r="PB2" s="3" t="str">
        <f ca="1"/>
        <v/>
      </c>
      <c r="PC2" s="3" t="str">
        <f ca="1"/>
        <v/>
      </c>
      <c r="PD2" s="3" t="str">
        <f ca="1"/>
        <v/>
      </c>
      <c r="PE2" s="3" t="str">
        <f ca="1"/>
        <v/>
      </c>
      <c r="PF2" s="3" t="str">
        <f ca="1"/>
        <v/>
      </c>
      <c r="PG2" s="3" t="str">
        <f ca="1"/>
        <v/>
      </c>
      <c r="PH2" s="3" t="str">
        <f ca="1"/>
        <v/>
      </c>
      <c r="PI2" s="3" t="str">
        <f ca="1"/>
        <v/>
      </c>
      <c r="PJ2" s="3" t="str">
        <f ca="1"/>
        <v/>
      </c>
      <c r="PK2" s="3" t="str">
        <f ca="1"/>
        <v/>
      </c>
      <c r="PL2" s="3" t="str">
        <f ca="1"/>
        <v/>
      </c>
      <c r="PM2" s="3" t="str">
        <f ca="1"/>
        <v/>
      </c>
      <c r="PN2" s="3" t="str">
        <f ca="1"/>
        <v/>
      </c>
      <c r="PO2" s="3" t="str">
        <f ca="1"/>
        <v/>
      </c>
      <c r="PP2" s="3" t="str">
        <f ca="1"/>
        <v/>
      </c>
      <c r="PQ2" s="3" t="str">
        <f ca="1"/>
        <v/>
      </c>
      <c r="PR2" s="3" t="str">
        <f ca="1"/>
        <v/>
      </c>
      <c r="PS2" s="3" t="str">
        <f ca="1"/>
        <v/>
      </c>
      <c r="PT2" s="3" t="str">
        <f ca="1"/>
        <v/>
      </c>
      <c r="PU2" s="3" t="str">
        <f ca="1"/>
        <v/>
      </c>
      <c r="PV2" s="3" t="str">
        <f ca="1"/>
        <v/>
      </c>
      <c r="PW2" s="3" t="str">
        <f ca="1"/>
        <v/>
      </c>
      <c r="PX2" s="3" t="str">
        <f ca="1"/>
        <v/>
      </c>
      <c r="PY2" s="3" t="str">
        <f ca="1"/>
        <v/>
      </c>
      <c r="PZ2" s="3" t="str">
        <f ca="1"/>
        <v/>
      </c>
      <c r="QA2" s="3" t="str">
        <f ca="1"/>
        <v/>
      </c>
      <c r="QB2" s="3" t="str">
        <f ca="1"/>
        <v/>
      </c>
      <c r="QC2" s="3" t="str">
        <f ca="1"/>
        <v/>
      </c>
      <c r="QD2" s="3" t="str">
        <f ca="1"/>
        <v/>
      </c>
      <c r="QE2" s="3" t="str">
        <f ca="1"/>
        <v/>
      </c>
      <c r="QF2" s="3" t="str">
        <f ca="1"/>
        <v/>
      </c>
      <c r="QG2" s="3" t="str">
        <f ca="1"/>
        <v/>
      </c>
      <c r="QH2" s="3" t="str">
        <f ca="1"/>
        <v/>
      </c>
      <c r="QI2" s="3" t="str">
        <f ca="1"/>
        <v/>
      </c>
      <c r="QJ2" s="3" t="str">
        <f ca="1"/>
        <v/>
      </c>
      <c r="QK2" s="3" t="str">
        <f ca="1"/>
        <v/>
      </c>
      <c r="QL2" s="3" t="str">
        <f ca="1"/>
        <v/>
      </c>
      <c r="QM2" s="3" t="str">
        <f ca="1"/>
        <v/>
      </c>
      <c r="QN2" s="3" t="str">
        <f ca="1"/>
        <v/>
      </c>
      <c r="QO2" s="3" t="str">
        <f ca="1"/>
        <v/>
      </c>
      <c r="QP2" s="3" t="str">
        <f ca="1"/>
        <v/>
      </c>
      <c r="QQ2" s="3" t="str">
        <f ca="1"/>
        <v/>
      </c>
      <c r="QR2" s="3" t="str">
        <f ca="1"/>
        <v/>
      </c>
      <c r="QS2" s="3" t="str">
        <f ca="1"/>
        <v/>
      </c>
      <c r="QT2" s="3" t="str">
        <f ca="1"/>
        <v/>
      </c>
      <c r="QU2" s="3" t="str">
        <f ca="1"/>
        <v/>
      </c>
      <c r="QV2" s="3" t="str">
        <f ca="1"/>
        <v/>
      </c>
      <c r="QW2" s="3" t="str">
        <f ca="1"/>
        <v/>
      </c>
      <c r="QX2" s="3" t="str">
        <f ca="1"/>
        <v/>
      </c>
      <c r="QY2" s="3" t="str">
        <f ca="1"/>
        <v/>
      </c>
      <c r="QZ2" s="3" t="str">
        <f ca="1"/>
        <v/>
      </c>
      <c r="RA2" s="3" t="str">
        <f ca="1"/>
        <v/>
      </c>
      <c r="RB2" s="3" t="str">
        <f ca="1"/>
        <v/>
      </c>
      <c r="RC2" s="3" t="str">
        <f ca="1"/>
        <v/>
      </c>
      <c r="RD2" s="3" t="str">
        <f ca="1"/>
        <v/>
      </c>
      <c r="RE2" s="3" t="str">
        <f ca="1"/>
        <v/>
      </c>
      <c r="RF2" s="3" t="str">
        <f ca="1"/>
        <v/>
      </c>
      <c r="RG2" s="3" t="str">
        <f ca="1"/>
        <v/>
      </c>
      <c r="RH2" s="3" t="str">
        <f ca="1"/>
        <v/>
      </c>
      <c r="RI2" s="3" t="str">
        <f ca="1"/>
        <v/>
      </c>
      <c r="RJ2" s="3" t="str">
        <f ca="1"/>
        <v/>
      </c>
      <c r="RK2" s="3" t="str">
        <f ca="1"/>
        <v/>
      </c>
      <c r="RL2" s="3" t="str">
        <f ca="1"/>
        <v/>
      </c>
      <c r="RM2" s="3" t="str">
        <f ca="1"/>
        <v/>
      </c>
      <c r="RN2" s="3" t="str">
        <f ca="1"/>
        <v/>
      </c>
      <c r="RO2" s="3" t="str">
        <f ca="1"/>
        <v/>
      </c>
      <c r="RP2" s="3" t="str">
        <f ca="1"/>
        <v/>
      </c>
      <c r="RQ2" s="3" t="str">
        <f ca="1"/>
        <v/>
      </c>
      <c r="RR2" s="3" t="str">
        <f ca="1"/>
        <v/>
      </c>
      <c r="RS2" s="3" t="str">
        <f ca="1"/>
        <v/>
      </c>
      <c r="RT2" s="3" t="str">
        <f ca="1"/>
        <v/>
      </c>
      <c r="RU2" s="3" t="str">
        <f ca="1"/>
        <v/>
      </c>
      <c r="RV2" s="3" t="str">
        <f ca="1"/>
        <v/>
      </c>
      <c r="RW2" s="3" t="str">
        <f ca="1"/>
        <v/>
      </c>
      <c r="RX2" s="3" t="str">
        <f ca="1"/>
        <v/>
      </c>
      <c r="RY2" s="3" t="str">
        <f ca="1"/>
        <v/>
      </c>
      <c r="RZ2" s="3" t="str">
        <f ca="1"/>
        <v/>
      </c>
      <c r="SA2" s="3" t="str">
        <f ca="1"/>
        <v/>
      </c>
      <c r="SB2" s="3" t="str">
        <f ca="1"/>
        <v/>
      </c>
      <c r="SC2" s="3" t="str">
        <f ca="1"/>
        <v/>
      </c>
      <c r="SD2" s="3" t="str">
        <f ca="1"/>
        <v/>
      </c>
      <c r="SE2" s="3" t="str">
        <f ca="1"/>
        <v/>
      </c>
      <c r="SF2" s="3" t="str">
        <f ca="1"/>
        <v/>
      </c>
      <c r="SG2" s="3" t="str">
        <f ca="1"/>
        <v/>
      </c>
      <c r="SH2" s="3" t="str">
        <f ca="1"/>
        <v/>
      </c>
      <c r="SI2" s="3" t="str">
        <f ca="1"/>
        <v/>
      </c>
      <c r="SJ2" s="3" t="str">
        <f ca="1"/>
        <v/>
      </c>
      <c r="SK2" s="3" t="str">
        <f ca="1"/>
        <v/>
      </c>
      <c r="SL2" s="3" t="str">
        <f ca="1"/>
        <v/>
      </c>
      <c r="SM2" s="3" t="str">
        <f ca="1"/>
        <v/>
      </c>
      <c r="SN2" s="3" t="str">
        <f ca="1"/>
        <v/>
      </c>
      <c r="SO2" s="3" t="str">
        <f ca="1"/>
        <v/>
      </c>
      <c r="SP2" s="3" t="str">
        <f ca="1"/>
        <v/>
      </c>
      <c r="SQ2" s="3" t="str">
        <f ca="1"/>
        <v/>
      </c>
      <c r="SR2" s="3" t="str">
        <f ca="1"/>
        <v/>
      </c>
      <c r="SS2" s="3" t="str">
        <f ca="1"/>
        <v/>
      </c>
      <c r="ST2" s="3" t="str">
        <f ca="1"/>
        <v/>
      </c>
      <c r="SU2" s="3" t="str">
        <f ca="1"/>
        <v/>
      </c>
      <c r="SV2" s="3" t="str">
        <f ca="1"/>
        <v/>
      </c>
      <c r="SW2" s="3" t="str">
        <f ca="1"/>
        <v/>
      </c>
      <c r="SX2" s="3" t="str">
        <f ca="1"/>
        <v/>
      </c>
      <c r="SY2" s="3" t="str">
        <f ca="1"/>
        <v/>
      </c>
      <c r="SZ2" s="3" t="str">
        <f ca="1"/>
        <v/>
      </c>
      <c r="TA2" s="3" t="str">
        <f ca="1"/>
        <v/>
      </c>
      <c r="TB2" s="3" t="str">
        <f ca="1"/>
        <v/>
      </c>
      <c r="TC2" s="3" t="str">
        <f ca="1"/>
        <v/>
      </c>
      <c r="TD2" s="3" t="str">
        <f ca="1"/>
        <v/>
      </c>
      <c r="TE2" s="3" t="str">
        <f ca="1"/>
        <v/>
      </c>
      <c r="TF2" s="3" t="str">
        <f ca="1"/>
        <v/>
      </c>
      <c r="TG2" s="3" t="str">
        <f ca="1"/>
        <v/>
      </c>
      <c r="TH2" s="3" t="str">
        <f ca="1"/>
        <v/>
      </c>
      <c r="TI2" s="3" t="str">
        <f ca="1"/>
        <v/>
      </c>
      <c r="TJ2" s="3" t="str">
        <f ca="1"/>
        <v/>
      </c>
      <c r="TK2" s="3" t="str">
        <f ca="1"/>
        <v/>
      </c>
      <c r="TL2" s="3" t="str">
        <f ca="1"/>
        <v/>
      </c>
      <c r="TM2" s="3" t="str">
        <f ca="1"/>
        <v/>
      </c>
      <c r="TN2" s="3" t="str">
        <f ca="1"/>
        <v/>
      </c>
      <c r="TO2" s="3" t="str">
        <f ca="1"/>
        <v/>
      </c>
      <c r="TP2" s="3" t="str">
        <f ca="1"/>
        <v/>
      </c>
      <c r="TQ2" s="3" t="str">
        <f ca="1"/>
        <v/>
      </c>
      <c r="TR2" s="3" t="str">
        <f ca="1"/>
        <v/>
      </c>
      <c r="TS2" s="3" t="str">
        <f ca="1"/>
        <v/>
      </c>
      <c r="TT2" s="3" t="str">
        <f ca="1"/>
        <v/>
      </c>
      <c r="TU2" s="3" t="str">
        <f ca="1"/>
        <v/>
      </c>
      <c r="TV2" s="3" t="str">
        <f ca="1"/>
        <v/>
      </c>
      <c r="TW2" s="3" t="str">
        <f ca="1"/>
        <v/>
      </c>
      <c r="TX2" s="3" t="str">
        <f ca="1"/>
        <v/>
      </c>
      <c r="TY2" s="3" t="str">
        <f ca="1"/>
        <v/>
      </c>
      <c r="TZ2" s="3" t="str">
        <f ca="1"/>
        <v/>
      </c>
      <c r="UA2" s="3" t="str">
        <f ca="1"/>
        <v/>
      </c>
      <c r="UB2" s="3" t="str">
        <f ca="1"/>
        <v/>
      </c>
      <c r="UC2" s="3" t="str">
        <f ca="1"/>
        <v/>
      </c>
      <c r="UD2" s="3" t="str">
        <f ca="1"/>
        <v/>
      </c>
      <c r="UE2" s="3" t="str">
        <f ca="1"/>
        <v/>
      </c>
      <c r="UF2" s="3" t="str">
        <f ca="1"/>
        <v/>
      </c>
      <c r="UG2" s="3" t="str">
        <f ca="1"/>
        <v/>
      </c>
      <c r="UH2" s="3" t="str">
        <f ca="1"/>
        <v/>
      </c>
      <c r="UI2" s="3" t="str">
        <f ca="1"/>
        <v/>
      </c>
      <c r="UJ2" s="3" t="str">
        <f ca="1"/>
        <v/>
      </c>
      <c r="UK2" s="3" t="str">
        <f ca="1"/>
        <v/>
      </c>
      <c r="UL2" s="3" t="str">
        <f ca="1"/>
        <v/>
      </c>
      <c r="UM2" s="3" t="str">
        <f ca="1"/>
        <v/>
      </c>
      <c r="UN2" s="3" t="str">
        <f ca="1"/>
        <v/>
      </c>
      <c r="UO2" s="3" t="str">
        <f ca="1"/>
        <v/>
      </c>
      <c r="UP2" s="3" t="str">
        <f ca="1"/>
        <v/>
      </c>
      <c r="UQ2" s="3" t="str">
        <f ca="1"/>
        <v/>
      </c>
      <c r="UR2" s="3" t="str">
        <f ca="1"/>
        <v/>
      </c>
      <c r="US2" s="3" t="str">
        <f ca="1"/>
        <v/>
      </c>
      <c r="UT2" s="3" t="str">
        <f ca="1"/>
        <v/>
      </c>
      <c r="UU2" s="3" t="str">
        <f ca="1"/>
        <v/>
      </c>
      <c r="UV2" s="3" t="str">
        <f ca="1"/>
        <v/>
      </c>
      <c r="UW2" s="3" t="str">
        <f ca="1"/>
        <v/>
      </c>
      <c r="UX2" s="3" t="str">
        <f ca="1"/>
        <v/>
      </c>
      <c r="UY2" s="3" t="str">
        <f ca="1"/>
        <v/>
      </c>
      <c r="UZ2" s="3" t="str">
        <f ca="1"/>
        <v/>
      </c>
      <c r="VA2" s="3" t="str">
        <f ca="1"/>
        <v/>
      </c>
      <c r="VB2" s="3" t="str">
        <f ca="1"/>
        <v/>
      </c>
      <c r="VC2" s="3" t="str">
        <f ca="1"/>
        <v/>
      </c>
      <c r="VD2" s="3" t="str">
        <f ca="1"/>
        <v/>
      </c>
      <c r="VE2" s="3" t="str">
        <f ca="1"/>
        <v/>
      </c>
      <c r="VF2" s="3" t="str">
        <f ca="1"/>
        <v/>
      </c>
      <c r="VG2" s="3" t="str">
        <f ca="1"/>
        <v/>
      </c>
      <c r="VH2" s="3" t="str">
        <f ca="1"/>
        <v/>
      </c>
      <c r="VI2" s="3" t="str">
        <f ca="1"/>
        <v/>
      </c>
      <c r="VJ2" s="3" t="str">
        <f ca="1"/>
        <v/>
      </c>
      <c r="VK2" s="3" t="str">
        <f ca="1"/>
        <v/>
      </c>
      <c r="VL2" s="3" t="str">
        <f ca="1"/>
        <v/>
      </c>
      <c r="VM2" s="3" t="str">
        <f ca="1"/>
        <v/>
      </c>
      <c r="VN2" s="3" t="str">
        <f ca="1"/>
        <v/>
      </c>
      <c r="VO2" s="3" t="str">
        <f ca="1"/>
        <v/>
      </c>
      <c r="VP2" s="3" t="str">
        <f ca="1"/>
        <v/>
      </c>
      <c r="VQ2" s="3" t="str">
        <f ca="1"/>
        <v/>
      </c>
      <c r="VR2" s="3" t="str">
        <f ca="1"/>
        <v/>
      </c>
      <c r="VS2" s="3" t="str">
        <f ca="1"/>
        <v/>
      </c>
      <c r="VT2" s="3" t="str">
        <f ca="1"/>
        <v/>
      </c>
      <c r="VU2" s="3" t="str">
        <f ca="1"/>
        <v/>
      </c>
      <c r="VV2" s="3" t="str">
        <f ca="1"/>
        <v/>
      </c>
      <c r="VW2" s="3" t="str">
        <f ca="1"/>
        <v/>
      </c>
      <c r="VX2" s="3" t="str">
        <f ca="1"/>
        <v/>
      </c>
      <c r="VY2" s="3" t="str">
        <f ca="1"/>
        <v/>
      </c>
      <c r="VZ2" s="3" t="str">
        <f ca="1"/>
        <v/>
      </c>
      <c r="WA2" s="3" t="str">
        <f ca="1"/>
        <v/>
      </c>
      <c r="WB2" s="3" t="str">
        <f ca="1"/>
        <v/>
      </c>
      <c r="WC2" s="3" t="str">
        <f ca="1"/>
        <v/>
      </c>
      <c r="WD2" s="3" t="str">
        <f ca="1"/>
        <v/>
      </c>
      <c r="WE2" s="3" t="str">
        <f ca="1"/>
        <v/>
      </c>
      <c r="WF2" s="3" t="str">
        <f ca="1"/>
        <v/>
      </c>
      <c r="WG2" s="3" t="str">
        <f ca="1"/>
        <v/>
      </c>
      <c r="WH2" s="3" t="str">
        <f ca="1"/>
        <v/>
      </c>
      <c r="WI2" s="3" t="str">
        <f ca="1"/>
        <v/>
      </c>
      <c r="WJ2" s="3" t="str">
        <f ca="1"/>
        <v/>
      </c>
      <c r="WK2" s="3" t="str">
        <f ca="1"/>
        <v/>
      </c>
      <c r="WL2" s="3" t="str">
        <f ca="1"/>
        <v/>
      </c>
      <c r="WM2" s="3" t="str">
        <f ca="1"/>
        <v/>
      </c>
      <c r="WN2" s="3" t="str">
        <f ca="1"/>
        <v/>
      </c>
      <c r="WO2" s="3" t="str">
        <f ca="1"/>
        <v/>
      </c>
      <c r="WP2" s="3" t="str">
        <f ca="1"/>
        <v/>
      </c>
      <c r="WQ2" s="3" t="str">
        <f ca="1"/>
        <v/>
      </c>
      <c r="WR2" s="3" t="str">
        <f ca="1"/>
        <v/>
      </c>
      <c r="WS2" s="3" t="str">
        <f ca="1"/>
        <v/>
      </c>
      <c r="WT2" s="3" t="str">
        <f ca="1"/>
        <v/>
      </c>
      <c r="WU2" s="3" t="str">
        <f ca="1"/>
        <v/>
      </c>
      <c r="WV2" s="3" t="str">
        <f ca="1"/>
        <v/>
      </c>
      <c r="WW2" s="3" t="str">
        <f ca="1"/>
        <v/>
      </c>
      <c r="WX2" s="3" t="str">
        <f ca="1"/>
        <v/>
      </c>
      <c r="WY2" s="3" t="str">
        <f ca="1"/>
        <v/>
      </c>
      <c r="WZ2" s="3" t="str">
        <f ca="1"/>
        <v/>
      </c>
      <c r="XA2" s="3" t="str">
        <f ca="1"/>
        <v/>
      </c>
      <c r="XB2" s="3" t="str">
        <f ca="1"/>
        <v/>
      </c>
      <c r="XC2" s="3" t="str">
        <f ca="1"/>
        <v/>
      </c>
      <c r="XD2" s="3" t="str">
        <f ca="1"/>
        <v/>
      </c>
      <c r="XE2" s="3" t="str">
        <f ca="1"/>
        <v/>
      </c>
      <c r="XF2" s="3" t="str">
        <f ca="1"/>
        <v/>
      </c>
      <c r="XG2" s="3" t="str">
        <f ca="1"/>
        <v/>
      </c>
      <c r="XH2" s="3" t="str">
        <f ca="1"/>
        <v/>
      </c>
      <c r="XI2" s="3" t="str">
        <f ca="1"/>
        <v/>
      </c>
      <c r="XJ2" s="3" t="str">
        <f ca="1"/>
        <v/>
      </c>
      <c r="XK2" s="3" t="str">
        <f ca="1"/>
        <v/>
      </c>
      <c r="XL2" s="3" t="str">
        <f ca="1"/>
        <v/>
      </c>
      <c r="XM2" s="3" t="str">
        <f ca="1"/>
        <v/>
      </c>
      <c r="XN2" s="3" t="str">
        <f ca="1"/>
        <v/>
      </c>
      <c r="XO2" s="3" t="str">
        <f ca="1"/>
        <v/>
      </c>
      <c r="XP2" s="3" t="str">
        <f ca="1"/>
        <v/>
      </c>
      <c r="XQ2" s="3" t="str">
        <f ca="1"/>
        <v/>
      </c>
      <c r="XR2" s="3" t="str">
        <f ca="1"/>
        <v/>
      </c>
      <c r="XS2" s="3" t="str">
        <f ca="1"/>
        <v/>
      </c>
      <c r="XT2" s="3" t="str">
        <f ca="1"/>
        <v/>
      </c>
      <c r="XU2" s="3" t="str">
        <f ca="1"/>
        <v/>
      </c>
      <c r="XV2" s="3" t="str">
        <f ca="1"/>
        <v/>
      </c>
      <c r="XW2" s="3" t="str">
        <f ca="1"/>
        <v/>
      </c>
      <c r="XX2" s="3" t="str">
        <f ca="1"/>
        <v/>
      </c>
      <c r="XY2" s="3" t="str">
        <f ca="1"/>
        <v/>
      </c>
      <c r="XZ2" s="3" t="str">
        <f ca="1"/>
        <v/>
      </c>
      <c r="YA2" s="3" t="str">
        <f ca="1"/>
        <v/>
      </c>
      <c r="YB2" s="3" t="str">
        <f ca="1"/>
        <v/>
      </c>
      <c r="YC2" s="3" t="str">
        <f ca="1"/>
        <v/>
      </c>
      <c r="YD2" s="3" t="str">
        <f ca="1"/>
        <v/>
      </c>
      <c r="YE2" s="3" t="str">
        <f ca="1"/>
        <v/>
      </c>
      <c r="YF2" s="3" t="str">
        <f ca="1"/>
        <v/>
      </c>
      <c r="YG2" s="3" t="str">
        <f ca="1"/>
        <v/>
      </c>
      <c r="YH2" s="3" t="str">
        <f ca="1"/>
        <v/>
      </c>
      <c r="YI2" s="3" t="str">
        <f ca="1"/>
        <v/>
      </c>
      <c r="YJ2" s="3" t="str">
        <f ca="1"/>
        <v/>
      </c>
      <c r="YK2" s="3" t="str">
        <f ca="1"/>
        <v/>
      </c>
      <c r="YL2" s="3" t="str">
        <f ca="1"/>
        <v/>
      </c>
      <c r="YM2" s="3" t="str">
        <f ca="1"/>
        <v/>
      </c>
      <c r="YN2" s="3" t="str">
        <f ca="1"/>
        <v/>
      </c>
      <c r="YO2" s="3" t="str">
        <f ca="1"/>
        <v/>
      </c>
      <c r="YP2" s="3" t="str">
        <f ca="1"/>
        <v/>
      </c>
      <c r="YQ2" s="3" t="str">
        <f ca="1"/>
        <v/>
      </c>
      <c r="YR2" s="3" t="str">
        <f ca="1"/>
        <v/>
      </c>
      <c r="YS2" s="3" t="str">
        <f ca="1"/>
        <v/>
      </c>
      <c r="YT2" s="3" t="str">
        <f ca="1"/>
        <v/>
      </c>
      <c r="YU2" s="3" t="str">
        <f ca="1"/>
        <v/>
      </c>
      <c r="YV2" s="3" t="str">
        <f ca="1"/>
        <v/>
      </c>
      <c r="YW2" s="3" t="str">
        <f ca="1"/>
        <v/>
      </c>
      <c r="YX2" s="3" t="str">
        <f ca="1"/>
        <v/>
      </c>
      <c r="YY2" s="3" t="str">
        <f ca="1"/>
        <v/>
      </c>
      <c r="YZ2" s="3" t="str">
        <f ca="1"/>
        <v/>
      </c>
      <c r="ZA2" s="3" t="str">
        <f ca="1"/>
        <v/>
      </c>
      <c r="ZB2" s="3" t="str">
        <f ca="1"/>
        <v/>
      </c>
      <c r="ZC2" s="3" t="str">
        <f ca="1"/>
        <v/>
      </c>
      <c r="ZD2" s="3" t="str">
        <f ca="1"/>
        <v/>
      </c>
      <c r="ZE2" s="3" t="str">
        <f ca="1"/>
        <v/>
      </c>
      <c r="ZF2" s="3" t="str">
        <f ca="1"/>
        <v/>
      </c>
      <c r="ZG2" s="3" t="str">
        <f ca="1"/>
        <v/>
      </c>
      <c r="ZH2" s="3" t="str">
        <f ca="1"/>
        <v/>
      </c>
      <c r="ZI2" s="3" t="str">
        <f ca="1"/>
        <v/>
      </c>
      <c r="ZJ2" s="3" t="str">
        <f ca="1"/>
        <v/>
      </c>
      <c r="ZK2" s="3" t="str">
        <f ca="1"/>
        <v/>
      </c>
      <c r="ZL2" s="3" t="str">
        <f ca="1"/>
        <v/>
      </c>
      <c r="ZM2" s="3" t="str">
        <f ca="1"/>
        <v/>
      </c>
      <c r="ZN2" s="3" t="str">
        <f ca="1"/>
        <v/>
      </c>
      <c r="ZO2" s="3" t="str">
        <f ca="1"/>
        <v/>
      </c>
      <c r="ZP2" s="3" t="str">
        <f ca="1"/>
        <v/>
      </c>
      <c r="ZQ2" s="3" t="str">
        <f ca="1"/>
        <v/>
      </c>
      <c r="ZR2" s="3" t="str">
        <f ca="1"/>
        <v/>
      </c>
      <c r="ZS2" s="3" t="str">
        <f ca="1"/>
        <v/>
      </c>
      <c r="ZT2" s="3" t="str">
        <f ca="1"/>
        <v/>
      </c>
      <c r="ZU2" s="3" t="str">
        <f ca="1"/>
        <v/>
      </c>
      <c r="ZV2" s="3" t="str">
        <f ca="1"/>
        <v/>
      </c>
      <c r="ZW2" s="3" t="str">
        <f ca="1"/>
        <v/>
      </c>
      <c r="ZX2" s="3" t="str">
        <f ca="1"/>
        <v/>
      </c>
      <c r="ZY2" s="3" t="str">
        <f ca="1"/>
        <v/>
      </c>
      <c r="ZZ2" s="3" t="str">
        <f ca="1"/>
        <v/>
      </c>
      <c r="AAA2" s="3" t="str">
        <f ca="1"/>
        <v/>
      </c>
      <c r="AAB2" s="3" t="str">
        <f ca="1"/>
        <v/>
      </c>
      <c r="AAC2" s="3" t="str">
        <f ca="1"/>
        <v/>
      </c>
      <c r="AAD2" s="3" t="str">
        <f ca="1"/>
        <v/>
      </c>
      <c r="AAE2" s="3" t="str">
        <f ca="1"/>
        <v/>
      </c>
      <c r="AAF2" s="3" t="str">
        <f ca="1"/>
        <v/>
      </c>
      <c r="AAG2" s="3" t="str">
        <f ca="1"/>
        <v/>
      </c>
      <c r="AAH2" s="3" t="str">
        <f ca="1"/>
        <v/>
      </c>
      <c r="AAI2" s="3" t="str">
        <f ca="1"/>
        <v/>
      </c>
      <c r="AAJ2" s="3" t="str">
        <f ca="1"/>
        <v/>
      </c>
      <c r="AAK2" s="3" t="str">
        <f ca="1"/>
        <v/>
      </c>
      <c r="AAL2" s="3" t="str">
        <f ca="1"/>
        <v/>
      </c>
      <c r="AAM2" s="3" t="str">
        <f ca="1"/>
        <v/>
      </c>
      <c r="AAN2" s="3" t="str">
        <f ca="1"/>
        <v/>
      </c>
      <c r="AAO2" s="3" t="str">
        <f ca="1"/>
        <v/>
      </c>
      <c r="AAP2" s="3" t="str">
        <f ca="1"/>
        <v/>
      </c>
      <c r="AAQ2" s="3" t="str">
        <f ca="1"/>
        <v/>
      </c>
      <c r="AAR2" s="3" t="str">
        <f ca="1"/>
        <v/>
      </c>
      <c r="AAS2" s="3" t="str">
        <f ca="1"/>
        <v/>
      </c>
      <c r="AAT2" s="3" t="str">
        <f ca="1"/>
        <v/>
      </c>
      <c r="AAU2" s="3" t="str">
        <f ca="1"/>
        <v/>
      </c>
      <c r="AAV2" s="3" t="str">
        <f ca="1"/>
        <v/>
      </c>
      <c r="AAW2" s="3" t="str">
        <f ca="1"/>
        <v/>
      </c>
      <c r="AAX2" s="3" t="str">
        <f ca="1"/>
        <v/>
      </c>
      <c r="AAY2" s="3" t="str">
        <f ca="1"/>
        <v/>
      </c>
      <c r="AAZ2" s="3" t="str">
        <f ca="1"/>
        <v/>
      </c>
      <c r="ABA2" s="3" t="str">
        <f ca="1"/>
        <v/>
      </c>
      <c r="ABB2" s="3" t="str">
        <f ca="1"/>
        <v/>
      </c>
      <c r="ABC2" s="3" t="str">
        <f ca="1"/>
        <v/>
      </c>
      <c r="ABD2" s="3" t="str">
        <f ca="1"/>
        <v/>
      </c>
      <c r="ABE2" s="3" t="str">
        <f ca="1"/>
        <v/>
      </c>
      <c r="ABF2" s="3" t="str">
        <f ca="1"/>
        <v/>
      </c>
      <c r="ABG2" s="3" t="str">
        <f ca="1"/>
        <v/>
      </c>
      <c r="ABH2" s="3" t="str">
        <f ca="1"/>
        <v/>
      </c>
      <c r="ABI2" s="3" t="str">
        <f ca="1"/>
        <v/>
      </c>
      <c r="ABJ2" s="3" t="str">
        <f ca="1"/>
        <v/>
      </c>
      <c r="ABK2" s="3" t="str">
        <f ca="1"/>
        <v/>
      </c>
      <c r="ABL2" s="3" t="str">
        <f ca="1"/>
        <v/>
      </c>
      <c r="ABM2" s="3" t="str">
        <f ca="1"/>
        <v/>
      </c>
      <c r="ABN2" s="3" t="str">
        <f ca="1"/>
        <v/>
      </c>
      <c r="ABO2" s="3" t="str">
        <f ca="1"/>
        <v/>
      </c>
      <c r="ABP2" s="3" t="str">
        <f ca="1"/>
        <v/>
      </c>
      <c r="ABQ2" s="3" t="str">
        <f ca="1"/>
        <v/>
      </c>
      <c r="ABR2" s="3" t="str">
        <f ca="1"/>
        <v/>
      </c>
      <c r="ABS2" s="3" t="str">
        <f ca="1"/>
        <v/>
      </c>
      <c r="ABT2" s="3" t="str">
        <f ca="1"/>
        <v/>
      </c>
      <c r="ABU2" s="3" t="str">
        <f ca="1"/>
        <v/>
      </c>
      <c r="ABV2" s="3" t="str">
        <f ca="1"/>
        <v/>
      </c>
      <c r="ABW2" s="3" t="str">
        <f ca="1"/>
        <v/>
      </c>
      <c r="ABX2" s="3" t="str">
        <f ca="1"/>
        <v/>
      </c>
      <c r="ABY2" s="3" t="str">
        <f ca="1"/>
        <v/>
      </c>
      <c r="ABZ2" s="3" t="str">
        <f ca="1"/>
        <v/>
      </c>
      <c r="ACA2" s="3" t="str">
        <f ca="1"/>
        <v/>
      </c>
      <c r="ACB2" s="3" t="str">
        <f ca="1"/>
        <v/>
      </c>
      <c r="ACC2" s="3" t="str">
        <f ca="1"/>
        <v/>
      </c>
      <c r="ACD2" s="3" t="str">
        <f ca="1"/>
        <v/>
      </c>
      <c r="ACE2" s="3" t="str">
        <f ca="1"/>
        <v/>
      </c>
      <c r="ACF2" s="3" t="str">
        <f ca="1"/>
        <v/>
      </c>
      <c r="ACG2" s="3" t="str">
        <f ca="1"/>
        <v/>
      </c>
      <c r="ACH2" s="3" t="str">
        <f ca="1"/>
        <v/>
      </c>
      <c r="ACI2" s="3" t="str">
        <f ca="1"/>
        <v/>
      </c>
      <c r="ACJ2" s="3" t="str">
        <f ca="1"/>
        <v/>
      </c>
      <c r="ACK2" s="3" t="str">
        <f ca="1"/>
        <v/>
      </c>
      <c r="ACL2" s="3" t="str">
        <f ca="1"/>
        <v/>
      </c>
      <c r="ACM2" s="3" t="str">
        <f ca="1"/>
        <v/>
      </c>
      <c r="ACN2" s="3" t="str">
        <f ca="1"/>
        <v/>
      </c>
      <c r="ACO2" s="3" t="str">
        <f ca="1"/>
        <v/>
      </c>
      <c r="ACP2" s="3" t="str">
        <f ca="1"/>
        <v/>
      </c>
      <c r="ACQ2" s="3" t="str">
        <f ca="1"/>
        <v/>
      </c>
      <c r="ACR2" s="3" t="str">
        <f ca="1"/>
        <v/>
      </c>
      <c r="ACS2" s="3" t="str">
        <f ca="1"/>
        <v/>
      </c>
      <c r="ACT2" s="3" t="str">
        <f ca="1"/>
        <v/>
      </c>
      <c r="ACU2" s="3" t="str">
        <f ca="1"/>
        <v/>
      </c>
      <c r="ACV2" s="3" t="str">
        <f ca="1"/>
        <v/>
      </c>
      <c r="ACW2" s="3" t="str">
        <f ca="1"/>
        <v/>
      </c>
      <c r="ACX2" s="3" t="str">
        <f ca="1"/>
        <v/>
      </c>
      <c r="ACY2" s="3" t="str">
        <f ca="1"/>
        <v/>
      </c>
      <c r="ACZ2" s="3" t="str">
        <f ca="1"/>
        <v/>
      </c>
      <c r="ADA2" s="3" t="str">
        <f ca="1"/>
        <v/>
      </c>
      <c r="ADB2" s="3" t="str">
        <f ca="1"/>
        <v/>
      </c>
      <c r="ADC2" s="3" t="str">
        <f ca="1"/>
        <v/>
      </c>
      <c r="ADD2" s="3" t="str">
        <f ca="1"/>
        <v/>
      </c>
      <c r="ADE2" s="3" t="str">
        <f ca="1"/>
        <v/>
      </c>
      <c r="ADF2" s="3" t="str">
        <f ca="1"/>
        <v/>
      </c>
      <c r="ADG2" s="3" t="str">
        <f ca="1"/>
        <v/>
      </c>
      <c r="ADH2" s="3" t="str">
        <f ca="1"/>
        <v/>
      </c>
      <c r="ADI2" s="3" t="str">
        <f ca="1"/>
        <v/>
      </c>
      <c r="ADJ2" s="3" t="str">
        <f ca="1"/>
        <v/>
      </c>
      <c r="ADK2" s="3" t="str">
        <f ca="1"/>
        <v/>
      </c>
      <c r="ADL2" s="3" t="str">
        <f ca="1"/>
        <v/>
      </c>
      <c r="ADM2" s="3" t="str">
        <f ca="1"/>
        <v/>
      </c>
      <c r="ADN2" s="3" t="str">
        <f ca="1"/>
        <v/>
      </c>
      <c r="ADO2" s="3" t="str">
        <f ca="1"/>
        <v/>
      </c>
      <c r="ADP2" s="3" t="str">
        <f ca="1"/>
        <v/>
      </c>
      <c r="ADQ2" s="3" t="str">
        <f ca="1"/>
        <v/>
      </c>
      <c r="ADR2" s="3" t="str">
        <f ca="1"/>
        <v/>
      </c>
      <c r="ADS2" s="3" t="str">
        <f ca="1"/>
        <v/>
      </c>
      <c r="ADT2" s="3" t="str">
        <f ca="1"/>
        <v/>
      </c>
      <c r="ADU2" s="3" t="str">
        <f ca="1"/>
        <v/>
      </c>
      <c r="ADV2" s="3" t="str">
        <f ca="1"/>
        <v/>
      </c>
      <c r="ADW2" s="3" t="str">
        <f ca="1"/>
        <v/>
      </c>
      <c r="ADX2" s="3" t="str">
        <f ca="1"/>
        <v/>
      </c>
      <c r="ADY2" s="3" t="str">
        <f ca="1"/>
        <v/>
      </c>
      <c r="ADZ2" s="3" t="str">
        <f ca="1"/>
        <v/>
      </c>
      <c r="AEA2" s="3" t="str">
        <f ca="1"/>
        <v/>
      </c>
      <c r="AEB2" s="3" t="str">
        <f ca="1"/>
        <v/>
      </c>
      <c r="AEC2" s="3" t="str">
        <f ca="1"/>
        <v/>
      </c>
      <c r="AED2" s="3" t="str">
        <f ca="1"/>
        <v/>
      </c>
      <c r="AEE2" s="3" t="str">
        <f ca="1"/>
        <v/>
      </c>
      <c r="AEF2" s="3" t="str">
        <f ca="1"/>
        <v/>
      </c>
      <c r="AEG2" s="3" t="str">
        <f ca="1"/>
        <v/>
      </c>
      <c r="AEH2" s="3" t="str">
        <f ca="1"/>
        <v/>
      </c>
      <c r="AEI2" s="3" t="str">
        <f ca="1"/>
        <v/>
      </c>
      <c r="AEJ2" s="3" t="str">
        <f ca="1"/>
        <v/>
      </c>
      <c r="AEK2" s="3" t="str">
        <f ca="1"/>
        <v/>
      </c>
      <c r="AEL2" s="3" t="str">
        <f ca="1"/>
        <v/>
      </c>
      <c r="AEM2" s="3" t="str">
        <f ca="1"/>
        <v/>
      </c>
      <c r="AEN2" s="3" t="str">
        <f ca="1"/>
        <v/>
      </c>
      <c r="AEO2" s="3" t="str">
        <f ca="1"/>
        <v/>
      </c>
      <c r="AEP2" s="3" t="str">
        <f ca="1"/>
        <v/>
      </c>
      <c r="AEQ2" s="3" t="str">
        <f ca="1"/>
        <v/>
      </c>
      <c r="AER2" s="3" t="str">
        <f ca="1"/>
        <v/>
      </c>
      <c r="AES2" s="3" t="str">
        <f ca="1"/>
        <v/>
      </c>
      <c r="AET2" s="3" t="str">
        <f ca="1"/>
        <v/>
      </c>
      <c r="AEU2" s="3" t="str">
        <f ca="1"/>
        <v/>
      </c>
      <c r="AEV2" s="3" t="str">
        <f ca="1"/>
        <v/>
      </c>
      <c r="AEW2" s="3" t="str">
        <f ca="1"/>
        <v/>
      </c>
      <c r="AEX2" s="3" t="str">
        <f ca="1"/>
        <v/>
      </c>
      <c r="AEY2" s="3" t="str">
        <f ca="1"/>
        <v/>
      </c>
      <c r="AEZ2" s="3" t="str">
        <f ca="1"/>
        <v/>
      </c>
      <c r="AFA2" s="3" t="str">
        <f ca="1"/>
        <v/>
      </c>
      <c r="AFB2" s="3" t="str">
        <f ca="1"/>
        <v/>
      </c>
      <c r="AFC2" s="3" t="str">
        <f ca="1"/>
        <v/>
      </c>
      <c r="AFD2" s="3" t="str">
        <f ca="1"/>
        <v/>
      </c>
      <c r="AFE2" s="3" t="str">
        <f ca="1"/>
        <v/>
      </c>
      <c r="AFF2" s="3" t="str">
        <f ca="1"/>
        <v/>
      </c>
      <c r="AFG2" s="3" t="str">
        <f ca="1"/>
        <v/>
      </c>
      <c r="AFH2" s="3" t="str">
        <f ca="1"/>
        <v/>
      </c>
      <c r="AFI2" s="3" t="str">
        <f ca="1"/>
        <v/>
      </c>
      <c r="AFJ2" s="3" t="str">
        <f ca="1"/>
        <v/>
      </c>
      <c r="AFK2" s="3" t="str">
        <f ca="1"/>
        <v/>
      </c>
      <c r="AFL2" s="3" t="str">
        <f ca="1"/>
        <v/>
      </c>
      <c r="AFM2" s="3" t="str">
        <f ca="1"/>
        <v/>
      </c>
      <c r="AFN2" s="3" t="str">
        <f ca="1"/>
        <v/>
      </c>
      <c r="AFO2" s="3" t="str">
        <f ca="1"/>
        <v/>
      </c>
      <c r="AFP2" s="3" t="str">
        <f ca="1"/>
        <v/>
      </c>
      <c r="AFQ2" s="3" t="str">
        <f ca="1"/>
        <v/>
      </c>
      <c r="AFR2" s="3" t="str">
        <f ca="1"/>
        <v/>
      </c>
      <c r="AFS2" s="3" t="str">
        <f ca="1"/>
        <v/>
      </c>
      <c r="AFT2" s="3" t="str">
        <f ca="1"/>
        <v/>
      </c>
      <c r="AFU2" s="3" t="str">
        <f ca="1"/>
        <v/>
      </c>
      <c r="AFV2" s="3" t="str">
        <f ca="1"/>
        <v/>
      </c>
      <c r="AFW2" s="3" t="str">
        <f ca="1"/>
        <v/>
      </c>
      <c r="AFX2" s="3" t="str">
        <f ca="1"/>
        <v/>
      </c>
      <c r="AFY2" s="3" t="str">
        <f ca="1"/>
        <v/>
      </c>
      <c r="AFZ2" s="3" t="str">
        <f ca="1"/>
        <v/>
      </c>
      <c r="AGA2" s="3" t="str">
        <f ca="1"/>
        <v/>
      </c>
      <c r="AGB2" s="3" t="str">
        <f ca="1"/>
        <v/>
      </c>
      <c r="AGC2" s="3" t="str">
        <f ca="1"/>
        <v/>
      </c>
      <c r="AGD2" s="3" t="str">
        <f ca="1"/>
        <v/>
      </c>
      <c r="AGE2" s="3" t="str">
        <f ca="1"/>
        <v/>
      </c>
      <c r="AGF2" s="3" t="str">
        <f ca="1"/>
        <v/>
      </c>
      <c r="AGG2" s="3" t="str">
        <f ca="1"/>
        <v/>
      </c>
      <c r="AGH2" s="3" t="str">
        <f ca="1"/>
        <v/>
      </c>
      <c r="AGI2" s="3" t="str">
        <f ca="1"/>
        <v/>
      </c>
      <c r="AGJ2" s="3" t="str">
        <f ca="1"/>
        <v/>
      </c>
      <c r="AGK2" s="3" t="str">
        <f ca="1"/>
        <v/>
      </c>
      <c r="AGL2" s="3" t="str">
        <f ca="1"/>
        <v/>
      </c>
      <c r="AGM2" s="3" t="str">
        <f ca="1"/>
        <v/>
      </c>
      <c r="AGN2" s="3" t="str">
        <f ca="1"/>
        <v/>
      </c>
      <c r="AGO2" s="3" t="str">
        <f ca="1"/>
        <v/>
      </c>
      <c r="AGP2" s="3" t="str">
        <f ca="1"/>
        <v/>
      </c>
      <c r="AGQ2" s="3" t="str">
        <f ca="1"/>
        <v/>
      </c>
      <c r="AGR2" s="3" t="str">
        <f ca="1"/>
        <v/>
      </c>
      <c r="AGS2" s="3" t="str">
        <f ca="1"/>
        <v/>
      </c>
      <c r="AGT2" s="3" t="str">
        <f ca="1"/>
        <v/>
      </c>
      <c r="AGU2" s="3" t="str">
        <f ca="1"/>
        <v/>
      </c>
      <c r="AGV2" s="3" t="str">
        <f ca="1"/>
        <v/>
      </c>
      <c r="AGW2" s="3" t="str">
        <f ca="1"/>
        <v/>
      </c>
      <c r="AGX2" s="3" t="str">
        <f ca="1"/>
        <v/>
      </c>
      <c r="AGY2" s="3" t="str">
        <f ca="1"/>
        <v/>
      </c>
      <c r="AGZ2" s="3" t="str">
        <f ca="1"/>
        <v/>
      </c>
      <c r="AHA2" s="3" t="str">
        <f ca="1"/>
        <v/>
      </c>
      <c r="AHB2" s="3" t="str">
        <f ca="1"/>
        <v/>
      </c>
      <c r="AHC2" s="3" t="str">
        <f ca="1"/>
        <v/>
      </c>
      <c r="AHD2" s="3" t="str">
        <f ca="1"/>
        <v/>
      </c>
      <c r="AHE2" s="3" t="str">
        <f ca="1"/>
        <v/>
      </c>
      <c r="AHF2" s="3" t="str">
        <f ca="1"/>
        <v/>
      </c>
      <c r="AHG2" s="3" t="str">
        <f ca="1"/>
        <v/>
      </c>
      <c r="AHH2" s="3" t="str">
        <f ca="1"/>
        <v/>
      </c>
      <c r="AHI2" s="3" t="str">
        <f ca="1"/>
        <v/>
      </c>
      <c r="AHJ2" s="3" t="str">
        <f ca="1"/>
        <v/>
      </c>
      <c r="AHK2" s="3" t="str">
        <f ca="1"/>
        <v/>
      </c>
      <c r="AHL2" s="3" t="str">
        <f ca="1"/>
        <v/>
      </c>
      <c r="AHM2" s="3" t="str">
        <f ca="1"/>
        <v/>
      </c>
      <c r="AHN2" s="3" t="str">
        <f ca="1"/>
        <v/>
      </c>
      <c r="AHO2" s="3" t="str">
        <f ca="1"/>
        <v/>
      </c>
      <c r="AHP2" s="3" t="str">
        <f ca="1"/>
        <v/>
      </c>
      <c r="AHQ2" s="3" t="str">
        <f ca="1"/>
        <v/>
      </c>
      <c r="AHR2" s="3" t="str">
        <f ca="1"/>
        <v/>
      </c>
      <c r="AHS2" s="3" t="str">
        <f ca="1"/>
        <v/>
      </c>
      <c r="AHT2" s="3" t="str">
        <f ca="1"/>
        <v/>
      </c>
      <c r="AHU2" s="3" t="str">
        <f ca="1"/>
        <v/>
      </c>
      <c r="AHV2" s="3" t="str">
        <f ca="1"/>
        <v/>
      </c>
      <c r="AHW2" s="3" t="str">
        <f ca="1"/>
        <v/>
      </c>
      <c r="AHX2" s="3" t="str">
        <f ca="1"/>
        <v/>
      </c>
      <c r="AHY2" s="3" t="str">
        <f ca="1"/>
        <v/>
      </c>
      <c r="AHZ2" s="3" t="str">
        <f ca="1"/>
        <v/>
      </c>
      <c r="AIA2" s="3" t="str">
        <f ca="1"/>
        <v/>
      </c>
      <c r="AIB2" s="3" t="str">
        <f ca="1"/>
        <v/>
      </c>
      <c r="AIC2" s="3" t="str">
        <f ca="1"/>
        <v/>
      </c>
      <c r="AID2" s="3" t="str">
        <f ca="1"/>
        <v/>
      </c>
      <c r="AIE2" s="3" t="str">
        <f ca="1"/>
        <v/>
      </c>
      <c r="AIF2" s="3" t="str">
        <f ca="1"/>
        <v/>
      </c>
      <c r="AIG2" s="3" t="str">
        <f ca="1"/>
        <v/>
      </c>
      <c r="AIH2" s="3" t="str">
        <f ca="1"/>
        <v/>
      </c>
      <c r="AII2" s="3" t="str">
        <f ca="1"/>
        <v/>
      </c>
      <c r="AIJ2" s="3" t="str">
        <f ca="1"/>
        <v/>
      </c>
      <c r="AIK2" s="3" t="str">
        <f ca="1"/>
        <v/>
      </c>
      <c r="AIL2" s="3" t="str">
        <f ca="1"/>
        <v/>
      </c>
      <c r="AIM2" s="3" t="str">
        <f ca="1"/>
        <v/>
      </c>
      <c r="AIN2" s="3" t="str">
        <f ca="1"/>
        <v/>
      </c>
      <c r="AIO2" s="3" t="str">
        <f ca="1"/>
        <v/>
      </c>
      <c r="AIP2" s="3" t="str">
        <f ca="1"/>
        <v/>
      </c>
      <c r="AIQ2" s="3" t="str">
        <f ca="1"/>
        <v/>
      </c>
      <c r="AIR2" s="3" t="str">
        <f ca="1"/>
        <v/>
      </c>
      <c r="AIS2" s="3" t="str">
        <f ca="1"/>
        <v/>
      </c>
      <c r="AIT2" s="3" t="str">
        <f ca="1"/>
        <v/>
      </c>
      <c r="AIU2" s="3" t="str">
        <f ca="1"/>
        <v/>
      </c>
      <c r="AIV2" s="3" t="str">
        <f ca="1"/>
        <v/>
      </c>
      <c r="AIW2" s="3" t="str">
        <f ca="1"/>
        <v/>
      </c>
      <c r="AIX2" s="3" t="str">
        <f ca="1"/>
        <v/>
      </c>
      <c r="AIY2" s="3" t="str">
        <f ca="1"/>
        <v/>
      </c>
      <c r="AIZ2" s="3" t="str">
        <f ca="1"/>
        <v/>
      </c>
      <c r="AJA2" s="3" t="str">
        <f ca="1"/>
        <v/>
      </c>
      <c r="AJB2" s="3" t="str">
        <f ca="1"/>
        <v/>
      </c>
      <c r="AJC2" s="3" t="str">
        <f ca="1"/>
        <v/>
      </c>
      <c r="AJD2" s="3" t="str">
        <f ca="1"/>
        <v/>
      </c>
      <c r="AJE2" s="3" t="str">
        <f ca="1"/>
        <v/>
      </c>
      <c r="AJF2" s="3" t="str">
        <f ca="1"/>
        <v/>
      </c>
      <c r="AJG2" s="3" t="str">
        <f ca="1"/>
        <v/>
      </c>
      <c r="AJH2" s="3" t="str">
        <f ca="1"/>
        <v/>
      </c>
      <c r="AJI2" s="3" t="str">
        <f ca="1"/>
        <v/>
      </c>
      <c r="AJJ2" s="3" t="str">
        <f ca="1"/>
        <v/>
      </c>
      <c r="AJK2" s="3" t="str">
        <f ca="1"/>
        <v/>
      </c>
      <c r="AJL2" s="3" t="str">
        <f ca="1"/>
        <v/>
      </c>
      <c r="AJM2" s="3" t="str">
        <f ca="1"/>
        <v/>
      </c>
      <c r="AJN2" s="3" t="str">
        <f ca="1"/>
        <v/>
      </c>
      <c r="AJO2" s="3" t="str">
        <f ca="1"/>
        <v/>
      </c>
      <c r="AJP2" s="3" t="str">
        <f ca="1"/>
        <v/>
      </c>
      <c r="AJQ2" s="3" t="str">
        <f ca="1"/>
        <v/>
      </c>
      <c r="AJR2" s="3" t="str">
        <f ca="1"/>
        <v/>
      </c>
      <c r="AJS2" s="3" t="str">
        <f ca="1"/>
        <v/>
      </c>
      <c r="AJT2" s="3" t="str">
        <f ca="1"/>
        <v/>
      </c>
      <c r="AJU2" s="3" t="str">
        <f ca="1"/>
        <v/>
      </c>
      <c r="AJV2" s="3" t="str">
        <f ca="1"/>
        <v/>
      </c>
      <c r="AJW2" s="3" t="str">
        <f ca="1"/>
        <v/>
      </c>
      <c r="AJX2" s="3" t="str">
        <f ca="1"/>
        <v/>
      </c>
      <c r="AJY2" s="3" t="str">
        <f ca="1"/>
        <v/>
      </c>
      <c r="AJZ2" s="3" t="str">
        <f ca="1"/>
        <v/>
      </c>
      <c r="AKA2" s="3" t="str">
        <f ca="1"/>
        <v/>
      </c>
      <c r="AKB2" s="3" t="str">
        <f ca="1"/>
        <v/>
      </c>
      <c r="AKC2" s="3" t="str">
        <f ca="1"/>
        <v/>
      </c>
      <c r="AKD2" s="3" t="str">
        <f ca="1"/>
        <v/>
      </c>
      <c r="AKE2" s="3" t="str">
        <f ca="1"/>
        <v/>
      </c>
      <c r="AKF2" s="3" t="str">
        <f ca="1"/>
        <v/>
      </c>
      <c r="AKG2" s="3" t="str">
        <f ca="1"/>
        <v/>
      </c>
      <c r="AKH2" s="3" t="str">
        <f ca="1"/>
        <v/>
      </c>
      <c r="AKI2" s="3" t="str">
        <f ca="1"/>
        <v/>
      </c>
      <c r="AKJ2" s="3" t="str">
        <f ca="1"/>
        <v/>
      </c>
      <c r="AKK2" s="3" t="str">
        <f ca="1"/>
        <v/>
      </c>
      <c r="AKL2" s="3" t="str">
        <f ca="1"/>
        <v/>
      </c>
      <c r="AKM2" s="3" t="str">
        <f ca="1"/>
        <v/>
      </c>
      <c r="AKN2" s="3" t="str">
        <f ca="1"/>
        <v/>
      </c>
      <c r="AKO2" s="3" t="str">
        <f ca="1"/>
        <v/>
      </c>
      <c r="AKP2" s="3" t="str">
        <f ca="1"/>
        <v/>
      </c>
      <c r="AKQ2" s="3" t="str">
        <f ca="1"/>
        <v/>
      </c>
      <c r="AKR2" s="3" t="str">
        <f ca="1"/>
        <v/>
      </c>
      <c r="AKS2" s="3" t="str">
        <f ca="1"/>
        <v/>
      </c>
      <c r="AKT2" s="3" t="str">
        <f ca="1"/>
        <v/>
      </c>
      <c r="AKU2" s="3" t="str">
        <f ca="1"/>
        <v/>
      </c>
      <c r="AKV2" s="3" t="str">
        <f ca="1"/>
        <v/>
      </c>
      <c r="AKW2" s="3" t="str">
        <f ca="1"/>
        <v/>
      </c>
      <c r="AKX2" s="3" t="str">
        <f ca="1"/>
        <v/>
      </c>
      <c r="AKY2" s="3" t="str">
        <f ca="1"/>
        <v/>
      </c>
      <c r="AKZ2" s="3" t="str">
        <f ca="1"/>
        <v/>
      </c>
      <c r="ALA2" s="3" t="str">
        <f ca="1"/>
        <v/>
      </c>
      <c r="ALB2" s="3" t="str">
        <f ca="1"/>
        <v/>
      </c>
      <c r="ALC2" s="3" t="str">
        <f ca="1"/>
        <v/>
      </c>
      <c r="ALD2" s="3" t="str">
        <f ca="1"/>
        <v/>
      </c>
      <c r="ALE2" s="3" t="str">
        <f ca="1"/>
        <v/>
      </c>
      <c r="ALF2" s="3" t="str">
        <f ca="1"/>
        <v/>
      </c>
      <c r="ALG2" s="3" t="str">
        <f ca="1"/>
        <v/>
      </c>
      <c r="ALH2" s="3" t="str">
        <f ca="1"/>
        <v/>
      </c>
      <c r="ALI2" s="3" t="str">
        <f ca="1"/>
        <v/>
      </c>
      <c r="ALJ2" s="3" t="str">
        <f ca="1"/>
        <v/>
      </c>
      <c r="ALK2" s="3" t="str">
        <f ca="1"/>
        <v/>
      </c>
      <c r="ALL2" s="3" t="str">
        <f ca="1"/>
        <v/>
      </c>
    </row>
    <row r="4" spans="1:1000" ht="14.4" customHeight="1" x14ac:dyDescent="0.3">
      <c r="A4" s="82" t="s">
        <v>1310</v>
      </c>
      <c r="C4" s="65" t="s">
        <v>1195</v>
      </c>
      <c r="D4" s="3" t="str" cm="1">
        <f t="array" aca="1" ref="D4:AG4" ca="1">IF(
    errorNoDataSheet,
    NA(),
    INDEX(dataFirstRow, 1, 1)
    :INDEX(dataFirstRow, 1, dataLastColNum)
  )</f>
        <v>ID</v>
      </c>
      <c r="E4" s="3" t="str">
        <f ca="1"/>
        <v>B_b2</v>
      </c>
      <c r="F4" s="3" t="str">
        <f ca="1"/>
        <v>B_b3</v>
      </c>
      <c r="G4" s="3" t="str">
        <f ca="1"/>
        <v>B_b4</v>
      </c>
      <c r="H4" s="3" t="str">
        <f ca="1"/>
        <v>B_b5</v>
      </c>
      <c r="I4" s="3" t="str">
        <f ca="1"/>
        <v>behaviour1</v>
      </c>
      <c r="J4" s="3" t="str">
        <f ca="1"/>
        <v>B_b6</v>
      </c>
      <c r="K4" s="3" t="str">
        <f ca="1"/>
        <v>behaviour2</v>
      </c>
      <c r="L4" s="3" t="str">
        <f ca="1"/>
        <v>B_b7</v>
      </c>
      <c r="M4" s="3" t="str">
        <f ca="1"/>
        <v>behaviour3</v>
      </c>
      <c r="N4" s="3" t="str">
        <f ca="1"/>
        <v>B_b8</v>
      </c>
      <c r="O4" s="3" t="str">
        <f ca="1"/>
        <v>behaviour4</v>
      </c>
      <c r="P4" s="3" t="str">
        <f ca="1"/>
        <v>action_control</v>
      </c>
      <c r="Q4" s="3" t="str">
        <f ca="1"/>
        <v>action_knowledge</v>
      </c>
      <c r="R4" s="3" t="str">
        <f ca="1"/>
        <v>action_planning</v>
      </c>
      <c r="S4" s="3" t="str">
        <f ca="1"/>
        <v>barrier1</v>
      </c>
      <c r="T4" s="3" t="str">
        <f ca="1"/>
        <v>barrier2</v>
      </c>
      <c r="U4" s="3" t="str">
        <f ca="1"/>
        <v>benefits</v>
      </c>
      <c r="V4" s="3" t="str">
        <f ca="1"/>
        <v>conf_continuation</v>
      </c>
      <c r="W4" s="3" t="str">
        <f ca="1"/>
        <v>conf_performance</v>
      </c>
      <c r="X4" s="3" t="str">
        <f ca="1"/>
        <v>costs</v>
      </c>
      <c r="Y4" s="3" t="str">
        <f ca="1"/>
        <v>feelings</v>
      </c>
      <c r="Z4" s="3" t="str">
        <f ca="1"/>
        <v>health_knowledge</v>
      </c>
      <c r="AA4" s="3" t="str">
        <f ca="1"/>
        <v>others_approval</v>
      </c>
      <c r="AB4" s="3" t="str">
        <f ca="1"/>
        <v>others_behaviour</v>
      </c>
      <c r="AC4" s="3" t="str">
        <f ca="1"/>
        <v>personal_importance</v>
      </c>
      <c r="AD4" s="3" t="str">
        <f ca="1"/>
        <v>remembering</v>
      </c>
      <c r="AE4" s="3" t="str">
        <f ca="1"/>
        <v>severity</v>
      </c>
      <c r="AF4" s="3" t="str">
        <f ca="1"/>
        <v>vulnerability</v>
      </c>
      <c r="AG4" s="3" t="str">
        <f ca="1"/>
        <v>meta-instanceID</v>
      </c>
    </row>
    <row r="5" spans="1:1000" ht="14.4" customHeight="1" x14ac:dyDescent="0.3">
      <c r="A5" s="11" t="str" cm="1">
        <f t="array" aca="1" ref="A5:A1003" ca="1">IF(
    ISNA(dataRefColNum),
    NA(),
    INDIRECT(
      ADDRESS(2, dataRefColNum, 1, 0, sheetNameData)
      &amp; ":"
      &amp; ADDRESS(maxRowNum, dataRefColNum, 1, 0),
      FALSE
    ) &amp; ""
  )</f>
        <v>53558b02-987f-4bdf-834d-dd26bf9ed537</v>
      </c>
      <c r="C5" s="65" t="s">
        <v>1064</v>
      </c>
      <c r="D5" s="3" cm="1">
        <f t="array" aca="1" ref="D5:AG262" ca="1">IF(
    OR(ISNA(numEntries), numEntries = 0),
    NA(),
    KeepBlanksFunction(
      INDIRECT(
        ADDRESS(2, 1, 1, 0, sheetNameData)
        &amp; ":"
        &amp; ADDRESS(numEntries + 1, dataLastColNum, 1, 0),
        FALSE
      )
    )
  )</f>
        <v>1</v>
      </c>
      <c r="E5" s="3">
        <f ca="1"/>
        <v>1</v>
      </c>
      <c r="F5" s="3">
        <f ca="1"/>
        <v>1</v>
      </c>
      <c r="G5" s="3">
        <f ca="1"/>
        <v>1</v>
      </c>
      <c r="H5" s="3">
        <f ca="1"/>
        <v>1</v>
      </c>
      <c r="I5" s="3">
        <f ca="1"/>
        <v>5</v>
      </c>
      <c r="J5" s="3" t="str">
        <f ca="1"/>
        <v>1 2 4 6 7 8 99</v>
      </c>
      <c r="K5" s="3">
        <f ca="1"/>
        <v>20</v>
      </c>
      <c r="L5" s="3" t="str">
        <f ca="1"/>
        <v>2 3 5 8</v>
      </c>
      <c r="M5" s="3">
        <f ca="1"/>
        <v>2</v>
      </c>
      <c r="N5" s="3" t="str">
        <f ca="1"/>
        <v>2 3 5 8</v>
      </c>
      <c r="O5" s="3">
        <f ca="1"/>
        <v>3</v>
      </c>
      <c r="P5" s="3">
        <f ca="1"/>
        <v>4</v>
      </c>
      <c r="Q5" s="3">
        <f ca="1"/>
        <v>0.42207792207792211</v>
      </c>
      <c r="R5" s="3">
        <f ca="1"/>
        <v>1</v>
      </c>
      <c r="S5" s="3">
        <f ca="1"/>
        <v>1</v>
      </c>
      <c r="T5" s="3">
        <f ca="1"/>
        <v>1</v>
      </c>
      <c r="U5" s="3">
        <f ca="1"/>
        <v>4</v>
      </c>
      <c r="V5" s="3">
        <f ca="1"/>
        <v>4</v>
      </c>
      <c r="W5" s="3">
        <f ca="1"/>
        <v>4</v>
      </c>
      <c r="X5" s="3">
        <f ca="1"/>
        <v>1.5</v>
      </c>
      <c r="Y5" s="3">
        <f ca="1"/>
        <v>2</v>
      </c>
      <c r="Z5" s="3">
        <f ca="1"/>
        <v>0.35227272727272729</v>
      </c>
      <c r="AA5" s="3">
        <f ca="1"/>
        <v>0.6875</v>
      </c>
      <c r="AB5" s="3">
        <f ca="1"/>
        <v>4</v>
      </c>
      <c r="AC5" s="3">
        <f ca="1"/>
        <v>4</v>
      </c>
      <c r="AD5" s="3">
        <f ca="1"/>
        <v>1</v>
      </c>
      <c r="AE5" s="3">
        <f ca="1"/>
        <v>4</v>
      </c>
      <c r="AF5" s="3">
        <f ca="1"/>
        <v>3</v>
      </c>
      <c r="AG5" s="3" t="str">
        <f ca="1"/>
        <v>53558b02-987f-4bdf-834d-dd26bf9ed537</v>
      </c>
    </row>
    <row r="6" spans="1:1000" ht="14.4" customHeight="1" x14ac:dyDescent="0.3">
      <c r="A6" s="11" t="str">
        <f ca="1"/>
        <v>5ef1f3d2-1725-4443-ab10-cb698d49fca3</v>
      </c>
      <c r="C6" s="172" t="s">
        <v>1321</v>
      </c>
      <c r="D6" s="3">
        <f ca="1"/>
        <v>2</v>
      </c>
      <c r="E6" s="3">
        <f ca="1"/>
        <v>1</v>
      </c>
      <c r="F6" s="3">
        <f ca="1"/>
        <v>1</v>
      </c>
      <c r="G6" s="3">
        <f ca="1"/>
        <v>1</v>
      </c>
      <c r="H6" s="3">
        <f ca="1"/>
        <v>1</v>
      </c>
      <c r="I6" s="3">
        <f ca="1"/>
        <v>5</v>
      </c>
      <c r="J6" s="3" t="str">
        <f ca="1"/>
        <v>1 2 3 4 5 6 7</v>
      </c>
      <c r="K6" s="3">
        <f ca="1"/>
        <v>20</v>
      </c>
      <c r="L6" s="3" t="str">
        <f ca="1"/>
        <v>8 1 3 4 5</v>
      </c>
      <c r="M6" s="3">
        <f ca="1"/>
        <v>2</v>
      </c>
      <c r="N6" s="3">
        <f ca="1"/>
        <v>8</v>
      </c>
      <c r="O6" s="3">
        <f ca="1"/>
        <v>1</v>
      </c>
      <c r="P6" s="3">
        <f ca="1"/>
        <v>5</v>
      </c>
      <c r="Q6" s="3">
        <f ca="1"/>
        <v>0.57792207792207795</v>
      </c>
      <c r="R6" s="3">
        <f ca="1"/>
        <v>1</v>
      </c>
      <c r="S6" s="3">
        <f ca="1"/>
        <v>2</v>
      </c>
      <c r="T6" s="3">
        <f ca="1"/>
        <v>2</v>
      </c>
      <c r="U6" s="3">
        <f ca="1"/>
        <v>3</v>
      </c>
      <c r="V6" s="3">
        <f ca="1"/>
        <v>4.5</v>
      </c>
      <c r="W6" s="3">
        <f ca="1"/>
        <v>5</v>
      </c>
      <c r="X6" s="3">
        <f ca="1"/>
        <v>1</v>
      </c>
      <c r="Y6" s="3">
        <f ca="1"/>
        <v>2.5</v>
      </c>
      <c r="Z6" s="3">
        <f ca="1"/>
        <v>0.44318181818181818</v>
      </c>
      <c r="AA6" s="3">
        <f ca="1"/>
        <v>0.5</v>
      </c>
      <c r="AB6" s="3">
        <f ca="1"/>
        <v>5</v>
      </c>
      <c r="AC6" s="3">
        <f ca="1"/>
        <v>5</v>
      </c>
      <c r="AD6" s="3">
        <f ca="1"/>
        <v>2</v>
      </c>
      <c r="AE6" s="3">
        <f ca="1"/>
        <v>3</v>
      </c>
      <c r="AF6" s="3">
        <f ca="1"/>
        <v>2</v>
      </c>
      <c r="AG6" s="3" t="str">
        <f ca="1"/>
        <v>5ef1f3d2-1725-4443-ab10-cb698d49fca3</v>
      </c>
    </row>
    <row r="7" spans="1:1000" ht="14.4" customHeight="1" x14ac:dyDescent="0.3">
      <c r="A7" s="11" t="str">
        <f ca="1"/>
        <v>afe3b3ea-2a9c-4219-971d-a07fa86ebcd9</v>
      </c>
      <c r="D7" s="3">
        <f ca="1"/>
        <v>3</v>
      </c>
      <c r="E7" s="3">
        <f ca="1"/>
        <v>1</v>
      </c>
      <c r="F7" s="3">
        <f ca="1"/>
        <v>1</v>
      </c>
      <c r="G7" s="3">
        <f ca="1"/>
        <v>1</v>
      </c>
      <c r="H7" s="3">
        <f ca="1"/>
        <v>1</v>
      </c>
      <c r="I7" s="3">
        <f ca="1"/>
        <v>5</v>
      </c>
      <c r="J7" s="3" t="str">
        <f ca="1"/>
        <v>8 7 9 6 1 2 4</v>
      </c>
      <c r="K7" s="3">
        <f ca="1"/>
        <v>20</v>
      </c>
      <c r="L7" s="3" t="str">
        <f ca="1"/>
        <v>2 1 3 5 8 4</v>
      </c>
      <c r="M7" s="3">
        <f ca="1"/>
        <v>3</v>
      </c>
      <c r="N7" s="3" t="str">
        <f ca="1"/>
        <v>1 2 3 4 5 8</v>
      </c>
      <c r="O7" s="3">
        <f ca="1"/>
        <v>4</v>
      </c>
      <c r="P7" s="3">
        <f ca="1"/>
        <v>5</v>
      </c>
      <c r="Q7" s="3">
        <f ca="1"/>
        <v>0.50649350649350644</v>
      </c>
      <c r="R7" s="3">
        <f ca="1"/>
        <v>1</v>
      </c>
      <c r="S7" s="3">
        <f ca="1"/>
        <v>1</v>
      </c>
      <c r="T7" s="3">
        <f ca="1"/>
        <v>1</v>
      </c>
      <c r="U7" s="3">
        <f ca="1"/>
        <v>5</v>
      </c>
      <c r="V7" s="3">
        <f ca="1"/>
        <v>4</v>
      </c>
      <c r="W7" s="3">
        <f ca="1"/>
        <v>4</v>
      </c>
      <c r="X7" s="3">
        <f ca="1"/>
        <v>1</v>
      </c>
      <c r="Y7" s="3">
        <f ca="1"/>
        <v>3</v>
      </c>
      <c r="Z7" s="3">
        <f ca="1"/>
        <v>0.57196969696969702</v>
      </c>
      <c r="AA7" s="3">
        <f ca="1"/>
        <v>0.6875</v>
      </c>
      <c r="AB7" s="3">
        <f ca="1"/>
        <v>4</v>
      </c>
      <c r="AC7" s="3">
        <f ca="1"/>
        <v>5</v>
      </c>
      <c r="AD7" s="3">
        <f ca="1"/>
        <v>1</v>
      </c>
      <c r="AE7" s="3">
        <f ca="1"/>
        <v>5</v>
      </c>
      <c r="AF7" s="3">
        <f ca="1"/>
        <v>5</v>
      </c>
      <c r="AG7" s="3" t="str">
        <f ca="1"/>
        <v>afe3b3ea-2a9c-4219-971d-a07fa86ebcd9</v>
      </c>
    </row>
    <row r="8" spans="1:1000" ht="14.4" customHeight="1" x14ac:dyDescent="0.3">
      <c r="A8" s="11" t="str">
        <f ca="1"/>
        <v>0561a802-1845-4ea8-ad67-23f2116904d4</v>
      </c>
      <c r="D8" s="3">
        <f ca="1"/>
        <v>4</v>
      </c>
      <c r="E8" s="3">
        <f ca="1"/>
        <v>1</v>
      </c>
      <c r="F8" s="3">
        <f ca="1"/>
        <v>1</v>
      </c>
      <c r="G8" s="3">
        <f ca="1"/>
        <v>1</v>
      </c>
      <c r="H8" s="3">
        <f ca="1"/>
        <v>1</v>
      </c>
      <c r="I8" s="3">
        <f ca="1"/>
        <v>5</v>
      </c>
      <c r="J8" s="3" t="str">
        <f ca="1"/>
        <v>1 4 7 10</v>
      </c>
      <c r="K8" s="3">
        <f ca="1"/>
        <v>10</v>
      </c>
      <c r="L8" s="3" t="str">
        <f ca="1"/>
        <v>1 2 3 8</v>
      </c>
      <c r="M8" s="3">
        <f ca="1"/>
        <v>2</v>
      </c>
      <c r="N8" s="3" t="str">
        <f ca="1"/>
        <v>1 2 3 8</v>
      </c>
      <c r="O8" s="3">
        <f ca="1"/>
        <v>3</v>
      </c>
      <c r="P8" s="3">
        <f ca="1"/>
        <v>3</v>
      </c>
      <c r="Q8" s="3">
        <f ca="1"/>
        <v>0.22294372294372292</v>
      </c>
      <c r="R8" s="3">
        <f ca="1"/>
        <v>1</v>
      </c>
      <c r="S8" s="3">
        <f ca="1"/>
        <v>1</v>
      </c>
      <c r="T8" s="3">
        <f ca="1"/>
        <v>1</v>
      </c>
      <c r="U8" s="3">
        <f ca="1"/>
        <v>4</v>
      </c>
      <c r="V8" s="3">
        <f ca="1"/>
        <v>4</v>
      </c>
      <c r="W8" s="3">
        <f ca="1"/>
        <v>4</v>
      </c>
      <c r="X8" s="3">
        <f ca="1"/>
        <v>1</v>
      </c>
      <c r="Y8" s="3">
        <f ca="1"/>
        <v>2</v>
      </c>
      <c r="Z8" s="3">
        <f ca="1"/>
        <v>0.30681818181818182</v>
      </c>
      <c r="AA8" s="3">
        <f ca="1"/>
        <v>0.5</v>
      </c>
      <c r="AB8" s="3">
        <f ca="1"/>
        <v>4</v>
      </c>
      <c r="AC8" s="3">
        <f ca="1"/>
        <v>3</v>
      </c>
      <c r="AD8" s="3">
        <f ca="1"/>
        <v>2</v>
      </c>
      <c r="AE8" s="3">
        <f ca="1"/>
        <v>4</v>
      </c>
      <c r="AF8" s="3">
        <f ca="1"/>
        <v>4</v>
      </c>
      <c r="AG8" s="3" t="str">
        <f ca="1"/>
        <v>0561a802-1845-4ea8-ad67-23f2116904d4</v>
      </c>
    </row>
    <row r="9" spans="1:1000" ht="14.4" customHeight="1" x14ac:dyDescent="0.3">
      <c r="A9" s="11" t="str">
        <f ca="1"/>
        <v>28f6fa37-a767-43d1-aea3-5542e622d168</v>
      </c>
      <c r="D9" s="3">
        <f ca="1"/>
        <v>5</v>
      </c>
      <c r="E9" s="3">
        <f ca="1"/>
        <v>1</v>
      </c>
      <c r="F9" s="3">
        <f ca="1"/>
        <v>1</v>
      </c>
      <c r="G9" s="3">
        <f ca="1"/>
        <v>1</v>
      </c>
      <c r="H9" s="3">
        <f ca="1"/>
        <v>1</v>
      </c>
      <c r="I9" s="3">
        <f ca="1"/>
        <v>5</v>
      </c>
      <c r="J9" s="3" t="str">
        <f ca="1"/>
        <v>1 2 4 5 7</v>
      </c>
      <c r="K9" s="3">
        <f ca="1"/>
        <v>15</v>
      </c>
      <c r="L9" s="3" t="str">
        <f ca="1"/>
        <v>1 2 3 8 5</v>
      </c>
      <c r="M9" s="3">
        <f ca="1"/>
        <v>2</v>
      </c>
      <c r="N9" s="3" t="str">
        <f ca="1"/>
        <v>2 3 8 5</v>
      </c>
      <c r="O9" s="3">
        <f ca="1"/>
        <v>3</v>
      </c>
      <c r="P9" s="3">
        <f ca="1"/>
        <v>5</v>
      </c>
      <c r="Q9" s="3">
        <f ca="1"/>
        <v>0.24675324675324675</v>
      </c>
      <c r="R9" s="3">
        <f ca="1"/>
        <v>1</v>
      </c>
      <c r="S9" s="3">
        <f ca="1"/>
        <v>1</v>
      </c>
      <c r="T9" s="3">
        <f ca="1"/>
        <v>1</v>
      </c>
      <c r="U9" s="3">
        <f ca="1"/>
        <v>4</v>
      </c>
      <c r="V9" s="3">
        <f ca="1"/>
        <v>4</v>
      </c>
      <c r="W9" s="3">
        <f ca="1"/>
        <v>5</v>
      </c>
      <c r="X9" s="3">
        <f ca="1"/>
        <v>1</v>
      </c>
      <c r="Y9" s="3">
        <f ca="1"/>
        <v>2.5</v>
      </c>
      <c r="Z9" s="3">
        <f ca="1"/>
        <v>0.43939393939393934</v>
      </c>
      <c r="AA9" s="3">
        <f ca="1"/>
        <v>0.6875</v>
      </c>
      <c r="AB9" s="3">
        <f ca="1"/>
        <v>4.5</v>
      </c>
      <c r="AC9" s="3">
        <f ca="1"/>
        <v>5</v>
      </c>
      <c r="AD9" s="3">
        <f ca="1"/>
        <v>1</v>
      </c>
      <c r="AE9" s="3">
        <f ca="1"/>
        <v>5</v>
      </c>
      <c r="AF9" s="3">
        <f ca="1"/>
        <v>4</v>
      </c>
      <c r="AG9" s="3" t="str">
        <f ca="1"/>
        <v>28f6fa37-a767-43d1-aea3-5542e622d168</v>
      </c>
    </row>
    <row r="10" spans="1:1000" ht="14.4" customHeight="1" x14ac:dyDescent="0.3">
      <c r="A10" s="11" t="str">
        <f ca="1"/>
        <v>74bb27ac-8c98-4418-848f-1fa4e58b1822</v>
      </c>
      <c r="D10" s="3">
        <f ca="1"/>
        <v>6</v>
      </c>
      <c r="E10" s="3">
        <f ca="1"/>
        <v>1</v>
      </c>
      <c r="F10" s="3">
        <f ca="1"/>
        <v>1</v>
      </c>
      <c r="G10" s="3">
        <f ca="1"/>
        <v>1</v>
      </c>
      <c r="H10" s="3">
        <f ca="1"/>
        <v>1</v>
      </c>
      <c r="I10" s="3">
        <f ca="1"/>
        <v>5</v>
      </c>
      <c r="J10" s="3" t="str">
        <f ca="1"/>
        <v>1 4 7 9 6</v>
      </c>
      <c r="K10" s="3">
        <f ca="1"/>
        <v>15</v>
      </c>
      <c r="L10" s="3" t="str">
        <f ca="1"/>
        <v>1 3 2 8</v>
      </c>
      <c r="M10" s="3">
        <f ca="1"/>
        <v>2</v>
      </c>
      <c r="N10" s="3" t="str">
        <f ca="1"/>
        <v>3 2 1 8</v>
      </c>
      <c r="O10" s="3">
        <f ca="1"/>
        <v>3</v>
      </c>
      <c r="P10" s="3">
        <f ca="1"/>
        <v>4</v>
      </c>
      <c r="Q10" s="3">
        <f ca="1"/>
        <v>0.25324675324675322</v>
      </c>
      <c r="R10" s="3">
        <f ca="1"/>
        <v>1</v>
      </c>
      <c r="S10" s="3">
        <f ca="1"/>
        <v>1</v>
      </c>
      <c r="T10" s="3">
        <f ca="1"/>
        <v>1</v>
      </c>
      <c r="U10" s="3">
        <f ca="1"/>
        <v>4</v>
      </c>
      <c r="V10" s="3">
        <f ca="1"/>
        <v>4</v>
      </c>
      <c r="W10" s="3">
        <f ca="1"/>
        <v>4</v>
      </c>
      <c r="X10" s="3">
        <f ca="1"/>
        <v>1</v>
      </c>
      <c r="Y10" s="3">
        <f ca="1"/>
        <v>2.5</v>
      </c>
      <c r="Z10" s="3">
        <f ca="1"/>
        <v>0.43560606060606061</v>
      </c>
      <c r="AA10" s="3">
        <f ca="1"/>
        <v>0.5625</v>
      </c>
      <c r="AB10" s="3">
        <f ca="1"/>
        <v>4.5</v>
      </c>
      <c r="AC10" s="3">
        <f ca="1"/>
        <v>4</v>
      </c>
      <c r="AD10" s="3">
        <f ca="1"/>
        <v>2</v>
      </c>
      <c r="AE10" s="3">
        <f ca="1"/>
        <v>4</v>
      </c>
      <c r="AF10" s="3">
        <f ca="1"/>
        <v>4</v>
      </c>
      <c r="AG10" s="3" t="str">
        <f ca="1"/>
        <v>74bb27ac-8c98-4418-848f-1fa4e58b1822</v>
      </c>
    </row>
    <row r="11" spans="1:1000" ht="14.4" customHeight="1" x14ac:dyDescent="0.3">
      <c r="A11" s="11" t="str">
        <f ca="1"/>
        <v>22d5e80d-7eb2-4cfc-89ab-10c527290b62</v>
      </c>
      <c r="D11" s="3">
        <f ca="1"/>
        <v>7</v>
      </c>
      <c r="E11" s="3">
        <f ca="1"/>
        <v>1</v>
      </c>
      <c r="F11" s="3">
        <f ca="1"/>
        <v>1</v>
      </c>
      <c r="G11" s="3">
        <f ca="1"/>
        <v>1</v>
      </c>
      <c r="H11" s="3">
        <f ca="1"/>
        <v>1</v>
      </c>
      <c r="I11" s="3">
        <f ca="1"/>
        <v>5</v>
      </c>
      <c r="J11" s="3" t="str">
        <f ca="1"/>
        <v>1 4 7 10</v>
      </c>
      <c r="K11" s="3">
        <f ca="1"/>
        <v>10</v>
      </c>
      <c r="L11" s="3" t="str">
        <f ca="1"/>
        <v>1 3 8 5</v>
      </c>
      <c r="M11" s="3">
        <f ca="1"/>
        <v>2</v>
      </c>
      <c r="N11" s="3" t="str">
        <f ca="1"/>
        <v>3 1 8</v>
      </c>
      <c r="O11" s="3">
        <f ca="1"/>
        <v>2</v>
      </c>
      <c r="P11" s="3">
        <f ca="1"/>
        <v>4</v>
      </c>
      <c r="Q11" s="3">
        <f ca="1"/>
        <v>0.28354978354978355</v>
      </c>
      <c r="R11" s="3">
        <f ca="1"/>
        <v>1</v>
      </c>
      <c r="S11" s="3">
        <f ca="1"/>
        <v>1</v>
      </c>
      <c r="T11" s="3">
        <f ca="1"/>
        <v>1</v>
      </c>
      <c r="U11" s="3">
        <f ca="1"/>
        <v>4</v>
      </c>
      <c r="V11" s="3">
        <f ca="1"/>
        <v>4</v>
      </c>
      <c r="W11" s="3">
        <f ca="1"/>
        <v>4</v>
      </c>
      <c r="X11" s="3">
        <f ca="1"/>
        <v>1</v>
      </c>
      <c r="Y11" s="3">
        <f ca="1"/>
        <v>2.5</v>
      </c>
      <c r="Z11" s="3">
        <f ca="1"/>
        <v>0.43560606060606061</v>
      </c>
      <c r="AA11" s="3">
        <f ca="1"/>
        <v>0.5625</v>
      </c>
      <c r="AB11" s="3">
        <f ca="1"/>
        <v>4.5</v>
      </c>
      <c r="AC11" s="3">
        <f ca="1"/>
        <v>4</v>
      </c>
      <c r="AD11" s="3">
        <f ca="1"/>
        <v>1</v>
      </c>
      <c r="AE11" s="3">
        <f ca="1"/>
        <v>4</v>
      </c>
      <c r="AF11" s="3">
        <f ca="1"/>
        <v>4</v>
      </c>
      <c r="AG11" s="3" t="str">
        <f ca="1"/>
        <v>22d5e80d-7eb2-4cfc-89ab-10c527290b62</v>
      </c>
    </row>
    <row r="12" spans="1:1000" ht="14.4" customHeight="1" x14ac:dyDescent="0.3">
      <c r="A12" s="11" t="str">
        <f ca="1"/>
        <v>287309d3-99c4-4c84-80e2-9e9b8e08577c</v>
      </c>
      <c r="D12" s="3">
        <f ca="1"/>
        <v>8</v>
      </c>
      <c r="E12" s="3">
        <f ca="1"/>
        <v>1</v>
      </c>
      <c r="F12" s="3">
        <f ca="1"/>
        <v>1</v>
      </c>
      <c r="G12" s="3">
        <f ca="1"/>
        <v>1</v>
      </c>
      <c r="H12" s="3">
        <f ca="1"/>
        <v>1</v>
      </c>
      <c r="I12" s="3">
        <f ca="1"/>
        <v>5</v>
      </c>
      <c r="J12" s="3" t="str">
        <f ca="1"/>
        <v>1 2 4 6 7</v>
      </c>
      <c r="K12" s="3">
        <f ca="1"/>
        <v>15</v>
      </c>
      <c r="L12" s="3" t="str">
        <f ca="1"/>
        <v>1 5 3</v>
      </c>
      <c r="M12" s="3">
        <f ca="1"/>
        <v>1</v>
      </c>
      <c r="N12" s="3" t="str">
        <f ca="1"/>
        <v>1 5 3 8</v>
      </c>
      <c r="O12" s="3">
        <f ca="1"/>
        <v>3</v>
      </c>
      <c r="P12" s="3">
        <f ca="1"/>
        <v>4</v>
      </c>
      <c r="Q12" s="3">
        <f ca="1"/>
        <v>0.27705627705627706</v>
      </c>
      <c r="R12" s="3">
        <f ca="1"/>
        <v>1</v>
      </c>
      <c r="S12" s="3">
        <f ca="1"/>
        <v>1</v>
      </c>
      <c r="T12" s="3">
        <f ca="1"/>
        <v>1</v>
      </c>
      <c r="U12" s="3">
        <f ca="1"/>
        <v>4</v>
      </c>
      <c r="V12" s="3">
        <f ca="1"/>
        <v>4</v>
      </c>
      <c r="W12" s="3">
        <f ca="1"/>
        <v>4</v>
      </c>
      <c r="X12" s="3">
        <f ca="1"/>
        <v>1</v>
      </c>
      <c r="Y12" s="3">
        <f ca="1"/>
        <v>2.5</v>
      </c>
      <c r="Z12" s="3">
        <f ca="1"/>
        <v>0.39393939393939392</v>
      </c>
      <c r="AA12" s="3">
        <f ca="1"/>
        <v>0.6875</v>
      </c>
      <c r="AB12" s="3">
        <f ca="1"/>
        <v>4.5</v>
      </c>
      <c r="AC12" s="3">
        <f ca="1"/>
        <v>5</v>
      </c>
      <c r="AD12" s="3">
        <f ca="1"/>
        <v>1</v>
      </c>
      <c r="AE12" s="3">
        <f ca="1"/>
        <v>4</v>
      </c>
      <c r="AF12" s="3">
        <f ca="1"/>
        <v>4</v>
      </c>
      <c r="AG12" s="3" t="str">
        <f ca="1"/>
        <v>287309d3-99c4-4c84-80e2-9e9b8e08577c</v>
      </c>
    </row>
    <row r="13" spans="1:1000" ht="14.4" customHeight="1" x14ac:dyDescent="0.3">
      <c r="A13" s="11" t="str">
        <f ca="1"/>
        <v>ea47cebd-2525-42ff-a87b-fd4b1beec790</v>
      </c>
      <c r="D13" s="3">
        <f ca="1"/>
        <v>9</v>
      </c>
      <c r="E13" s="3">
        <f ca="1"/>
        <v>1</v>
      </c>
      <c r="F13" s="3">
        <f ca="1"/>
        <v>1</v>
      </c>
      <c r="G13" s="3">
        <f ca="1"/>
        <v>1</v>
      </c>
      <c r="H13" s="3">
        <f ca="1"/>
        <v>1</v>
      </c>
      <c r="I13" s="3">
        <f ca="1"/>
        <v>5</v>
      </c>
      <c r="J13" s="3" t="str">
        <f ca="1"/>
        <v>1 5 6 7 9 10</v>
      </c>
      <c r="K13" s="3">
        <f ca="1"/>
        <v>15</v>
      </c>
      <c r="L13" s="3" t="str">
        <f ca="1"/>
        <v>1 2 3 5 4</v>
      </c>
      <c r="M13" s="3">
        <f ca="1"/>
        <v>2</v>
      </c>
      <c r="N13" s="3" t="str">
        <f ca="1"/>
        <v>1 3 4 5 8</v>
      </c>
      <c r="O13" s="3">
        <f ca="1"/>
        <v>3</v>
      </c>
      <c r="P13" s="3">
        <f ca="1"/>
        <v>4</v>
      </c>
      <c r="Q13" s="3">
        <f ca="1"/>
        <v>0.42207792207792205</v>
      </c>
      <c r="R13" s="3">
        <f ca="1"/>
        <v>1</v>
      </c>
      <c r="S13" s="3">
        <f ca="1"/>
        <v>1</v>
      </c>
      <c r="T13" s="3">
        <f ca="1"/>
        <v>1</v>
      </c>
      <c r="U13" s="3">
        <f ca="1"/>
        <v>4</v>
      </c>
      <c r="V13" s="3">
        <f ca="1"/>
        <v>5</v>
      </c>
      <c r="W13" s="3">
        <f ca="1"/>
        <v>4</v>
      </c>
      <c r="X13" s="3">
        <f ca="1"/>
        <v>1</v>
      </c>
      <c r="Y13" s="3">
        <f ca="1"/>
        <v>2.5</v>
      </c>
      <c r="Z13" s="3">
        <f ca="1"/>
        <v>0.48106060606060608</v>
      </c>
      <c r="AA13" s="3">
        <f ca="1"/>
        <v>0.6875</v>
      </c>
      <c r="AB13" s="3">
        <f ca="1"/>
        <v>4.5</v>
      </c>
      <c r="AC13" s="3">
        <f ca="1"/>
        <v>5</v>
      </c>
      <c r="AD13" s="3">
        <f ca="1"/>
        <v>1</v>
      </c>
      <c r="AE13" s="3">
        <f ca="1"/>
        <v>4</v>
      </c>
      <c r="AF13" s="3">
        <f ca="1"/>
        <v>5</v>
      </c>
      <c r="AG13" s="3" t="str">
        <f ca="1"/>
        <v>ea47cebd-2525-42ff-a87b-fd4b1beec790</v>
      </c>
    </row>
    <row r="14" spans="1:1000" ht="14.4" customHeight="1" x14ac:dyDescent="0.3">
      <c r="A14" s="11" t="str">
        <f ca="1"/>
        <v>8bb554da-e7c6-4d86-9b0b-530c63f13243</v>
      </c>
      <c r="D14" s="3">
        <f ca="1"/>
        <v>10</v>
      </c>
      <c r="E14" s="3">
        <f ca="1"/>
        <v>1</v>
      </c>
      <c r="F14" s="3">
        <f ca="1"/>
        <v>1</v>
      </c>
      <c r="G14" s="3">
        <f ca="1"/>
        <v>1</v>
      </c>
      <c r="H14" s="3">
        <f ca="1"/>
        <v>1</v>
      </c>
      <c r="I14" s="3">
        <f ca="1"/>
        <v>5</v>
      </c>
      <c r="J14" s="3" t="str">
        <f ca="1"/>
        <v>2 4 7 10 6 1</v>
      </c>
      <c r="K14" s="3">
        <f ca="1"/>
        <v>15</v>
      </c>
      <c r="L14" s="3" t="str">
        <f ca="1"/>
        <v>3 1 5 8</v>
      </c>
      <c r="M14" s="3">
        <f ca="1"/>
        <v>2</v>
      </c>
      <c r="N14" s="3" t="str">
        <f ca="1"/>
        <v>1 3 5 8 2</v>
      </c>
      <c r="O14" s="3">
        <f ca="1"/>
        <v>3</v>
      </c>
      <c r="P14" s="3">
        <f ca="1"/>
        <v>4</v>
      </c>
      <c r="Q14" s="3">
        <f ca="1"/>
        <v>0.28354978354978355</v>
      </c>
      <c r="R14" s="3">
        <f ca="1"/>
        <v>1</v>
      </c>
      <c r="S14" s="3">
        <f ca="1"/>
        <v>1</v>
      </c>
      <c r="T14" s="3">
        <f ca="1"/>
        <v>1</v>
      </c>
      <c r="U14" s="3">
        <f ca="1"/>
        <v>4</v>
      </c>
      <c r="V14" s="3">
        <f ca="1"/>
        <v>4</v>
      </c>
      <c r="W14" s="3">
        <f ca="1"/>
        <v>4</v>
      </c>
      <c r="X14" s="3">
        <f ca="1"/>
        <v>1</v>
      </c>
      <c r="Y14" s="3">
        <f ca="1"/>
        <v>2.5</v>
      </c>
      <c r="Z14" s="3">
        <f ca="1"/>
        <v>0.43560606060606061</v>
      </c>
      <c r="AA14" s="3">
        <f ca="1"/>
        <v>0.6875</v>
      </c>
      <c r="AB14" s="3">
        <f ca="1"/>
        <v>4.5</v>
      </c>
      <c r="AC14" s="3">
        <f ca="1"/>
        <v>4</v>
      </c>
      <c r="AD14" s="3">
        <f ca="1"/>
        <v>1</v>
      </c>
      <c r="AE14" s="3">
        <f ca="1"/>
        <v>4</v>
      </c>
      <c r="AF14" s="3">
        <f ca="1"/>
        <v>4</v>
      </c>
      <c r="AG14" s="3" t="str">
        <f ca="1"/>
        <v>8bb554da-e7c6-4d86-9b0b-530c63f13243</v>
      </c>
    </row>
    <row r="15" spans="1:1000" ht="14.4" customHeight="1" x14ac:dyDescent="0.3">
      <c r="A15" s="11" t="str">
        <f ca="1"/>
        <v>90cee98e-98c9-4d2c-97ed-a87181807e66</v>
      </c>
      <c r="D15" s="3">
        <f ca="1"/>
        <v>11</v>
      </c>
      <c r="E15" s="3">
        <f ca="1"/>
        <v>1</v>
      </c>
      <c r="F15" s="3">
        <f ca="1"/>
        <v>1</v>
      </c>
      <c r="G15" s="3">
        <f ca="1"/>
        <v>1</v>
      </c>
      <c r="H15" s="3">
        <f ca="1"/>
        <v>1</v>
      </c>
      <c r="I15" s="3">
        <f ca="1"/>
        <v>5</v>
      </c>
      <c r="J15" s="3" t="str">
        <f ca="1"/>
        <v>1 4 7 10</v>
      </c>
      <c r="K15" s="3">
        <f ca="1"/>
        <v>10</v>
      </c>
      <c r="L15" s="3" t="str">
        <f ca="1"/>
        <v>1 3 8</v>
      </c>
      <c r="M15" s="3">
        <f ca="1"/>
        <v>1</v>
      </c>
      <c r="N15" s="3" t="str">
        <f ca="1"/>
        <v>1 3 8 5 2</v>
      </c>
      <c r="O15" s="3">
        <f ca="1"/>
        <v>3</v>
      </c>
      <c r="P15" s="3">
        <f ca="1"/>
        <v>4</v>
      </c>
      <c r="Q15" s="3">
        <f ca="1"/>
        <v>0.27705627705627706</v>
      </c>
      <c r="R15" s="3">
        <f ca="1"/>
        <v>1</v>
      </c>
      <c r="S15" s="3">
        <f ca="1"/>
        <v>1</v>
      </c>
      <c r="T15" s="3">
        <f ca="1"/>
        <v>2</v>
      </c>
      <c r="U15" s="3">
        <f ca="1"/>
        <v>4</v>
      </c>
      <c r="V15" s="3">
        <f ca="1"/>
        <v>3</v>
      </c>
      <c r="W15" s="3">
        <f ca="1"/>
        <v>4</v>
      </c>
      <c r="X15" s="3">
        <f ca="1"/>
        <v>1</v>
      </c>
      <c r="Y15" s="3">
        <f ca="1"/>
        <v>2.5</v>
      </c>
      <c r="Z15" s="3">
        <f ca="1"/>
        <v>0.43560606060606061</v>
      </c>
      <c r="AA15" s="3">
        <f ca="1"/>
        <v>0.6875</v>
      </c>
      <c r="AB15" s="3">
        <f ca="1"/>
        <v>4.5</v>
      </c>
      <c r="AC15" s="3">
        <f ca="1"/>
        <v>4</v>
      </c>
      <c r="AD15" s="3">
        <f ca="1"/>
        <v>1</v>
      </c>
      <c r="AE15" s="3">
        <f ca="1"/>
        <v>4</v>
      </c>
      <c r="AF15" s="3">
        <f ca="1"/>
        <v>4</v>
      </c>
      <c r="AG15" s="3" t="str">
        <f ca="1"/>
        <v>90cee98e-98c9-4d2c-97ed-a87181807e66</v>
      </c>
    </row>
    <row r="16" spans="1:1000" ht="14.4" customHeight="1" x14ac:dyDescent="0.3">
      <c r="A16" s="11" t="str">
        <f ca="1"/>
        <v>87bbc47f-a53d-41c2-bfc7-85ba6da3198b</v>
      </c>
      <c r="D16" s="3">
        <f ca="1"/>
        <v>12</v>
      </c>
      <c r="E16" s="3">
        <f ca="1"/>
        <v>1</v>
      </c>
      <c r="F16" s="3">
        <f ca="1"/>
        <v>1</v>
      </c>
      <c r="G16" s="3">
        <f ca="1"/>
        <v>1</v>
      </c>
      <c r="H16" s="3">
        <f ca="1"/>
        <v>1</v>
      </c>
      <c r="I16" s="3">
        <f ca="1"/>
        <v>5</v>
      </c>
      <c r="J16" s="3" t="str">
        <f ca="1"/>
        <v>1 4 6 7 10</v>
      </c>
      <c r="K16" s="3">
        <f ca="1"/>
        <v>15</v>
      </c>
      <c r="L16" s="3" t="str">
        <f ca="1"/>
        <v>1 3 8 5</v>
      </c>
      <c r="M16" s="3">
        <f ca="1"/>
        <v>2</v>
      </c>
      <c r="N16" s="3" t="str">
        <f ca="1"/>
        <v>1 3 8 5</v>
      </c>
      <c r="O16" s="3">
        <f ca="1"/>
        <v>3</v>
      </c>
      <c r="P16" s="3">
        <f ca="1"/>
        <v>4</v>
      </c>
      <c r="Q16" s="3">
        <f ca="1"/>
        <v>0.30735930735930733</v>
      </c>
      <c r="R16" s="3">
        <f ca="1"/>
        <v>1</v>
      </c>
      <c r="S16" s="3">
        <f ca="1"/>
        <v>1</v>
      </c>
      <c r="T16" s="3">
        <f ca="1"/>
        <v>1</v>
      </c>
      <c r="U16" s="3">
        <f ca="1"/>
        <v>4</v>
      </c>
      <c r="V16" s="3">
        <f ca="1"/>
        <v>4</v>
      </c>
      <c r="W16" s="3">
        <f ca="1"/>
        <v>4</v>
      </c>
      <c r="X16" s="3">
        <f ca="1"/>
        <v>1</v>
      </c>
      <c r="Y16" s="3">
        <f ca="1"/>
        <v>2.5</v>
      </c>
      <c r="Z16" s="3">
        <f ca="1"/>
        <v>0.43560606060606061</v>
      </c>
      <c r="AA16" s="3">
        <f ca="1"/>
        <v>0.6875</v>
      </c>
      <c r="AB16" s="3">
        <f ca="1"/>
        <v>4.5</v>
      </c>
      <c r="AC16" s="3">
        <f ca="1"/>
        <v>5</v>
      </c>
      <c r="AD16" s="3">
        <f ca="1"/>
        <v>1</v>
      </c>
      <c r="AE16" s="3">
        <f ca="1"/>
        <v>4</v>
      </c>
      <c r="AF16" s="3">
        <f ca="1"/>
        <v>4</v>
      </c>
      <c r="AG16" s="3" t="str">
        <f ca="1"/>
        <v>87bbc47f-a53d-41c2-bfc7-85ba6da3198b</v>
      </c>
    </row>
    <row r="17" spans="1:33" ht="14.4" customHeight="1" x14ac:dyDescent="0.3">
      <c r="A17" s="11" t="str">
        <f ca="1"/>
        <v>94667349-a4c7-423c-b36d-8f4de339ae28</v>
      </c>
      <c r="D17" s="3">
        <f ca="1"/>
        <v>13</v>
      </c>
      <c r="E17" s="3">
        <f ca="1"/>
        <v>1</v>
      </c>
      <c r="F17" s="3">
        <f ca="1"/>
        <v>1</v>
      </c>
      <c r="G17" s="3">
        <f ca="1"/>
        <v>1</v>
      </c>
      <c r="H17" s="3">
        <f ca="1"/>
        <v>1</v>
      </c>
      <c r="I17" s="3">
        <f ca="1"/>
        <v>5</v>
      </c>
      <c r="J17" s="3" t="str">
        <f ca="1"/>
        <v>1 4 6</v>
      </c>
      <c r="K17" s="3">
        <f ca="1"/>
        <v>10</v>
      </c>
      <c r="L17" s="3" t="str">
        <f ca="1"/>
        <v>2 4 8</v>
      </c>
      <c r="M17" s="3">
        <f ca="1"/>
        <v>1</v>
      </c>
      <c r="N17" s="3" t="str">
        <f ca="1"/>
        <v>2 8 4 1</v>
      </c>
      <c r="O17" s="3">
        <f ca="1"/>
        <v>3</v>
      </c>
      <c r="P17" s="3">
        <f ca="1"/>
        <v>4</v>
      </c>
      <c r="Q17" s="3">
        <f ca="1"/>
        <v>0.33116883116883117</v>
      </c>
      <c r="R17" s="3">
        <f ca="1"/>
        <v>1</v>
      </c>
      <c r="S17" s="3">
        <f ca="1"/>
        <v>2</v>
      </c>
      <c r="T17" s="3">
        <f ca="1"/>
        <v>2</v>
      </c>
      <c r="U17" s="3">
        <f ca="1"/>
        <v>4</v>
      </c>
      <c r="V17" s="3">
        <f ca="1"/>
        <v>3</v>
      </c>
      <c r="W17" s="3">
        <f ca="1"/>
        <v>4</v>
      </c>
      <c r="X17" s="3">
        <f ca="1"/>
        <v>1</v>
      </c>
      <c r="Y17" s="3">
        <f ca="1"/>
        <v>2</v>
      </c>
      <c r="Z17" s="3">
        <f ca="1"/>
        <v>0.34848484848484851</v>
      </c>
      <c r="AA17" s="3">
        <f ca="1"/>
        <v>0.4375</v>
      </c>
      <c r="AB17" s="3">
        <f ca="1"/>
        <v>4.5</v>
      </c>
      <c r="AC17" s="3">
        <f ca="1"/>
        <v>4</v>
      </c>
      <c r="AD17" s="3">
        <f ca="1"/>
        <v>2</v>
      </c>
      <c r="AE17" s="3">
        <f ca="1"/>
        <v>1</v>
      </c>
      <c r="AF17" s="3">
        <f ca="1"/>
        <v>1</v>
      </c>
      <c r="AG17" s="3" t="str">
        <f ca="1"/>
        <v>94667349-a4c7-423c-b36d-8f4de339ae28</v>
      </c>
    </row>
    <row r="18" spans="1:33" ht="14.4" customHeight="1" x14ac:dyDescent="0.3">
      <c r="A18" s="11" t="str">
        <f ca="1"/>
        <v>57662105-ea4e-41f1-8094-1cd4b4ad5200</v>
      </c>
      <c r="D18" s="3">
        <f ca="1"/>
        <v>14</v>
      </c>
      <c r="E18" s="3">
        <f ca="1"/>
        <v>1</v>
      </c>
      <c r="F18" s="3">
        <f ca="1"/>
        <v>1</v>
      </c>
      <c r="G18" s="3">
        <f ca="1"/>
        <v>1</v>
      </c>
      <c r="H18" s="3">
        <f ca="1"/>
        <v>1</v>
      </c>
      <c r="I18" s="3">
        <f ca="1"/>
        <v>5</v>
      </c>
      <c r="J18" s="3" t="str">
        <f ca="1"/>
        <v>1 4 6</v>
      </c>
      <c r="K18" s="3">
        <f ca="1"/>
        <v>10</v>
      </c>
      <c r="L18" s="3" t="str">
        <f ca="1"/>
        <v>2 4 8</v>
      </c>
      <c r="M18" s="3">
        <f ca="1"/>
        <v>1</v>
      </c>
      <c r="N18" s="3">
        <f ca="1"/>
        <v>8</v>
      </c>
      <c r="O18" s="3">
        <f ca="1"/>
        <v>1</v>
      </c>
      <c r="P18" s="3">
        <f ca="1"/>
        <v>3</v>
      </c>
      <c r="Q18" s="3">
        <f ca="1"/>
        <v>0.22294372294372292</v>
      </c>
      <c r="R18" s="3">
        <f ca="1"/>
        <v>1</v>
      </c>
      <c r="S18" s="3">
        <f ca="1"/>
        <v>2</v>
      </c>
      <c r="T18" s="3">
        <f ca="1"/>
        <v>2</v>
      </c>
      <c r="U18" s="3">
        <f ca="1"/>
        <v>3</v>
      </c>
      <c r="V18" s="3">
        <f ca="1"/>
        <v>2</v>
      </c>
      <c r="W18" s="3">
        <f ca="1"/>
        <v>3</v>
      </c>
      <c r="X18" s="3">
        <f ca="1"/>
        <v>1</v>
      </c>
      <c r="Y18" s="3">
        <f ca="1"/>
        <v>2</v>
      </c>
      <c r="Z18" s="3">
        <f ca="1"/>
        <v>0.30681818181818182</v>
      </c>
      <c r="AA18" s="3">
        <f ca="1"/>
        <v>0.3125</v>
      </c>
      <c r="AB18" s="3">
        <f ca="1"/>
        <v>4.5</v>
      </c>
      <c r="AC18" s="3">
        <f ca="1"/>
        <v>3</v>
      </c>
      <c r="AD18" s="3">
        <f ca="1"/>
        <v>3</v>
      </c>
      <c r="AE18" s="3">
        <f ca="1"/>
        <v>4</v>
      </c>
      <c r="AF18" s="3">
        <f ca="1"/>
        <v>1</v>
      </c>
      <c r="AG18" s="3" t="str">
        <f ca="1"/>
        <v>57662105-ea4e-41f1-8094-1cd4b4ad5200</v>
      </c>
    </row>
    <row r="19" spans="1:33" ht="14.4" customHeight="1" x14ac:dyDescent="0.3">
      <c r="A19" s="11" t="str">
        <f ca="1"/>
        <v>d4995bc2-b011-4e82-8904-4a10cabad0fa</v>
      </c>
      <c r="D19" s="3">
        <f ca="1"/>
        <v>15</v>
      </c>
      <c r="E19" s="3">
        <f ca="1"/>
        <v>1</v>
      </c>
      <c r="F19" s="3">
        <f ca="1"/>
        <v>1</v>
      </c>
      <c r="G19" s="3">
        <f ca="1"/>
        <v>1</v>
      </c>
      <c r="H19" s="3">
        <f ca="1"/>
        <v>1</v>
      </c>
      <c r="I19" s="3">
        <f ca="1"/>
        <v>5</v>
      </c>
      <c r="J19" s="3" t="str">
        <f ca="1"/>
        <v>1 4 2 6 7</v>
      </c>
      <c r="K19" s="3">
        <f ca="1"/>
        <v>15</v>
      </c>
      <c r="L19" s="3" t="str">
        <f ca="1"/>
        <v>2 4 8</v>
      </c>
      <c r="M19" s="3">
        <f ca="1"/>
        <v>1</v>
      </c>
      <c r="N19" s="3" t="str">
        <f ca="1"/>
        <v>2 8</v>
      </c>
      <c r="O19" s="3">
        <f ca="1"/>
        <v>2</v>
      </c>
      <c r="P19" s="3">
        <f ca="1"/>
        <v>4</v>
      </c>
      <c r="Q19" s="3">
        <f ca="1"/>
        <v>0.3441558441558441</v>
      </c>
      <c r="R19" s="3">
        <f ca="1"/>
        <v>1</v>
      </c>
      <c r="S19" s="3">
        <f ca="1"/>
        <v>2</v>
      </c>
      <c r="T19" s="3">
        <f ca="1"/>
        <v>2</v>
      </c>
      <c r="U19" s="3">
        <f ca="1"/>
        <v>3</v>
      </c>
      <c r="V19" s="3">
        <f ca="1"/>
        <v>2.5</v>
      </c>
      <c r="W19" s="3">
        <f ca="1"/>
        <v>4</v>
      </c>
      <c r="X19" s="3">
        <f ca="1"/>
        <v>1</v>
      </c>
      <c r="Y19" s="3">
        <f ca="1"/>
        <v>2</v>
      </c>
      <c r="Z19" s="3">
        <f ca="1"/>
        <v>0.34848484848484851</v>
      </c>
      <c r="AA19" s="3">
        <f ca="1"/>
        <v>0.5</v>
      </c>
      <c r="AB19" s="3">
        <f ca="1"/>
        <v>5</v>
      </c>
      <c r="AC19" s="3">
        <f ca="1"/>
        <v>4</v>
      </c>
      <c r="AD19" s="3">
        <f ca="1"/>
        <v>2</v>
      </c>
      <c r="AE19" s="3">
        <f ca="1"/>
        <v>4</v>
      </c>
      <c r="AF19" s="3">
        <f ca="1"/>
        <v>1</v>
      </c>
      <c r="AG19" s="3" t="str">
        <f ca="1"/>
        <v>d4995bc2-b011-4e82-8904-4a10cabad0fa</v>
      </c>
    </row>
    <row r="20" spans="1:33" ht="14.4" customHeight="1" x14ac:dyDescent="0.3">
      <c r="A20" s="11" t="str">
        <f ca="1"/>
        <v>77f09d96-8744-443c-8076-422203661421</v>
      </c>
      <c r="D20" s="3">
        <f ca="1"/>
        <v>16</v>
      </c>
      <c r="E20" s="3">
        <f ca="1"/>
        <v>1</v>
      </c>
      <c r="F20" s="3">
        <f ca="1"/>
        <v>1</v>
      </c>
      <c r="G20" s="3">
        <f ca="1"/>
        <v>1</v>
      </c>
      <c r="H20" s="3">
        <f ca="1"/>
        <v>1</v>
      </c>
      <c r="I20" s="3">
        <f ca="1"/>
        <v>5</v>
      </c>
      <c r="J20" s="3" t="str">
        <f ca="1"/>
        <v>1 2 4 5 6 10</v>
      </c>
      <c r="K20" s="3">
        <f ca="1"/>
        <v>15</v>
      </c>
      <c r="L20" s="3" t="str">
        <f ca="1"/>
        <v>2 4 8 5</v>
      </c>
      <c r="M20" s="3">
        <f ca="1"/>
        <v>2</v>
      </c>
      <c r="N20" s="3" t="str">
        <f ca="1"/>
        <v>2 4 5 8</v>
      </c>
      <c r="O20" s="3">
        <f ca="1"/>
        <v>3</v>
      </c>
      <c r="P20" s="3">
        <f ca="1"/>
        <v>4</v>
      </c>
      <c r="Q20" s="3">
        <f ca="1"/>
        <v>0.36147186147186144</v>
      </c>
      <c r="R20" s="3">
        <f ca="1"/>
        <v>1</v>
      </c>
      <c r="S20" s="3">
        <f ca="1"/>
        <v>1</v>
      </c>
      <c r="T20" s="3">
        <f ca="1"/>
        <v>2</v>
      </c>
      <c r="U20" s="3">
        <f ca="1"/>
        <v>3</v>
      </c>
      <c r="V20" s="3">
        <f ca="1"/>
        <v>3.5</v>
      </c>
      <c r="W20" s="3">
        <f ca="1"/>
        <v>4</v>
      </c>
      <c r="X20" s="3">
        <f ca="1"/>
        <v>1</v>
      </c>
      <c r="Y20" s="3">
        <f ca="1"/>
        <v>2.5</v>
      </c>
      <c r="Z20" s="3">
        <f ca="1"/>
        <v>0.39015151515151514</v>
      </c>
      <c r="AA20" s="3">
        <f ca="1"/>
        <v>0.3125</v>
      </c>
      <c r="AB20" s="3">
        <f ca="1"/>
        <v>5</v>
      </c>
      <c r="AC20" s="3">
        <f ca="1"/>
        <v>3</v>
      </c>
      <c r="AD20" s="3">
        <f ca="1"/>
        <v>2</v>
      </c>
      <c r="AE20" s="3">
        <f ca="1"/>
        <v>4</v>
      </c>
      <c r="AF20" s="3">
        <f ca="1"/>
        <v>1</v>
      </c>
      <c r="AG20" s="3" t="str">
        <f ca="1"/>
        <v>77f09d96-8744-443c-8076-422203661421</v>
      </c>
    </row>
    <row r="21" spans="1:33" ht="14.4" customHeight="1" x14ac:dyDescent="0.3">
      <c r="A21" s="11" t="str">
        <f ca="1"/>
        <v>c8ed0f96-dd20-4758-9533-80748135f77a</v>
      </c>
      <c r="D21" s="3">
        <f ca="1"/>
        <v>17</v>
      </c>
      <c r="E21" s="3">
        <f ca="1"/>
        <v>1</v>
      </c>
      <c r="F21" s="3">
        <f ca="1"/>
        <v>1</v>
      </c>
      <c r="G21" s="3">
        <f ca="1"/>
        <v>1</v>
      </c>
      <c r="H21" s="3">
        <f ca="1"/>
        <v>1</v>
      </c>
      <c r="I21" s="3">
        <f ca="1"/>
        <v>5</v>
      </c>
      <c r="J21" s="3" t="str">
        <f ca="1"/>
        <v>1 2 4 6 7</v>
      </c>
      <c r="K21" s="3">
        <f ca="1"/>
        <v>15</v>
      </c>
      <c r="L21" s="3" t="str">
        <f ca="1"/>
        <v>2 5 8</v>
      </c>
      <c r="M21" s="3">
        <f ca="1"/>
        <v>1</v>
      </c>
      <c r="N21" s="3" t="str">
        <f ca="1"/>
        <v>2 5 8</v>
      </c>
      <c r="O21" s="3">
        <f ca="1"/>
        <v>2</v>
      </c>
      <c r="P21" s="3">
        <f ca="1"/>
        <v>4</v>
      </c>
      <c r="Q21" s="3">
        <f ca="1"/>
        <v>0.3441558441558441</v>
      </c>
      <c r="R21" s="3">
        <f ca="1"/>
        <v>1</v>
      </c>
      <c r="S21" s="3">
        <f ca="1"/>
        <v>1</v>
      </c>
      <c r="T21" s="3">
        <f ca="1"/>
        <v>1</v>
      </c>
      <c r="U21" s="3">
        <f ca="1"/>
        <v>3</v>
      </c>
      <c r="V21" s="3">
        <f ca="1"/>
        <v>3</v>
      </c>
      <c r="W21" s="3">
        <f ca="1"/>
        <v>3</v>
      </c>
      <c r="X21" s="3">
        <f ca="1"/>
        <v>1</v>
      </c>
      <c r="Y21" s="3">
        <f ca="1"/>
        <v>2</v>
      </c>
      <c r="Z21" s="3">
        <f ca="1"/>
        <v>0.34848484848484851</v>
      </c>
      <c r="AA21" s="3">
        <f ca="1"/>
        <v>0.3125</v>
      </c>
      <c r="AB21" s="3">
        <f ca="1"/>
        <v>4.5</v>
      </c>
      <c r="AC21" s="3">
        <f ca="1"/>
        <v>4</v>
      </c>
      <c r="AD21" s="3">
        <f ca="1"/>
        <v>2</v>
      </c>
      <c r="AE21" s="3">
        <f ca="1"/>
        <v>4</v>
      </c>
      <c r="AF21" s="3">
        <f ca="1"/>
        <v>1</v>
      </c>
      <c r="AG21" s="3" t="str">
        <f ca="1"/>
        <v>c8ed0f96-dd20-4758-9533-80748135f77a</v>
      </c>
    </row>
    <row r="22" spans="1:33" ht="14.4" customHeight="1" x14ac:dyDescent="0.3">
      <c r="A22" s="11" t="str">
        <f ca="1"/>
        <v>dfb09eef-1fa6-4165-a858-4a27aae8f0fe</v>
      </c>
      <c r="D22" s="3">
        <f ca="1"/>
        <v>18</v>
      </c>
      <c r="E22" s="3">
        <f ca="1"/>
        <v>1</v>
      </c>
      <c r="F22" s="3">
        <f ca="1"/>
        <v>1</v>
      </c>
      <c r="G22" s="3">
        <f ca="1"/>
        <v>1</v>
      </c>
      <c r="H22" s="3">
        <f ca="1"/>
        <v>1</v>
      </c>
      <c r="I22" s="3">
        <f ca="1"/>
        <v>5</v>
      </c>
      <c r="J22" s="3" t="str">
        <f ca="1"/>
        <v>1 4 6 7 8 10</v>
      </c>
      <c r="K22" s="3">
        <f ca="1"/>
        <v>15</v>
      </c>
      <c r="L22" s="3" t="str">
        <f ca="1"/>
        <v>8 1 2 4</v>
      </c>
      <c r="M22" s="3">
        <f ca="1"/>
        <v>2</v>
      </c>
      <c r="N22" s="3" t="str">
        <f ca="1"/>
        <v>1 2 4 8</v>
      </c>
      <c r="O22" s="3">
        <f ca="1"/>
        <v>3</v>
      </c>
      <c r="P22" s="3">
        <f ca="1"/>
        <v>4</v>
      </c>
      <c r="Q22" s="3">
        <f ca="1"/>
        <v>0.45887445887445882</v>
      </c>
      <c r="R22" s="3">
        <f ca="1"/>
        <v>1</v>
      </c>
      <c r="S22" s="3">
        <f ca="1"/>
        <v>2</v>
      </c>
      <c r="T22" s="3">
        <f ca="1"/>
        <v>2</v>
      </c>
      <c r="U22" s="3">
        <f ca="1"/>
        <v>3</v>
      </c>
      <c r="V22" s="3">
        <f ca="1"/>
        <v>4</v>
      </c>
      <c r="W22" s="3">
        <f ca="1"/>
        <v>4</v>
      </c>
      <c r="X22" s="3">
        <f ca="1"/>
        <v>1</v>
      </c>
      <c r="Y22" s="3">
        <f ca="1"/>
        <v>3</v>
      </c>
      <c r="Z22" s="3">
        <f ca="1"/>
        <v>0.43560606060606061</v>
      </c>
      <c r="AA22" s="3">
        <f ca="1"/>
        <v>0.5</v>
      </c>
      <c r="AB22" s="3">
        <f ca="1"/>
        <v>4.5</v>
      </c>
      <c r="AC22" s="3">
        <f ca="1"/>
        <v>5</v>
      </c>
      <c r="AD22" s="3">
        <f ca="1"/>
        <v>2</v>
      </c>
      <c r="AE22" s="3">
        <f ca="1"/>
        <v>3</v>
      </c>
      <c r="AF22" s="3">
        <f ca="1"/>
        <v>2</v>
      </c>
      <c r="AG22" s="3" t="str">
        <f ca="1"/>
        <v>dfb09eef-1fa6-4165-a858-4a27aae8f0fe</v>
      </c>
    </row>
    <row r="23" spans="1:33" ht="14.4" customHeight="1" x14ac:dyDescent="0.3">
      <c r="A23" s="11" t="str">
        <f ca="1"/>
        <v>93d7662a-5a3c-422c-afc7-a82d318d2575</v>
      </c>
      <c r="D23" s="3">
        <f ca="1"/>
        <v>19</v>
      </c>
      <c r="E23" s="3">
        <f ca="1"/>
        <v>1</v>
      </c>
      <c r="F23" s="3">
        <f ca="1"/>
        <v>1</v>
      </c>
      <c r="G23" s="3">
        <f ca="1"/>
        <v>0</v>
      </c>
      <c r="H23" s="3">
        <f ca="1"/>
        <v>1</v>
      </c>
      <c r="I23" s="3">
        <f ca="1"/>
        <v>2.5</v>
      </c>
      <c r="J23" s="3" t="str">
        <f ca="1"/>
        <v>1 10 6</v>
      </c>
      <c r="K23" s="3">
        <f ca="1"/>
        <v>10</v>
      </c>
      <c r="L23" s="3" t="str">
        <f ca="1"/>
        <v>1 2 5 8</v>
      </c>
      <c r="M23" s="3">
        <f ca="1"/>
        <v>2</v>
      </c>
      <c r="N23" s="3" t="str">
        <f ca="1"/>
        <v>8 2 1</v>
      </c>
      <c r="O23" s="3">
        <f ca="1"/>
        <v>2</v>
      </c>
      <c r="P23" s="3">
        <f ca="1"/>
        <v>5</v>
      </c>
      <c r="Q23" s="3">
        <f ca="1"/>
        <v>0.37878787878787873</v>
      </c>
      <c r="R23" s="3">
        <f ca="1"/>
        <v>1</v>
      </c>
      <c r="S23" s="3">
        <f ca="1"/>
        <v>2</v>
      </c>
      <c r="T23" s="3">
        <f ca="1"/>
        <v>2</v>
      </c>
      <c r="U23" s="3">
        <f ca="1"/>
        <v>4</v>
      </c>
      <c r="V23" s="3">
        <f ca="1"/>
        <v>4</v>
      </c>
      <c r="W23" s="3">
        <f ca="1"/>
        <v>4</v>
      </c>
      <c r="X23" s="3">
        <f ca="1"/>
        <v>1</v>
      </c>
      <c r="Y23" s="3">
        <f ca="1"/>
        <v>2.5</v>
      </c>
      <c r="Z23" s="3">
        <f ca="1"/>
        <v>0.48106060606060608</v>
      </c>
      <c r="AA23" s="3">
        <f ca="1"/>
        <v>0.5</v>
      </c>
      <c r="AB23" s="3">
        <f ca="1"/>
        <v>4</v>
      </c>
      <c r="AC23" s="3">
        <f ca="1"/>
        <v>4</v>
      </c>
      <c r="AD23" s="3">
        <f ca="1"/>
        <v>2</v>
      </c>
      <c r="AE23" s="3">
        <f ca="1"/>
        <v>3</v>
      </c>
      <c r="AF23" s="3">
        <f ca="1"/>
        <v>1</v>
      </c>
      <c r="AG23" s="3" t="str">
        <f ca="1"/>
        <v>93d7662a-5a3c-422c-afc7-a82d318d2575</v>
      </c>
    </row>
    <row r="24" spans="1:33" ht="14.4" customHeight="1" x14ac:dyDescent="0.3">
      <c r="A24" s="11" t="str">
        <f ca="1"/>
        <v>b3152c2d-75f3-4a7e-84a7-6892aa2579a3</v>
      </c>
      <c r="D24" s="3">
        <f ca="1"/>
        <v>20</v>
      </c>
      <c r="E24" s="3">
        <f ca="1"/>
        <v>1</v>
      </c>
      <c r="F24" s="3">
        <f ca="1"/>
        <v>1</v>
      </c>
      <c r="G24" s="3">
        <f ca="1"/>
        <v>1</v>
      </c>
      <c r="H24" s="3">
        <f ca="1"/>
        <v>1</v>
      </c>
      <c r="I24" s="3">
        <f ca="1"/>
        <v>5</v>
      </c>
      <c r="J24" s="3" t="str">
        <f ca="1"/>
        <v>1 4 6 10</v>
      </c>
      <c r="K24" s="3">
        <f ca="1"/>
        <v>10</v>
      </c>
      <c r="L24" s="3" t="str">
        <f ca="1"/>
        <v>2 3 8</v>
      </c>
      <c r="M24" s="3">
        <f ca="1"/>
        <v>1</v>
      </c>
      <c r="N24" s="3" t="str">
        <f ca="1"/>
        <v>2 8</v>
      </c>
      <c r="O24" s="3">
        <f ca="1"/>
        <v>2</v>
      </c>
      <c r="P24" s="3">
        <f ca="1"/>
        <v>5</v>
      </c>
      <c r="Q24" s="3">
        <f ca="1"/>
        <v>0.37445887445887444</v>
      </c>
      <c r="R24" s="3">
        <f ca="1"/>
        <v>1</v>
      </c>
      <c r="S24" s="3">
        <f ca="1"/>
        <v>1</v>
      </c>
      <c r="T24" s="3">
        <f ca="1"/>
        <v>1</v>
      </c>
      <c r="U24" s="3">
        <f ca="1"/>
        <v>5</v>
      </c>
      <c r="V24" s="3">
        <f ca="1"/>
        <v>4</v>
      </c>
      <c r="W24" s="3">
        <f ca="1"/>
        <v>4</v>
      </c>
      <c r="X24" s="3">
        <f ca="1"/>
        <v>1</v>
      </c>
      <c r="Y24" s="3">
        <f ca="1"/>
        <v>2.5</v>
      </c>
      <c r="Z24" s="3">
        <f ca="1"/>
        <v>0.39393939393939392</v>
      </c>
      <c r="AA24" s="3">
        <f ca="1"/>
        <v>0.5625</v>
      </c>
      <c r="AB24" s="3">
        <f ca="1"/>
        <v>4</v>
      </c>
      <c r="AC24" s="3">
        <f ca="1"/>
        <v>4</v>
      </c>
      <c r="AD24" s="3">
        <f ca="1"/>
        <v>1</v>
      </c>
      <c r="AE24" s="3">
        <f ca="1"/>
        <v>4</v>
      </c>
      <c r="AF24" s="3">
        <f ca="1"/>
        <v>1</v>
      </c>
      <c r="AG24" s="3" t="str">
        <f ca="1"/>
        <v>b3152c2d-75f3-4a7e-84a7-6892aa2579a3</v>
      </c>
    </row>
    <row r="25" spans="1:33" ht="14.4" customHeight="1" x14ac:dyDescent="0.3">
      <c r="A25" s="11" t="str">
        <f ca="1"/>
        <v>e8ab8958-540e-46be-9eb2-fe6b0858825b</v>
      </c>
      <c r="D25" s="3">
        <f ca="1"/>
        <v>21</v>
      </c>
      <c r="E25" s="3">
        <f ca="1"/>
        <v>1</v>
      </c>
      <c r="F25" s="3">
        <f ca="1"/>
        <v>1</v>
      </c>
      <c r="G25" s="3">
        <f ca="1"/>
        <v>1</v>
      </c>
      <c r="H25" s="3">
        <f ca="1"/>
        <v>1</v>
      </c>
      <c r="I25" s="3">
        <f ca="1"/>
        <v>5</v>
      </c>
      <c r="J25" s="3" t="str">
        <f ca="1"/>
        <v>1 4 6 10</v>
      </c>
      <c r="K25" s="3">
        <f ca="1"/>
        <v>10</v>
      </c>
      <c r="L25" s="3" t="str">
        <f ca="1"/>
        <v>1 2 8 4</v>
      </c>
      <c r="M25" s="3">
        <f ca="1"/>
        <v>2</v>
      </c>
      <c r="N25" s="3" t="str">
        <f ca="1"/>
        <v>1 2 5 8</v>
      </c>
      <c r="O25" s="3">
        <f ca="1"/>
        <v>3</v>
      </c>
      <c r="P25" s="3">
        <f ca="1"/>
        <v>4</v>
      </c>
      <c r="Q25" s="3">
        <f ca="1"/>
        <v>0.30735930735930733</v>
      </c>
      <c r="R25" s="3">
        <f ca="1"/>
        <v>1</v>
      </c>
      <c r="S25" s="3">
        <f ca="1"/>
        <v>1</v>
      </c>
      <c r="T25" s="3">
        <f ca="1"/>
        <v>1</v>
      </c>
      <c r="U25" s="3">
        <f ca="1"/>
        <v>4</v>
      </c>
      <c r="V25" s="3">
        <f ca="1"/>
        <v>4</v>
      </c>
      <c r="W25" s="3">
        <f ca="1"/>
        <v>4</v>
      </c>
      <c r="X25" s="3">
        <f ca="1"/>
        <v>1</v>
      </c>
      <c r="Y25" s="3">
        <f ca="1"/>
        <v>2.5</v>
      </c>
      <c r="Z25" s="3">
        <f ca="1"/>
        <v>0.34848484848484851</v>
      </c>
      <c r="AA25" s="3">
        <f ca="1"/>
        <v>0.4375</v>
      </c>
      <c r="AB25" s="3">
        <f ca="1"/>
        <v>3.5</v>
      </c>
      <c r="AC25" s="3">
        <f ca="1"/>
        <v>4</v>
      </c>
      <c r="AD25" s="3">
        <f ca="1"/>
        <v>2</v>
      </c>
      <c r="AE25" s="3">
        <f ca="1"/>
        <v>5</v>
      </c>
      <c r="AF25" s="3">
        <f ca="1"/>
        <v>2</v>
      </c>
      <c r="AG25" s="3" t="str">
        <f ca="1"/>
        <v>e8ab8958-540e-46be-9eb2-fe6b0858825b</v>
      </c>
    </row>
    <row r="26" spans="1:33" ht="14.4" customHeight="1" x14ac:dyDescent="0.3">
      <c r="A26" s="11" t="str">
        <f ca="1"/>
        <v>a4be280b-c0cf-4edb-8b89-c305a4ab0503</v>
      </c>
      <c r="D26" s="3">
        <f ca="1"/>
        <v>22</v>
      </c>
      <c r="E26" s="3">
        <f ca="1"/>
        <v>1</v>
      </c>
      <c r="F26" s="3">
        <f ca="1"/>
        <v>0</v>
      </c>
      <c r="G26" s="3">
        <f ca="1"/>
        <v>1</v>
      </c>
      <c r="H26" s="3">
        <f ca="1"/>
        <v>1</v>
      </c>
      <c r="I26" s="3">
        <f ca="1"/>
        <v>2.5</v>
      </c>
      <c r="J26" s="3" t="str">
        <f ca="1"/>
        <v>1 2 4 6</v>
      </c>
      <c r="K26" s="3">
        <f ca="1"/>
        <v>10</v>
      </c>
      <c r="L26" s="3" t="str">
        <f ca="1"/>
        <v>8 2</v>
      </c>
      <c r="M26" s="3">
        <f ca="1"/>
        <v>1</v>
      </c>
      <c r="N26" s="3" t="str">
        <f ca="1"/>
        <v>2 4 8</v>
      </c>
      <c r="O26" s="3">
        <f ca="1"/>
        <v>2</v>
      </c>
      <c r="P26" s="3">
        <f ca="1"/>
        <v>4</v>
      </c>
      <c r="Q26" s="3">
        <f ca="1"/>
        <v>0.25324675324675322</v>
      </c>
      <c r="R26" s="3">
        <f ca="1"/>
        <v>1</v>
      </c>
      <c r="S26" s="3">
        <f ca="1"/>
        <v>1</v>
      </c>
      <c r="T26" s="3">
        <f ca="1"/>
        <v>1</v>
      </c>
      <c r="U26" s="3">
        <f ca="1"/>
        <v>4</v>
      </c>
      <c r="V26" s="3">
        <f ca="1"/>
        <v>3.5</v>
      </c>
      <c r="W26" s="3">
        <f ca="1"/>
        <v>4</v>
      </c>
      <c r="X26" s="3">
        <f ca="1"/>
        <v>1</v>
      </c>
      <c r="Y26" s="3">
        <f ca="1"/>
        <v>2.5</v>
      </c>
      <c r="Z26" s="3">
        <f ca="1"/>
        <v>0.26515151515151514</v>
      </c>
      <c r="AA26" s="3">
        <f ca="1"/>
        <v>0.3125</v>
      </c>
      <c r="AB26" s="3">
        <f ca="1"/>
        <v>4.5</v>
      </c>
      <c r="AC26" s="3">
        <f ca="1"/>
        <v>4</v>
      </c>
      <c r="AD26" s="3">
        <f ca="1"/>
        <v>2</v>
      </c>
      <c r="AE26" s="3">
        <f ca="1"/>
        <v>4</v>
      </c>
      <c r="AF26" s="3">
        <f ca="1"/>
        <v>2</v>
      </c>
      <c r="AG26" s="3" t="str">
        <f ca="1"/>
        <v>a4be280b-c0cf-4edb-8b89-c305a4ab0503</v>
      </c>
    </row>
    <row r="27" spans="1:33" ht="14.4" customHeight="1" x14ac:dyDescent="0.3">
      <c r="A27" s="11" t="str">
        <f ca="1"/>
        <v>a1c34173-05af-4549-b705-3a7faec0214e</v>
      </c>
      <c r="D27" s="3">
        <f ca="1"/>
        <v>23</v>
      </c>
      <c r="E27" s="3">
        <f ca="1"/>
        <v>1</v>
      </c>
      <c r="F27" s="3">
        <f ca="1"/>
        <v>1</v>
      </c>
      <c r="G27" s="3">
        <f ca="1"/>
        <v>1</v>
      </c>
      <c r="H27" s="3">
        <f ca="1"/>
        <v>1</v>
      </c>
      <c r="I27" s="3">
        <f ca="1"/>
        <v>5</v>
      </c>
      <c r="J27" s="3" t="str">
        <f ca="1"/>
        <v>1 4 6 7</v>
      </c>
      <c r="K27" s="3">
        <f ca="1"/>
        <v>10</v>
      </c>
      <c r="L27" s="3" t="str">
        <f ca="1"/>
        <v>2 8 4</v>
      </c>
      <c r="M27" s="3">
        <f ca="1"/>
        <v>1</v>
      </c>
      <c r="N27" s="3" t="str">
        <f ca="1"/>
        <v>2 8 4</v>
      </c>
      <c r="O27" s="3">
        <f ca="1"/>
        <v>2</v>
      </c>
      <c r="P27" s="3">
        <f ca="1"/>
        <v>4</v>
      </c>
      <c r="Q27" s="3">
        <f ca="1"/>
        <v>0.33116883116883117</v>
      </c>
      <c r="R27" s="3">
        <f ca="1"/>
        <v>1</v>
      </c>
      <c r="S27" s="3">
        <f ca="1"/>
        <v>1</v>
      </c>
      <c r="T27" s="3">
        <f ca="1"/>
        <v>1</v>
      </c>
      <c r="U27" s="3">
        <f ca="1"/>
        <v>4</v>
      </c>
      <c r="V27" s="3">
        <f ca="1"/>
        <v>4</v>
      </c>
      <c r="W27" s="3">
        <f ca="1"/>
        <v>4</v>
      </c>
      <c r="X27" s="3">
        <f ca="1"/>
        <v>1</v>
      </c>
      <c r="Y27" s="3">
        <f ca="1"/>
        <v>2.5</v>
      </c>
      <c r="Z27" s="3">
        <f ca="1"/>
        <v>0.35227272727272729</v>
      </c>
      <c r="AA27" s="3">
        <f ca="1"/>
        <v>0.5</v>
      </c>
      <c r="AB27" s="3">
        <f ca="1"/>
        <v>4.5</v>
      </c>
      <c r="AC27" s="3">
        <f ca="1"/>
        <v>5</v>
      </c>
      <c r="AD27" s="3">
        <f ca="1"/>
        <v>1</v>
      </c>
      <c r="AE27" s="3">
        <f ca="1"/>
        <v>3</v>
      </c>
      <c r="AF27" s="3">
        <f ca="1"/>
        <v>1</v>
      </c>
      <c r="AG27" s="3" t="str">
        <f ca="1"/>
        <v>a1c34173-05af-4549-b705-3a7faec0214e</v>
      </c>
    </row>
    <row r="28" spans="1:33" ht="14.4" customHeight="1" x14ac:dyDescent="0.3">
      <c r="A28" s="11" t="str">
        <f ca="1"/>
        <v>14c27678-89b4-49d5-91a2-7e489b1a8ef3</v>
      </c>
      <c r="D28" s="3">
        <f ca="1"/>
        <v>24</v>
      </c>
      <c r="E28" s="3">
        <f ca="1"/>
        <v>1</v>
      </c>
      <c r="F28" s="3">
        <f ca="1"/>
        <v>1</v>
      </c>
      <c r="G28" s="3">
        <f ca="1"/>
        <v>1</v>
      </c>
      <c r="H28" s="3">
        <f ca="1"/>
        <v>1</v>
      </c>
      <c r="I28" s="3">
        <f ca="1"/>
        <v>5</v>
      </c>
      <c r="J28" s="3" t="str">
        <f ca="1"/>
        <v>7 4 1 2 6</v>
      </c>
      <c r="K28" s="3">
        <f ca="1"/>
        <v>15</v>
      </c>
      <c r="L28" s="3" t="str">
        <f ca="1"/>
        <v>1 2 5 99</v>
      </c>
      <c r="M28" s="3">
        <f ca="1"/>
        <v>2</v>
      </c>
      <c r="N28" s="3" t="str">
        <f ca="1"/>
        <v>1 5</v>
      </c>
      <c r="O28" s="3">
        <f ca="1"/>
        <v>2</v>
      </c>
      <c r="P28" s="3">
        <f ca="1"/>
        <v>5</v>
      </c>
      <c r="Q28" s="3">
        <f ca="1"/>
        <v>0.36147186147186144</v>
      </c>
      <c r="R28" s="3">
        <f ca="1"/>
        <v>1</v>
      </c>
      <c r="S28" s="3">
        <f ca="1"/>
        <v>1</v>
      </c>
      <c r="T28" s="3">
        <f ca="1"/>
        <v>4</v>
      </c>
      <c r="U28" s="3">
        <f ca="1"/>
        <v>3</v>
      </c>
      <c r="V28" s="3">
        <f ca="1"/>
        <v>4</v>
      </c>
      <c r="W28" s="3">
        <f ca="1"/>
        <v>4</v>
      </c>
      <c r="X28" s="3">
        <f ca="1"/>
        <v>2</v>
      </c>
      <c r="Y28" s="3">
        <f ca="1"/>
        <v>3</v>
      </c>
      <c r="Z28" s="3">
        <f ca="1"/>
        <v>0.39393939393939392</v>
      </c>
      <c r="AA28" s="3">
        <f ca="1"/>
        <v>0.5</v>
      </c>
      <c r="AB28" s="3">
        <f ca="1"/>
        <v>4.5</v>
      </c>
      <c r="AC28" s="3">
        <f ca="1"/>
        <v>5</v>
      </c>
      <c r="AD28" s="3">
        <f ca="1"/>
        <v>1</v>
      </c>
      <c r="AE28" s="3">
        <f ca="1"/>
        <v>4</v>
      </c>
      <c r="AF28" s="3">
        <f ca="1"/>
        <v>1</v>
      </c>
      <c r="AG28" s="3" t="str">
        <f ca="1"/>
        <v>14c27678-89b4-49d5-91a2-7e489b1a8ef3</v>
      </c>
    </row>
    <row r="29" spans="1:33" ht="14.4" customHeight="1" x14ac:dyDescent="0.3">
      <c r="A29" s="11" t="str">
        <f ca="1"/>
        <v>7f0eee78-36dc-4c63-ad52-e671799433e8</v>
      </c>
      <c r="D29" s="3">
        <f ca="1"/>
        <v>25</v>
      </c>
      <c r="E29" s="3">
        <f ca="1"/>
        <v>1</v>
      </c>
      <c r="F29" s="3">
        <f ca="1"/>
        <v>1</v>
      </c>
      <c r="G29" s="3">
        <f ca="1"/>
        <v>1</v>
      </c>
      <c r="H29" s="3">
        <f ca="1"/>
        <v>1</v>
      </c>
      <c r="I29" s="3">
        <f ca="1"/>
        <v>5</v>
      </c>
      <c r="J29" s="3" t="str">
        <f ca="1"/>
        <v>1 2 4 6 7</v>
      </c>
      <c r="K29" s="3">
        <f ca="1"/>
        <v>15</v>
      </c>
      <c r="L29" s="3" t="str">
        <f ca="1"/>
        <v>1 2 3 5 8</v>
      </c>
      <c r="M29" s="3">
        <f ca="1"/>
        <v>2</v>
      </c>
      <c r="N29" s="3" t="str">
        <f ca="1"/>
        <v>1 2 5</v>
      </c>
      <c r="O29" s="3">
        <f ca="1"/>
        <v>2</v>
      </c>
      <c r="P29" s="3">
        <f ca="1"/>
        <v>4</v>
      </c>
      <c r="Q29" s="3">
        <f ca="1"/>
        <v>0.33766233766233761</v>
      </c>
      <c r="R29" s="3">
        <f ca="1"/>
        <v>1</v>
      </c>
      <c r="S29" s="3">
        <f ca="1"/>
        <v>2</v>
      </c>
      <c r="T29" s="3">
        <f ca="1"/>
        <v>3</v>
      </c>
      <c r="U29" s="3">
        <f ca="1"/>
        <v>3</v>
      </c>
      <c r="V29" s="3">
        <f ca="1"/>
        <v>2.5</v>
      </c>
      <c r="W29" s="3">
        <f ca="1"/>
        <v>4</v>
      </c>
      <c r="X29" s="3">
        <f ca="1"/>
        <v>2.5</v>
      </c>
      <c r="Y29" s="3">
        <f ca="1"/>
        <v>3</v>
      </c>
      <c r="Z29" s="3">
        <f ca="1"/>
        <v>0.43939393939393934</v>
      </c>
      <c r="AA29" s="3">
        <f ca="1"/>
        <v>0.4375</v>
      </c>
      <c r="AB29" s="3">
        <f ca="1"/>
        <v>2.5</v>
      </c>
      <c r="AC29" s="3">
        <f ca="1"/>
        <v>4</v>
      </c>
      <c r="AD29" s="3">
        <f ca="1"/>
        <v>2</v>
      </c>
      <c r="AE29" s="3">
        <f ca="1"/>
        <v>4</v>
      </c>
      <c r="AF29" s="3">
        <f ca="1"/>
        <v>3</v>
      </c>
      <c r="AG29" s="3" t="str">
        <f ca="1"/>
        <v>7f0eee78-36dc-4c63-ad52-e671799433e8</v>
      </c>
    </row>
    <row r="30" spans="1:33" ht="14.4" customHeight="1" x14ac:dyDescent="0.3">
      <c r="A30" s="11" t="str">
        <f ca="1"/>
        <v>ebdf6388-a4f9-480e-b21d-125887cebe4e</v>
      </c>
      <c r="D30" s="3">
        <f ca="1"/>
        <v>26</v>
      </c>
      <c r="E30" s="3">
        <f ca="1"/>
        <v>1</v>
      </c>
      <c r="F30" s="3">
        <f ca="1"/>
        <v>1</v>
      </c>
      <c r="G30" s="3">
        <f ca="1"/>
        <v>1</v>
      </c>
      <c r="H30" s="3">
        <f ca="1"/>
        <v>1</v>
      </c>
      <c r="I30" s="3">
        <f ca="1"/>
        <v>5</v>
      </c>
      <c r="J30" s="3" t="str">
        <f ca="1"/>
        <v>1 2 5 6 10</v>
      </c>
      <c r="K30" s="3">
        <f ca="1"/>
        <v>15</v>
      </c>
      <c r="L30" s="3" t="str">
        <f ca="1"/>
        <v>1 2 3</v>
      </c>
      <c r="M30" s="3">
        <f ca="1"/>
        <v>1</v>
      </c>
      <c r="N30" s="3" t="str">
        <f ca="1"/>
        <v>1 2 3 5</v>
      </c>
      <c r="O30" s="3">
        <f ca="1"/>
        <v>3</v>
      </c>
      <c r="P30" s="3">
        <f ca="1"/>
        <v>4</v>
      </c>
      <c r="Q30" s="3">
        <f ca="1"/>
        <v>0.367965367965368</v>
      </c>
      <c r="R30" s="3">
        <f ca="1"/>
        <v>1</v>
      </c>
      <c r="S30" s="3">
        <f ca="1"/>
        <v>2</v>
      </c>
      <c r="T30" s="3">
        <f ca="1"/>
        <v>2</v>
      </c>
      <c r="U30" s="3">
        <f ca="1"/>
        <v>3</v>
      </c>
      <c r="V30" s="3">
        <f ca="1"/>
        <v>3</v>
      </c>
      <c r="W30" s="3">
        <f ca="1"/>
        <v>4</v>
      </c>
      <c r="X30" s="3">
        <f ca="1"/>
        <v>1.5</v>
      </c>
      <c r="Y30" s="3">
        <f ca="1"/>
        <v>2.5</v>
      </c>
      <c r="Z30" s="3">
        <f ca="1"/>
        <v>0.48106060606060608</v>
      </c>
      <c r="AA30" s="3">
        <f ca="1"/>
        <v>0.3125</v>
      </c>
      <c r="AB30" s="3">
        <f ca="1"/>
        <v>2.5</v>
      </c>
      <c r="AC30" s="3">
        <f ca="1"/>
        <v>3</v>
      </c>
      <c r="AD30" s="3">
        <f ca="1"/>
        <v>2</v>
      </c>
      <c r="AE30" s="3">
        <f ca="1"/>
        <v>3</v>
      </c>
      <c r="AF30" s="3">
        <f ca="1"/>
        <v>3</v>
      </c>
      <c r="AG30" s="3" t="str">
        <f ca="1"/>
        <v>ebdf6388-a4f9-480e-b21d-125887cebe4e</v>
      </c>
    </row>
    <row r="31" spans="1:33" ht="14.4" customHeight="1" x14ac:dyDescent="0.3">
      <c r="A31" s="11" t="str">
        <f ca="1"/>
        <v>676dae4f-7f11-4b0e-8aa9-2413c8af3f17</v>
      </c>
      <c r="D31" s="3">
        <f ca="1"/>
        <v>27</v>
      </c>
      <c r="E31" s="3">
        <f ca="1"/>
        <v>1</v>
      </c>
      <c r="F31" s="3">
        <f ca="1"/>
        <v>1</v>
      </c>
      <c r="G31" s="3">
        <f ca="1"/>
        <v>1</v>
      </c>
      <c r="H31" s="3">
        <f ca="1"/>
        <v>1</v>
      </c>
      <c r="I31" s="3">
        <f ca="1"/>
        <v>5</v>
      </c>
      <c r="J31" s="3" t="str">
        <f ca="1"/>
        <v>1 2</v>
      </c>
      <c r="K31" s="3">
        <f ca="1"/>
        <v>5</v>
      </c>
      <c r="L31" s="3" t="str">
        <f ca="1"/>
        <v>1 3</v>
      </c>
      <c r="M31" s="3">
        <f ca="1"/>
        <v>1</v>
      </c>
      <c r="N31" s="3" t="str">
        <f ca="1"/>
        <v>2 1</v>
      </c>
      <c r="O31" s="3">
        <f ca="1"/>
        <v>2</v>
      </c>
      <c r="P31" s="3">
        <f ca="1"/>
        <v>4</v>
      </c>
      <c r="Q31" s="3">
        <f ca="1"/>
        <v>0.1688311688311688</v>
      </c>
      <c r="R31" s="3">
        <f ca="1"/>
        <v>1</v>
      </c>
      <c r="S31" s="3">
        <f ca="1"/>
        <v>1</v>
      </c>
      <c r="T31" s="3">
        <f ca="1"/>
        <v>2</v>
      </c>
      <c r="U31" s="3">
        <f ca="1"/>
        <v>3</v>
      </c>
      <c r="V31" s="3">
        <f ca="1"/>
        <v>3</v>
      </c>
      <c r="W31" s="3">
        <f ca="1"/>
        <v>5</v>
      </c>
      <c r="X31" s="3">
        <f ca="1"/>
        <v>1</v>
      </c>
      <c r="Y31" s="3">
        <f ca="1"/>
        <v>2.5</v>
      </c>
      <c r="Z31" s="3">
        <f ca="1"/>
        <v>0.30303030303030298</v>
      </c>
      <c r="AA31" s="3">
        <f ca="1"/>
        <v>0.5</v>
      </c>
      <c r="AB31" s="3">
        <f ca="1"/>
        <v>3</v>
      </c>
      <c r="AC31" s="3">
        <f ca="1"/>
        <v>5</v>
      </c>
      <c r="AD31" s="3">
        <f ca="1"/>
        <v>2</v>
      </c>
      <c r="AE31" s="3">
        <f ca="1"/>
        <v>3</v>
      </c>
      <c r="AF31" s="3">
        <f ca="1"/>
        <v>2</v>
      </c>
      <c r="AG31" s="3" t="str">
        <f ca="1"/>
        <v>676dae4f-7f11-4b0e-8aa9-2413c8af3f17</v>
      </c>
    </row>
    <row r="32" spans="1:33" ht="14.4" customHeight="1" x14ac:dyDescent="0.3">
      <c r="A32" s="11" t="str">
        <f ca="1"/>
        <v>c26908ee-c899-4d49-8fee-cae054ac8947</v>
      </c>
      <c r="D32" s="3">
        <f ca="1"/>
        <v>28</v>
      </c>
      <c r="E32" s="3">
        <f ca="1"/>
        <v>1</v>
      </c>
      <c r="F32" s="3">
        <f ca="1"/>
        <v>1</v>
      </c>
      <c r="G32" s="3">
        <f ca="1"/>
        <v>1</v>
      </c>
      <c r="H32" s="3">
        <f ca="1"/>
        <v>1</v>
      </c>
      <c r="I32" s="3">
        <f ca="1"/>
        <v>5</v>
      </c>
      <c r="J32" s="3" t="str">
        <f ca="1"/>
        <v>1 2 4</v>
      </c>
      <c r="K32" s="3">
        <f ca="1"/>
        <v>10</v>
      </c>
      <c r="L32" s="3" t="str">
        <f ca="1"/>
        <v>2 1 3 5</v>
      </c>
      <c r="M32" s="3">
        <f ca="1"/>
        <v>2</v>
      </c>
      <c r="N32" s="3" t="str">
        <f ca="1"/>
        <v>1 2 3</v>
      </c>
      <c r="O32" s="3">
        <f ca="1"/>
        <v>2</v>
      </c>
      <c r="P32" s="3">
        <f ca="1"/>
        <v>4</v>
      </c>
      <c r="Q32" s="3">
        <f ca="1"/>
        <v>0.22294372294372292</v>
      </c>
      <c r="R32" s="3">
        <f ca="1"/>
        <v>1</v>
      </c>
      <c r="S32" s="3">
        <f ca="1"/>
        <v>1</v>
      </c>
      <c r="T32" s="3">
        <f ca="1"/>
        <v>2</v>
      </c>
      <c r="U32" s="3">
        <f ca="1"/>
        <v>4</v>
      </c>
      <c r="V32" s="3">
        <f ca="1"/>
        <v>3.5</v>
      </c>
      <c r="W32" s="3">
        <f ca="1"/>
        <v>4</v>
      </c>
      <c r="X32" s="3">
        <f ca="1"/>
        <v>1</v>
      </c>
      <c r="Y32" s="3">
        <f ca="1"/>
        <v>2.5</v>
      </c>
      <c r="Z32" s="3">
        <f ca="1"/>
        <v>0.26136363636363635</v>
      </c>
      <c r="AA32" s="3">
        <f ca="1"/>
        <v>0.625</v>
      </c>
      <c r="AB32" s="3">
        <f ca="1"/>
        <v>3</v>
      </c>
      <c r="AC32" s="3">
        <f ca="1"/>
        <v>5</v>
      </c>
      <c r="AD32" s="3">
        <f ca="1"/>
        <v>1</v>
      </c>
      <c r="AE32" s="3">
        <f ca="1"/>
        <v>3</v>
      </c>
      <c r="AF32" s="3">
        <f ca="1"/>
        <v>2</v>
      </c>
      <c r="AG32" s="3" t="str">
        <f ca="1"/>
        <v>c26908ee-c899-4d49-8fee-cae054ac8947</v>
      </c>
    </row>
    <row r="33" spans="1:33" ht="14.4" customHeight="1" x14ac:dyDescent="0.3">
      <c r="A33" s="11" t="str">
        <f ca="1"/>
        <v>6b9ac6a2-1a1d-49a2-9605-4305c41bd7e7</v>
      </c>
      <c r="D33" s="3">
        <f ca="1"/>
        <v>29</v>
      </c>
      <c r="E33" s="3">
        <f ca="1"/>
        <v>1</v>
      </c>
      <c r="F33" s="3">
        <f ca="1"/>
        <v>1</v>
      </c>
      <c r="G33" s="3">
        <f ca="1"/>
        <v>1</v>
      </c>
      <c r="H33" s="3">
        <f ca="1"/>
        <v>0</v>
      </c>
      <c r="I33" s="3">
        <f ca="1"/>
        <v>2.5</v>
      </c>
      <c r="J33" s="3" t="str">
        <f ca="1"/>
        <v>1 4 6 10</v>
      </c>
      <c r="K33" s="3">
        <f ca="1"/>
        <v>10</v>
      </c>
      <c r="L33" s="3" t="str">
        <f ca="1"/>
        <v>1 5</v>
      </c>
      <c r="M33" s="3">
        <f ca="1"/>
        <v>1</v>
      </c>
      <c r="N33" s="3" t="str">
        <f ca="1"/>
        <v>1 2</v>
      </c>
      <c r="O33" s="3">
        <f ca="1"/>
        <v>2</v>
      </c>
      <c r="P33" s="3">
        <f ca="1"/>
        <v>4</v>
      </c>
      <c r="Q33" s="3">
        <f ca="1"/>
        <v>0.16233766233766234</v>
      </c>
      <c r="R33" s="3">
        <f ca="1"/>
        <v>1</v>
      </c>
      <c r="S33" s="3">
        <f ca="1"/>
        <v>1</v>
      </c>
      <c r="T33" s="3">
        <f ca="1"/>
        <v>2</v>
      </c>
      <c r="U33" s="3">
        <f ca="1"/>
        <v>4</v>
      </c>
      <c r="V33" s="3">
        <f ca="1"/>
        <v>3</v>
      </c>
      <c r="W33" s="3">
        <f ca="1"/>
        <v>5</v>
      </c>
      <c r="X33" s="3">
        <f ca="1"/>
        <v>1</v>
      </c>
      <c r="Y33" s="3">
        <f ca="1"/>
        <v>2.5</v>
      </c>
      <c r="Z33" s="3">
        <f ca="1"/>
        <v>0.17803030303030301</v>
      </c>
      <c r="AA33" s="3">
        <f ca="1"/>
        <v>0.4375</v>
      </c>
      <c r="AB33" s="3">
        <f ca="1"/>
        <v>3</v>
      </c>
      <c r="AC33" s="3">
        <f ca="1"/>
        <v>4</v>
      </c>
      <c r="AD33" s="3">
        <f ca="1"/>
        <v>1</v>
      </c>
      <c r="AE33" s="3">
        <f ca="1"/>
        <v>3</v>
      </c>
      <c r="AF33" s="3">
        <f ca="1"/>
        <v>2</v>
      </c>
      <c r="AG33" s="3" t="str">
        <f ca="1"/>
        <v>6b9ac6a2-1a1d-49a2-9605-4305c41bd7e7</v>
      </c>
    </row>
    <row r="34" spans="1:33" ht="14.4" customHeight="1" x14ac:dyDescent="0.3">
      <c r="A34" s="11" t="str">
        <f ca="1"/>
        <v>0be421eb-bd46-4151-b837-cab911ebacfe</v>
      </c>
      <c r="D34" s="3">
        <f ca="1"/>
        <v>30</v>
      </c>
      <c r="E34" s="3">
        <f ca="1"/>
        <v>1</v>
      </c>
      <c r="F34" s="3">
        <f ca="1"/>
        <v>0</v>
      </c>
      <c r="G34" s="3">
        <f ca="1"/>
        <v>1</v>
      </c>
      <c r="H34" s="3">
        <f ca="1"/>
        <v>0</v>
      </c>
      <c r="I34" s="3">
        <f ca="1"/>
        <v>0</v>
      </c>
      <c r="J34" s="3" t="str">
        <f ca="1"/>
        <v>1 4</v>
      </c>
      <c r="K34" s="3">
        <f ca="1"/>
        <v>5</v>
      </c>
      <c r="L34" s="3">
        <f ca="1"/>
        <v>2</v>
      </c>
      <c r="M34" s="3">
        <f ca="1"/>
        <v>0</v>
      </c>
      <c r="N34" s="3">
        <f ca="1"/>
        <v>5</v>
      </c>
      <c r="O34" s="3">
        <f ca="1"/>
        <v>1</v>
      </c>
      <c r="P34" s="3">
        <f ca="1"/>
        <v>3</v>
      </c>
      <c r="Q34" s="3">
        <f ca="1"/>
        <v>0.19913419913419914</v>
      </c>
      <c r="R34" s="3">
        <f ca="1"/>
        <v>1</v>
      </c>
      <c r="S34" s="3">
        <f ca="1"/>
        <v>1</v>
      </c>
      <c r="T34" s="3">
        <f ca="1"/>
        <v>1</v>
      </c>
      <c r="U34" s="3">
        <f ca="1"/>
        <v>3</v>
      </c>
      <c r="V34" s="3">
        <f ca="1"/>
        <v>2.5</v>
      </c>
      <c r="W34" s="3">
        <f ca="1"/>
        <v>4</v>
      </c>
      <c r="X34" s="3">
        <f ca="1"/>
        <v>1</v>
      </c>
      <c r="Y34" s="3">
        <f ca="1"/>
        <v>2.5</v>
      </c>
      <c r="Z34" s="3">
        <f ca="1"/>
        <v>0.26136363636363635</v>
      </c>
      <c r="AA34" s="3">
        <f ca="1"/>
        <v>0.4375</v>
      </c>
      <c r="AB34" s="3">
        <f ca="1"/>
        <v>4.5</v>
      </c>
      <c r="AC34" s="3">
        <f ca="1"/>
        <v>4</v>
      </c>
      <c r="AD34" s="3">
        <f ca="1"/>
        <v>2</v>
      </c>
      <c r="AE34" s="3">
        <f ca="1"/>
        <v>1</v>
      </c>
      <c r="AF34" s="3">
        <f ca="1"/>
        <v>1</v>
      </c>
      <c r="AG34" s="3" t="str">
        <f ca="1"/>
        <v>0be421eb-bd46-4151-b837-cab911ebacfe</v>
      </c>
    </row>
    <row r="35" spans="1:33" ht="14.4" customHeight="1" x14ac:dyDescent="0.3">
      <c r="A35" s="11" t="str">
        <f ca="1"/>
        <v>fc58494f-3c02-4524-9470-8ae1503695b6</v>
      </c>
      <c r="D35" s="3">
        <f ca="1"/>
        <v>31</v>
      </c>
      <c r="E35" s="3">
        <f ca="1"/>
        <v>1</v>
      </c>
      <c r="F35" s="3">
        <f ca="1"/>
        <v>1</v>
      </c>
      <c r="G35" s="3">
        <f ca="1"/>
        <v>0</v>
      </c>
      <c r="H35" s="3">
        <f ca="1"/>
        <v>1</v>
      </c>
      <c r="I35" s="3">
        <f ca="1"/>
        <v>2.5</v>
      </c>
      <c r="J35" s="3" t="str">
        <f ca="1"/>
        <v>1 4</v>
      </c>
      <c r="K35" s="3">
        <f ca="1"/>
        <v>5</v>
      </c>
      <c r="L35" s="3" t="str">
        <f ca="1"/>
        <v>1 3 5</v>
      </c>
      <c r="M35" s="3">
        <f ca="1"/>
        <v>1</v>
      </c>
      <c r="N35" s="3" t="str">
        <f ca="1"/>
        <v>1 2</v>
      </c>
      <c r="O35" s="3">
        <f ca="1"/>
        <v>2</v>
      </c>
      <c r="P35" s="3">
        <f ca="1"/>
        <v>5</v>
      </c>
      <c r="Q35" s="3">
        <f ca="1"/>
        <v>0.25324675324675328</v>
      </c>
      <c r="R35" s="3">
        <f ca="1"/>
        <v>1</v>
      </c>
      <c r="S35" s="3">
        <f ca="1"/>
        <v>1</v>
      </c>
      <c r="T35" s="3">
        <f ca="1"/>
        <v>2</v>
      </c>
      <c r="U35" s="3">
        <f ca="1"/>
        <v>5</v>
      </c>
      <c r="V35" s="3">
        <f ca="1"/>
        <v>3</v>
      </c>
      <c r="W35" s="3">
        <f ca="1"/>
        <v>4</v>
      </c>
      <c r="X35" s="3">
        <f ca="1"/>
        <v>1</v>
      </c>
      <c r="Y35" s="3">
        <f ca="1"/>
        <v>3</v>
      </c>
      <c r="Z35" s="3">
        <f ca="1"/>
        <v>0.17424242424242425</v>
      </c>
      <c r="AA35" s="3">
        <f ca="1"/>
        <v>0.5</v>
      </c>
      <c r="AB35" s="3">
        <f ca="1"/>
        <v>3</v>
      </c>
      <c r="AC35" s="3">
        <f ca="1"/>
        <v>5</v>
      </c>
      <c r="AD35" s="3">
        <f ca="1"/>
        <v>2</v>
      </c>
      <c r="AE35" s="3">
        <f ca="1"/>
        <v>4</v>
      </c>
      <c r="AF35" s="3">
        <f ca="1"/>
        <v>1</v>
      </c>
      <c r="AG35" s="3" t="str">
        <f ca="1"/>
        <v>fc58494f-3c02-4524-9470-8ae1503695b6</v>
      </c>
    </row>
    <row r="36" spans="1:33" ht="14.4" customHeight="1" x14ac:dyDescent="0.3">
      <c r="A36" s="11" t="str">
        <f ca="1"/>
        <v>e183fbd8-91ed-4e56-94de-13241b1178d6</v>
      </c>
      <c r="D36" s="3">
        <f ca="1"/>
        <v>32</v>
      </c>
      <c r="E36" s="3">
        <f ca="1"/>
        <v>1</v>
      </c>
      <c r="F36" s="3">
        <f ca="1"/>
        <v>1</v>
      </c>
      <c r="G36" s="3">
        <f ca="1"/>
        <v>1</v>
      </c>
      <c r="H36" s="3">
        <f ca="1"/>
        <v>1</v>
      </c>
      <c r="I36" s="3">
        <f ca="1"/>
        <v>5</v>
      </c>
      <c r="J36" s="3" t="str">
        <f ca="1"/>
        <v>1 2 4 6</v>
      </c>
      <c r="K36" s="3">
        <f ca="1"/>
        <v>10</v>
      </c>
      <c r="L36" s="3" t="str">
        <f ca="1"/>
        <v>1 2 5</v>
      </c>
      <c r="M36" s="3">
        <f ca="1"/>
        <v>1</v>
      </c>
      <c r="N36" s="3" t="str">
        <f ca="1"/>
        <v>1 2 5</v>
      </c>
      <c r="O36" s="3">
        <f ca="1"/>
        <v>2</v>
      </c>
      <c r="P36" s="3">
        <f ca="1"/>
        <v>5</v>
      </c>
      <c r="Q36" s="3">
        <f ca="1"/>
        <v>0.22294372294372297</v>
      </c>
      <c r="R36" s="3">
        <f ca="1"/>
        <v>1</v>
      </c>
      <c r="S36" s="3">
        <f ca="1"/>
        <v>1</v>
      </c>
      <c r="T36" s="3">
        <f ca="1"/>
        <v>1</v>
      </c>
      <c r="U36" s="3">
        <f ca="1"/>
        <v>5</v>
      </c>
      <c r="V36" s="3">
        <f ca="1"/>
        <v>4</v>
      </c>
      <c r="W36" s="3">
        <f ca="1"/>
        <v>5</v>
      </c>
      <c r="X36" s="3">
        <f ca="1"/>
        <v>1</v>
      </c>
      <c r="Y36" s="3">
        <f ca="1"/>
        <v>3</v>
      </c>
      <c r="Z36" s="3">
        <f ca="1"/>
        <v>0.34848484848484851</v>
      </c>
      <c r="AA36" s="3">
        <f ca="1"/>
        <v>0.625</v>
      </c>
      <c r="AB36" s="3">
        <f ca="1"/>
        <v>4</v>
      </c>
      <c r="AC36" s="3">
        <f ca="1"/>
        <v>5</v>
      </c>
      <c r="AD36" s="3">
        <f ca="1"/>
        <v>2</v>
      </c>
      <c r="AE36" s="3">
        <f ca="1"/>
        <v>3</v>
      </c>
      <c r="AF36" s="3">
        <f ca="1"/>
        <v>2</v>
      </c>
      <c r="AG36" s="3" t="str">
        <f ca="1"/>
        <v>e183fbd8-91ed-4e56-94de-13241b1178d6</v>
      </c>
    </row>
    <row r="37" spans="1:33" ht="14.4" customHeight="1" x14ac:dyDescent="0.3">
      <c r="A37" s="11" t="str">
        <f ca="1"/>
        <v>ce2fb8da-fd03-42a5-a146-91894b229558</v>
      </c>
      <c r="D37" s="3">
        <f ca="1"/>
        <v>33</v>
      </c>
      <c r="E37" s="3">
        <f ca="1"/>
        <v>1</v>
      </c>
      <c r="F37" s="3">
        <f ca="1"/>
        <v>0</v>
      </c>
      <c r="G37" s="3">
        <f ca="1"/>
        <v>1</v>
      </c>
      <c r="H37" s="3">
        <f ca="1"/>
        <v>0</v>
      </c>
      <c r="I37" s="3">
        <f ca="1"/>
        <v>0</v>
      </c>
      <c r="J37" s="3" t="str">
        <f ca="1"/>
        <v>1 4 6</v>
      </c>
      <c r="K37" s="3">
        <f ca="1"/>
        <v>10</v>
      </c>
      <c r="L37" s="3" t="str">
        <f ca="1"/>
        <v>1 2 8 5</v>
      </c>
      <c r="M37" s="3">
        <f ca="1"/>
        <v>2</v>
      </c>
      <c r="N37" s="3" t="str">
        <f ca="1"/>
        <v>1 2 5</v>
      </c>
      <c r="O37" s="3">
        <f ca="1"/>
        <v>2</v>
      </c>
      <c r="P37" s="3">
        <f ca="1"/>
        <v>5</v>
      </c>
      <c r="Q37" s="3">
        <f ca="1"/>
        <v>0.24675324675324672</v>
      </c>
      <c r="R37" s="3">
        <f ca="1"/>
        <v>1</v>
      </c>
      <c r="S37" s="3">
        <f ca="1"/>
        <v>1</v>
      </c>
      <c r="T37" s="3">
        <f ca="1"/>
        <v>1</v>
      </c>
      <c r="U37" s="3">
        <f ca="1"/>
        <v>5</v>
      </c>
      <c r="V37" s="3">
        <f ca="1"/>
        <v>4</v>
      </c>
      <c r="W37" s="3">
        <f ca="1"/>
        <v>5</v>
      </c>
      <c r="X37" s="3">
        <f ca="1"/>
        <v>1</v>
      </c>
      <c r="Y37" s="3">
        <f ca="1"/>
        <v>3</v>
      </c>
      <c r="Z37" s="3">
        <f ca="1"/>
        <v>0.26136363636363635</v>
      </c>
      <c r="AA37" s="3">
        <f ca="1"/>
        <v>0.625</v>
      </c>
      <c r="AB37" s="3">
        <f ca="1"/>
        <v>4</v>
      </c>
      <c r="AC37" s="3">
        <f ca="1"/>
        <v>5</v>
      </c>
      <c r="AD37" s="3">
        <f ca="1"/>
        <v>1</v>
      </c>
      <c r="AE37" s="3">
        <f ca="1"/>
        <v>5</v>
      </c>
      <c r="AF37" s="3">
        <f ca="1"/>
        <v>2</v>
      </c>
      <c r="AG37" s="3" t="str">
        <f ca="1"/>
        <v>ce2fb8da-fd03-42a5-a146-91894b229558</v>
      </c>
    </row>
    <row r="38" spans="1:33" ht="14.4" customHeight="1" x14ac:dyDescent="0.3">
      <c r="A38" s="11" t="str">
        <f ca="1"/>
        <v>c310c893-4439-47c7-823a-234d6261be7a</v>
      </c>
      <c r="D38" s="3">
        <f ca="1"/>
        <v>34</v>
      </c>
      <c r="E38" s="3">
        <f ca="1"/>
        <v>1</v>
      </c>
      <c r="F38" s="3">
        <f ca="1"/>
        <v>1</v>
      </c>
      <c r="G38" s="3">
        <f ca="1"/>
        <v>1</v>
      </c>
      <c r="H38" s="3">
        <f ca="1"/>
        <v>1</v>
      </c>
      <c r="I38" s="3">
        <f ca="1"/>
        <v>5</v>
      </c>
      <c r="J38" s="3" t="str">
        <f ca="1"/>
        <v>1 4 6 99</v>
      </c>
      <c r="K38" s="3">
        <f ca="1"/>
        <v>10</v>
      </c>
      <c r="L38" s="3" t="str">
        <f ca="1"/>
        <v>1 5 8 4</v>
      </c>
      <c r="M38" s="3">
        <f ca="1"/>
        <v>2</v>
      </c>
      <c r="N38" s="3" t="str">
        <f ca="1"/>
        <v>1 2 5 8 99</v>
      </c>
      <c r="O38" s="3">
        <f ca="1"/>
        <v>3</v>
      </c>
      <c r="P38" s="3">
        <f ca="1"/>
        <v>5</v>
      </c>
      <c r="Q38" s="3">
        <f ca="1"/>
        <v>0.25324675324675328</v>
      </c>
      <c r="R38" s="3">
        <f ca="1"/>
        <v>1</v>
      </c>
      <c r="S38" s="3">
        <f ca="1"/>
        <v>2</v>
      </c>
      <c r="T38" s="3">
        <f ca="1"/>
        <v>2</v>
      </c>
      <c r="U38" s="3">
        <f ca="1"/>
        <v>5</v>
      </c>
      <c r="V38" s="3">
        <f ca="1"/>
        <v>3</v>
      </c>
      <c r="W38" s="3">
        <f ca="1"/>
        <v>5</v>
      </c>
      <c r="X38" s="3">
        <f ca="1"/>
        <v>1.5</v>
      </c>
      <c r="Y38" s="3">
        <f ca="1"/>
        <v>3</v>
      </c>
      <c r="Z38" s="3">
        <f ca="1"/>
        <v>0.39015151515151514</v>
      </c>
      <c r="AA38" s="3">
        <f ca="1"/>
        <v>0.3125</v>
      </c>
      <c r="AB38" s="3">
        <f ca="1"/>
        <v>3</v>
      </c>
      <c r="AC38" s="3">
        <f ca="1"/>
        <v>5</v>
      </c>
      <c r="AD38" s="3">
        <f ca="1"/>
        <v>1</v>
      </c>
      <c r="AE38" s="3">
        <f ca="1"/>
        <v>2</v>
      </c>
      <c r="AF38" s="3">
        <f ca="1"/>
        <v>5</v>
      </c>
      <c r="AG38" s="3" t="str">
        <f ca="1"/>
        <v>c310c893-4439-47c7-823a-234d6261be7a</v>
      </c>
    </row>
    <row r="39" spans="1:33" ht="14.4" customHeight="1" x14ac:dyDescent="0.3">
      <c r="A39" s="11" t="str">
        <f ca="1"/>
        <v>6ca7865a-3432-46c4-9547-62cf2a42f242</v>
      </c>
      <c r="D39" s="3">
        <f ca="1"/>
        <v>35</v>
      </c>
      <c r="E39" s="3">
        <f ca="1"/>
        <v>0</v>
      </c>
      <c r="F39" s="3">
        <f ca="1"/>
        <v>0</v>
      </c>
      <c r="G39" s="3">
        <f ca="1"/>
        <v>1</v>
      </c>
      <c r="H39" s="3">
        <f ca="1"/>
        <v>0</v>
      </c>
      <c r="I39" s="3">
        <f ca="1"/>
        <v>-2.5</v>
      </c>
      <c r="J39" s="3" t="str">
        <f ca="1"/>
        <v>4 1 6</v>
      </c>
      <c r="K39" s="3">
        <f ca="1"/>
        <v>10</v>
      </c>
      <c r="L39" s="3" t="str">
        <f ca="1"/>
        <v>1 2</v>
      </c>
      <c r="M39" s="3">
        <f ca="1"/>
        <v>1</v>
      </c>
      <c r="N39" s="3" t="str">
        <f ca="1"/>
        <v>1 2</v>
      </c>
      <c r="O39" s="3">
        <f ca="1"/>
        <v>2</v>
      </c>
      <c r="P39" s="3">
        <f ca="1"/>
        <v>3</v>
      </c>
      <c r="Q39" s="3">
        <f ca="1"/>
        <v>0.16233766233766234</v>
      </c>
      <c r="R39" s="3">
        <f ca="1"/>
        <v>1</v>
      </c>
      <c r="S39" s="3">
        <f ca="1"/>
        <v>1</v>
      </c>
      <c r="T39" s="3">
        <f ca="1"/>
        <v>1</v>
      </c>
      <c r="U39" s="3">
        <f ca="1"/>
        <v>3</v>
      </c>
      <c r="V39" s="3">
        <f ca="1"/>
        <v>2</v>
      </c>
      <c r="W39" s="3">
        <f ca="1"/>
        <v>3</v>
      </c>
      <c r="X39" s="3">
        <f ca="1"/>
        <v>1</v>
      </c>
      <c r="Y39" s="3">
        <f ca="1"/>
        <v>2.5</v>
      </c>
      <c r="Z39" s="3">
        <f ca="1"/>
        <v>8.7121212121212127E-2</v>
      </c>
      <c r="AA39" s="3">
        <f ca="1"/>
        <v>0.3125</v>
      </c>
      <c r="AB39" s="3">
        <f ca="1"/>
        <v>3</v>
      </c>
      <c r="AC39" s="3">
        <f ca="1"/>
        <v>3</v>
      </c>
      <c r="AD39" s="3">
        <f ca="1"/>
        <v>2</v>
      </c>
      <c r="AE39" s="3">
        <f ca="1"/>
        <v>4</v>
      </c>
      <c r="AF39" s="3">
        <f ca="1"/>
        <v>1</v>
      </c>
      <c r="AG39" s="3" t="str">
        <f ca="1"/>
        <v>6ca7865a-3432-46c4-9547-62cf2a42f242</v>
      </c>
    </row>
    <row r="40" spans="1:33" ht="14.4" customHeight="1" x14ac:dyDescent="0.3">
      <c r="A40" s="11" t="str">
        <f ca="1"/>
        <v>a4786d22-c3c0-43e7-be29-9cd7d950ed89</v>
      </c>
      <c r="D40" s="3">
        <f ca="1"/>
        <v>36</v>
      </c>
      <c r="E40" s="3">
        <f ca="1"/>
        <v>1</v>
      </c>
      <c r="F40" s="3">
        <f ca="1"/>
        <v>1</v>
      </c>
      <c r="G40" s="3">
        <f ca="1"/>
        <v>1</v>
      </c>
      <c r="H40" s="3">
        <f ca="1"/>
        <v>0</v>
      </c>
      <c r="I40" s="3">
        <f ca="1"/>
        <v>2.5</v>
      </c>
      <c r="J40" s="3" t="str">
        <f ca="1"/>
        <v>4 1 6</v>
      </c>
      <c r="K40" s="3">
        <f ca="1"/>
        <v>10</v>
      </c>
      <c r="L40" s="3">
        <f ca="1"/>
        <v>2</v>
      </c>
      <c r="M40" s="3">
        <f ca="1"/>
        <v>0</v>
      </c>
      <c r="N40" s="3">
        <f ca="1"/>
        <v>2</v>
      </c>
      <c r="O40" s="3">
        <f ca="1"/>
        <v>1</v>
      </c>
      <c r="P40" s="3">
        <f ca="1"/>
        <v>5</v>
      </c>
      <c r="Q40" s="3">
        <f ca="1"/>
        <v>0.19913419913419914</v>
      </c>
      <c r="R40" s="3">
        <f ca="1"/>
        <v>1</v>
      </c>
      <c r="S40" s="3">
        <f ca="1"/>
        <v>1</v>
      </c>
      <c r="T40" s="3">
        <f ca="1"/>
        <v>1</v>
      </c>
      <c r="U40" s="3">
        <f ca="1"/>
        <v>3</v>
      </c>
      <c r="V40" s="3">
        <f ca="1"/>
        <v>3</v>
      </c>
      <c r="W40" s="3">
        <f ca="1"/>
        <v>4</v>
      </c>
      <c r="X40" s="3">
        <f ca="1"/>
        <v>1</v>
      </c>
      <c r="Y40" s="3">
        <f ca="1"/>
        <v>2.5</v>
      </c>
      <c r="Z40" s="3">
        <f ca="1"/>
        <v>0.30303030303030298</v>
      </c>
      <c r="AA40" s="3">
        <f ca="1"/>
        <v>0.625</v>
      </c>
      <c r="AB40" s="3">
        <f ca="1"/>
        <v>4</v>
      </c>
      <c r="AC40" s="3">
        <f ca="1"/>
        <v>5</v>
      </c>
      <c r="AD40" s="3">
        <f ca="1"/>
        <v>1</v>
      </c>
      <c r="AE40" s="3">
        <f ca="1"/>
        <v>2</v>
      </c>
      <c r="AF40" s="3">
        <f ca="1"/>
        <v>1</v>
      </c>
      <c r="AG40" s="3" t="str">
        <f ca="1"/>
        <v>a4786d22-c3c0-43e7-be29-9cd7d950ed89</v>
      </c>
    </row>
    <row r="41" spans="1:33" ht="14.4" customHeight="1" x14ac:dyDescent="0.3">
      <c r="A41" s="11" t="str">
        <f ca="1"/>
        <v>1c0496a2-90cd-419a-9102-074f50e1e2a2</v>
      </c>
      <c r="D41" s="3">
        <f ca="1"/>
        <v>37</v>
      </c>
      <c r="E41" s="3">
        <f ca="1"/>
        <v>1</v>
      </c>
      <c r="F41" s="3">
        <f ca="1"/>
        <v>0</v>
      </c>
      <c r="G41" s="3">
        <f ca="1"/>
        <v>0</v>
      </c>
      <c r="H41" s="3">
        <f ca="1"/>
        <v>0</v>
      </c>
      <c r="I41" s="3">
        <f ca="1"/>
        <v>-2.5</v>
      </c>
      <c r="J41" s="3" t="str">
        <f ca="1"/>
        <v>1 4 10</v>
      </c>
      <c r="K41" s="3">
        <f ca="1"/>
        <v>10</v>
      </c>
      <c r="L41" s="3">
        <f ca="1"/>
        <v>2</v>
      </c>
      <c r="M41" s="3">
        <f ca="1"/>
        <v>0</v>
      </c>
      <c r="N41" s="3">
        <f ca="1"/>
        <v>2</v>
      </c>
      <c r="O41" s="3">
        <f ca="1"/>
        <v>1</v>
      </c>
      <c r="P41" s="3">
        <f ca="1"/>
        <v>5</v>
      </c>
      <c r="Q41" s="3">
        <f ca="1"/>
        <v>0.11471861471861473</v>
      </c>
      <c r="R41" s="3">
        <f ca="1"/>
        <v>1</v>
      </c>
      <c r="S41" s="3">
        <f ca="1"/>
        <v>1</v>
      </c>
      <c r="T41" s="3">
        <f ca="1"/>
        <v>1</v>
      </c>
      <c r="U41" s="3">
        <f ca="1"/>
        <v>4</v>
      </c>
      <c r="V41" s="3">
        <f ca="1"/>
        <v>3.5</v>
      </c>
      <c r="W41" s="3">
        <f ca="1"/>
        <v>5</v>
      </c>
      <c r="X41" s="3">
        <f ca="1"/>
        <v>1</v>
      </c>
      <c r="Y41" s="3">
        <f ca="1"/>
        <v>2</v>
      </c>
      <c r="Z41" s="3">
        <f ca="1"/>
        <v>0.26136363636363635</v>
      </c>
      <c r="AA41" s="3">
        <f ca="1"/>
        <v>0.5625</v>
      </c>
      <c r="AB41" s="3">
        <f ca="1"/>
        <v>4</v>
      </c>
      <c r="AC41" s="3">
        <f ca="1"/>
        <v>5</v>
      </c>
      <c r="AD41" s="3">
        <f ca="1"/>
        <v>2</v>
      </c>
      <c r="AE41" s="3">
        <f ca="1"/>
        <v>3</v>
      </c>
      <c r="AF41" s="3">
        <f ca="1"/>
        <v>2</v>
      </c>
      <c r="AG41" s="3" t="str">
        <f ca="1"/>
        <v>1c0496a2-90cd-419a-9102-074f50e1e2a2</v>
      </c>
    </row>
    <row r="42" spans="1:33" ht="14.4" customHeight="1" x14ac:dyDescent="0.3">
      <c r="A42" s="11" t="str">
        <f ca="1"/>
        <v>63e4416c-81ea-419e-866b-b991f8d2c3d6</v>
      </c>
      <c r="D42" s="3">
        <f ca="1"/>
        <v>38</v>
      </c>
      <c r="E42" s="3">
        <f ca="1"/>
        <v>1</v>
      </c>
      <c r="F42" s="3">
        <f ca="1"/>
        <v>0</v>
      </c>
      <c r="G42" s="3">
        <f ca="1"/>
        <v>1</v>
      </c>
      <c r="H42" s="3">
        <f ca="1"/>
        <v>0</v>
      </c>
      <c r="I42" s="3">
        <f ca="1"/>
        <v>0</v>
      </c>
      <c r="J42" s="3" t="str">
        <f ca="1"/>
        <v>1 6</v>
      </c>
      <c r="K42" s="3">
        <f ca="1"/>
        <v>5</v>
      </c>
      <c r="L42" s="3" t="str">
        <f ca="1"/>
        <v>8 5</v>
      </c>
      <c r="M42" s="3">
        <f ca="1"/>
        <v>1</v>
      </c>
      <c r="N42" s="3" t="str">
        <f ca="1"/>
        <v>5 8</v>
      </c>
      <c r="O42" s="3">
        <f ca="1"/>
        <v>2</v>
      </c>
      <c r="P42" s="3">
        <f ca="1"/>
        <v>3</v>
      </c>
      <c r="Q42" s="3">
        <f ca="1"/>
        <v>0.22294372294372292</v>
      </c>
      <c r="R42" s="3">
        <f ca="1"/>
        <v>0.66666666666666663</v>
      </c>
      <c r="S42" s="3">
        <f ca="1"/>
        <v>1</v>
      </c>
      <c r="T42" s="3">
        <f ca="1"/>
        <v>3</v>
      </c>
      <c r="U42" s="3">
        <f ca="1"/>
        <v>2</v>
      </c>
      <c r="V42" s="3">
        <f ca="1"/>
        <v>2</v>
      </c>
      <c r="W42" s="3">
        <f ca="1"/>
        <v>2</v>
      </c>
      <c r="X42" s="3">
        <f ca="1"/>
        <v>1</v>
      </c>
      <c r="Y42" s="3">
        <f ca="1"/>
        <v>2.5</v>
      </c>
      <c r="Z42" s="3">
        <f ca="1"/>
        <v>0.13257575757575757</v>
      </c>
      <c r="AA42" s="3">
        <f ca="1"/>
        <v>0.25</v>
      </c>
      <c r="AB42" s="3">
        <f ca="1"/>
        <v>4.5</v>
      </c>
      <c r="AC42" s="3">
        <f ca="1"/>
        <v>2</v>
      </c>
      <c r="AD42" s="3">
        <f ca="1"/>
        <v>3</v>
      </c>
      <c r="AE42" s="3">
        <f ca="1"/>
        <v>5</v>
      </c>
      <c r="AF42" s="3">
        <f ca="1"/>
        <v>1</v>
      </c>
      <c r="AG42" s="3" t="str">
        <f ca="1"/>
        <v>63e4416c-81ea-419e-866b-b991f8d2c3d6</v>
      </c>
    </row>
    <row r="43" spans="1:33" ht="14.4" customHeight="1" x14ac:dyDescent="0.3">
      <c r="A43" s="11" t="str">
        <f ca="1"/>
        <v>8221b80a-bd84-45d8-a2f4-0a5e2ea43ee5</v>
      </c>
      <c r="D43" s="3">
        <f ca="1"/>
        <v>39</v>
      </c>
      <c r="E43" s="3">
        <f ca="1"/>
        <v>1</v>
      </c>
      <c r="F43" s="3">
        <f ca="1"/>
        <v>1</v>
      </c>
      <c r="G43" s="3">
        <f ca="1"/>
        <v>1</v>
      </c>
      <c r="H43" s="3">
        <f ca="1"/>
        <v>0</v>
      </c>
      <c r="I43" s="3">
        <f ca="1"/>
        <v>2.5</v>
      </c>
      <c r="J43" s="3" t="str">
        <f ca="1"/>
        <v>1 6</v>
      </c>
      <c r="K43" s="3">
        <f ca="1"/>
        <v>5</v>
      </c>
      <c r="L43" s="3" t="str">
        <f ca="1"/>
        <v>1 8</v>
      </c>
      <c r="M43" s="3">
        <f ca="1"/>
        <v>1</v>
      </c>
      <c r="N43" s="3">
        <f ca="1"/>
        <v>1</v>
      </c>
      <c r="O43" s="3">
        <f ca="1"/>
        <v>1</v>
      </c>
      <c r="P43" s="3">
        <f ca="1"/>
        <v>4</v>
      </c>
      <c r="Q43" s="3">
        <f ca="1"/>
        <v>0.19264069264069264</v>
      </c>
      <c r="R43" s="3">
        <f ca="1"/>
        <v>1</v>
      </c>
      <c r="S43" s="3">
        <f ca="1"/>
        <v>1</v>
      </c>
      <c r="T43" s="3">
        <f ca="1"/>
        <v>3</v>
      </c>
      <c r="U43" s="3">
        <f ca="1"/>
        <v>4</v>
      </c>
      <c r="V43" s="3">
        <f ca="1"/>
        <v>2.5</v>
      </c>
      <c r="W43" s="3">
        <f ca="1"/>
        <v>2</v>
      </c>
      <c r="X43" s="3">
        <f ca="1"/>
        <v>1</v>
      </c>
      <c r="Y43" s="3">
        <f ca="1"/>
        <v>3.5</v>
      </c>
      <c r="Z43" s="3">
        <f ca="1"/>
        <v>0.21969696969696967</v>
      </c>
      <c r="AA43" s="3">
        <f ca="1"/>
        <v>0.625</v>
      </c>
      <c r="AB43" s="3">
        <f ca="1"/>
        <v>5</v>
      </c>
      <c r="AC43" s="3">
        <f ca="1"/>
        <v>5</v>
      </c>
      <c r="AD43" s="3">
        <f ca="1"/>
        <v>2</v>
      </c>
      <c r="AE43" s="3">
        <f ca="1"/>
        <v>4</v>
      </c>
      <c r="AF43" s="3">
        <f ca="1"/>
        <v>5</v>
      </c>
      <c r="AG43" s="3" t="str">
        <f ca="1"/>
        <v>8221b80a-bd84-45d8-a2f4-0a5e2ea43ee5</v>
      </c>
    </row>
    <row r="44" spans="1:33" ht="14.4" customHeight="1" x14ac:dyDescent="0.3">
      <c r="A44" s="11" t="str">
        <f ca="1"/>
        <v>24e17c5e-13ae-4958-a04c-c9d769d7d45e</v>
      </c>
      <c r="D44" s="3">
        <f ca="1"/>
        <v>40</v>
      </c>
      <c r="E44" s="3">
        <f ca="1"/>
        <v>1</v>
      </c>
      <c r="F44" s="3">
        <f ca="1"/>
        <v>1</v>
      </c>
      <c r="G44" s="3">
        <f ca="1"/>
        <v>1</v>
      </c>
      <c r="H44" s="3">
        <f ca="1"/>
        <v>1</v>
      </c>
      <c r="I44" s="3">
        <f ca="1"/>
        <v>5</v>
      </c>
      <c r="J44" s="3">
        <f ca="1"/>
        <v>6</v>
      </c>
      <c r="K44" s="3">
        <f ca="1"/>
        <v>5</v>
      </c>
      <c r="L44" s="3">
        <f ca="1"/>
        <v>8</v>
      </c>
      <c r="M44" s="3">
        <f ca="1"/>
        <v>0</v>
      </c>
      <c r="N44" s="3">
        <f ca="1"/>
        <v>1</v>
      </c>
      <c r="O44" s="3">
        <f ca="1"/>
        <v>1</v>
      </c>
      <c r="P44" s="3">
        <f ca="1"/>
        <v>3</v>
      </c>
      <c r="Q44" s="3">
        <f ca="1"/>
        <v>0.13852813852813853</v>
      </c>
      <c r="R44" s="3">
        <f ca="1"/>
        <v>1</v>
      </c>
      <c r="S44" s="3">
        <f ca="1"/>
        <v>2</v>
      </c>
      <c r="T44" s="3">
        <f ca="1"/>
        <v>3</v>
      </c>
      <c r="U44" s="3">
        <f ca="1"/>
        <v>3</v>
      </c>
      <c r="V44" s="3">
        <f ca="1"/>
        <v>2.5</v>
      </c>
      <c r="W44" s="3">
        <f ca="1"/>
        <v>4</v>
      </c>
      <c r="X44" s="3">
        <f ca="1"/>
        <v>1</v>
      </c>
      <c r="Y44" s="3">
        <f ca="1"/>
        <v>2</v>
      </c>
      <c r="Z44" s="3">
        <f ca="1"/>
        <v>0.26136363636363635</v>
      </c>
      <c r="AA44" s="3">
        <f ca="1"/>
        <v>0.375</v>
      </c>
      <c r="AB44" s="3">
        <f ca="1"/>
        <v>4</v>
      </c>
      <c r="AC44" s="3">
        <f ca="1"/>
        <v>4</v>
      </c>
      <c r="AD44" s="3">
        <f ca="1"/>
        <v>2</v>
      </c>
      <c r="AE44" s="3">
        <f ca="1"/>
        <v>2</v>
      </c>
      <c r="AF44" s="3">
        <f ca="1"/>
        <v>2</v>
      </c>
      <c r="AG44" s="3" t="str">
        <f ca="1"/>
        <v>24e17c5e-13ae-4958-a04c-c9d769d7d45e</v>
      </c>
    </row>
    <row r="45" spans="1:33" ht="14.4" customHeight="1" x14ac:dyDescent="0.3">
      <c r="A45" s="11" t="str">
        <f ca="1"/>
        <v>ffb88ea6-d8d5-4b6e-bdc2-361cb5e78e2a</v>
      </c>
      <c r="D45" s="3">
        <f ca="1"/>
        <v>41</v>
      </c>
      <c r="E45" s="3">
        <f ca="1"/>
        <v>1</v>
      </c>
      <c r="F45" s="3">
        <f ca="1"/>
        <v>1</v>
      </c>
      <c r="G45" s="3">
        <f ca="1"/>
        <v>1</v>
      </c>
      <c r="H45" s="3">
        <f ca="1"/>
        <v>1</v>
      </c>
      <c r="I45" s="3">
        <f ca="1"/>
        <v>5</v>
      </c>
      <c r="J45" s="3" t="str">
        <f ca="1"/>
        <v>1 6 8 10</v>
      </c>
      <c r="K45" s="3">
        <f ca="1"/>
        <v>10</v>
      </c>
      <c r="L45" s="3" t="str">
        <f ca="1"/>
        <v>8 1 2 5</v>
      </c>
      <c r="M45" s="3">
        <f ca="1"/>
        <v>2</v>
      </c>
      <c r="N45" s="3" t="str">
        <f ca="1"/>
        <v>3 1</v>
      </c>
      <c r="O45" s="3">
        <f ca="1"/>
        <v>2</v>
      </c>
      <c r="P45" s="3">
        <f ca="1"/>
        <v>4</v>
      </c>
      <c r="Q45" s="3">
        <f ca="1"/>
        <v>0.33766233766233761</v>
      </c>
      <c r="R45" s="3">
        <f ca="1"/>
        <v>1</v>
      </c>
      <c r="S45" s="3">
        <f ca="1"/>
        <v>1</v>
      </c>
      <c r="T45" s="3">
        <f ca="1"/>
        <v>3</v>
      </c>
      <c r="U45" s="3">
        <f ca="1"/>
        <v>3</v>
      </c>
      <c r="V45" s="3">
        <f ca="1"/>
        <v>4</v>
      </c>
      <c r="W45" s="3">
        <f ca="1"/>
        <v>3</v>
      </c>
      <c r="X45" s="3">
        <f ca="1"/>
        <v>1</v>
      </c>
      <c r="Y45" s="3">
        <f ca="1"/>
        <v>2.5</v>
      </c>
      <c r="Z45" s="3">
        <f ca="1"/>
        <v>0.17424242424242425</v>
      </c>
      <c r="AA45" s="3">
        <f ca="1"/>
        <v>0.5</v>
      </c>
      <c r="AB45" s="3">
        <f ca="1"/>
        <v>4.5</v>
      </c>
      <c r="AC45" s="3">
        <f ca="1"/>
        <v>4</v>
      </c>
      <c r="AD45" s="3">
        <f ca="1"/>
        <v>2</v>
      </c>
      <c r="AE45" s="3">
        <f ca="1"/>
        <v>2</v>
      </c>
      <c r="AF45" s="3">
        <f ca="1"/>
        <v>3</v>
      </c>
      <c r="AG45" s="3" t="str">
        <f ca="1"/>
        <v>ffb88ea6-d8d5-4b6e-bdc2-361cb5e78e2a</v>
      </c>
    </row>
    <row r="46" spans="1:33" ht="14.4" customHeight="1" x14ac:dyDescent="0.3">
      <c r="A46" s="11" t="str">
        <f ca="1"/>
        <v>ba8e9477-6ba1-48a5-a89a-be9c4c129a96</v>
      </c>
      <c r="D46" s="3">
        <f ca="1"/>
        <v>42</v>
      </c>
      <c r="E46" s="3">
        <f ca="1"/>
        <v>1</v>
      </c>
      <c r="F46" s="3">
        <f ca="1"/>
        <v>1</v>
      </c>
      <c r="G46" s="3">
        <f ca="1"/>
        <v>1</v>
      </c>
      <c r="H46" s="3">
        <f ca="1"/>
        <v>0</v>
      </c>
      <c r="I46" s="3">
        <f ca="1"/>
        <v>2.5</v>
      </c>
      <c r="J46" s="3" t="str">
        <f ca="1"/>
        <v>6 8</v>
      </c>
      <c r="K46" s="3">
        <f ca="1"/>
        <v>5</v>
      </c>
      <c r="L46" s="3" t="str">
        <f ca="1"/>
        <v>4 8</v>
      </c>
      <c r="M46" s="3">
        <f ca="1"/>
        <v>1</v>
      </c>
      <c r="N46" s="3" t="str">
        <f ca="1"/>
        <v>8 3</v>
      </c>
      <c r="O46" s="3">
        <f ca="1"/>
        <v>2</v>
      </c>
      <c r="P46" s="3">
        <f ca="1"/>
        <v>3</v>
      </c>
      <c r="Q46" s="3">
        <f ca="1"/>
        <v>0.18614718614718617</v>
      </c>
      <c r="R46" s="3">
        <f ca="1"/>
        <v>1</v>
      </c>
      <c r="S46" s="3">
        <f ca="1"/>
        <v>4</v>
      </c>
      <c r="T46" s="3">
        <f ca="1"/>
        <v>3</v>
      </c>
      <c r="U46" s="3">
        <f ca="1"/>
        <v>3</v>
      </c>
      <c r="V46" s="3">
        <f ca="1"/>
        <v>3.5</v>
      </c>
      <c r="W46" s="3">
        <f ca="1"/>
        <v>3</v>
      </c>
      <c r="X46" s="3">
        <f ca="1"/>
        <v>1</v>
      </c>
      <c r="Y46" s="3">
        <f ca="1"/>
        <v>2</v>
      </c>
      <c r="Z46" s="3">
        <f ca="1"/>
        <v>0.34848484848484851</v>
      </c>
      <c r="AA46" s="3">
        <f ca="1"/>
        <v>0.5625</v>
      </c>
      <c r="AB46" s="3">
        <f ca="1"/>
        <v>4.5</v>
      </c>
      <c r="AC46" s="3">
        <f ca="1"/>
        <v>4</v>
      </c>
      <c r="AD46" s="3">
        <f ca="1"/>
        <v>3</v>
      </c>
      <c r="AE46" s="3">
        <f ca="1"/>
        <v>3</v>
      </c>
      <c r="AF46" s="3">
        <f ca="1"/>
        <v>2</v>
      </c>
      <c r="AG46" s="3" t="str">
        <f ca="1"/>
        <v>ba8e9477-6ba1-48a5-a89a-be9c4c129a96</v>
      </c>
    </row>
    <row r="47" spans="1:33" ht="14.4" customHeight="1" x14ac:dyDescent="0.3">
      <c r="A47" s="11" t="str">
        <f ca="1"/>
        <v>64d34765-12da-4e3c-914d-fad26fea6ca4</v>
      </c>
      <c r="D47" s="3">
        <f ca="1"/>
        <v>43</v>
      </c>
      <c r="E47" s="3">
        <f ca="1"/>
        <v>1</v>
      </c>
      <c r="F47" s="3">
        <f ca="1"/>
        <v>1</v>
      </c>
      <c r="G47" s="3">
        <f ca="1"/>
        <v>0</v>
      </c>
      <c r="H47" s="3">
        <f ca="1"/>
        <v>0</v>
      </c>
      <c r="I47" s="3">
        <f ca="1"/>
        <v>0</v>
      </c>
      <c r="J47" s="3" t="str">
        <f ca="1"/>
        <v>1 6 10</v>
      </c>
      <c r="K47" s="3">
        <f ca="1"/>
        <v>10</v>
      </c>
      <c r="L47" s="3" t="str">
        <f ca="1"/>
        <v>1 2 5 8</v>
      </c>
      <c r="M47" s="3">
        <f ca="1"/>
        <v>2</v>
      </c>
      <c r="N47" s="3">
        <f ca="1"/>
        <v>8</v>
      </c>
      <c r="O47" s="3">
        <f ca="1"/>
        <v>1</v>
      </c>
      <c r="P47" s="3">
        <f ca="1"/>
        <v>2</v>
      </c>
      <c r="Q47" s="3">
        <f ca="1"/>
        <v>0.18614718614718614</v>
      </c>
      <c r="R47" s="3">
        <f ca="1"/>
        <v>1</v>
      </c>
      <c r="S47" s="3">
        <f ca="1"/>
        <v>2</v>
      </c>
      <c r="T47" s="3">
        <f ca="1"/>
        <v>4</v>
      </c>
      <c r="U47" s="3">
        <f ca="1"/>
        <v>2</v>
      </c>
      <c r="V47" s="3">
        <f ca="1"/>
        <v>2</v>
      </c>
      <c r="W47" s="3">
        <f ca="1"/>
        <v>2</v>
      </c>
      <c r="X47" s="3">
        <f ca="1"/>
        <v>1.5</v>
      </c>
      <c r="Y47" s="3">
        <f ca="1"/>
        <v>2</v>
      </c>
      <c r="Z47" s="3">
        <f ca="1"/>
        <v>0.26515151515151514</v>
      </c>
      <c r="AA47" s="3">
        <f ca="1"/>
        <v>0.25</v>
      </c>
      <c r="AB47" s="3">
        <f ca="1"/>
        <v>4</v>
      </c>
      <c r="AC47" s="3">
        <f ca="1"/>
        <v>4</v>
      </c>
      <c r="AD47" s="3">
        <f ca="1"/>
        <v>4</v>
      </c>
      <c r="AE47" s="3">
        <f ca="1"/>
        <v>2</v>
      </c>
      <c r="AF47" s="3">
        <f ca="1"/>
        <v>1</v>
      </c>
      <c r="AG47" s="3" t="str">
        <f ca="1"/>
        <v>64d34765-12da-4e3c-914d-fad26fea6ca4</v>
      </c>
    </row>
    <row r="48" spans="1:33" ht="14.4" customHeight="1" x14ac:dyDescent="0.3">
      <c r="A48" s="11" t="str">
        <f ca="1"/>
        <v>28ec0dba-9a0a-4c60-8f55-e32761d13862</v>
      </c>
      <c r="D48" s="3">
        <f ca="1"/>
        <v>44</v>
      </c>
      <c r="E48" s="3">
        <f ca="1"/>
        <v>1</v>
      </c>
      <c r="F48" s="3">
        <f ca="1"/>
        <v>1</v>
      </c>
      <c r="G48" s="3">
        <f ca="1"/>
        <v>1</v>
      </c>
      <c r="H48" s="3">
        <f ca="1"/>
        <v>1</v>
      </c>
      <c r="I48" s="3">
        <f ca="1"/>
        <v>5</v>
      </c>
      <c r="J48" s="3" t="str">
        <f ca="1"/>
        <v>1 8 7 99 2</v>
      </c>
      <c r="K48" s="3">
        <f ca="1"/>
        <v>15</v>
      </c>
      <c r="L48" s="3" t="str">
        <f ca="1"/>
        <v>2 1</v>
      </c>
      <c r="M48" s="3">
        <f ca="1"/>
        <v>1</v>
      </c>
      <c r="N48" s="3" t="str">
        <f ca="1"/>
        <v>8 2</v>
      </c>
      <c r="O48" s="3">
        <f ca="1"/>
        <v>2</v>
      </c>
      <c r="P48" s="3">
        <f ca="1"/>
        <v>5</v>
      </c>
      <c r="Q48" s="3">
        <f ca="1"/>
        <v>0.27705627705627706</v>
      </c>
      <c r="R48" s="3">
        <f ca="1"/>
        <v>1</v>
      </c>
      <c r="S48" s="3">
        <f ca="1"/>
        <v>1</v>
      </c>
      <c r="T48" s="3">
        <f ca="1"/>
        <v>2</v>
      </c>
      <c r="U48" s="3">
        <f ca="1"/>
        <v>4</v>
      </c>
      <c r="V48" s="3">
        <f ca="1"/>
        <v>4.5</v>
      </c>
      <c r="W48" s="3">
        <f ca="1"/>
        <v>5</v>
      </c>
      <c r="X48" s="3">
        <f ca="1"/>
        <v>1</v>
      </c>
      <c r="Y48" s="3">
        <f ca="1"/>
        <v>3</v>
      </c>
      <c r="Z48" s="3">
        <f ca="1"/>
        <v>0.35227272727272729</v>
      </c>
      <c r="AA48" s="3">
        <f ca="1"/>
        <v>0.6875</v>
      </c>
      <c r="AB48" s="3">
        <f ca="1"/>
        <v>3.5</v>
      </c>
      <c r="AC48" s="3">
        <f ca="1"/>
        <v>5</v>
      </c>
      <c r="AD48" s="3">
        <f ca="1"/>
        <v>1</v>
      </c>
      <c r="AE48" s="3">
        <f ca="1"/>
        <v>4</v>
      </c>
      <c r="AF48" s="3">
        <f ca="1"/>
        <v>1</v>
      </c>
      <c r="AG48" s="3" t="str">
        <f ca="1"/>
        <v>28ec0dba-9a0a-4c60-8f55-e32761d13862</v>
      </c>
    </row>
    <row r="49" spans="1:33" ht="14.4" customHeight="1" x14ac:dyDescent="0.3">
      <c r="A49" s="11" t="str">
        <f ca="1"/>
        <v>ca71bcef-f098-4c5a-9179-822abfe71e58</v>
      </c>
      <c r="D49" s="3">
        <f ca="1"/>
        <v>45</v>
      </c>
      <c r="E49" s="3">
        <f ca="1"/>
        <v>1</v>
      </c>
      <c r="F49" s="3">
        <f ca="1"/>
        <v>0</v>
      </c>
      <c r="G49" s="3">
        <f ca="1"/>
        <v>1</v>
      </c>
      <c r="H49" s="3">
        <f ca="1"/>
        <v>1</v>
      </c>
      <c r="I49" s="3">
        <f ca="1"/>
        <v>2.5</v>
      </c>
      <c r="J49" s="3" t="str">
        <f ca="1"/>
        <v>8 1 6 7</v>
      </c>
      <c r="K49" s="3">
        <f ca="1"/>
        <v>10</v>
      </c>
      <c r="L49" s="3" t="str">
        <f ca="1"/>
        <v>1 2 5</v>
      </c>
      <c r="M49" s="3">
        <f ca="1"/>
        <v>1</v>
      </c>
      <c r="N49" s="3">
        <f ca="1"/>
        <v>1</v>
      </c>
      <c r="O49" s="3">
        <f ca="1"/>
        <v>1</v>
      </c>
      <c r="P49" s="3">
        <f ca="1"/>
        <v>5</v>
      </c>
      <c r="Q49" s="3">
        <f ca="1"/>
        <v>0.18614718614718614</v>
      </c>
      <c r="R49" s="3">
        <f ca="1"/>
        <v>1</v>
      </c>
      <c r="S49" s="3">
        <f ca="1"/>
        <v>1</v>
      </c>
      <c r="T49" s="3">
        <f ca="1"/>
        <v>2</v>
      </c>
      <c r="U49" s="3">
        <f ca="1"/>
        <v>4</v>
      </c>
      <c r="V49" s="3">
        <f ca="1"/>
        <v>4</v>
      </c>
      <c r="W49" s="3">
        <f ca="1"/>
        <v>5</v>
      </c>
      <c r="X49" s="3">
        <f ca="1"/>
        <v>1</v>
      </c>
      <c r="Y49" s="3">
        <f ca="1"/>
        <v>1.5</v>
      </c>
      <c r="Z49" s="3">
        <f ca="1"/>
        <v>0.17045454545454547</v>
      </c>
      <c r="AA49" s="3">
        <f ca="1"/>
        <v>0.3125</v>
      </c>
      <c r="AB49" s="3">
        <f ca="1"/>
        <v>2.5</v>
      </c>
      <c r="AC49" s="3">
        <f ca="1"/>
        <v>4</v>
      </c>
      <c r="AD49" s="3">
        <f ca="1"/>
        <v>2</v>
      </c>
      <c r="AE49" s="3">
        <f ca="1"/>
        <v>4</v>
      </c>
      <c r="AF49" s="3">
        <f ca="1"/>
        <v>2</v>
      </c>
      <c r="AG49" s="3" t="str">
        <f ca="1"/>
        <v>ca71bcef-f098-4c5a-9179-822abfe71e58</v>
      </c>
    </row>
    <row r="50" spans="1:33" ht="14.4" customHeight="1" x14ac:dyDescent="0.3">
      <c r="A50" s="11" t="str">
        <f ca="1"/>
        <v>008ec043-aa1b-4545-8787-8f244e95e4d7</v>
      </c>
      <c r="D50" s="3">
        <f ca="1"/>
        <v>46</v>
      </c>
      <c r="E50" s="3">
        <f ca="1"/>
        <v>0</v>
      </c>
      <c r="F50" s="3">
        <f ca="1"/>
        <v>0</v>
      </c>
      <c r="G50" s="3">
        <f ca="1"/>
        <v>1</v>
      </c>
      <c r="H50" s="3">
        <f ca="1"/>
        <v>0</v>
      </c>
      <c r="I50" s="3">
        <f ca="1"/>
        <v>-2.5</v>
      </c>
      <c r="J50" s="3">
        <f ca="1"/>
        <v>6</v>
      </c>
      <c r="K50" s="3">
        <f ca="1"/>
        <v>5</v>
      </c>
      <c r="L50" s="3" t="str">
        <f ca="1"/>
        <v>2 1</v>
      </c>
      <c r="M50" s="3">
        <f ca="1"/>
        <v>1</v>
      </c>
      <c r="N50" s="3">
        <f ca="1"/>
        <v>5</v>
      </c>
      <c r="O50" s="3">
        <f ca="1"/>
        <v>1</v>
      </c>
      <c r="P50" s="3">
        <f ca="1"/>
        <v>3</v>
      </c>
      <c r="Q50" s="3">
        <f ca="1"/>
        <v>0.22943722943722947</v>
      </c>
      <c r="R50" s="3">
        <f ca="1"/>
        <v>1</v>
      </c>
      <c r="S50" s="3">
        <f ca="1"/>
        <v>2</v>
      </c>
      <c r="T50" s="3">
        <f ca="1"/>
        <v>3</v>
      </c>
      <c r="U50" s="3">
        <f ca="1"/>
        <v>4</v>
      </c>
      <c r="V50" s="3">
        <f ca="1"/>
        <v>3.5</v>
      </c>
      <c r="W50" s="3">
        <f ca="1"/>
        <v>2</v>
      </c>
      <c r="X50" s="3">
        <f ca="1"/>
        <v>1</v>
      </c>
      <c r="Y50" s="3">
        <f ca="1"/>
        <v>1.5</v>
      </c>
      <c r="Z50" s="3">
        <f ca="1"/>
        <v>0.26136363636363635</v>
      </c>
      <c r="AA50" s="3">
        <f ca="1"/>
        <v>0.375</v>
      </c>
      <c r="AB50" s="3">
        <f ca="1"/>
        <v>4.5</v>
      </c>
      <c r="AC50" s="3">
        <f ca="1"/>
        <v>4</v>
      </c>
      <c r="AD50" s="3">
        <f ca="1"/>
        <v>3</v>
      </c>
      <c r="AE50" s="3">
        <f ca="1"/>
        <v>4</v>
      </c>
      <c r="AF50" s="3">
        <f ca="1"/>
        <v>2</v>
      </c>
      <c r="AG50" s="3" t="str">
        <f ca="1"/>
        <v>008ec043-aa1b-4545-8787-8f244e95e4d7</v>
      </c>
    </row>
    <row r="51" spans="1:33" ht="14.4" customHeight="1" x14ac:dyDescent="0.3">
      <c r="A51" s="11" t="str">
        <f ca="1"/>
        <v>b204f992-c3d0-41d8-af27-ea8e497960db</v>
      </c>
      <c r="D51" s="3">
        <f ca="1"/>
        <v>47</v>
      </c>
      <c r="E51" s="3">
        <f ca="1"/>
        <v>1</v>
      </c>
      <c r="F51" s="3">
        <f ca="1"/>
        <v>1</v>
      </c>
      <c r="G51" s="3">
        <f ca="1"/>
        <v>1</v>
      </c>
      <c r="H51" s="3">
        <f ca="1"/>
        <v>0</v>
      </c>
      <c r="I51" s="3">
        <f ca="1"/>
        <v>2.5</v>
      </c>
      <c r="J51" s="3">
        <f ca="1"/>
        <v>6</v>
      </c>
      <c r="K51" s="3">
        <f ca="1"/>
        <v>5</v>
      </c>
      <c r="L51" s="3">
        <f ca="1"/>
        <v>8</v>
      </c>
      <c r="M51" s="3">
        <f ca="1"/>
        <v>0</v>
      </c>
      <c r="N51" s="3">
        <f ca="1"/>
        <v>8</v>
      </c>
      <c r="O51" s="3">
        <f ca="1"/>
        <v>1</v>
      </c>
      <c r="P51" s="3">
        <f ca="1"/>
        <v>3</v>
      </c>
      <c r="Q51" s="3">
        <f ca="1"/>
        <v>0.19913419913419914</v>
      </c>
      <c r="R51" s="3">
        <f ca="1"/>
        <v>1</v>
      </c>
      <c r="S51" s="3">
        <f ca="1"/>
        <v>2</v>
      </c>
      <c r="T51" s="3">
        <f ca="1"/>
        <v>2</v>
      </c>
      <c r="U51" s="3">
        <f ca="1"/>
        <v>2</v>
      </c>
      <c r="V51" s="3">
        <f ca="1"/>
        <v>2.5</v>
      </c>
      <c r="W51" s="3">
        <f ca="1"/>
        <v>2</v>
      </c>
      <c r="X51" s="3">
        <f ca="1"/>
        <v>3</v>
      </c>
      <c r="Y51" s="3">
        <f ca="1"/>
        <v>2</v>
      </c>
      <c r="Z51" s="3">
        <f ca="1"/>
        <v>0.26136363636363635</v>
      </c>
      <c r="AA51" s="3">
        <f ca="1"/>
        <v>0.375</v>
      </c>
      <c r="AB51" s="3">
        <f ca="1"/>
        <v>3</v>
      </c>
      <c r="AC51" s="3">
        <f ca="1"/>
        <v>2</v>
      </c>
      <c r="AD51" s="3">
        <f ca="1"/>
        <v>4</v>
      </c>
      <c r="AE51" s="3">
        <f ca="1"/>
        <v>3</v>
      </c>
      <c r="AF51" s="3">
        <f ca="1"/>
        <v>2</v>
      </c>
      <c r="AG51" s="3" t="str">
        <f ca="1"/>
        <v>b204f992-c3d0-41d8-af27-ea8e497960db</v>
      </c>
    </row>
    <row r="52" spans="1:33" ht="14.4" customHeight="1" x14ac:dyDescent="0.3">
      <c r="A52" s="11" t="str">
        <f ca="1"/>
        <v>2c936282-ca0f-4ffe-adcc-fd09ab32a030</v>
      </c>
      <c r="D52" s="3">
        <f ca="1"/>
        <v>48</v>
      </c>
      <c r="E52" s="3">
        <f ca="1"/>
        <v>1</v>
      </c>
      <c r="F52" s="3">
        <f ca="1"/>
        <v>0</v>
      </c>
      <c r="G52" s="3">
        <f ca="1"/>
        <v>1</v>
      </c>
      <c r="H52" s="3">
        <f ca="1"/>
        <v>0</v>
      </c>
      <c r="I52" s="3">
        <f ca="1"/>
        <v>0</v>
      </c>
      <c r="J52" s="3">
        <f ca="1"/>
        <v>6</v>
      </c>
      <c r="K52" s="3">
        <f ca="1"/>
        <v>5</v>
      </c>
      <c r="L52" s="3" t="str">
        <f ca="1"/>
        <v>5 8 2</v>
      </c>
      <c r="M52" s="3">
        <f ca="1"/>
        <v>1</v>
      </c>
      <c r="N52" s="3" t="str">
        <f ca="1"/>
        <v>2 7</v>
      </c>
      <c r="O52" s="3">
        <f ca="1"/>
        <v>2</v>
      </c>
      <c r="P52" s="3">
        <f ca="1"/>
        <v>4</v>
      </c>
      <c r="Q52" s="3">
        <f ca="1"/>
        <v>0.18614718614718614</v>
      </c>
      <c r="R52" s="3">
        <f ca="1"/>
        <v>1</v>
      </c>
      <c r="S52" s="3">
        <f ca="1"/>
        <v>1</v>
      </c>
      <c r="T52" s="3">
        <f ca="1"/>
        <v>2</v>
      </c>
      <c r="U52" s="3">
        <f ca="1"/>
        <v>2</v>
      </c>
      <c r="V52" s="3">
        <f ca="1"/>
        <v>2.5</v>
      </c>
      <c r="W52" s="3">
        <f ca="1"/>
        <v>2</v>
      </c>
      <c r="X52" s="3">
        <f ca="1"/>
        <v>1</v>
      </c>
      <c r="Y52" s="3">
        <f ca="1"/>
        <v>2</v>
      </c>
      <c r="Z52" s="3">
        <f ca="1"/>
        <v>0.17424242424242425</v>
      </c>
      <c r="AA52" s="3">
        <f ca="1"/>
        <v>0.4375</v>
      </c>
      <c r="AB52" s="3">
        <f ca="1"/>
        <v>4</v>
      </c>
      <c r="AC52" s="3">
        <f ca="1"/>
        <v>3</v>
      </c>
      <c r="AD52" s="3">
        <f ca="1"/>
        <v>2</v>
      </c>
      <c r="AE52" s="3">
        <f ca="1"/>
        <v>5</v>
      </c>
      <c r="AF52" s="3">
        <f ca="1"/>
        <v>2</v>
      </c>
      <c r="AG52" s="3" t="str">
        <f ca="1"/>
        <v>2c936282-ca0f-4ffe-adcc-fd09ab32a030</v>
      </c>
    </row>
    <row r="53" spans="1:33" ht="14.4" customHeight="1" x14ac:dyDescent="0.3">
      <c r="A53" s="11" t="str">
        <f ca="1"/>
        <v>0c50663a-7f58-4011-8674-59fd838bf7b4</v>
      </c>
      <c r="D53" s="3">
        <f ca="1"/>
        <v>49</v>
      </c>
      <c r="E53" s="3">
        <f ca="1"/>
        <v>0</v>
      </c>
      <c r="F53" s="3">
        <f ca="1"/>
        <v>1</v>
      </c>
      <c r="G53" s="3">
        <f ca="1"/>
        <v>1</v>
      </c>
      <c r="H53" s="3">
        <f ca="1"/>
        <v>0</v>
      </c>
      <c r="I53" s="3">
        <f ca="1"/>
        <v>0</v>
      </c>
      <c r="J53" s="3" t="str">
        <f ca="1"/>
        <v>1 4 7 6 10</v>
      </c>
      <c r="K53" s="3">
        <f ca="1"/>
        <v>15</v>
      </c>
      <c r="L53" s="3" t="str">
        <f ca="1"/>
        <v>1 2 4 8</v>
      </c>
      <c r="M53" s="3">
        <f ca="1"/>
        <v>2</v>
      </c>
      <c r="N53" s="3" t="str">
        <f ca="1"/>
        <v>1 2 8</v>
      </c>
      <c r="O53" s="3">
        <f ca="1"/>
        <v>2</v>
      </c>
      <c r="P53" s="3">
        <f ca="1"/>
        <v>4</v>
      </c>
      <c r="Q53" s="3">
        <f ca="1"/>
        <v>0.46969696969696972</v>
      </c>
      <c r="R53" s="3">
        <f ca="1"/>
        <v>1</v>
      </c>
      <c r="S53" s="3">
        <f ca="1"/>
        <v>2</v>
      </c>
      <c r="T53" s="3">
        <f ca="1"/>
        <v>2</v>
      </c>
      <c r="U53" s="3">
        <f ca="1"/>
        <v>4</v>
      </c>
      <c r="V53" s="3">
        <f ca="1"/>
        <v>4</v>
      </c>
      <c r="W53" s="3">
        <f ca="1"/>
        <v>4</v>
      </c>
      <c r="X53" s="3">
        <f ca="1"/>
        <v>2</v>
      </c>
      <c r="Y53" s="3">
        <f ca="1"/>
        <v>3</v>
      </c>
      <c r="Z53" s="3">
        <f ca="1"/>
        <v>0.48106060606060608</v>
      </c>
      <c r="AA53" s="3">
        <f ca="1"/>
        <v>0.5</v>
      </c>
      <c r="AB53" s="3">
        <f ca="1"/>
        <v>4</v>
      </c>
      <c r="AC53" s="3">
        <f ca="1"/>
        <v>4</v>
      </c>
      <c r="AD53" s="3">
        <f ca="1"/>
        <v>2</v>
      </c>
      <c r="AE53" s="3">
        <f ca="1"/>
        <v>4</v>
      </c>
      <c r="AF53" s="3">
        <f ca="1"/>
        <v>4</v>
      </c>
      <c r="AG53" s="3" t="str">
        <f ca="1"/>
        <v>0c50663a-7f58-4011-8674-59fd838bf7b4</v>
      </c>
    </row>
    <row r="54" spans="1:33" ht="14.4" customHeight="1" x14ac:dyDescent="0.3">
      <c r="A54" s="11" t="str">
        <f ca="1"/>
        <v>e97a017f-ce42-475f-b019-6b939bcc6bfc</v>
      </c>
      <c r="D54" s="3">
        <f ca="1"/>
        <v>50</v>
      </c>
      <c r="E54" s="3">
        <f ca="1"/>
        <v>0</v>
      </c>
      <c r="F54" s="3">
        <f ca="1"/>
        <v>1</v>
      </c>
      <c r="G54" s="3">
        <f ca="1"/>
        <v>1</v>
      </c>
      <c r="H54" s="3">
        <f ca="1"/>
        <v>1</v>
      </c>
      <c r="I54" s="3">
        <f ca="1"/>
        <v>2.5</v>
      </c>
      <c r="J54" s="3" t="str">
        <f ca="1"/>
        <v>1 2 4 7 6</v>
      </c>
      <c r="K54" s="3">
        <f ca="1"/>
        <v>15</v>
      </c>
      <c r="L54" s="3" t="str">
        <f ca="1"/>
        <v>1 4 8</v>
      </c>
      <c r="M54" s="3">
        <f ca="1"/>
        <v>1</v>
      </c>
      <c r="N54" s="3" t="str">
        <f ca="1"/>
        <v>1 8</v>
      </c>
      <c r="O54" s="3">
        <f ca="1"/>
        <v>2</v>
      </c>
      <c r="P54" s="3">
        <f ca="1"/>
        <v>4</v>
      </c>
      <c r="Q54" s="3">
        <f ca="1"/>
        <v>0.367965367965368</v>
      </c>
      <c r="R54" s="3">
        <f ca="1"/>
        <v>1</v>
      </c>
      <c r="S54" s="3">
        <f ca="1"/>
        <v>2</v>
      </c>
      <c r="T54" s="3">
        <f ca="1"/>
        <v>2</v>
      </c>
      <c r="U54" s="3">
        <f ca="1"/>
        <v>4</v>
      </c>
      <c r="V54" s="3">
        <f ca="1"/>
        <v>4</v>
      </c>
      <c r="W54" s="3">
        <f ca="1"/>
        <v>4</v>
      </c>
      <c r="X54" s="3">
        <f ca="1"/>
        <v>1.5</v>
      </c>
      <c r="Y54" s="3">
        <f ca="1"/>
        <v>3</v>
      </c>
      <c r="Z54" s="3">
        <f ca="1"/>
        <v>0.43560606060606061</v>
      </c>
      <c r="AA54" s="3">
        <f ca="1"/>
        <v>0.5</v>
      </c>
      <c r="AB54" s="3">
        <f ca="1"/>
        <v>3</v>
      </c>
      <c r="AC54" s="3">
        <f ca="1"/>
        <v>4</v>
      </c>
      <c r="AD54" s="3">
        <f ca="1"/>
        <v>2</v>
      </c>
      <c r="AE54" s="3">
        <f ca="1"/>
        <v>5</v>
      </c>
      <c r="AF54" s="3">
        <f ca="1"/>
        <v>4</v>
      </c>
      <c r="AG54" s="3" t="str">
        <f ca="1"/>
        <v>e97a017f-ce42-475f-b019-6b939bcc6bfc</v>
      </c>
    </row>
    <row r="55" spans="1:33" ht="14.4" customHeight="1" x14ac:dyDescent="0.3">
      <c r="A55" s="11" t="str">
        <f ca="1"/>
        <v>3fad10c1-99cd-468d-842c-b42c154f3f9c</v>
      </c>
      <c r="D55" s="3">
        <f ca="1"/>
        <v>51</v>
      </c>
      <c r="E55" s="3">
        <f ca="1"/>
        <v>1</v>
      </c>
      <c r="F55" s="3">
        <f ca="1"/>
        <v>1</v>
      </c>
      <c r="G55" s="3">
        <f ca="1"/>
        <v>1</v>
      </c>
      <c r="H55" s="3">
        <f ca="1"/>
        <v>0</v>
      </c>
      <c r="I55" s="3">
        <f ca="1"/>
        <v>2.5</v>
      </c>
      <c r="J55" s="3" t="str">
        <f ca="1"/>
        <v>1 4 6</v>
      </c>
      <c r="K55" s="3">
        <f ca="1"/>
        <v>10</v>
      </c>
      <c r="L55" s="3" t="str">
        <f ca="1"/>
        <v>1 2 8</v>
      </c>
      <c r="M55" s="3">
        <f ca="1"/>
        <v>1</v>
      </c>
      <c r="N55" s="3" t="str">
        <f ca="1"/>
        <v>2 8 1</v>
      </c>
      <c r="O55" s="3">
        <f ca="1"/>
        <v>2</v>
      </c>
      <c r="P55" s="3">
        <f ca="1"/>
        <v>4</v>
      </c>
      <c r="Q55" s="3">
        <f ca="1"/>
        <v>0.28354978354978355</v>
      </c>
      <c r="R55" s="3">
        <f ca="1"/>
        <v>1</v>
      </c>
      <c r="S55" s="3">
        <f ca="1"/>
        <v>2</v>
      </c>
      <c r="T55" s="3">
        <f ca="1"/>
        <v>1</v>
      </c>
      <c r="U55" s="3">
        <f ca="1"/>
        <v>4</v>
      </c>
      <c r="V55" s="3">
        <f ca="1"/>
        <v>4.5</v>
      </c>
      <c r="W55" s="3">
        <f ca="1"/>
        <v>4</v>
      </c>
      <c r="X55" s="3">
        <f ca="1"/>
        <v>2</v>
      </c>
      <c r="Y55" s="3">
        <f ca="1"/>
        <v>3</v>
      </c>
      <c r="Z55" s="3">
        <f ca="1"/>
        <v>0.26136363636363635</v>
      </c>
      <c r="AA55" s="3">
        <f ca="1"/>
        <v>0.3125</v>
      </c>
      <c r="AB55" s="3">
        <f ca="1"/>
        <v>3.5</v>
      </c>
      <c r="AC55" s="3">
        <f ca="1"/>
        <v>4</v>
      </c>
      <c r="AD55" s="3">
        <f ca="1"/>
        <v>1</v>
      </c>
      <c r="AE55" s="3">
        <f ca="1"/>
        <v>5</v>
      </c>
      <c r="AF55" s="3">
        <f ca="1"/>
        <v>5</v>
      </c>
      <c r="AG55" s="3" t="str">
        <f ca="1"/>
        <v>3fad10c1-99cd-468d-842c-b42c154f3f9c</v>
      </c>
    </row>
    <row r="56" spans="1:33" ht="14.4" customHeight="1" x14ac:dyDescent="0.3">
      <c r="A56" s="11" t="str">
        <f ca="1"/>
        <v>d3663a92-1998-4ef7-92bf-ce404cce9b92</v>
      </c>
      <c r="D56" s="3">
        <f ca="1"/>
        <v>52</v>
      </c>
      <c r="E56" s="3">
        <f ca="1"/>
        <v>1</v>
      </c>
      <c r="F56" s="3">
        <f ca="1"/>
        <v>0</v>
      </c>
      <c r="G56" s="3">
        <f ca="1"/>
        <v>1</v>
      </c>
      <c r="H56" s="3">
        <f ca="1"/>
        <v>0</v>
      </c>
      <c r="I56" s="3">
        <f ca="1"/>
        <v>0</v>
      </c>
      <c r="J56" s="3" t="str">
        <f ca="1"/>
        <v>1 4 6 7</v>
      </c>
      <c r="K56" s="3">
        <f ca="1"/>
        <v>10</v>
      </c>
      <c r="L56" s="3" t="str">
        <f ca="1"/>
        <v>1 2 8</v>
      </c>
      <c r="M56" s="3">
        <f ca="1"/>
        <v>1</v>
      </c>
      <c r="N56" s="3" t="str">
        <f ca="1"/>
        <v>1 8 3</v>
      </c>
      <c r="O56" s="3">
        <f ca="1"/>
        <v>2</v>
      </c>
      <c r="P56" s="3">
        <f ca="1"/>
        <v>5</v>
      </c>
      <c r="Q56" s="3">
        <f ca="1"/>
        <v>0.30735930735930733</v>
      </c>
      <c r="R56" s="3">
        <f ca="1"/>
        <v>1</v>
      </c>
      <c r="S56" s="3">
        <f ca="1"/>
        <v>2</v>
      </c>
      <c r="T56" s="3">
        <f ca="1"/>
        <v>1</v>
      </c>
      <c r="U56" s="3">
        <f ca="1"/>
        <v>5</v>
      </c>
      <c r="V56" s="3">
        <f ca="1"/>
        <v>4.5</v>
      </c>
      <c r="W56" s="3">
        <f ca="1"/>
        <v>5</v>
      </c>
      <c r="X56" s="3">
        <f ca="1"/>
        <v>1</v>
      </c>
      <c r="Y56" s="3">
        <f ca="1"/>
        <v>3</v>
      </c>
      <c r="Z56" s="3">
        <f ca="1"/>
        <v>0.35227272727272729</v>
      </c>
      <c r="AA56" s="3">
        <f ca="1"/>
        <v>0.4375</v>
      </c>
      <c r="AB56" s="3">
        <f ca="1"/>
        <v>4</v>
      </c>
      <c r="AC56" s="3">
        <f ca="1"/>
        <v>5</v>
      </c>
      <c r="AD56" s="3">
        <f ca="1"/>
        <v>1</v>
      </c>
      <c r="AE56" s="3">
        <f ca="1"/>
        <v>5</v>
      </c>
      <c r="AF56" s="3">
        <f ca="1"/>
        <v>4</v>
      </c>
      <c r="AG56" s="3" t="str">
        <f ca="1"/>
        <v>d3663a92-1998-4ef7-92bf-ce404cce9b92</v>
      </c>
    </row>
    <row r="57" spans="1:33" ht="14.4" customHeight="1" x14ac:dyDescent="0.3">
      <c r="A57" s="11" t="str">
        <f ca="1"/>
        <v>1107bfed-3068-4308-a49c-6989bc4ae4f2</v>
      </c>
      <c r="D57" s="3">
        <f ca="1"/>
        <v>53</v>
      </c>
      <c r="E57" s="3">
        <f ca="1"/>
        <v>1</v>
      </c>
      <c r="F57" s="3">
        <f ca="1"/>
        <v>0</v>
      </c>
      <c r="G57" s="3">
        <f ca="1"/>
        <v>1</v>
      </c>
      <c r="H57" s="3">
        <f ca="1"/>
        <v>1</v>
      </c>
      <c r="I57" s="3">
        <f ca="1"/>
        <v>2.5</v>
      </c>
      <c r="J57" s="3" t="str">
        <f ca="1"/>
        <v>1 4 7</v>
      </c>
      <c r="K57" s="3">
        <f ca="1"/>
        <v>10</v>
      </c>
      <c r="L57" s="3">
        <f ca="1"/>
        <v>8</v>
      </c>
      <c r="M57" s="3">
        <f ca="1"/>
        <v>0</v>
      </c>
      <c r="N57" s="3" t="str">
        <f ca="1"/>
        <v>8 2</v>
      </c>
      <c r="O57" s="3">
        <f ca="1"/>
        <v>2</v>
      </c>
      <c r="P57" s="3">
        <f ca="1"/>
        <v>4</v>
      </c>
      <c r="Q57" s="3">
        <f ca="1"/>
        <v>0.29004329004329005</v>
      </c>
      <c r="R57" s="3">
        <f ca="1"/>
        <v>1</v>
      </c>
      <c r="S57" s="3">
        <f ca="1"/>
        <v>4</v>
      </c>
      <c r="T57" s="3">
        <f ca="1"/>
        <v>1</v>
      </c>
      <c r="U57" s="3">
        <f ca="1"/>
        <v>4</v>
      </c>
      <c r="V57" s="3">
        <f ca="1"/>
        <v>4</v>
      </c>
      <c r="W57" s="3">
        <f ca="1"/>
        <v>4</v>
      </c>
      <c r="X57" s="3">
        <f ca="1"/>
        <v>1.5</v>
      </c>
      <c r="Y57" s="3">
        <f ca="1"/>
        <v>2</v>
      </c>
      <c r="Z57" s="3">
        <f ca="1"/>
        <v>0.26136363636363635</v>
      </c>
      <c r="AA57" s="3">
        <f ca="1"/>
        <v>0.3125</v>
      </c>
      <c r="AB57" s="3">
        <f ca="1"/>
        <v>4</v>
      </c>
      <c r="AC57" s="3">
        <f ca="1"/>
        <v>4</v>
      </c>
      <c r="AD57" s="3">
        <f ca="1"/>
        <v>3</v>
      </c>
      <c r="AE57" s="3">
        <f ca="1"/>
        <v>4</v>
      </c>
      <c r="AF57" s="3">
        <f ca="1"/>
        <v>1</v>
      </c>
      <c r="AG57" s="3" t="str">
        <f ca="1"/>
        <v>1107bfed-3068-4308-a49c-6989bc4ae4f2</v>
      </c>
    </row>
    <row r="58" spans="1:33" ht="14.4" customHeight="1" x14ac:dyDescent="0.3">
      <c r="A58" s="11" t="str">
        <f ca="1"/>
        <v>f3132cf7-a410-4603-9551-9e17f2fedb8d</v>
      </c>
      <c r="D58" s="3">
        <f ca="1"/>
        <v>54</v>
      </c>
      <c r="E58" s="3">
        <f ca="1"/>
        <v>1</v>
      </c>
      <c r="F58" s="3">
        <f ca="1"/>
        <v>1</v>
      </c>
      <c r="G58" s="3">
        <f ca="1"/>
        <v>1</v>
      </c>
      <c r="H58" s="3">
        <f ca="1"/>
        <v>0</v>
      </c>
      <c r="I58" s="3">
        <f ca="1"/>
        <v>2.5</v>
      </c>
      <c r="J58" s="3" t="str">
        <f ca="1"/>
        <v>1 2 6 7</v>
      </c>
      <c r="K58" s="3">
        <f ca="1"/>
        <v>10</v>
      </c>
      <c r="L58" s="3" t="str">
        <f ca="1"/>
        <v>1 3 8</v>
      </c>
      <c r="M58" s="3">
        <f ca="1"/>
        <v>1</v>
      </c>
      <c r="N58" s="3" t="str">
        <f ca="1"/>
        <v>1 5 8</v>
      </c>
      <c r="O58" s="3">
        <f ca="1"/>
        <v>2</v>
      </c>
      <c r="P58" s="3">
        <f ca="1"/>
        <v>4</v>
      </c>
      <c r="Q58" s="3">
        <f ca="1"/>
        <v>0.39826839826839827</v>
      </c>
      <c r="R58" s="3">
        <f ca="1"/>
        <v>1</v>
      </c>
      <c r="S58" s="3">
        <f ca="1"/>
        <v>3</v>
      </c>
      <c r="T58" s="3">
        <f ca="1"/>
        <v>3</v>
      </c>
      <c r="U58" s="3">
        <f ca="1"/>
        <v>4</v>
      </c>
      <c r="V58" s="3">
        <f ca="1"/>
        <v>3.5</v>
      </c>
      <c r="W58" s="3">
        <f ca="1"/>
        <v>4</v>
      </c>
      <c r="X58" s="3">
        <f ca="1"/>
        <v>1</v>
      </c>
      <c r="Y58" s="3">
        <f ca="1"/>
        <v>2.5</v>
      </c>
      <c r="Z58" s="3">
        <f ca="1"/>
        <v>0.34848484848484851</v>
      </c>
      <c r="AA58" s="3">
        <f ca="1"/>
        <v>0.4375</v>
      </c>
      <c r="AB58" s="3">
        <f ca="1"/>
        <v>4</v>
      </c>
      <c r="AC58" s="3">
        <f ca="1"/>
        <v>4</v>
      </c>
      <c r="AD58" s="3">
        <f ca="1"/>
        <v>3</v>
      </c>
      <c r="AE58" s="3">
        <f ca="1"/>
        <v>4</v>
      </c>
      <c r="AF58" s="3">
        <f ca="1"/>
        <v>2</v>
      </c>
      <c r="AG58" s="3" t="str">
        <f ca="1"/>
        <v>f3132cf7-a410-4603-9551-9e17f2fedb8d</v>
      </c>
    </row>
    <row r="59" spans="1:33" ht="14.4" customHeight="1" x14ac:dyDescent="0.3">
      <c r="A59" s="11" t="str">
        <f ca="1"/>
        <v>6be8c56d-47f3-458f-9909-7c13cc0022a3</v>
      </c>
      <c r="D59" s="3">
        <f ca="1"/>
        <v>55</v>
      </c>
      <c r="E59" s="3">
        <f ca="1"/>
        <v>1</v>
      </c>
      <c r="F59" s="3">
        <f ca="1"/>
        <v>1</v>
      </c>
      <c r="G59" s="3">
        <f ca="1"/>
        <v>1</v>
      </c>
      <c r="H59" s="3">
        <f ca="1"/>
        <v>1</v>
      </c>
      <c r="I59" s="3">
        <f ca="1"/>
        <v>5</v>
      </c>
      <c r="J59" s="3" t="str">
        <f ca="1"/>
        <v>4 1 7</v>
      </c>
      <c r="K59" s="3">
        <f ca="1"/>
        <v>10</v>
      </c>
      <c r="L59" s="3" t="str">
        <f ca="1"/>
        <v>8 1</v>
      </c>
      <c r="M59" s="3">
        <f ca="1"/>
        <v>1</v>
      </c>
      <c r="N59" s="3" t="str">
        <f ca="1"/>
        <v>8 3 1</v>
      </c>
      <c r="O59" s="3">
        <f ca="1"/>
        <v>2</v>
      </c>
      <c r="P59" s="3">
        <f ca="1"/>
        <v>5</v>
      </c>
      <c r="Q59" s="3">
        <f ca="1"/>
        <v>0.33766233766233761</v>
      </c>
      <c r="R59" s="3">
        <f ca="1"/>
        <v>1</v>
      </c>
      <c r="S59" s="3">
        <f ca="1"/>
        <v>1</v>
      </c>
      <c r="T59" s="3">
        <f ca="1"/>
        <v>2</v>
      </c>
      <c r="U59" s="3">
        <f ca="1"/>
        <v>5</v>
      </c>
      <c r="V59" s="3">
        <f ca="1"/>
        <v>4</v>
      </c>
      <c r="W59" s="3">
        <f ca="1"/>
        <v>5</v>
      </c>
      <c r="X59" s="3">
        <f ca="1"/>
        <v>1</v>
      </c>
      <c r="Y59" s="3">
        <f ca="1"/>
        <v>2.5</v>
      </c>
      <c r="Z59" s="3">
        <f ca="1"/>
        <v>0.26515151515151514</v>
      </c>
      <c r="AA59" s="3">
        <f ca="1"/>
        <v>0.625</v>
      </c>
      <c r="AB59" s="3">
        <f ca="1"/>
        <v>3.5</v>
      </c>
      <c r="AC59" s="3">
        <f ca="1"/>
        <v>4</v>
      </c>
      <c r="AD59" s="3">
        <f ca="1"/>
        <v>1</v>
      </c>
      <c r="AE59" s="3">
        <f ca="1"/>
        <v>5</v>
      </c>
      <c r="AF59" s="3">
        <f ca="1"/>
        <v>2</v>
      </c>
      <c r="AG59" s="3" t="str">
        <f ca="1"/>
        <v>6be8c56d-47f3-458f-9909-7c13cc0022a3</v>
      </c>
    </row>
    <row r="60" spans="1:33" ht="14.4" customHeight="1" x14ac:dyDescent="0.3">
      <c r="A60" s="11" t="str">
        <f ca="1"/>
        <v>cb812f2d-54e4-428a-afe0-4508bd063d96</v>
      </c>
      <c r="D60" s="3">
        <f ca="1"/>
        <v>56</v>
      </c>
      <c r="E60" s="3">
        <f ca="1"/>
        <v>1</v>
      </c>
      <c r="F60" s="3">
        <f ca="1"/>
        <v>1</v>
      </c>
      <c r="G60" s="3">
        <f ca="1"/>
        <v>1</v>
      </c>
      <c r="H60" s="3">
        <f ca="1"/>
        <v>1</v>
      </c>
      <c r="I60" s="3">
        <f ca="1"/>
        <v>5</v>
      </c>
      <c r="J60" s="3" t="str">
        <f ca="1"/>
        <v>7 1 4 10</v>
      </c>
      <c r="K60" s="3">
        <f ca="1"/>
        <v>10</v>
      </c>
      <c r="L60" s="3">
        <f ca="1"/>
        <v>8</v>
      </c>
      <c r="M60" s="3">
        <f ca="1"/>
        <v>0</v>
      </c>
      <c r="N60" s="3">
        <f ca="1"/>
        <v>8</v>
      </c>
      <c r="O60" s="3">
        <f ca="1"/>
        <v>1</v>
      </c>
      <c r="P60" s="3">
        <f ca="1"/>
        <v>4</v>
      </c>
      <c r="Q60" s="3">
        <f ca="1"/>
        <v>0.33766233766233761</v>
      </c>
      <c r="R60" s="3">
        <f ca="1"/>
        <v>1</v>
      </c>
      <c r="S60" s="3">
        <f ca="1"/>
        <v>1</v>
      </c>
      <c r="T60" s="3">
        <f ca="1"/>
        <v>2</v>
      </c>
      <c r="U60" s="3">
        <f ca="1"/>
        <v>5</v>
      </c>
      <c r="V60" s="3">
        <f ca="1"/>
        <v>4.5</v>
      </c>
      <c r="W60" s="3">
        <f ca="1"/>
        <v>5</v>
      </c>
      <c r="X60" s="3">
        <f ca="1"/>
        <v>1</v>
      </c>
      <c r="Y60" s="3">
        <f ca="1"/>
        <v>2.5</v>
      </c>
      <c r="Z60" s="3">
        <f ca="1"/>
        <v>0.30681818181818182</v>
      </c>
      <c r="AA60" s="3">
        <f ca="1"/>
        <v>0.5625</v>
      </c>
      <c r="AB60" s="3">
        <f ca="1"/>
        <v>4</v>
      </c>
      <c r="AC60" s="3">
        <f ca="1"/>
        <v>4</v>
      </c>
      <c r="AD60" s="3">
        <f ca="1"/>
        <v>2</v>
      </c>
      <c r="AE60" s="3">
        <f ca="1"/>
        <v>5</v>
      </c>
      <c r="AF60" s="3">
        <f ca="1"/>
        <v>1</v>
      </c>
      <c r="AG60" s="3" t="str">
        <f ca="1"/>
        <v>cb812f2d-54e4-428a-afe0-4508bd063d96</v>
      </c>
    </row>
    <row r="61" spans="1:33" ht="14.4" customHeight="1" x14ac:dyDescent="0.3">
      <c r="A61" s="11" t="str">
        <f ca="1"/>
        <v>6ae6c297-7bfc-42aa-b89e-b466f63f2d84</v>
      </c>
      <c r="D61" s="3">
        <f ca="1"/>
        <v>57</v>
      </c>
      <c r="E61" s="3">
        <f ca="1"/>
        <v>1</v>
      </c>
      <c r="F61" s="3">
        <f ca="1"/>
        <v>1</v>
      </c>
      <c r="G61" s="3">
        <f ca="1"/>
        <v>1</v>
      </c>
      <c r="H61" s="3">
        <f ca="1"/>
        <v>1</v>
      </c>
      <c r="I61" s="3">
        <f ca="1"/>
        <v>5</v>
      </c>
      <c r="J61" s="3" t="str">
        <f ca="1"/>
        <v>1 6 8 7</v>
      </c>
      <c r="K61" s="3">
        <f ca="1"/>
        <v>10</v>
      </c>
      <c r="L61" s="3" t="str">
        <f ca="1"/>
        <v>8 2</v>
      </c>
      <c r="M61" s="3">
        <f ca="1"/>
        <v>1</v>
      </c>
      <c r="N61" s="3" t="str">
        <f ca="1"/>
        <v>8 2</v>
      </c>
      <c r="O61" s="3">
        <f ca="1"/>
        <v>2</v>
      </c>
      <c r="P61" s="3">
        <f ca="1"/>
        <v>5</v>
      </c>
      <c r="Q61" s="3">
        <f ca="1"/>
        <v>0.367965367965368</v>
      </c>
      <c r="R61" s="3">
        <f ca="1"/>
        <v>1</v>
      </c>
      <c r="S61" s="3">
        <f ca="1"/>
        <v>1</v>
      </c>
      <c r="T61" s="3">
        <f ca="1"/>
        <v>2</v>
      </c>
      <c r="U61" s="3">
        <f ca="1"/>
        <v>5</v>
      </c>
      <c r="V61" s="3">
        <f ca="1"/>
        <v>4</v>
      </c>
      <c r="W61" s="3">
        <f ca="1"/>
        <v>5</v>
      </c>
      <c r="X61" s="3">
        <f ca="1"/>
        <v>1</v>
      </c>
      <c r="Y61" s="3">
        <f ca="1"/>
        <v>2.5</v>
      </c>
      <c r="Z61" s="3">
        <f ca="1"/>
        <v>0.26515151515151514</v>
      </c>
      <c r="AA61" s="3">
        <f ca="1"/>
        <v>0.4375</v>
      </c>
      <c r="AB61" s="3">
        <f ca="1"/>
        <v>4</v>
      </c>
      <c r="AC61" s="3">
        <f ca="1"/>
        <v>5</v>
      </c>
      <c r="AD61" s="3">
        <f ca="1"/>
        <v>1</v>
      </c>
      <c r="AE61" s="3">
        <f ca="1"/>
        <v>3</v>
      </c>
      <c r="AF61" s="3">
        <f ca="1"/>
        <v>1</v>
      </c>
      <c r="AG61" s="3" t="str">
        <f ca="1"/>
        <v>6ae6c297-7bfc-42aa-b89e-b466f63f2d84</v>
      </c>
    </row>
    <row r="62" spans="1:33" ht="14.4" customHeight="1" x14ac:dyDescent="0.3">
      <c r="A62" s="11" t="str">
        <f ca="1"/>
        <v>91f8fa21-cd1f-4337-a40e-8a7742eeaa51</v>
      </c>
      <c r="D62" s="3">
        <f ca="1"/>
        <v>58</v>
      </c>
      <c r="E62" s="3">
        <f ca="1"/>
        <v>1</v>
      </c>
      <c r="F62" s="3">
        <f ca="1"/>
        <v>1</v>
      </c>
      <c r="G62" s="3">
        <f ca="1"/>
        <v>1</v>
      </c>
      <c r="H62" s="3">
        <f ca="1"/>
        <v>1</v>
      </c>
      <c r="I62" s="3">
        <f ca="1"/>
        <v>5</v>
      </c>
      <c r="J62" s="3" t="str">
        <f ca="1"/>
        <v>1 6</v>
      </c>
      <c r="K62" s="3">
        <f ca="1"/>
        <v>5</v>
      </c>
      <c r="L62" s="3" t="str">
        <f ca="1"/>
        <v>8 1 2</v>
      </c>
      <c r="M62" s="3">
        <f ca="1"/>
        <v>1</v>
      </c>
      <c r="N62" s="3">
        <f ca="1"/>
        <v>8</v>
      </c>
      <c r="O62" s="3">
        <f ca="1"/>
        <v>1</v>
      </c>
      <c r="P62" s="3">
        <f ca="1"/>
        <v>5</v>
      </c>
      <c r="Q62" s="3">
        <f ca="1"/>
        <v>0.28354978354978355</v>
      </c>
      <c r="R62" s="3">
        <f ca="1"/>
        <v>1</v>
      </c>
      <c r="S62" s="3">
        <f ca="1"/>
        <v>1</v>
      </c>
      <c r="T62" s="3">
        <f ca="1"/>
        <v>1</v>
      </c>
      <c r="U62" s="3">
        <f ca="1"/>
        <v>5</v>
      </c>
      <c r="V62" s="3">
        <f ca="1"/>
        <v>4.5</v>
      </c>
      <c r="W62" s="3">
        <f ca="1"/>
        <v>4</v>
      </c>
      <c r="X62" s="3">
        <f ca="1"/>
        <v>1</v>
      </c>
      <c r="Y62" s="3">
        <f ca="1"/>
        <v>2.5</v>
      </c>
      <c r="Z62" s="3">
        <f ca="1"/>
        <v>0.30681818181818182</v>
      </c>
      <c r="AA62" s="3">
        <f ca="1"/>
        <v>0.4375</v>
      </c>
      <c r="AB62" s="3">
        <f ca="1"/>
        <v>4</v>
      </c>
      <c r="AC62" s="3">
        <f ca="1"/>
        <v>4</v>
      </c>
      <c r="AD62" s="3">
        <f ca="1"/>
        <v>2</v>
      </c>
      <c r="AE62" s="3">
        <f ca="1"/>
        <v>4</v>
      </c>
      <c r="AF62" s="3">
        <f ca="1"/>
        <v>4</v>
      </c>
      <c r="AG62" s="3" t="str">
        <f ca="1"/>
        <v>91f8fa21-cd1f-4337-a40e-8a7742eeaa51</v>
      </c>
    </row>
    <row r="63" spans="1:33" ht="14.4" customHeight="1" x14ac:dyDescent="0.3">
      <c r="A63" s="11" t="str">
        <f ca="1"/>
        <v>4225a3c8-9287-4df7-acc5-c5123b41d23e</v>
      </c>
      <c r="D63" s="3">
        <f ca="1"/>
        <v>59</v>
      </c>
      <c r="E63" s="3">
        <f ca="1"/>
        <v>1</v>
      </c>
      <c r="F63" s="3">
        <f ca="1"/>
        <v>1</v>
      </c>
      <c r="G63" s="3">
        <f ca="1"/>
        <v>1</v>
      </c>
      <c r="H63" s="3">
        <f ca="1"/>
        <v>1</v>
      </c>
      <c r="I63" s="3">
        <f ca="1"/>
        <v>5</v>
      </c>
      <c r="J63" s="3" t="str">
        <f ca="1"/>
        <v>6 1 4</v>
      </c>
      <c r="K63" s="3">
        <f ca="1"/>
        <v>10</v>
      </c>
      <c r="L63" s="3" t="str">
        <f ca="1"/>
        <v>8 2</v>
      </c>
      <c r="M63" s="3">
        <f ca="1"/>
        <v>1</v>
      </c>
      <c r="N63" s="3" t="str">
        <f ca="1"/>
        <v>8 2 1</v>
      </c>
      <c r="O63" s="3">
        <f ca="1"/>
        <v>2</v>
      </c>
      <c r="P63" s="3">
        <f ca="1"/>
        <v>4</v>
      </c>
      <c r="Q63" s="3">
        <f ca="1"/>
        <v>0.22943722943722941</v>
      </c>
      <c r="R63" s="3">
        <f ca="1"/>
        <v>1</v>
      </c>
      <c r="S63" s="3">
        <f ca="1"/>
        <v>1</v>
      </c>
      <c r="T63" s="3">
        <f ca="1"/>
        <v>1</v>
      </c>
      <c r="U63" s="3">
        <f ca="1"/>
        <v>4</v>
      </c>
      <c r="V63" s="3">
        <f ca="1"/>
        <v>5</v>
      </c>
      <c r="W63" s="3">
        <f ca="1"/>
        <v>4</v>
      </c>
      <c r="X63" s="3">
        <f ca="1"/>
        <v>1</v>
      </c>
      <c r="Y63" s="3">
        <f ca="1"/>
        <v>2</v>
      </c>
      <c r="Z63" s="3">
        <f ca="1"/>
        <v>0.26515151515151514</v>
      </c>
      <c r="AA63" s="3">
        <f ca="1"/>
        <v>0.4375</v>
      </c>
      <c r="AB63" s="3">
        <f ca="1"/>
        <v>4</v>
      </c>
      <c r="AC63" s="3">
        <f ca="1"/>
        <v>4</v>
      </c>
      <c r="AD63" s="3">
        <f ca="1"/>
        <v>1</v>
      </c>
      <c r="AE63" s="3">
        <f ca="1"/>
        <v>5</v>
      </c>
      <c r="AF63" s="3">
        <f ca="1"/>
        <v>1</v>
      </c>
      <c r="AG63" s="3" t="str">
        <f ca="1"/>
        <v>4225a3c8-9287-4df7-acc5-c5123b41d23e</v>
      </c>
    </row>
    <row r="64" spans="1:33" ht="14.4" customHeight="1" x14ac:dyDescent="0.3">
      <c r="A64" s="11" t="str">
        <f ca="1"/>
        <v>af1572d5-2a5f-4f89-8f10-3a45a4eb65c3</v>
      </c>
      <c r="D64" s="3">
        <f ca="1"/>
        <v>60</v>
      </c>
      <c r="E64" s="3">
        <f ca="1"/>
        <v>1</v>
      </c>
      <c r="F64" s="3">
        <f ca="1"/>
        <v>0</v>
      </c>
      <c r="G64" s="3">
        <f ca="1"/>
        <v>1</v>
      </c>
      <c r="H64" s="3">
        <f ca="1"/>
        <v>1</v>
      </c>
      <c r="I64" s="3">
        <f ca="1"/>
        <v>2.5</v>
      </c>
      <c r="J64" s="3" t="str">
        <f ca="1"/>
        <v>1 2 3 4 6 8 7</v>
      </c>
      <c r="K64" s="3">
        <f ca="1"/>
        <v>20</v>
      </c>
      <c r="L64" s="3" t="str">
        <f ca="1"/>
        <v>1 3 5 7 8</v>
      </c>
      <c r="M64" s="3">
        <f ca="1"/>
        <v>2</v>
      </c>
      <c r="N64" s="3" t="str">
        <f ca="1"/>
        <v>1 5 8</v>
      </c>
      <c r="O64" s="3">
        <f ca="1"/>
        <v>2</v>
      </c>
      <c r="P64" s="3">
        <f ca="1"/>
        <v>3</v>
      </c>
      <c r="Q64" s="3">
        <f ca="1"/>
        <v>0.66878306878306881</v>
      </c>
      <c r="R64" s="3">
        <f ca="1"/>
        <v>1</v>
      </c>
      <c r="S64" s="3">
        <f ca="1"/>
        <v>2</v>
      </c>
      <c r="T64" s="3">
        <f ca="1"/>
        <v>3</v>
      </c>
      <c r="U64" s="3">
        <f ca="1"/>
        <v>4</v>
      </c>
      <c r="V64" s="3">
        <f ca="1"/>
        <v>3.5</v>
      </c>
      <c r="W64" s="3">
        <f ca="1"/>
        <v>4</v>
      </c>
      <c r="X64" s="3">
        <f ca="1"/>
        <v>2</v>
      </c>
      <c r="Y64" s="3">
        <f ca="1"/>
        <v>3</v>
      </c>
      <c r="Z64" s="3">
        <f ca="1"/>
        <v>0.48863636363636365</v>
      </c>
      <c r="AA64" s="3">
        <f ca="1"/>
        <v>0.75</v>
      </c>
      <c r="AB64" s="3">
        <f ca="1"/>
        <v>4</v>
      </c>
      <c r="AC64" s="3">
        <f ca="1"/>
        <v>4</v>
      </c>
      <c r="AD64" s="3">
        <f ca="1"/>
        <v>2</v>
      </c>
      <c r="AE64" s="3">
        <f ca="1"/>
        <v>3</v>
      </c>
      <c r="AF64" s="3">
        <f ca="1"/>
        <v>2</v>
      </c>
      <c r="AG64" s="3" t="str">
        <f ca="1"/>
        <v>af1572d5-2a5f-4f89-8f10-3a45a4eb65c3</v>
      </c>
    </row>
    <row r="65" spans="1:33" ht="14.4" customHeight="1" x14ac:dyDescent="0.3">
      <c r="A65" s="11" t="str">
        <f ca="1"/>
        <v>4f91b1e3-9616-46a3-9ed8-5bbb3e95ed63</v>
      </c>
      <c r="D65" s="3">
        <f ca="1"/>
        <v>61</v>
      </c>
      <c r="E65" s="3">
        <f ca="1"/>
        <v>1</v>
      </c>
      <c r="F65" s="3">
        <f ca="1"/>
        <v>1</v>
      </c>
      <c r="G65" s="3">
        <f ca="1"/>
        <v>1</v>
      </c>
      <c r="H65" s="3">
        <f ca="1"/>
        <v>1</v>
      </c>
      <c r="I65" s="3">
        <f ca="1"/>
        <v>5</v>
      </c>
      <c r="J65" s="3" t="str">
        <f ca="1"/>
        <v>2 4 7 8 1 10</v>
      </c>
      <c r="K65" s="3">
        <f ca="1"/>
        <v>15</v>
      </c>
      <c r="L65" s="3" t="str">
        <f ca="1"/>
        <v>3 2 5 8</v>
      </c>
      <c r="M65" s="3">
        <f ca="1"/>
        <v>2</v>
      </c>
      <c r="N65" s="3" t="str">
        <f ca="1"/>
        <v>2 3 8 5</v>
      </c>
      <c r="O65" s="3">
        <f ca="1"/>
        <v>3</v>
      </c>
      <c r="P65" s="3">
        <f ca="1"/>
        <v>5</v>
      </c>
      <c r="Q65" s="3">
        <f ca="1"/>
        <v>0.3708994708994709</v>
      </c>
      <c r="R65" s="3">
        <f ca="1"/>
        <v>1</v>
      </c>
      <c r="S65" s="3">
        <f ca="1"/>
        <v>1</v>
      </c>
      <c r="T65" s="3">
        <f ca="1"/>
        <v>1</v>
      </c>
      <c r="U65" s="3">
        <f ca="1"/>
        <v>5</v>
      </c>
      <c r="V65" s="3">
        <f ca="1"/>
        <v>4</v>
      </c>
      <c r="W65" s="3">
        <f ca="1"/>
        <v>4</v>
      </c>
      <c r="X65" s="3">
        <f ca="1"/>
        <v>1.5</v>
      </c>
      <c r="Y65" s="3">
        <f ca="1"/>
        <v>1.6666666666666667</v>
      </c>
      <c r="Z65" s="3">
        <f ca="1"/>
        <v>0.52651515151515149</v>
      </c>
      <c r="AA65" s="3">
        <f ca="1"/>
        <v>0.5625</v>
      </c>
      <c r="AB65" s="3">
        <f ca="1"/>
        <v>4.5</v>
      </c>
      <c r="AC65" s="3">
        <f ca="1"/>
        <v>5</v>
      </c>
      <c r="AD65" s="3">
        <f ca="1"/>
        <v>1</v>
      </c>
      <c r="AE65" s="3">
        <f ca="1"/>
        <v>4</v>
      </c>
      <c r="AF65" s="3">
        <f ca="1"/>
        <v>2</v>
      </c>
      <c r="AG65" s="3" t="str">
        <f ca="1"/>
        <v>4f91b1e3-9616-46a3-9ed8-5bbb3e95ed63</v>
      </c>
    </row>
    <row r="66" spans="1:33" ht="14.4" customHeight="1" x14ac:dyDescent="0.3">
      <c r="A66" s="11" t="str">
        <f ca="1"/>
        <v>93d674aa-d0a9-47b2-a954-01de33fd7753</v>
      </c>
      <c r="D66" s="3">
        <f ca="1"/>
        <v>62</v>
      </c>
      <c r="E66" s="3">
        <f ca="1"/>
        <v>1</v>
      </c>
      <c r="F66" s="3">
        <f ca="1"/>
        <v>1</v>
      </c>
      <c r="G66" s="3">
        <f ca="1"/>
        <v>1</v>
      </c>
      <c r="H66" s="3">
        <f ca="1"/>
        <v>1</v>
      </c>
      <c r="I66" s="3">
        <f ca="1"/>
        <v>5</v>
      </c>
      <c r="J66" s="3" t="str">
        <f ca="1"/>
        <v>1 4 6 7 8 9 10</v>
      </c>
      <c r="K66" s="3">
        <f ca="1"/>
        <v>20</v>
      </c>
      <c r="L66" s="3" t="str">
        <f ca="1"/>
        <v>1 2 3 5 8</v>
      </c>
      <c r="M66" s="3">
        <f ca="1"/>
        <v>2</v>
      </c>
      <c r="N66" s="3" t="str">
        <f ca="1"/>
        <v>3 2 1 5 8</v>
      </c>
      <c r="O66" s="3">
        <f ca="1"/>
        <v>3</v>
      </c>
      <c r="P66" s="3">
        <f ca="1"/>
        <v>4</v>
      </c>
      <c r="Q66" s="3">
        <f ca="1"/>
        <v>0.33386243386243386</v>
      </c>
      <c r="R66" s="3">
        <f ca="1"/>
        <v>1</v>
      </c>
      <c r="S66" s="3">
        <f ca="1"/>
        <v>2</v>
      </c>
      <c r="T66" s="3">
        <f ca="1"/>
        <v>1</v>
      </c>
      <c r="U66" s="3">
        <f ca="1"/>
        <v>4</v>
      </c>
      <c r="V66" s="3">
        <f ca="1"/>
        <v>4</v>
      </c>
      <c r="W66" s="3">
        <f ca="1"/>
        <v>4</v>
      </c>
      <c r="X66" s="3">
        <f ca="1"/>
        <v>1.5</v>
      </c>
      <c r="Y66" s="3">
        <f ca="1"/>
        <v>2</v>
      </c>
      <c r="Z66" s="3">
        <f ca="1"/>
        <v>0.48106060606060608</v>
      </c>
      <c r="AA66" s="3">
        <f ca="1"/>
        <v>0.625</v>
      </c>
      <c r="AB66" s="3">
        <f ca="1"/>
        <v>4</v>
      </c>
      <c r="AC66" s="3">
        <f ca="1"/>
        <v>4</v>
      </c>
      <c r="AD66" s="3">
        <f ca="1"/>
        <v>1</v>
      </c>
      <c r="AE66" s="3">
        <f ca="1"/>
        <v>5</v>
      </c>
      <c r="AF66" s="3">
        <f ca="1"/>
        <v>4</v>
      </c>
      <c r="AG66" s="3" t="str">
        <f ca="1"/>
        <v>93d674aa-d0a9-47b2-a954-01de33fd7753</v>
      </c>
    </row>
    <row r="67" spans="1:33" ht="14.4" customHeight="1" x14ac:dyDescent="0.3">
      <c r="A67" s="11" t="str">
        <f ca="1"/>
        <v>a1f71cb9-ae09-4ded-b3bd-f71121a747e4</v>
      </c>
      <c r="D67" s="3">
        <f ca="1"/>
        <v>63</v>
      </c>
      <c r="E67" s="3">
        <f ca="1"/>
        <v>1</v>
      </c>
      <c r="F67" s="3">
        <f ca="1"/>
        <v>1</v>
      </c>
      <c r="G67" s="3">
        <f ca="1"/>
        <v>1</v>
      </c>
      <c r="H67" s="3">
        <f ca="1"/>
        <v>1</v>
      </c>
      <c r="I67" s="3">
        <f ca="1"/>
        <v>5</v>
      </c>
      <c r="J67" s="3" t="str">
        <f ca="1"/>
        <v>1 2 6 4 7</v>
      </c>
      <c r="K67" s="3">
        <f ca="1"/>
        <v>15</v>
      </c>
      <c r="L67" s="3" t="str">
        <f ca="1"/>
        <v>2 3 5 1</v>
      </c>
      <c r="M67" s="3">
        <f ca="1"/>
        <v>2</v>
      </c>
      <c r="N67" s="3" t="str">
        <f ca="1"/>
        <v>1 2 8</v>
      </c>
      <c r="O67" s="3">
        <f ca="1"/>
        <v>2</v>
      </c>
      <c r="P67" s="3">
        <f ca="1"/>
        <v>4</v>
      </c>
      <c r="Q67" s="3">
        <f ca="1"/>
        <v>0.34708994708994712</v>
      </c>
      <c r="R67" s="3">
        <f ca="1"/>
        <v>1</v>
      </c>
      <c r="S67" s="3">
        <f ca="1"/>
        <v>1</v>
      </c>
      <c r="T67" s="3">
        <f ca="1"/>
        <v>1</v>
      </c>
      <c r="U67" s="3">
        <f ca="1"/>
        <v>4</v>
      </c>
      <c r="V67" s="3">
        <f ca="1"/>
        <v>4</v>
      </c>
      <c r="W67" s="3">
        <f ca="1"/>
        <v>4</v>
      </c>
      <c r="X67" s="3">
        <f ca="1"/>
        <v>1</v>
      </c>
      <c r="Y67" s="3">
        <f ca="1"/>
        <v>2</v>
      </c>
      <c r="Z67" s="3">
        <f ca="1"/>
        <v>0.34848484848484851</v>
      </c>
      <c r="AA67" s="3">
        <f ca="1"/>
        <v>0.6875</v>
      </c>
      <c r="AB67" s="3">
        <f ca="1"/>
        <v>4.5</v>
      </c>
      <c r="AC67" s="3">
        <f ca="1"/>
        <v>5</v>
      </c>
      <c r="AD67" s="3">
        <f ca="1"/>
        <v>1</v>
      </c>
      <c r="AE67" s="3">
        <f ca="1"/>
        <v>5</v>
      </c>
      <c r="AF67" s="3">
        <f ca="1"/>
        <v>4</v>
      </c>
      <c r="AG67" s="3" t="str">
        <f ca="1"/>
        <v>a1f71cb9-ae09-4ded-b3bd-f71121a747e4</v>
      </c>
    </row>
    <row r="68" spans="1:33" ht="14.4" customHeight="1" x14ac:dyDescent="0.3">
      <c r="A68" s="11" t="str">
        <f ca="1"/>
        <v>cec04439-ce7d-4b24-86f1-fe5072318cdb</v>
      </c>
      <c r="D68" s="3">
        <f ca="1"/>
        <v>64</v>
      </c>
      <c r="E68" s="3">
        <f ca="1"/>
        <v>1</v>
      </c>
      <c r="F68" s="3">
        <f ca="1"/>
        <v>1</v>
      </c>
      <c r="G68" s="3">
        <f ca="1"/>
        <v>1</v>
      </c>
      <c r="H68" s="3">
        <f ca="1"/>
        <v>1</v>
      </c>
      <c r="I68" s="3">
        <f ca="1"/>
        <v>5</v>
      </c>
      <c r="J68" s="3" t="str">
        <f ca="1"/>
        <v>1 4 7 9 10</v>
      </c>
      <c r="K68" s="3">
        <f ca="1"/>
        <v>15</v>
      </c>
      <c r="L68" s="3" t="str">
        <f ca="1"/>
        <v>1 8 3 5</v>
      </c>
      <c r="M68" s="3">
        <f ca="1"/>
        <v>2</v>
      </c>
      <c r="N68" s="3" t="str">
        <f ca="1"/>
        <v>3 1 8 5</v>
      </c>
      <c r="O68" s="3">
        <f ca="1"/>
        <v>3</v>
      </c>
      <c r="P68" s="3">
        <f ca="1"/>
        <v>4</v>
      </c>
      <c r="Q68" s="3">
        <f ca="1"/>
        <v>0.27301587301587299</v>
      </c>
      <c r="R68" s="3">
        <f ca="1"/>
        <v>1</v>
      </c>
      <c r="S68" s="3">
        <f ca="1"/>
        <v>2</v>
      </c>
      <c r="T68" s="3">
        <f ca="1"/>
        <v>1</v>
      </c>
      <c r="U68" s="3">
        <f ca="1"/>
        <v>4</v>
      </c>
      <c r="V68" s="3">
        <f ca="1"/>
        <v>4</v>
      </c>
      <c r="W68" s="3">
        <f ca="1"/>
        <v>4</v>
      </c>
      <c r="X68" s="3">
        <f ca="1"/>
        <v>1</v>
      </c>
      <c r="Y68" s="3">
        <f ca="1"/>
        <v>2.3333333333333335</v>
      </c>
      <c r="Z68" s="3">
        <f ca="1"/>
        <v>0.43939393939393934</v>
      </c>
      <c r="AA68" s="3">
        <f ca="1"/>
        <v>0.5625</v>
      </c>
      <c r="AB68" s="3">
        <f ca="1"/>
        <v>4</v>
      </c>
      <c r="AC68" s="3">
        <f ca="1"/>
        <v>4</v>
      </c>
      <c r="AD68" s="3">
        <f ca="1"/>
        <v>1</v>
      </c>
      <c r="AE68" s="3">
        <f ca="1"/>
        <v>4</v>
      </c>
      <c r="AF68" s="3">
        <f ca="1"/>
        <v>4</v>
      </c>
      <c r="AG68" s="3" t="str">
        <f ca="1"/>
        <v>cec04439-ce7d-4b24-86f1-fe5072318cdb</v>
      </c>
    </row>
    <row r="69" spans="1:33" ht="14.4" customHeight="1" x14ac:dyDescent="0.3">
      <c r="A69" s="11" t="str">
        <f ca="1"/>
        <v>43c12265-71fa-425f-b3dd-6f87f6730b64</v>
      </c>
      <c r="D69" s="3">
        <f ca="1"/>
        <v>65</v>
      </c>
      <c r="E69" s="3">
        <f ca="1"/>
        <v>1</v>
      </c>
      <c r="F69" s="3">
        <f ca="1"/>
        <v>1</v>
      </c>
      <c r="G69" s="3">
        <f ca="1"/>
        <v>1</v>
      </c>
      <c r="H69" s="3">
        <f ca="1"/>
        <v>1</v>
      </c>
      <c r="I69" s="3">
        <f ca="1"/>
        <v>5</v>
      </c>
      <c r="J69" s="3" t="str">
        <f ca="1"/>
        <v>1 4 7 6</v>
      </c>
      <c r="K69" s="3">
        <f ca="1"/>
        <v>10</v>
      </c>
      <c r="L69" s="3" t="str">
        <f ca="1"/>
        <v>1 3 8 5</v>
      </c>
      <c r="M69" s="3">
        <f ca="1"/>
        <v>2</v>
      </c>
      <c r="N69" s="3" t="str">
        <f ca="1"/>
        <v>1 3 5 8</v>
      </c>
      <c r="O69" s="3">
        <f ca="1"/>
        <v>3</v>
      </c>
      <c r="P69" s="3">
        <f ca="1"/>
        <v>4</v>
      </c>
      <c r="Q69" s="3">
        <f ca="1"/>
        <v>0.24920634920634921</v>
      </c>
      <c r="R69" s="3">
        <f ca="1"/>
        <v>1</v>
      </c>
      <c r="S69" s="3">
        <f ca="1"/>
        <v>2</v>
      </c>
      <c r="T69" s="3">
        <f ca="1"/>
        <v>1</v>
      </c>
      <c r="U69" s="3">
        <f ca="1"/>
        <v>4</v>
      </c>
      <c r="V69" s="3">
        <f ca="1"/>
        <v>3.5</v>
      </c>
      <c r="W69" s="3">
        <f ca="1"/>
        <v>3</v>
      </c>
      <c r="X69" s="3">
        <f ca="1"/>
        <v>1.5</v>
      </c>
      <c r="Y69" s="3">
        <f ca="1"/>
        <v>2.6666666666666665</v>
      </c>
      <c r="Z69" s="3">
        <f ca="1"/>
        <v>0.39393939393939392</v>
      </c>
      <c r="AA69" s="3">
        <f ca="1"/>
        <v>0.5</v>
      </c>
      <c r="AB69" s="3">
        <f ca="1"/>
        <v>4.5</v>
      </c>
      <c r="AC69" s="3">
        <f ca="1"/>
        <v>4</v>
      </c>
      <c r="AD69" s="3">
        <f ca="1"/>
        <v>2</v>
      </c>
      <c r="AE69" s="3">
        <f ca="1"/>
        <v>4</v>
      </c>
      <c r="AF69" s="3">
        <f ca="1"/>
        <v>4</v>
      </c>
      <c r="AG69" s="3" t="str">
        <f ca="1"/>
        <v>43c12265-71fa-425f-b3dd-6f87f6730b64</v>
      </c>
    </row>
    <row r="70" spans="1:33" ht="14.4" customHeight="1" x14ac:dyDescent="0.3">
      <c r="A70" s="11" t="str">
        <f ca="1"/>
        <v>dd6a790f-0609-4e8f-b466-27412617478e</v>
      </c>
      <c r="D70" s="3">
        <f ca="1"/>
        <v>66</v>
      </c>
      <c r="E70" s="3">
        <f ca="1"/>
        <v>1</v>
      </c>
      <c r="F70" s="3">
        <f ca="1"/>
        <v>1</v>
      </c>
      <c r="G70" s="3">
        <f ca="1"/>
        <v>1</v>
      </c>
      <c r="H70" s="3">
        <f ca="1"/>
        <v>1</v>
      </c>
      <c r="I70" s="3">
        <f ca="1"/>
        <v>5</v>
      </c>
      <c r="J70" s="3" t="str">
        <f ca="1"/>
        <v>1 4 6 7 10 9</v>
      </c>
      <c r="K70" s="3">
        <f ca="1"/>
        <v>15</v>
      </c>
      <c r="L70" s="3" t="str">
        <f ca="1"/>
        <v>1 2 3 5 8</v>
      </c>
      <c r="M70" s="3">
        <f ca="1"/>
        <v>2</v>
      </c>
      <c r="N70" s="3" t="str">
        <f ca="1"/>
        <v>1 2 3 4 5 8</v>
      </c>
      <c r="O70" s="3">
        <f ca="1"/>
        <v>4</v>
      </c>
      <c r="P70" s="3">
        <f ca="1"/>
        <v>4</v>
      </c>
      <c r="Q70" s="3">
        <f ca="1"/>
        <v>0.3708994708994709</v>
      </c>
      <c r="R70" s="3">
        <f ca="1"/>
        <v>1</v>
      </c>
      <c r="S70" s="3">
        <f ca="1"/>
        <v>2</v>
      </c>
      <c r="T70" s="3">
        <f ca="1"/>
        <v>1</v>
      </c>
      <c r="U70" s="3">
        <f ca="1"/>
        <v>4</v>
      </c>
      <c r="V70" s="3">
        <f ca="1"/>
        <v>4</v>
      </c>
      <c r="W70" s="3">
        <f ca="1"/>
        <v>4</v>
      </c>
      <c r="X70" s="3">
        <f ca="1"/>
        <v>2</v>
      </c>
      <c r="Y70" s="3">
        <f ca="1"/>
        <v>2.6666666666666665</v>
      </c>
      <c r="Z70" s="3">
        <f ca="1"/>
        <v>0.43560606060606061</v>
      </c>
      <c r="AA70" s="3">
        <f ca="1"/>
        <v>0.75</v>
      </c>
      <c r="AB70" s="3">
        <f ca="1"/>
        <v>4</v>
      </c>
      <c r="AC70" s="3">
        <f ca="1"/>
        <v>4</v>
      </c>
      <c r="AD70" s="3">
        <f ca="1"/>
        <v>2</v>
      </c>
      <c r="AE70" s="3">
        <f ca="1"/>
        <v>4</v>
      </c>
      <c r="AF70" s="3">
        <f ca="1"/>
        <v>4</v>
      </c>
      <c r="AG70" s="3" t="str">
        <f ca="1"/>
        <v>dd6a790f-0609-4e8f-b466-27412617478e</v>
      </c>
    </row>
    <row r="71" spans="1:33" ht="14.4" customHeight="1" x14ac:dyDescent="0.3">
      <c r="A71" s="11" t="str">
        <f ca="1"/>
        <v>1947bd4d-536d-443c-a6fb-d1ff47dad35b</v>
      </c>
      <c r="D71" s="3">
        <f ca="1"/>
        <v>67</v>
      </c>
      <c r="E71" s="3">
        <f ca="1"/>
        <v>1</v>
      </c>
      <c r="F71" s="3">
        <f ca="1"/>
        <v>1</v>
      </c>
      <c r="G71" s="3">
        <f ca="1"/>
        <v>1</v>
      </c>
      <c r="H71" s="3">
        <f ca="1"/>
        <v>1</v>
      </c>
      <c r="I71" s="3">
        <f ca="1"/>
        <v>5</v>
      </c>
      <c r="J71" s="3" t="str">
        <f ca="1"/>
        <v>1 4 6 8 10</v>
      </c>
      <c r="K71" s="3">
        <f ca="1"/>
        <v>15</v>
      </c>
      <c r="L71" s="3" t="str">
        <f ca="1"/>
        <v>1 3 2 5 8 4</v>
      </c>
      <c r="M71" s="3">
        <f ca="1"/>
        <v>3</v>
      </c>
      <c r="N71" s="3" t="str">
        <f ca="1"/>
        <v>1 2 3 5 8</v>
      </c>
      <c r="O71" s="3">
        <f ca="1"/>
        <v>3</v>
      </c>
      <c r="P71" s="3">
        <f ca="1"/>
        <v>5</v>
      </c>
      <c r="Q71" s="3">
        <f ca="1"/>
        <v>0.50423280423280425</v>
      </c>
      <c r="R71" s="3">
        <f ca="1"/>
        <v>1</v>
      </c>
      <c r="S71" s="3">
        <f ca="1"/>
        <v>1</v>
      </c>
      <c r="T71" s="3">
        <f ca="1"/>
        <v>1</v>
      </c>
      <c r="U71" s="3">
        <f ca="1"/>
        <v>5</v>
      </c>
      <c r="V71" s="3">
        <f ca="1"/>
        <v>4</v>
      </c>
      <c r="W71" s="3">
        <f ca="1"/>
        <v>5</v>
      </c>
      <c r="X71" s="3">
        <f ca="1"/>
        <v>1</v>
      </c>
      <c r="Y71" s="3">
        <f ca="1"/>
        <v>2</v>
      </c>
      <c r="Z71" s="3">
        <f ca="1"/>
        <v>0.43560606060606061</v>
      </c>
      <c r="AA71" s="3">
        <f ca="1"/>
        <v>0.6875</v>
      </c>
      <c r="AB71" s="3">
        <f ca="1"/>
        <v>4.5</v>
      </c>
      <c r="AC71" s="3">
        <f ca="1"/>
        <v>5</v>
      </c>
      <c r="AD71" s="3">
        <f ca="1"/>
        <v>1</v>
      </c>
      <c r="AE71" s="3">
        <f ca="1"/>
        <v>5</v>
      </c>
      <c r="AF71" s="3">
        <f ca="1"/>
        <v>5</v>
      </c>
      <c r="AG71" s="3" t="str">
        <f ca="1"/>
        <v>1947bd4d-536d-443c-a6fb-d1ff47dad35b</v>
      </c>
    </row>
    <row r="72" spans="1:33" ht="14.4" customHeight="1" x14ac:dyDescent="0.3">
      <c r="A72" s="11" t="str">
        <f ca="1"/>
        <v>17c77b46-0317-441f-a4ec-77653061837e</v>
      </c>
      <c r="D72" s="3">
        <f ca="1"/>
        <v>68</v>
      </c>
      <c r="E72" s="3">
        <f ca="1"/>
        <v>1</v>
      </c>
      <c r="F72" s="3">
        <f ca="1"/>
        <v>1</v>
      </c>
      <c r="G72" s="3">
        <f ca="1"/>
        <v>1</v>
      </c>
      <c r="H72" s="3">
        <f ca="1"/>
        <v>1</v>
      </c>
      <c r="I72" s="3">
        <f ca="1"/>
        <v>5</v>
      </c>
      <c r="J72" s="3" t="str">
        <f ca="1"/>
        <v>1 2 4 7 10 9</v>
      </c>
      <c r="K72" s="3">
        <f ca="1"/>
        <v>15</v>
      </c>
      <c r="L72" s="3" t="str">
        <f ca="1"/>
        <v>1 3 5 8 4</v>
      </c>
      <c r="M72" s="3">
        <f ca="1"/>
        <v>2</v>
      </c>
      <c r="N72" s="3" t="str">
        <f ca="1"/>
        <v>1 3 5 8 4</v>
      </c>
      <c r="O72" s="3">
        <f ca="1"/>
        <v>3</v>
      </c>
      <c r="P72" s="3">
        <f ca="1"/>
        <v>5</v>
      </c>
      <c r="Q72" s="3">
        <f ca="1"/>
        <v>0.41375661375661377</v>
      </c>
      <c r="R72" s="3">
        <f ca="1"/>
        <v>1</v>
      </c>
      <c r="S72" s="3">
        <f ca="1"/>
        <v>1</v>
      </c>
      <c r="T72" s="3">
        <f ca="1"/>
        <v>1</v>
      </c>
      <c r="U72" s="3">
        <f ca="1"/>
        <v>4</v>
      </c>
      <c r="V72" s="3">
        <f ca="1"/>
        <v>4</v>
      </c>
      <c r="W72" s="3">
        <f ca="1"/>
        <v>4</v>
      </c>
      <c r="X72" s="3">
        <f ca="1"/>
        <v>1</v>
      </c>
      <c r="Y72" s="3">
        <f ca="1"/>
        <v>2.3333333333333335</v>
      </c>
      <c r="Z72" s="3">
        <f ca="1"/>
        <v>0.43560606060606061</v>
      </c>
      <c r="AA72" s="3">
        <f ca="1"/>
        <v>0.625</v>
      </c>
      <c r="AB72" s="3">
        <f ca="1"/>
        <v>4.5</v>
      </c>
      <c r="AC72" s="3">
        <f ca="1"/>
        <v>4</v>
      </c>
      <c r="AD72" s="3">
        <f ca="1"/>
        <v>1</v>
      </c>
      <c r="AE72" s="3">
        <f ca="1"/>
        <v>4</v>
      </c>
      <c r="AF72" s="3">
        <f ca="1"/>
        <v>4</v>
      </c>
      <c r="AG72" s="3" t="str">
        <f ca="1"/>
        <v>17c77b46-0317-441f-a4ec-77653061837e</v>
      </c>
    </row>
    <row r="73" spans="1:33" ht="14.4" customHeight="1" x14ac:dyDescent="0.3">
      <c r="A73" s="11" t="str">
        <f ca="1"/>
        <v>5229e300-c46e-4c9a-bc88-c440ffc76c98</v>
      </c>
      <c r="D73" s="3">
        <f ca="1"/>
        <v>69</v>
      </c>
      <c r="E73" s="3">
        <f ca="1"/>
        <v>1</v>
      </c>
      <c r="F73" s="3">
        <f ca="1"/>
        <v>1</v>
      </c>
      <c r="G73" s="3">
        <f ca="1"/>
        <v>1</v>
      </c>
      <c r="H73" s="3">
        <f ca="1"/>
        <v>1</v>
      </c>
      <c r="I73" s="3">
        <f ca="1"/>
        <v>5</v>
      </c>
      <c r="J73" s="3" t="str">
        <f ca="1"/>
        <v>1 4 6 10 7</v>
      </c>
      <c r="K73" s="3">
        <f ca="1"/>
        <v>15</v>
      </c>
      <c r="L73" s="3" t="str">
        <f ca="1"/>
        <v>1 3 8 5</v>
      </c>
      <c r="M73" s="3">
        <f ca="1"/>
        <v>2</v>
      </c>
      <c r="N73" s="3" t="str">
        <f ca="1"/>
        <v>1 3 5 4 8</v>
      </c>
      <c r="O73" s="3">
        <f ca="1"/>
        <v>3</v>
      </c>
      <c r="P73" s="3">
        <f ca="1"/>
        <v>4</v>
      </c>
      <c r="Q73" s="3">
        <f ca="1"/>
        <v>0.31005291005291008</v>
      </c>
      <c r="R73" s="3">
        <f ca="1"/>
        <v>1</v>
      </c>
      <c r="S73" s="3">
        <f ca="1"/>
        <v>2</v>
      </c>
      <c r="T73" s="3">
        <f ca="1"/>
        <v>1</v>
      </c>
      <c r="U73" s="3">
        <f ca="1"/>
        <v>4</v>
      </c>
      <c r="V73" s="3">
        <f ca="1"/>
        <v>4</v>
      </c>
      <c r="W73" s="3">
        <f ca="1"/>
        <v>4</v>
      </c>
      <c r="X73" s="3">
        <f ca="1"/>
        <v>1</v>
      </c>
      <c r="Y73" s="3">
        <f ca="1"/>
        <v>2.3333333333333335</v>
      </c>
      <c r="Z73" s="3">
        <f ca="1"/>
        <v>0.43560606060606061</v>
      </c>
      <c r="AA73" s="3">
        <f ca="1"/>
        <v>0.6875</v>
      </c>
      <c r="AB73" s="3">
        <f ca="1"/>
        <v>4.5</v>
      </c>
      <c r="AC73" s="3">
        <f ca="1"/>
        <v>4</v>
      </c>
      <c r="AD73" s="3">
        <f ca="1"/>
        <v>1</v>
      </c>
      <c r="AE73" s="3">
        <f ca="1"/>
        <v>4</v>
      </c>
      <c r="AF73" s="3">
        <f ca="1"/>
        <v>4</v>
      </c>
      <c r="AG73" s="3" t="str">
        <f ca="1"/>
        <v>5229e300-c46e-4c9a-bc88-c440ffc76c98</v>
      </c>
    </row>
    <row r="74" spans="1:33" ht="14.4" customHeight="1" x14ac:dyDescent="0.3">
      <c r="A74" s="11" t="str">
        <f ca="1"/>
        <v>9ba548d0-2960-44f0-9405-6166ba8f9371</v>
      </c>
      <c r="D74" s="3">
        <f ca="1"/>
        <v>70</v>
      </c>
      <c r="E74" s="3">
        <f ca="1"/>
        <v>1</v>
      </c>
      <c r="F74" s="3">
        <f ca="1"/>
        <v>1</v>
      </c>
      <c r="G74" s="3">
        <f ca="1"/>
        <v>1</v>
      </c>
      <c r="H74" s="3">
        <f ca="1"/>
        <v>1</v>
      </c>
      <c r="I74" s="3">
        <f ca="1"/>
        <v>5</v>
      </c>
      <c r="J74" s="3" t="str">
        <f ca="1"/>
        <v>1 4 7 9</v>
      </c>
      <c r="K74" s="3">
        <f ca="1"/>
        <v>10</v>
      </c>
      <c r="L74" s="3" t="str">
        <f ca="1"/>
        <v>1 3 8 4 5 2</v>
      </c>
      <c r="M74" s="3">
        <f ca="1"/>
        <v>3</v>
      </c>
      <c r="N74" s="3" t="str">
        <f ca="1"/>
        <v>1 3 5 8</v>
      </c>
      <c r="O74" s="3">
        <f ca="1"/>
        <v>3</v>
      </c>
      <c r="P74" s="3">
        <f ca="1"/>
        <v>4</v>
      </c>
      <c r="Q74" s="3">
        <f ca="1"/>
        <v>0.28624338624338624</v>
      </c>
      <c r="R74" s="3">
        <f ca="1"/>
        <v>1</v>
      </c>
      <c r="S74" s="3">
        <f ca="1"/>
        <v>1</v>
      </c>
      <c r="T74" s="3">
        <f ca="1"/>
        <v>1</v>
      </c>
      <c r="U74" s="3">
        <f ca="1"/>
        <v>4</v>
      </c>
      <c r="V74" s="3">
        <f ca="1"/>
        <v>4</v>
      </c>
      <c r="W74" s="3">
        <f ca="1"/>
        <v>4</v>
      </c>
      <c r="X74" s="3">
        <f ca="1"/>
        <v>1</v>
      </c>
      <c r="Y74" s="3">
        <f ca="1"/>
        <v>2.6666666666666665</v>
      </c>
      <c r="Z74" s="3">
        <f ca="1"/>
        <v>0.43560606060606061</v>
      </c>
      <c r="AA74" s="3">
        <f ca="1"/>
        <v>0.6875</v>
      </c>
      <c r="AB74" s="3">
        <f ca="1"/>
        <v>4.5</v>
      </c>
      <c r="AC74" s="3">
        <f ca="1"/>
        <v>4</v>
      </c>
      <c r="AD74" s="3">
        <f ca="1"/>
        <v>1</v>
      </c>
      <c r="AE74" s="3">
        <f ca="1"/>
        <v>4</v>
      </c>
      <c r="AF74" s="3">
        <f ca="1"/>
        <v>4</v>
      </c>
      <c r="AG74" s="3" t="str">
        <f ca="1"/>
        <v>9ba548d0-2960-44f0-9405-6166ba8f9371</v>
      </c>
    </row>
    <row r="75" spans="1:33" ht="14.4" customHeight="1" x14ac:dyDescent="0.3">
      <c r="A75" s="11" t="str">
        <f ca="1"/>
        <v>4f871e4e-9a4e-4c24-855d-0eaaf9bbc496</v>
      </c>
      <c r="D75" s="3">
        <f ca="1"/>
        <v>71</v>
      </c>
      <c r="E75" s="3">
        <f ca="1"/>
        <v>1</v>
      </c>
      <c r="F75" s="3">
        <f ca="1"/>
        <v>1</v>
      </c>
      <c r="G75" s="3">
        <f ca="1"/>
        <v>1</v>
      </c>
      <c r="H75" s="3">
        <f ca="1"/>
        <v>1</v>
      </c>
      <c r="I75" s="3">
        <f ca="1"/>
        <v>5</v>
      </c>
      <c r="J75" s="3" t="str">
        <f ca="1"/>
        <v>1 4 6 7 2 10</v>
      </c>
      <c r="K75" s="3">
        <f ca="1"/>
        <v>15</v>
      </c>
      <c r="L75" s="3" t="str">
        <f ca="1"/>
        <v>1 3 5 8 2</v>
      </c>
      <c r="M75" s="3">
        <f ca="1"/>
        <v>2</v>
      </c>
      <c r="N75" s="3" t="str">
        <f ca="1"/>
        <v>1 3 2 5 7</v>
      </c>
      <c r="O75" s="3">
        <f ca="1"/>
        <v>3</v>
      </c>
      <c r="P75" s="3">
        <f ca="1"/>
        <v>4</v>
      </c>
      <c r="Q75" s="3">
        <f ca="1"/>
        <v>0.34708994708994712</v>
      </c>
      <c r="R75" s="3">
        <f ca="1"/>
        <v>1</v>
      </c>
      <c r="S75" s="3">
        <f ca="1"/>
        <v>2</v>
      </c>
      <c r="T75" s="3">
        <f ca="1"/>
        <v>1</v>
      </c>
      <c r="U75" s="3">
        <f ca="1"/>
        <v>4</v>
      </c>
      <c r="V75" s="3">
        <f ca="1"/>
        <v>4</v>
      </c>
      <c r="W75" s="3">
        <f ca="1"/>
        <v>4</v>
      </c>
      <c r="X75" s="3">
        <f ca="1"/>
        <v>1</v>
      </c>
      <c r="Y75" s="3">
        <f ca="1"/>
        <v>2.6666666666666665</v>
      </c>
      <c r="Z75" s="3">
        <f ca="1"/>
        <v>0.43560606060606061</v>
      </c>
      <c r="AA75" s="3">
        <f ca="1"/>
        <v>0.6875</v>
      </c>
      <c r="AB75" s="3">
        <f ca="1"/>
        <v>4.5</v>
      </c>
      <c r="AC75" s="3">
        <f ca="1"/>
        <v>4</v>
      </c>
      <c r="AD75" s="3">
        <f ca="1"/>
        <v>1</v>
      </c>
      <c r="AE75" s="3">
        <f ca="1"/>
        <v>4</v>
      </c>
      <c r="AF75" s="3">
        <f ca="1"/>
        <v>4</v>
      </c>
      <c r="AG75" s="3" t="str">
        <f ca="1"/>
        <v>4f871e4e-9a4e-4c24-855d-0eaaf9bbc496</v>
      </c>
    </row>
    <row r="76" spans="1:33" ht="14.4" customHeight="1" x14ac:dyDescent="0.3">
      <c r="A76" s="11" t="str">
        <f ca="1"/>
        <v>6face0f6-8235-4a3f-aae2-96c7689d0987</v>
      </c>
      <c r="D76" s="3">
        <f ca="1"/>
        <v>72</v>
      </c>
      <c r="E76" s="3">
        <f ca="1"/>
        <v>1</v>
      </c>
      <c r="F76" s="3">
        <f ca="1"/>
        <v>1</v>
      </c>
      <c r="G76" s="3">
        <f ca="1"/>
        <v>1</v>
      </c>
      <c r="H76" s="3">
        <f ca="1"/>
        <v>1</v>
      </c>
      <c r="I76" s="3">
        <f ca="1"/>
        <v>5</v>
      </c>
      <c r="J76" s="3" t="str">
        <f ca="1"/>
        <v>1 4 6 2 7</v>
      </c>
      <c r="K76" s="3">
        <f ca="1"/>
        <v>15</v>
      </c>
      <c r="L76" s="3" t="str">
        <f ca="1"/>
        <v>2 4 8 1</v>
      </c>
      <c r="M76" s="3">
        <f ca="1"/>
        <v>2</v>
      </c>
      <c r="N76" s="3" t="str">
        <f ca="1"/>
        <v>2 4 8</v>
      </c>
      <c r="O76" s="3">
        <f ca="1"/>
        <v>2</v>
      </c>
      <c r="P76" s="3">
        <f ca="1"/>
        <v>4</v>
      </c>
      <c r="Q76" s="3">
        <f ca="1"/>
        <v>0.40052910052910057</v>
      </c>
      <c r="R76" s="3">
        <f ca="1"/>
        <v>1</v>
      </c>
      <c r="S76" s="3">
        <f ca="1"/>
        <v>2</v>
      </c>
      <c r="T76" s="3">
        <f ca="1"/>
        <v>1</v>
      </c>
      <c r="U76" s="3">
        <f ca="1"/>
        <v>4</v>
      </c>
      <c r="V76" s="3">
        <f ca="1"/>
        <v>4</v>
      </c>
      <c r="W76" s="3">
        <f ca="1"/>
        <v>5</v>
      </c>
      <c r="X76" s="3">
        <f ca="1"/>
        <v>1</v>
      </c>
      <c r="Y76" s="3">
        <f ca="1"/>
        <v>1.6666666666666667</v>
      </c>
      <c r="Z76" s="3">
        <f ca="1"/>
        <v>0.48106060606060608</v>
      </c>
      <c r="AA76" s="3">
        <f ca="1"/>
        <v>0.4375</v>
      </c>
      <c r="AB76" s="3">
        <f ca="1"/>
        <v>4.5</v>
      </c>
      <c r="AC76" s="3">
        <f ca="1"/>
        <v>4</v>
      </c>
      <c r="AD76" s="3">
        <f ca="1"/>
        <v>1</v>
      </c>
      <c r="AE76" s="3">
        <f ca="1"/>
        <v>4</v>
      </c>
      <c r="AF76" s="3">
        <f ca="1"/>
        <v>1</v>
      </c>
      <c r="AG76" s="3" t="str">
        <f ca="1"/>
        <v>6face0f6-8235-4a3f-aae2-96c7689d0987</v>
      </c>
    </row>
    <row r="77" spans="1:33" ht="14.4" customHeight="1" x14ac:dyDescent="0.3">
      <c r="A77" s="11" t="str">
        <f ca="1"/>
        <v>e7a7df52-4b6d-44ab-bdc9-329e78c052db</v>
      </c>
      <c r="D77" s="3">
        <f ca="1"/>
        <v>73</v>
      </c>
      <c r="E77" s="3">
        <f ca="1"/>
        <v>1</v>
      </c>
      <c r="F77" s="3">
        <f ca="1"/>
        <v>1</v>
      </c>
      <c r="G77" s="3">
        <f ca="1"/>
        <v>1</v>
      </c>
      <c r="H77" s="3">
        <f ca="1"/>
        <v>1</v>
      </c>
      <c r="I77" s="3">
        <f ca="1"/>
        <v>5</v>
      </c>
      <c r="J77" s="3" t="str">
        <f ca="1"/>
        <v>1 4 6 7 10</v>
      </c>
      <c r="K77" s="3">
        <f ca="1"/>
        <v>15</v>
      </c>
      <c r="L77" s="3" t="str">
        <f ca="1"/>
        <v>1 2 5 8</v>
      </c>
      <c r="M77" s="3">
        <f ca="1"/>
        <v>2</v>
      </c>
      <c r="N77" s="3" t="str">
        <f ca="1"/>
        <v>1 2 5 8</v>
      </c>
      <c r="O77" s="3">
        <f ca="1"/>
        <v>3</v>
      </c>
      <c r="P77" s="3">
        <f ca="1"/>
        <v>5</v>
      </c>
      <c r="Q77" s="3">
        <f ca="1"/>
        <v>0.24920634920634921</v>
      </c>
      <c r="R77" s="3">
        <f ca="1"/>
        <v>1</v>
      </c>
      <c r="S77" s="3">
        <f ca="1"/>
        <v>2</v>
      </c>
      <c r="T77" s="3">
        <f ca="1"/>
        <v>1</v>
      </c>
      <c r="U77" s="3">
        <f ca="1"/>
        <v>3</v>
      </c>
      <c r="V77" s="3">
        <f ca="1"/>
        <v>3.5</v>
      </c>
      <c r="W77" s="3">
        <f ca="1"/>
        <v>4</v>
      </c>
      <c r="X77" s="3">
        <f ca="1"/>
        <v>1</v>
      </c>
      <c r="Y77" s="3">
        <f ca="1"/>
        <v>2</v>
      </c>
      <c r="Z77" s="3">
        <f ca="1"/>
        <v>0.34848484848484851</v>
      </c>
      <c r="AA77" s="3">
        <f ca="1"/>
        <v>0.4375</v>
      </c>
      <c r="AB77" s="3">
        <f ca="1"/>
        <v>5</v>
      </c>
      <c r="AC77" s="3">
        <f ca="1"/>
        <v>5</v>
      </c>
      <c r="AD77" s="3">
        <f ca="1"/>
        <v>1</v>
      </c>
      <c r="AE77" s="3">
        <f ca="1"/>
        <v>4</v>
      </c>
      <c r="AF77" s="3">
        <f ca="1"/>
        <v>1</v>
      </c>
      <c r="AG77" s="3" t="str">
        <f ca="1"/>
        <v>e7a7df52-4b6d-44ab-bdc9-329e78c052db</v>
      </c>
    </row>
    <row r="78" spans="1:33" ht="14.4" customHeight="1" x14ac:dyDescent="0.3">
      <c r="A78" s="11" t="str">
        <f ca="1"/>
        <v>c2910c1f-ee16-4e9b-b08f-636283d9edab</v>
      </c>
      <c r="D78" s="3">
        <f ca="1"/>
        <v>74</v>
      </c>
      <c r="E78" s="3">
        <f ca="1"/>
        <v>1</v>
      </c>
      <c r="F78" s="3">
        <f ca="1"/>
        <v>1</v>
      </c>
      <c r="G78" s="3">
        <f ca="1"/>
        <v>1</v>
      </c>
      <c r="H78" s="3">
        <f ca="1"/>
        <v>1</v>
      </c>
      <c r="I78" s="3">
        <f ca="1"/>
        <v>5</v>
      </c>
      <c r="J78" s="3" t="str">
        <f ca="1"/>
        <v>1 4 6 7</v>
      </c>
      <c r="K78" s="3">
        <f ca="1"/>
        <v>10</v>
      </c>
      <c r="L78" s="3" t="str">
        <f ca="1"/>
        <v>2 1 4 8</v>
      </c>
      <c r="M78" s="3">
        <f ca="1"/>
        <v>2</v>
      </c>
      <c r="N78" s="3" t="str">
        <f ca="1"/>
        <v>1 2 4 8</v>
      </c>
      <c r="O78" s="3">
        <f ca="1"/>
        <v>3</v>
      </c>
      <c r="P78" s="3">
        <f ca="1"/>
        <v>4</v>
      </c>
      <c r="Q78" s="3">
        <f ca="1"/>
        <v>0.33386243386243386</v>
      </c>
      <c r="R78" s="3">
        <f ca="1"/>
        <v>1</v>
      </c>
      <c r="S78" s="3">
        <f ca="1"/>
        <v>1</v>
      </c>
      <c r="T78" s="3">
        <f ca="1"/>
        <v>1</v>
      </c>
      <c r="U78" s="3">
        <f ca="1"/>
        <v>4</v>
      </c>
      <c r="V78" s="3">
        <f ca="1"/>
        <v>3.5</v>
      </c>
      <c r="W78" s="3">
        <f ca="1"/>
        <v>4</v>
      </c>
      <c r="X78" s="3">
        <f ca="1"/>
        <v>1</v>
      </c>
      <c r="Y78" s="3">
        <f ca="1"/>
        <v>2.3333333333333335</v>
      </c>
      <c r="Z78" s="3">
        <f ca="1"/>
        <v>0.43560606060606061</v>
      </c>
      <c r="AA78" s="3">
        <f ca="1"/>
        <v>0.3125</v>
      </c>
      <c r="AB78" s="3">
        <f ca="1"/>
        <v>4.5</v>
      </c>
      <c r="AC78" s="3">
        <f ca="1"/>
        <v>4</v>
      </c>
      <c r="AD78" s="3">
        <f ca="1"/>
        <v>1</v>
      </c>
      <c r="AE78" s="3">
        <f ca="1"/>
        <v>3</v>
      </c>
      <c r="AF78" s="3">
        <f ca="1"/>
        <v>1</v>
      </c>
      <c r="AG78" s="3" t="str">
        <f ca="1"/>
        <v>c2910c1f-ee16-4e9b-b08f-636283d9edab</v>
      </c>
    </row>
    <row r="79" spans="1:33" ht="14.4" customHeight="1" x14ac:dyDescent="0.3">
      <c r="A79" s="11" t="str">
        <f ca="1"/>
        <v>1c26532c-d6f7-4e9c-9626-19fb8230001c</v>
      </c>
      <c r="D79" s="3">
        <f ca="1"/>
        <v>75</v>
      </c>
      <c r="E79" s="3">
        <f ca="1"/>
        <v>1</v>
      </c>
      <c r="F79" s="3">
        <f ca="1"/>
        <v>1</v>
      </c>
      <c r="G79" s="3">
        <f ca="1"/>
        <v>1</v>
      </c>
      <c r="H79" s="3">
        <f ca="1"/>
        <v>1</v>
      </c>
      <c r="I79" s="3">
        <f ca="1"/>
        <v>5</v>
      </c>
      <c r="J79" s="3" t="str">
        <f ca="1"/>
        <v>1 4 2 6 7</v>
      </c>
      <c r="K79" s="3">
        <f ca="1"/>
        <v>15</v>
      </c>
      <c r="L79" s="3" t="str">
        <f ca="1"/>
        <v>2 4 8</v>
      </c>
      <c r="M79" s="3">
        <f ca="1"/>
        <v>1</v>
      </c>
      <c r="N79" s="3" t="str">
        <f ca="1"/>
        <v>2 4 8</v>
      </c>
      <c r="O79" s="3">
        <f ca="1"/>
        <v>2</v>
      </c>
      <c r="P79" s="3">
        <f ca="1"/>
        <v>4</v>
      </c>
      <c r="Q79" s="3">
        <f ca="1"/>
        <v>0.32063492063492061</v>
      </c>
      <c r="R79" s="3">
        <f ca="1"/>
        <v>1</v>
      </c>
      <c r="S79" s="3">
        <f ca="1"/>
        <v>1</v>
      </c>
      <c r="T79" s="3">
        <f ca="1"/>
        <v>1</v>
      </c>
      <c r="U79" s="3">
        <f ca="1"/>
        <v>4</v>
      </c>
      <c r="V79" s="3">
        <f ca="1"/>
        <v>3</v>
      </c>
      <c r="W79" s="3">
        <f ca="1"/>
        <v>3</v>
      </c>
      <c r="X79" s="3">
        <f ca="1"/>
        <v>1</v>
      </c>
      <c r="Y79" s="3">
        <f ca="1"/>
        <v>2.3333333333333335</v>
      </c>
      <c r="Z79" s="3">
        <f ca="1"/>
        <v>0.34848484848484851</v>
      </c>
      <c r="AA79" s="3">
        <f ca="1"/>
        <v>0.4375</v>
      </c>
      <c r="AB79" s="3">
        <f ca="1"/>
        <v>5</v>
      </c>
      <c r="AC79" s="3">
        <f ca="1"/>
        <v>4</v>
      </c>
      <c r="AD79" s="3">
        <f ca="1"/>
        <v>1</v>
      </c>
      <c r="AE79" s="3">
        <f ca="1"/>
        <v>4</v>
      </c>
      <c r="AF79" s="3">
        <f ca="1"/>
        <v>1</v>
      </c>
      <c r="AG79" s="3" t="str">
        <f ca="1"/>
        <v>1c26532c-d6f7-4e9c-9626-19fb8230001c</v>
      </c>
    </row>
    <row r="80" spans="1:33" ht="14.4" customHeight="1" x14ac:dyDescent="0.3">
      <c r="A80" s="11" t="str">
        <f ca="1"/>
        <v>e99b48ed-e399-42f1-be91-15c6911fdb37</v>
      </c>
      <c r="D80" s="3">
        <f ca="1"/>
        <v>76</v>
      </c>
      <c r="E80" s="3">
        <f ca="1"/>
        <v>1</v>
      </c>
      <c r="F80" s="3">
        <f ca="1"/>
        <v>1</v>
      </c>
      <c r="G80" s="3">
        <f ca="1"/>
        <v>1</v>
      </c>
      <c r="H80" s="3">
        <f ca="1"/>
        <v>1</v>
      </c>
      <c r="I80" s="3">
        <f ca="1"/>
        <v>5</v>
      </c>
      <c r="J80" s="3" t="str">
        <f ca="1"/>
        <v>1 2 6 10 7</v>
      </c>
      <c r="K80" s="3">
        <f ca="1"/>
        <v>15</v>
      </c>
      <c r="L80" s="3" t="str">
        <f ca="1"/>
        <v>1 2 4 5 8</v>
      </c>
      <c r="M80" s="3">
        <f ca="1"/>
        <v>2</v>
      </c>
      <c r="N80" s="3" t="str">
        <f ca="1"/>
        <v>1 2 4 8</v>
      </c>
      <c r="O80" s="3">
        <f ca="1"/>
        <v>3</v>
      </c>
      <c r="P80" s="3">
        <f ca="1"/>
        <v>3</v>
      </c>
      <c r="Q80" s="3">
        <f ca="1"/>
        <v>0.34708994708994712</v>
      </c>
      <c r="R80" s="3">
        <f ca="1"/>
        <v>1</v>
      </c>
      <c r="S80" s="3">
        <f ca="1"/>
        <v>1</v>
      </c>
      <c r="T80" s="3">
        <f ca="1"/>
        <v>1</v>
      </c>
      <c r="U80" s="3">
        <f ca="1"/>
        <v>4</v>
      </c>
      <c r="V80" s="3">
        <f ca="1"/>
        <v>4</v>
      </c>
      <c r="W80" s="3">
        <f ca="1"/>
        <v>4</v>
      </c>
      <c r="X80" s="3">
        <f ca="1"/>
        <v>1</v>
      </c>
      <c r="Y80" s="3">
        <f ca="1"/>
        <v>1.6666666666666667</v>
      </c>
      <c r="Z80" s="3">
        <f ca="1"/>
        <v>0.39015151515151514</v>
      </c>
      <c r="AA80" s="3">
        <f ca="1"/>
        <v>0.5</v>
      </c>
      <c r="AB80" s="3">
        <f ca="1"/>
        <v>4.5</v>
      </c>
      <c r="AC80" s="3">
        <f ca="1"/>
        <v>5</v>
      </c>
      <c r="AD80" s="3">
        <f ca="1"/>
        <v>1</v>
      </c>
      <c r="AE80" s="3">
        <f ca="1"/>
        <v>2</v>
      </c>
      <c r="AF80" s="3">
        <f ca="1"/>
        <v>1</v>
      </c>
      <c r="AG80" s="3" t="str">
        <f ca="1"/>
        <v>e99b48ed-e399-42f1-be91-15c6911fdb37</v>
      </c>
    </row>
    <row r="81" spans="1:33" ht="14.4" customHeight="1" x14ac:dyDescent="0.3">
      <c r="A81" s="11" t="str">
        <f ca="1"/>
        <v>13dc70ad-8daa-4a53-9454-a73069d4b827</v>
      </c>
      <c r="D81" s="3">
        <f ca="1"/>
        <v>77</v>
      </c>
      <c r="E81" s="3">
        <f ca="1"/>
        <v>1</v>
      </c>
      <c r="F81" s="3">
        <f ca="1"/>
        <v>1</v>
      </c>
      <c r="G81" s="3">
        <f ca="1"/>
        <v>0</v>
      </c>
      <c r="H81" s="3">
        <f ca="1"/>
        <v>0</v>
      </c>
      <c r="I81" s="3">
        <f ca="1"/>
        <v>0</v>
      </c>
      <c r="J81" s="3" t="str">
        <f ca="1"/>
        <v>1 2 4 6 10</v>
      </c>
      <c r="K81" s="3">
        <f ca="1"/>
        <v>15</v>
      </c>
      <c r="L81" s="3" t="str">
        <f ca="1"/>
        <v>1 2 8</v>
      </c>
      <c r="M81" s="3">
        <f ca="1"/>
        <v>1</v>
      </c>
      <c r="N81" s="3" t="str">
        <f ca="1"/>
        <v>1 2 8</v>
      </c>
      <c r="O81" s="3">
        <f ca="1"/>
        <v>2</v>
      </c>
      <c r="P81" s="3">
        <f ca="1"/>
        <v>4</v>
      </c>
      <c r="Q81" s="3">
        <f ca="1"/>
        <v>0.27301587301587299</v>
      </c>
      <c r="R81" s="3">
        <f ca="1"/>
        <v>1</v>
      </c>
      <c r="S81" s="3">
        <f ca="1"/>
        <v>2</v>
      </c>
      <c r="T81" s="3">
        <f ca="1"/>
        <v>2</v>
      </c>
      <c r="U81" s="3">
        <f ca="1"/>
        <v>4</v>
      </c>
      <c r="V81" s="3">
        <f ca="1"/>
        <v>2.5</v>
      </c>
      <c r="W81" s="3">
        <f ca="1"/>
        <v>4</v>
      </c>
      <c r="X81" s="3">
        <f ca="1"/>
        <v>1.5</v>
      </c>
      <c r="Y81" s="3">
        <f ca="1"/>
        <v>2</v>
      </c>
      <c r="Z81" s="3">
        <f ca="1"/>
        <v>0.35227272727272729</v>
      </c>
      <c r="AA81" s="3">
        <f ca="1"/>
        <v>0.4375</v>
      </c>
      <c r="AB81" s="3">
        <f ca="1"/>
        <v>4.5</v>
      </c>
      <c r="AC81" s="3">
        <f ca="1"/>
        <v>5</v>
      </c>
      <c r="AD81" s="3">
        <f ca="1"/>
        <v>3</v>
      </c>
      <c r="AE81" s="3">
        <f ca="1"/>
        <v>5</v>
      </c>
      <c r="AF81" s="3">
        <f ca="1"/>
        <v>3</v>
      </c>
      <c r="AG81" s="3" t="str">
        <f ca="1"/>
        <v>13dc70ad-8daa-4a53-9454-a73069d4b827</v>
      </c>
    </row>
    <row r="82" spans="1:33" ht="14.4" customHeight="1" x14ac:dyDescent="0.3">
      <c r="A82" s="11" t="str">
        <f ca="1"/>
        <v>8b5208a0-40de-4137-9077-f5fdbff838f4</v>
      </c>
      <c r="D82" s="3">
        <f ca="1"/>
        <v>78</v>
      </c>
      <c r="E82" s="3">
        <f ca="1"/>
        <v>1</v>
      </c>
      <c r="F82" s="3">
        <f ca="1"/>
        <v>1</v>
      </c>
      <c r="G82" s="3">
        <f ca="1"/>
        <v>1</v>
      </c>
      <c r="H82" s="3">
        <f ca="1"/>
        <v>1</v>
      </c>
      <c r="I82" s="3">
        <f ca="1"/>
        <v>5</v>
      </c>
      <c r="J82" s="3" t="str">
        <f ca="1"/>
        <v>1 4 10 6</v>
      </c>
      <c r="K82" s="3">
        <f ca="1"/>
        <v>10</v>
      </c>
      <c r="L82" s="3" t="str">
        <f ca="1"/>
        <v>2 1 8</v>
      </c>
      <c r="M82" s="3">
        <f ca="1"/>
        <v>1</v>
      </c>
      <c r="N82" s="3" t="str">
        <f ca="1"/>
        <v>1 2 4 8</v>
      </c>
      <c r="O82" s="3">
        <f ca="1"/>
        <v>3</v>
      </c>
      <c r="P82" s="3">
        <f ca="1"/>
        <v>4</v>
      </c>
      <c r="Q82" s="3">
        <f ca="1"/>
        <v>0.31005291005291008</v>
      </c>
      <c r="R82" s="3">
        <f ca="1"/>
        <v>1</v>
      </c>
      <c r="S82" s="3">
        <f ca="1"/>
        <v>1</v>
      </c>
      <c r="T82" s="3">
        <f ca="1"/>
        <v>1</v>
      </c>
      <c r="U82" s="3">
        <f ca="1"/>
        <v>3</v>
      </c>
      <c r="V82" s="3">
        <f ca="1"/>
        <v>4</v>
      </c>
      <c r="W82" s="3">
        <f ca="1"/>
        <v>5</v>
      </c>
      <c r="X82" s="3">
        <f ca="1"/>
        <v>1</v>
      </c>
      <c r="Y82" s="3">
        <f ca="1"/>
        <v>2.6666666666666665</v>
      </c>
      <c r="Z82" s="3">
        <f ca="1"/>
        <v>0.26136363636363635</v>
      </c>
      <c r="AA82" s="3">
        <f ca="1"/>
        <v>0.5</v>
      </c>
      <c r="AB82" s="3">
        <f ca="1"/>
        <v>5</v>
      </c>
      <c r="AC82" s="3">
        <f ca="1"/>
        <v>4</v>
      </c>
      <c r="AD82" s="3">
        <f ca="1"/>
        <v>1</v>
      </c>
      <c r="AE82" s="3">
        <f ca="1"/>
        <v>3</v>
      </c>
      <c r="AF82" s="3">
        <f ca="1"/>
        <v>2</v>
      </c>
      <c r="AG82" s="3" t="str">
        <f ca="1"/>
        <v>8b5208a0-40de-4137-9077-f5fdbff838f4</v>
      </c>
    </row>
    <row r="83" spans="1:33" ht="14.4" customHeight="1" x14ac:dyDescent="0.3">
      <c r="A83" s="11" t="str">
        <f ca="1"/>
        <v>c34c8a8a-555d-4f8a-83b1-e3bc4a219ab3</v>
      </c>
      <c r="D83" s="3">
        <f ca="1"/>
        <v>79</v>
      </c>
      <c r="E83" s="3">
        <f ca="1"/>
        <v>1</v>
      </c>
      <c r="F83" s="3">
        <f ca="1"/>
        <v>0</v>
      </c>
      <c r="G83" s="3">
        <f ca="1"/>
        <v>0</v>
      </c>
      <c r="H83" s="3">
        <f ca="1"/>
        <v>1</v>
      </c>
      <c r="I83" s="3">
        <f ca="1"/>
        <v>0</v>
      </c>
      <c r="J83" s="3" t="str">
        <f ca="1"/>
        <v>1 4 6</v>
      </c>
      <c r="K83" s="3">
        <f ca="1"/>
        <v>10</v>
      </c>
      <c r="L83" s="3" t="str">
        <f ca="1"/>
        <v>2 1 8</v>
      </c>
      <c r="M83" s="3">
        <f ca="1"/>
        <v>1</v>
      </c>
      <c r="N83" s="3" t="str">
        <f ca="1"/>
        <v>1 2 4</v>
      </c>
      <c r="O83" s="3">
        <f ca="1"/>
        <v>2</v>
      </c>
      <c r="P83" s="3">
        <f ca="1"/>
        <v>4</v>
      </c>
      <c r="Q83" s="3">
        <f ca="1"/>
        <v>0.27301587301587299</v>
      </c>
      <c r="R83" s="3">
        <f ca="1"/>
        <v>1</v>
      </c>
      <c r="S83" s="3">
        <f ca="1"/>
        <v>2</v>
      </c>
      <c r="T83" s="3">
        <f ca="1"/>
        <v>2</v>
      </c>
      <c r="U83" s="3">
        <f ca="1"/>
        <v>4</v>
      </c>
      <c r="V83" s="3">
        <f ca="1"/>
        <v>3.5</v>
      </c>
      <c r="W83" s="3">
        <f ca="1"/>
        <v>4</v>
      </c>
      <c r="X83" s="3">
        <f ca="1"/>
        <v>1.5</v>
      </c>
      <c r="Y83" s="3">
        <f ca="1"/>
        <v>2</v>
      </c>
      <c r="Z83" s="3">
        <f ca="1"/>
        <v>0.34848484848484851</v>
      </c>
      <c r="AA83" s="3">
        <f ca="1"/>
        <v>0.4375</v>
      </c>
      <c r="AB83" s="3">
        <f ca="1"/>
        <v>5</v>
      </c>
      <c r="AC83" s="3">
        <f ca="1"/>
        <v>4</v>
      </c>
      <c r="AD83" s="3">
        <f ca="1"/>
        <v>2</v>
      </c>
      <c r="AE83" s="3">
        <f ca="1"/>
        <v>5</v>
      </c>
      <c r="AF83" s="3">
        <f ca="1"/>
        <v>1</v>
      </c>
      <c r="AG83" s="3" t="str">
        <f ca="1"/>
        <v>c34c8a8a-555d-4f8a-83b1-e3bc4a219ab3</v>
      </c>
    </row>
    <row r="84" spans="1:33" ht="14.4" customHeight="1" x14ac:dyDescent="0.3">
      <c r="A84" s="11" t="str">
        <f ca="1"/>
        <v>14726c43-02e7-4086-93ef-5bab16913030</v>
      </c>
      <c r="D84" s="3">
        <f ca="1"/>
        <v>80</v>
      </c>
      <c r="E84" s="3">
        <f ca="1"/>
        <v>1</v>
      </c>
      <c r="F84" s="3">
        <f ca="1"/>
        <v>1</v>
      </c>
      <c r="G84" s="3">
        <f ca="1"/>
        <v>1</v>
      </c>
      <c r="H84" s="3">
        <f ca="1"/>
        <v>1</v>
      </c>
      <c r="I84" s="3">
        <f ca="1"/>
        <v>5</v>
      </c>
      <c r="J84" s="3" t="str">
        <f ca="1"/>
        <v>4 1 7 6</v>
      </c>
      <c r="K84" s="3">
        <f ca="1"/>
        <v>10</v>
      </c>
      <c r="L84" s="3" t="str">
        <f ca="1"/>
        <v>1 2 4 8</v>
      </c>
      <c r="M84" s="3">
        <f ca="1"/>
        <v>2</v>
      </c>
      <c r="N84" s="3" t="str">
        <f ca="1"/>
        <v>1 2 4 8</v>
      </c>
      <c r="O84" s="3">
        <f ca="1"/>
        <v>3</v>
      </c>
      <c r="P84" s="3">
        <f ca="1"/>
        <v>4</v>
      </c>
      <c r="Q84" s="3">
        <f ca="1"/>
        <v>0.40052910052910057</v>
      </c>
      <c r="R84" s="3">
        <f ca="1"/>
        <v>1</v>
      </c>
      <c r="S84" s="3">
        <f ca="1"/>
        <v>2</v>
      </c>
      <c r="T84" s="3">
        <f ca="1"/>
        <v>2</v>
      </c>
      <c r="U84" s="3">
        <f ca="1"/>
        <v>4</v>
      </c>
      <c r="V84" s="3">
        <f ca="1"/>
        <v>3.5</v>
      </c>
      <c r="W84" s="3">
        <f ca="1"/>
        <v>4</v>
      </c>
      <c r="X84" s="3">
        <f ca="1"/>
        <v>1</v>
      </c>
      <c r="Y84" s="3">
        <f ca="1"/>
        <v>2</v>
      </c>
      <c r="Z84" s="3">
        <f ca="1"/>
        <v>0.21590909090909091</v>
      </c>
      <c r="AA84" s="3">
        <f ca="1"/>
        <v>0.5</v>
      </c>
      <c r="AB84" s="3">
        <f ca="1"/>
        <v>5</v>
      </c>
      <c r="AC84" s="3">
        <f ca="1"/>
        <v>4</v>
      </c>
      <c r="AD84" s="3">
        <f ca="1"/>
        <v>1</v>
      </c>
      <c r="AE84" s="3">
        <f ca="1"/>
        <v>5</v>
      </c>
      <c r="AF84" s="3">
        <f ca="1"/>
        <v>1</v>
      </c>
      <c r="AG84" s="3" t="str">
        <f ca="1"/>
        <v>14726c43-02e7-4086-93ef-5bab16913030</v>
      </c>
    </row>
    <row r="85" spans="1:33" ht="14.4" customHeight="1" x14ac:dyDescent="0.3">
      <c r="A85" s="11" t="str">
        <f ca="1"/>
        <v>f7cb9641-fa8f-48a9-bdba-c1de07a8ac59</v>
      </c>
      <c r="D85" s="3">
        <f ca="1"/>
        <v>81</v>
      </c>
      <c r="E85" s="3">
        <f ca="1"/>
        <v>1</v>
      </c>
      <c r="F85" s="3">
        <f ca="1"/>
        <v>1</v>
      </c>
      <c r="G85" s="3">
        <f ca="1"/>
        <v>1</v>
      </c>
      <c r="H85" s="3">
        <f ca="1"/>
        <v>1</v>
      </c>
      <c r="I85" s="3">
        <f ca="1"/>
        <v>5</v>
      </c>
      <c r="J85" s="3" t="str">
        <f ca="1"/>
        <v>1 4 6</v>
      </c>
      <c r="K85" s="3">
        <f ca="1"/>
        <v>10</v>
      </c>
      <c r="L85" s="3" t="str">
        <f ca="1"/>
        <v>2 1 4 8</v>
      </c>
      <c r="M85" s="3">
        <f ca="1"/>
        <v>2</v>
      </c>
      <c r="N85" s="3" t="str">
        <f ca="1"/>
        <v>1 2 4 8</v>
      </c>
      <c r="O85" s="3">
        <f ca="1"/>
        <v>3</v>
      </c>
      <c r="P85" s="3">
        <f ca="1"/>
        <v>5</v>
      </c>
      <c r="Q85" s="3">
        <f ca="1"/>
        <v>0.31005291005291008</v>
      </c>
      <c r="R85" s="3">
        <f ca="1"/>
        <v>1</v>
      </c>
      <c r="S85" s="3">
        <f ca="1"/>
        <v>2</v>
      </c>
      <c r="T85" s="3">
        <f ca="1"/>
        <v>2</v>
      </c>
      <c r="U85" s="3">
        <f ca="1"/>
        <v>4</v>
      </c>
      <c r="V85" s="3">
        <f ca="1"/>
        <v>3</v>
      </c>
      <c r="W85" s="3">
        <f ca="1"/>
        <v>4</v>
      </c>
      <c r="X85" s="3">
        <f ca="1"/>
        <v>2.5</v>
      </c>
      <c r="Y85" s="3">
        <f ca="1"/>
        <v>2.3333333333333335</v>
      </c>
      <c r="Z85" s="3">
        <f ca="1"/>
        <v>0.43560606060606061</v>
      </c>
      <c r="AA85" s="3">
        <f ca="1"/>
        <v>0.4375</v>
      </c>
      <c r="AB85" s="3">
        <f ca="1"/>
        <v>4</v>
      </c>
      <c r="AC85" s="3">
        <f ca="1"/>
        <v>5</v>
      </c>
      <c r="AD85" s="3">
        <f ca="1"/>
        <v>1</v>
      </c>
      <c r="AE85" s="3">
        <f ca="1"/>
        <v>4</v>
      </c>
      <c r="AF85" s="3">
        <f ca="1"/>
        <v>1</v>
      </c>
      <c r="AG85" s="3" t="str">
        <f ca="1"/>
        <v>f7cb9641-fa8f-48a9-bdba-c1de07a8ac59</v>
      </c>
    </row>
    <row r="86" spans="1:33" ht="14.4" customHeight="1" x14ac:dyDescent="0.3">
      <c r="A86" s="11" t="str">
        <f ca="1"/>
        <v>c45d8911-e7b7-4a2a-b032-63eb6e7a400d</v>
      </c>
      <c r="D86" s="3">
        <f ca="1"/>
        <v>82</v>
      </c>
      <c r="E86" s="3">
        <f ca="1"/>
        <v>1</v>
      </c>
      <c r="F86" s="3">
        <f ca="1"/>
        <v>1</v>
      </c>
      <c r="G86" s="3">
        <f ca="1"/>
        <v>1</v>
      </c>
      <c r="H86" s="3">
        <f ca="1"/>
        <v>1</v>
      </c>
      <c r="I86" s="3">
        <f ca="1"/>
        <v>5</v>
      </c>
      <c r="J86" s="3" t="str">
        <f ca="1"/>
        <v>6 7 1 4</v>
      </c>
      <c r="K86" s="3">
        <f ca="1"/>
        <v>10</v>
      </c>
      <c r="L86" s="3" t="str">
        <f ca="1"/>
        <v>8 2</v>
      </c>
      <c r="M86" s="3">
        <f ca="1"/>
        <v>1</v>
      </c>
      <c r="N86" s="3" t="str">
        <f ca="1"/>
        <v>2 8</v>
      </c>
      <c r="O86" s="3">
        <f ca="1"/>
        <v>2</v>
      </c>
      <c r="P86" s="3">
        <f ca="1"/>
        <v>4</v>
      </c>
      <c r="Q86" s="3">
        <f ca="1"/>
        <v>0.33968253968253964</v>
      </c>
      <c r="R86" s="3">
        <f ca="1"/>
        <v>1</v>
      </c>
      <c r="S86" s="3">
        <f ca="1"/>
        <v>1</v>
      </c>
      <c r="T86" s="3">
        <f ca="1"/>
        <v>1</v>
      </c>
      <c r="U86" s="3">
        <f ca="1"/>
        <v>4</v>
      </c>
      <c r="V86" s="3">
        <f ca="1"/>
        <v>4</v>
      </c>
      <c r="W86" s="3">
        <f ca="1"/>
        <v>4</v>
      </c>
      <c r="X86" s="3">
        <f ca="1"/>
        <v>1</v>
      </c>
      <c r="Y86" s="3">
        <f ca="1"/>
        <v>2.6666666666666665</v>
      </c>
      <c r="Z86" s="3">
        <f ca="1"/>
        <v>0.26136363636363635</v>
      </c>
      <c r="AA86" s="3">
        <f ca="1"/>
        <v>0.4375</v>
      </c>
      <c r="AB86" s="3">
        <f ca="1"/>
        <v>4.5</v>
      </c>
      <c r="AC86" s="3">
        <f ca="1"/>
        <v>5</v>
      </c>
      <c r="AD86" s="3">
        <f ca="1"/>
        <v>1</v>
      </c>
      <c r="AE86" s="3">
        <f ca="1"/>
        <v>4</v>
      </c>
      <c r="AF86" s="3">
        <f ca="1"/>
        <v>2</v>
      </c>
      <c r="AG86" s="3" t="str">
        <f ca="1"/>
        <v>c45d8911-e7b7-4a2a-b032-63eb6e7a400d</v>
      </c>
    </row>
    <row r="87" spans="1:33" ht="14.4" customHeight="1" x14ac:dyDescent="0.3">
      <c r="A87" s="11" t="str">
        <f ca="1"/>
        <v>99222913-70c4-4ec8-be18-2a4bc983f1d0</v>
      </c>
      <c r="D87" s="3">
        <f ca="1"/>
        <v>83</v>
      </c>
      <c r="E87" s="3">
        <f ca="1"/>
        <v>1</v>
      </c>
      <c r="F87" s="3">
        <f ca="1"/>
        <v>1</v>
      </c>
      <c r="G87" s="3">
        <f ca="1"/>
        <v>1</v>
      </c>
      <c r="H87" s="3">
        <f ca="1"/>
        <v>1</v>
      </c>
      <c r="I87" s="3">
        <f ca="1"/>
        <v>5</v>
      </c>
      <c r="J87" s="3" t="str">
        <f ca="1"/>
        <v>1 4</v>
      </c>
      <c r="K87" s="3">
        <f ca="1"/>
        <v>5</v>
      </c>
      <c r="L87" s="3" t="str">
        <f ca="1"/>
        <v>1 2 3 5</v>
      </c>
      <c r="M87" s="3">
        <f ca="1"/>
        <v>2</v>
      </c>
      <c r="N87" s="3" t="str">
        <f ca="1"/>
        <v>1 5</v>
      </c>
      <c r="O87" s="3">
        <f ca="1"/>
        <v>2</v>
      </c>
      <c r="P87" s="3">
        <f ca="1"/>
        <v>5</v>
      </c>
      <c r="Q87" s="3">
        <f ca="1"/>
        <v>0.24920634920634921</v>
      </c>
      <c r="R87" s="3">
        <f ca="1"/>
        <v>1</v>
      </c>
      <c r="S87" s="3">
        <f ca="1"/>
        <v>3</v>
      </c>
      <c r="T87" s="3">
        <f ca="1"/>
        <v>1</v>
      </c>
      <c r="U87" s="3">
        <f ca="1"/>
        <v>5</v>
      </c>
      <c r="V87" s="3">
        <f ca="1"/>
        <v>3</v>
      </c>
      <c r="W87" s="3">
        <f ca="1"/>
        <v>5</v>
      </c>
      <c r="X87" s="3">
        <f ca="1"/>
        <v>2</v>
      </c>
      <c r="Y87" s="3">
        <f ca="1"/>
        <v>2</v>
      </c>
      <c r="Z87" s="3">
        <f ca="1"/>
        <v>0.26136363636363635</v>
      </c>
      <c r="AA87" s="3">
        <f ca="1"/>
        <v>0.4375</v>
      </c>
      <c r="AB87" s="3">
        <f ca="1"/>
        <v>3.5</v>
      </c>
      <c r="AC87" s="3">
        <f ca="1"/>
        <v>4</v>
      </c>
      <c r="AD87" s="3">
        <f ca="1"/>
        <v>3</v>
      </c>
      <c r="AE87" s="3">
        <f ca="1"/>
        <v>3</v>
      </c>
      <c r="AF87" s="3">
        <f ca="1"/>
        <v>3</v>
      </c>
      <c r="AG87" s="3" t="str">
        <f ca="1"/>
        <v>99222913-70c4-4ec8-be18-2a4bc983f1d0</v>
      </c>
    </row>
    <row r="88" spans="1:33" ht="14.4" customHeight="1" x14ac:dyDescent="0.3">
      <c r="A88" s="11" t="str">
        <f ca="1"/>
        <v>8beb0502-3b2d-46fa-894c-f357b310c5f7</v>
      </c>
      <c r="D88" s="3">
        <f ca="1"/>
        <v>84</v>
      </c>
      <c r="E88" s="3">
        <f ca="1"/>
        <v>1</v>
      </c>
      <c r="F88" s="3">
        <f ca="1"/>
        <v>1</v>
      </c>
      <c r="G88" s="3">
        <f ca="1"/>
        <v>1</v>
      </c>
      <c r="H88" s="3">
        <f ca="1"/>
        <v>1</v>
      </c>
      <c r="I88" s="3">
        <f ca="1"/>
        <v>5</v>
      </c>
      <c r="J88" s="3" t="str">
        <f ca="1"/>
        <v>1 4</v>
      </c>
      <c r="K88" s="3">
        <f ca="1"/>
        <v>5</v>
      </c>
      <c r="L88" s="3" t="str">
        <f ca="1"/>
        <v>1 2 3 5</v>
      </c>
      <c r="M88" s="3">
        <f ca="1"/>
        <v>2</v>
      </c>
      <c r="N88" s="3" t="str">
        <f ca="1"/>
        <v>1 2 3 5</v>
      </c>
      <c r="O88" s="3">
        <f ca="1"/>
        <v>3</v>
      </c>
      <c r="P88" s="3">
        <f ca="1"/>
        <v>4</v>
      </c>
      <c r="Q88" s="3">
        <f ca="1"/>
        <v>0.28624338624338624</v>
      </c>
      <c r="R88" s="3">
        <f ca="1"/>
        <v>1</v>
      </c>
      <c r="S88" s="3">
        <f ca="1"/>
        <v>4</v>
      </c>
      <c r="T88" s="3">
        <f ca="1"/>
        <v>3</v>
      </c>
      <c r="U88" s="3">
        <f ca="1"/>
        <v>4</v>
      </c>
      <c r="V88" s="3">
        <f ca="1"/>
        <v>5</v>
      </c>
      <c r="W88" s="3">
        <f ca="1"/>
        <v>3</v>
      </c>
      <c r="X88" s="3">
        <f ca="1"/>
        <v>1.5</v>
      </c>
      <c r="Y88" s="3">
        <f ca="1"/>
        <v>2.3333333333333335</v>
      </c>
      <c r="Z88" s="3">
        <f ca="1"/>
        <v>0.30303030303030298</v>
      </c>
      <c r="AA88" s="3">
        <f ca="1"/>
        <v>0.5625</v>
      </c>
      <c r="AB88" s="3">
        <f ca="1"/>
        <v>3</v>
      </c>
      <c r="AC88" s="3">
        <f ca="1"/>
        <v>5</v>
      </c>
      <c r="AD88" s="3">
        <f ca="1"/>
        <v>3</v>
      </c>
      <c r="AE88" s="3">
        <f ca="1"/>
        <v>3</v>
      </c>
      <c r="AF88" s="3">
        <f ca="1"/>
        <v>3</v>
      </c>
      <c r="AG88" s="3" t="str">
        <f ca="1"/>
        <v>8beb0502-3b2d-46fa-894c-f357b310c5f7</v>
      </c>
    </row>
    <row r="89" spans="1:33" ht="14.4" customHeight="1" x14ac:dyDescent="0.3">
      <c r="A89" s="11" t="str">
        <f ca="1"/>
        <v>254069d3-86b0-482a-a714-26dbdfac814c</v>
      </c>
      <c r="D89" s="3">
        <f ca="1"/>
        <v>85</v>
      </c>
      <c r="E89" s="3">
        <f ca="1"/>
        <v>1</v>
      </c>
      <c r="F89" s="3">
        <f ca="1"/>
        <v>0</v>
      </c>
      <c r="G89" s="3">
        <f ca="1"/>
        <v>1</v>
      </c>
      <c r="H89" s="3">
        <f ca="1"/>
        <v>0</v>
      </c>
      <c r="I89" s="3">
        <f ca="1"/>
        <v>0</v>
      </c>
      <c r="J89" s="3" t="str">
        <f ca="1"/>
        <v>1 4</v>
      </c>
      <c r="K89" s="3">
        <f ca="1"/>
        <v>5</v>
      </c>
      <c r="L89" s="3">
        <f ca="1"/>
        <v>1</v>
      </c>
      <c r="M89" s="3">
        <f ca="1"/>
        <v>0</v>
      </c>
      <c r="N89" s="3">
        <f ca="1"/>
        <v>2</v>
      </c>
      <c r="O89" s="3">
        <f ca="1"/>
        <v>1</v>
      </c>
      <c r="P89" s="3">
        <f ca="1"/>
        <v>4</v>
      </c>
      <c r="Q89" s="3">
        <f ca="1"/>
        <v>0.18835978835978837</v>
      </c>
      <c r="R89" s="3">
        <f ca="1"/>
        <v>1</v>
      </c>
      <c r="S89" s="3">
        <f ca="1"/>
        <v>2</v>
      </c>
      <c r="T89" s="3">
        <f ca="1"/>
        <v>1</v>
      </c>
      <c r="U89" s="3">
        <f ca="1"/>
        <v>3</v>
      </c>
      <c r="V89" s="3">
        <f ca="1"/>
        <v>3.5</v>
      </c>
      <c r="W89" s="3">
        <f ca="1"/>
        <v>3</v>
      </c>
      <c r="X89" s="3">
        <f ca="1"/>
        <v>1.5</v>
      </c>
      <c r="Y89" s="3">
        <f ca="1"/>
        <v>2.6666666666666665</v>
      </c>
      <c r="Z89" s="3">
        <f ca="1"/>
        <v>0.17803030303030301</v>
      </c>
      <c r="AA89" s="3">
        <f ca="1"/>
        <v>0.3125</v>
      </c>
      <c r="AB89" s="3">
        <f ca="1"/>
        <v>3</v>
      </c>
      <c r="AC89" s="3">
        <f ca="1"/>
        <v>2</v>
      </c>
      <c r="AD89" s="3">
        <f ca="1"/>
        <v>1</v>
      </c>
      <c r="AE89" s="3">
        <f ca="1"/>
        <v>3</v>
      </c>
      <c r="AF89" s="3">
        <f ca="1"/>
        <v>1</v>
      </c>
      <c r="AG89" s="3" t="str">
        <f ca="1"/>
        <v>254069d3-86b0-482a-a714-26dbdfac814c</v>
      </c>
    </row>
    <row r="90" spans="1:33" ht="14.4" customHeight="1" x14ac:dyDescent="0.3">
      <c r="A90" s="11" t="str">
        <f ca="1"/>
        <v>de3badeb-89a2-4284-a479-29e4f45328dc</v>
      </c>
      <c r="D90" s="3">
        <f ca="1"/>
        <v>86</v>
      </c>
      <c r="E90" s="3">
        <f ca="1"/>
        <v>1</v>
      </c>
      <c r="F90" s="3">
        <f ca="1"/>
        <v>1</v>
      </c>
      <c r="G90" s="3">
        <f ca="1"/>
        <v>1</v>
      </c>
      <c r="H90" s="3">
        <f ca="1"/>
        <v>1</v>
      </c>
      <c r="I90" s="3">
        <f ca="1"/>
        <v>5</v>
      </c>
      <c r="J90" s="3" t="str">
        <f ca="1"/>
        <v>1 2 4 10</v>
      </c>
      <c r="K90" s="3">
        <f ca="1"/>
        <v>10</v>
      </c>
      <c r="L90" s="3" t="str">
        <f ca="1"/>
        <v>1 2 3 5 8</v>
      </c>
      <c r="M90" s="3">
        <f ca="1"/>
        <v>2</v>
      </c>
      <c r="N90" s="3" t="str">
        <f ca="1"/>
        <v>1 2 3 5 8</v>
      </c>
      <c r="O90" s="3">
        <f ca="1"/>
        <v>3</v>
      </c>
      <c r="P90" s="3">
        <f ca="1"/>
        <v>5</v>
      </c>
      <c r="Q90" s="3">
        <f ca="1"/>
        <v>0.3708994708994709</v>
      </c>
      <c r="R90" s="3">
        <f ca="1"/>
        <v>1</v>
      </c>
      <c r="S90" s="3">
        <f ca="1"/>
        <v>2</v>
      </c>
      <c r="T90" s="3">
        <f ca="1"/>
        <v>1</v>
      </c>
      <c r="U90" s="3">
        <f ca="1"/>
        <v>5</v>
      </c>
      <c r="V90" s="3">
        <f ca="1"/>
        <v>3</v>
      </c>
      <c r="W90" s="3">
        <f ca="1"/>
        <v>5</v>
      </c>
      <c r="X90" s="3">
        <f ca="1"/>
        <v>1.5</v>
      </c>
      <c r="Y90" s="3">
        <f ca="1"/>
        <v>1.6666666666666667</v>
      </c>
      <c r="Z90" s="3">
        <f ca="1"/>
        <v>0.43560606060606061</v>
      </c>
      <c r="AA90" s="3">
        <f ca="1"/>
        <v>0.6875</v>
      </c>
      <c r="AB90" s="3">
        <f ca="1"/>
        <v>4</v>
      </c>
      <c r="AC90" s="3">
        <f ca="1"/>
        <v>5</v>
      </c>
      <c r="AD90" s="3">
        <f ca="1"/>
        <v>2</v>
      </c>
      <c r="AE90" s="3">
        <f ca="1"/>
        <v>4</v>
      </c>
      <c r="AF90" s="3">
        <f ca="1"/>
        <v>2</v>
      </c>
      <c r="AG90" s="3" t="str">
        <f ca="1"/>
        <v>de3badeb-89a2-4284-a479-29e4f45328dc</v>
      </c>
    </row>
    <row r="91" spans="1:33" ht="14.4" customHeight="1" x14ac:dyDescent="0.3">
      <c r="A91" s="11" t="str">
        <f ca="1"/>
        <v>94355c19-980b-4b40-8a14-f757b7cf6662</v>
      </c>
      <c r="D91" s="3">
        <f ca="1"/>
        <v>87</v>
      </c>
      <c r="E91" s="3">
        <f ca="1"/>
        <v>1</v>
      </c>
      <c r="F91" s="3">
        <f ca="1"/>
        <v>1</v>
      </c>
      <c r="G91" s="3">
        <f ca="1"/>
        <v>1</v>
      </c>
      <c r="H91" s="3">
        <f ca="1"/>
        <v>1</v>
      </c>
      <c r="I91" s="3">
        <f ca="1"/>
        <v>5</v>
      </c>
      <c r="J91" s="3" t="str">
        <f ca="1"/>
        <v>4 1 6 3 10</v>
      </c>
      <c r="K91" s="3">
        <f ca="1"/>
        <v>15</v>
      </c>
      <c r="L91" s="3" t="str">
        <f ca="1"/>
        <v>1 2 8</v>
      </c>
      <c r="M91" s="3">
        <f ca="1"/>
        <v>1</v>
      </c>
      <c r="N91" s="3" t="str">
        <f ca="1"/>
        <v>2 5</v>
      </c>
      <c r="O91" s="3">
        <f ca="1"/>
        <v>2</v>
      </c>
      <c r="P91" s="3">
        <f ca="1"/>
        <v>5</v>
      </c>
      <c r="Q91" s="3">
        <f ca="1"/>
        <v>0.18835978835978837</v>
      </c>
      <c r="R91" s="3">
        <f ca="1"/>
        <v>1</v>
      </c>
      <c r="S91" s="3">
        <f ca="1"/>
        <v>2</v>
      </c>
      <c r="T91" s="3">
        <f ca="1"/>
        <v>1</v>
      </c>
      <c r="U91" s="3">
        <f ca="1"/>
        <v>3</v>
      </c>
      <c r="V91" s="3">
        <f ca="1"/>
        <v>4</v>
      </c>
      <c r="W91" s="3">
        <f ca="1"/>
        <v>5</v>
      </c>
      <c r="X91" s="3">
        <f ca="1"/>
        <v>1.5</v>
      </c>
      <c r="Y91" s="3">
        <f ca="1"/>
        <v>2.3333333333333335</v>
      </c>
      <c r="Z91" s="3">
        <f ca="1"/>
        <v>0.22348484848484848</v>
      </c>
      <c r="AA91" s="3">
        <f ca="1"/>
        <v>0.625</v>
      </c>
      <c r="AB91" s="3">
        <f ca="1"/>
        <v>3.5</v>
      </c>
      <c r="AC91" s="3">
        <f ca="1"/>
        <v>5</v>
      </c>
      <c r="AD91" s="3">
        <f ca="1"/>
        <v>1</v>
      </c>
      <c r="AE91" s="3">
        <f ca="1"/>
        <v>2</v>
      </c>
      <c r="AF91" s="3">
        <f ca="1"/>
        <v>1</v>
      </c>
      <c r="AG91" s="3" t="str">
        <f ca="1"/>
        <v>94355c19-980b-4b40-8a14-f757b7cf6662</v>
      </c>
    </row>
    <row r="92" spans="1:33" ht="14.4" customHeight="1" x14ac:dyDescent="0.3">
      <c r="A92" s="11" t="str">
        <f ca="1"/>
        <v>45f5a3e1-ae59-4d69-8ed0-420479eb1010</v>
      </c>
      <c r="D92" s="3">
        <f ca="1"/>
        <v>88</v>
      </c>
      <c r="E92" s="3">
        <f ca="1"/>
        <v>1</v>
      </c>
      <c r="F92" s="3">
        <f ca="1"/>
        <v>1</v>
      </c>
      <c r="G92" s="3">
        <f ca="1"/>
        <v>1</v>
      </c>
      <c r="H92" s="3">
        <f ca="1"/>
        <v>1</v>
      </c>
      <c r="I92" s="3">
        <f ca="1"/>
        <v>5</v>
      </c>
      <c r="J92" s="3" t="str">
        <f ca="1"/>
        <v>6 10 1</v>
      </c>
      <c r="K92" s="3">
        <f ca="1"/>
        <v>10</v>
      </c>
      <c r="L92" s="3" t="str">
        <f ca="1"/>
        <v>2 1 4</v>
      </c>
      <c r="M92" s="3">
        <f ca="1"/>
        <v>1</v>
      </c>
      <c r="N92" s="3" t="str">
        <f ca="1"/>
        <v>5 1</v>
      </c>
      <c r="O92" s="3">
        <f ca="1"/>
        <v>2</v>
      </c>
      <c r="P92" s="3">
        <f ca="1"/>
        <v>5</v>
      </c>
      <c r="Q92" s="3">
        <f ca="1"/>
        <v>0.24920634920634921</v>
      </c>
      <c r="R92" s="3">
        <f ca="1"/>
        <v>1</v>
      </c>
      <c r="S92" s="3">
        <f ca="1"/>
        <v>1</v>
      </c>
      <c r="T92" s="3">
        <f ca="1"/>
        <v>2</v>
      </c>
      <c r="U92" s="3">
        <f ca="1"/>
        <v>5</v>
      </c>
      <c r="V92" s="3">
        <f ca="1"/>
        <v>3.5</v>
      </c>
      <c r="W92" s="3">
        <f ca="1"/>
        <v>5</v>
      </c>
      <c r="X92" s="3">
        <f ca="1"/>
        <v>1</v>
      </c>
      <c r="Y92" s="3">
        <f ca="1"/>
        <v>1.3333333333333333</v>
      </c>
      <c r="Z92" s="3">
        <f ca="1"/>
        <v>0.26515151515151514</v>
      </c>
      <c r="AA92" s="3">
        <f ca="1"/>
        <v>0.5625</v>
      </c>
      <c r="AB92" s="3">
        <f ca="1"/>
        <v>4.5</v>
      </c>
      <c r="AC92" s="3">
        <f ca="1"/>
        <v>5</v>
      </c>
      <c r="AD92" s="3">
        <f ca="1"/>
        <v>2</v>
      </c>
      <c r="AE92" s="3">
        <f ca="1"/>
        <v>5</v>
      </c>
      <c r="AF92" s="3">
        <f ca="1"/>
        <v>1</v>
      </c>
      <c r="AG92" s="3" t="str">
        <f ca="1"/>
        <v>45f5a3e1-ae59-4d69-8ed0-420479eb1010</v>
      </c>
    </row>
    <row r="93" spans="1:33" ht="14.4" customHeight="1" x14ac:dyDescent="0.3">
      <c r="A93" s="11" t="str">
        <f ca="1"/>
        <v>c09a85bc-af90-4d0d-b8fc-70462d121022</v>
      </c>
      <c r="D93" s="3">
        <f ca="1"/>
        <v>89</v>
      </c>
      <c r="E93" s="3">
        <f ca="1"/>
        <v>1</v>
      </c>
      <c r="F93" s="3">
        <f ca="1"/>
        <v>0</v>
      </c>
      <c r="G93" s="3">
        <f ca="1"/>
        <v>1</v>
      </c>
      <c r="H93" s="3">
        <f ca="1"/>
        <v>0</v>
      </c>
      <c r="I93" s="3">
        <f ca="1"/>
        <v>0</v>
      </c>
      <c r="J93" s="3" t="str">
        <f ca="1"/>
        <v>1 6 4</v>
      </c>
      <c r="K93" s="3">
        <f ca="1"/>
        <v>10</v>
      </c>
      <c r="L93" s="3" t="str">
        <f ca="1"/>
        <v>1 2</v>
      </c>
      <c r="M93" s="3">
        <f ca="1"/>
        <v>1</v>
      </c>
      <c r="N93" s="3">
        <f ca="1"/>
        <v>1</v>
      </c>
      <c r="O93" s="3">
        <f ca="1"/>
        <v>1</v>
      </c>
      <c r="P93" s="3">
        <f ca="1"/>
        <v>3</v>
      </c>
      <c r="Q93" s="3">
        <f ca="1"/>
        <v>0.1275132275132275</v>
      </c>
      <c r="R93" s="3">
        <f ca="1"/>
        <v>1</v>
      </c>
      <c r="S93" s="3">
        <f ca="1"/>
        <v>3</v>
      </c>
      <c r="T93" s="3">
        <f ca="1"/>
        <v>1</v>
      </c>
      <c r="U93" s="3">
        <f ca="1"/>
        <v>5</v>
      </c>
      <c r="V93" s="3">
        <f ca="1"/>
        <v>2.5</v>
      </c>
      <c r="W93" s="3">
        <f ca="1"/>
        <v>4</v>
      </c>
      <c r="X93" s="3">
        <f ca="1"/>
        <v>1</v>
      </c>
      <c r="Y93" s="3">
        <f ca="1"/>
        <v>2.3333333333333335</v>
      </c>
      <c r="Z93" s="3">
        <f ca="1"/>
        <v>8.7121212121212127E-2</v>
      </c>
      <c r="AA93" s="3">
        <f ca="1"/>
        <v>0.4375</v>
      </c>
      <c r="AB93" s="3">
        <f ca="1"/>
        <v>4</v>
      </c>
      <c r="AC93" s="3">
        <f ca="1"/>
        <v>4</v>
      </c>
      <c r="AD93" s="3">
        <f ca="1"/>
        <v>2</v>
      </c>
      <c r="AE93" s="3">
        <f ca="1"/>
        <v>1</v>
      </c>
      <c r="AF93" s="3">
        <f ca="1"/>
        <v>1</v>
      </c>
      <c r="AG93" s="3" t="str">
        <f ca="1"/>
        <v>c09a85bc-af90-4d0d-b8fc-70462d121022</v>
      </c>
    </row>
    <row r="94" spans="1:33" ht="14.4" customHeight="1" x14ac:dyDescent="0.3">
      <c r="A94" s="11" t="str">
        <f ca="1"/>
        <v>81a5b342-1dfb-4440-98d2-512e5ade39ef</v>
      </c>
      <c r="D94" s="3">
        <f ca="1"/>
        <v>90</v>
      </c>
      <c r="E94" s="3">
        <f ca="1"/>
        <v>1</v>
      </c>
      <c r="F94" s="3">
        <f ca="1"/>
        <v>1</v>
      </c>
      <c r="G94" s="3">
        <f ca="1"/>
        <v>1</v>
      </c>
      <c r="H94" s="3">
        <f ca="1"/>
        <v>1</v>
      </c>
      <c r="I94" s="3">
        <f ca="1"/>
        <v>5</v>
      </c>
      <c r="J94" s="3" t="str">
        <f ca="1"/>
        <v>6 1</v>
      </c>
      <c r="K94" s="3">
        <f ca="1"/>
        <v>5</v>
      </c>
      <c r="L94" s="3" t="str">
        <f ca="1"/>
        <v>1 2 5</v>
      </c>
      <c r="M94" s="3">
        <f ca="1"/>
        <v>1</v>
      </c>
      <c r="N94" s="3" t="str">
        <f ca="1"/>
        <v>1 3 2 4</v>
      </c>
      <c r="O94" s="3">
        <f ca="1"/>
        <v>3</v>
      </c>
      <c r="P94" s="3">
        <f ca="1"/>
        <v>5</v>
      </c>
      <c r="Q94" s="3">
        <f ca="1"/>
        <v>0.31005291005291008</v>
      </c>
      <c r="R94" s="3">
        <f ca="1"/>
        <v>1</v>
      </c>
      <c r="S94" s="3">
        <f ca="1"/>
        <v>3</v>
      </c>
      <c r="T94" s="3">
        <f ca="1"/>
        <v>3</v>
      </c>
      <c r="U94" s="3">
        <f ca="1"/>
        <v>5</v>
      </c>
      <c r="V94" s="3">
        <f ca="1"/>
        <v>4</v>
      </c>
      <c r="W94" s="3">
        <f ca="1"/>
        <v>5</v>
      </c>
      <c r="X94" s="3">
        <f ca="1"/>
        <v>1</v>
      </c>
      <c r="Y94" s="3">
        <f ca="1"/>
        <v>2.3333333333333335</v>
      </c>
      <c r="Z94" s="3">
        <f ca="1"/>
        <v>0.30303030303030298</v>
      </c>
      <c r="AA94" s="3">
        <f ca="1"/>
        <v>0.5625</v>
      </c>
      <c r="AB94" s="3">
        <f ca="1"/>
        <v>2.5</v>
      </c>
      <c r="AC94" s="3">
        <f ca="1"/>
        <v>5</v>
      </c>
      <c r="AD94" s="3">
        <f ca="1"/>
        <v>2</v>
      </c>
      <c r="AE94" s="3">
        <f ca="1"/>
        <v>5</v>
      </c>
      <c r="AF94" s="3">
        <f ca="1"/>
        <v>2</v>
      </c>
      <c r="AG94" s="3" t="str">
        <f ca="1"/>
        <v>81a5b342-1dfb-4440-98d2-512e5ade39ef</v>
      </c>
    </row>
    <row r="95" spans="1:33" ht="14.4" customHeight="1" x14ac:dyDescent="0.3">
      <c r="A95" s="11" t="str">
        <f ca="1"/>
        <v>5bb66fc0-9fe3-41df-9ab2-32b62f0ed50d</v>
      </c>
      <c r="D95" s="3">
        <f ca="1"/>
        <v>91</v>
      </c>
      <c r="E95" s="3">
        <f ca="1"/>
        <v>1</v>
      </c>
      <c r="F95" s="3">
        <f ca="1"/>
        <v>1</v>
      </c>
      <c r="G95" s="3">
        <f ca="1"/>
        <v>1</v>
      </c>
      <c r="H95" s="3">
        <f ca="1"/>
        <v>1</v>
      </c>
      <c r="I95" s="3">
        <f ca="1"/>
        <v>5</v>
      </c>
      <c r="J95" s="3" t="str">
        <f ca="1"/>
        <v>1 4</v>
      </c>
      <c r="K95" s="3">
        <f ca="1"/>
        <v>5</v>
      </c>
      <c r="L95" s="3" t="str">
        <f ca="1"/>
        <v>2 1 4</v>
      </c>
      <c r="M95" s="3">
        <f ca="1"/>
        <v>1</v>
      </c>
      <c r="N95" s="3" t="str">
        <f ca="1"/>
        <v>1 2 5</v>
      </c>
      <c r="O95" s="3">
        <f ca="1"/>
        <v>2</v>
      </c>
      <c r="P95" s="3">
        <f ca="1"/>
        <v>5</v>
      </c>
      <c r="Q95" s="3">
        <f ca="1"/>
        <v>0.34708994708994712</v>
      </c>
      <c r="R95" s="3">
        <f ca="1"/>
        <v>1</v>
      </c>
      <c r="S95" s="3">
        <f ca="1"/>
        <v>2</v>
      </c>
      <c r="T95" s="3">
        <f ca="1"/>
        <v>2</v>
      </c>
      <c r="U95" s="3">
        <f ca="1"/>
        <v>4</v>
      </c>
      <c r="V95" s="3">
        <f ca="1"/>
        <v>3</v>
      </c>
      <c r="W95" s="3">
        <f ca="1"/>
        <v>5</v>
      </c>
      <c r="X95" s="3">
        <f ca="1"/>
        <v>2</v>
      </c>
      <c r="Y95" s="3">
        <f ca="1"/>
        <v>1.6666666666666667</v>
      </c>
      <c r="Z95" s="3">
        <f ca="1"/>
        <v>0.34848484848484851</v>
      </c>
      <c r="AA95" s="3">
        <f ca="1"/>
        <v>0.625</v>
      </c>
      <c r="AB95" s="3">
        <f ca="1"/>
        <v>3.5</v>
      </c>
      <c r="AC95" s="3">
        <f ca="1"/>
        <v>5</v>
      </c>
      <c r="AD95" s="3">
        <f ca="1"/>
        <v>2</v>
      </c>
      <c r="AE95" s="3">
        <f ca="1"/>
        <v>5</v>
      </c>
      <c r="AF95" s="3">
        <f ca="1"/>
        <v>4</v>
      </c>
      <c r="AG95" s="3" t="str">
        <f ca="1"/>
        <v>5bb66fc0-9fe3-41df-9ab2-32b62f0ed50d</v>
      </c>
    </row>
    <row r="96" spans="1:33" ht="14.4" customHeight="1" x14ac:dyDescent="0.3">
      <c r="A96" s="11" t="str">
        <f ca="1"/>
        <v>afe1d5b4-19c3-44df-8226-2ddfa0aec33e</v>
      </c>
      <c r="D96" s="3">
        <f ca="1"/>
        <v>92</v>
      </c>
      <c r="E96" s="3">
        <f ca="1"/>
        <v>1</v>
      </c>
      <c r="F96" s="3">
        <f ca="1"/>
        <v>1</v>
      </c>
      <c r="G96" s="3">
        <f ca="1"/>
        <v>1</v>
      </c>
      <c r="H96" s="3">
        <f ca="1"/>
        <v>1</v>
      </c>
      <c r="I96" s="3">
        <f ca="1"/>
        <v>5</v>
      </c>
      <c r="J96" s="3" t="str">
        <f ca="1"/>
        <v>1 2 6</v>
      </c>
      <c r="K96" s="3">
        <f ca="1"/>
        <v>10</v>
      </c>
      <c r="L96" s="3" t="str">
        <f ca="1"/>
        <v>5 1 2 8</v>
      </c>
      <c r="M96" s="3">
        <f ca="1"/>
        <v>2</v>
      </c>
      <c r="N96" s="3" t="str">
        <f ca="1"/>
        <v>1 2 5</v>
      </c>
      <c r="O96" s="3">
        <f ca="1"/>
        <v>2</v>
      </c>
      <c r="P96" s="3">
        <f ca="1"/>
        <v>4</v>
      </c>
      <c r="Q96" s="3">
        <f ca="1"/>
        <v>0.28624338624338624</v>
      </c>
      <c r="R96" s="3">
        <f ca="1"/>
        <v>1</v>
      </c>
      <c r="S96" s="3">
        <f ca="1"/>
        <v>2</v>
      </c>
      <c r="T96" s="3">
        <f ca="1"/>
        <v>2</v>
      </c>
      <c r="U96" s="3">
        <f ca="1"/>
        <v>5</v>
      </c>
      <c r="V96" s="3">
        <f ca="1"/>
        <v>4</v>
      </c>
      <c r="W96" s="3">
        <f ca="1"/>
        <v>4</v>
      </c>
      <c r="X96" s="3">
        <f ca="1"/>
        <v>1.5</v>
      </c>
      <c r="Y96" s="3">
        <f ca="1"/>
        <v>2.3333333333333335</v>
      </c>
      <c r="Z96" s="3">
        <f ca="1"/>
        <v>0.26136363636363635</v>
      </c>
      <c r="AA96" s="3">
        <f ca="1"/>
        <v>0.625</v>
      </c>
      <c r="AB96" s="3">
        <f ca="1"/>
        <v>3</v>
      </c>
      <c r="AC96" s="3">
        <f ca="1"/>
        <v>5</v>
      </c>
      <c r="AD96" s="3">
        <f ca="1"/>
        <v>2</v>
      </c>
      <c r="AE96" s="3">
        <f ca="1"/>
        <v>5</v>
      </c>
      <c r="AF96" s="3">
        <f ca="1"/>
        <v>3</v>
      </c>
      <c r="AG96" s="3" t="str">
        <f ca="1"/>
        <v>afe1d5b4-19c3-44df-8226-2ddfa0aec33e</v>
      </c>
    </row>
    <row r="97" spans="1:33" ht="14.4" customHeight="1" x14ac:dyDescent="0.3">
      <c r="A97" s="11" t="str">
        <f ca="1"/>
        <v>faf46577-538e-4f19-a68c-c541b9161f52</v>
      </c>
      <c r="D97" s="3">
        <f ca="1"/>
        <v>93</v>
      </c>
      <c r="E97" s="3">
        <f ca="1"/>
        <v>1</v>
      </c>
      <c r="F97" s="3">
        <f ca="1"/>
        <v>1</v>
      </c>
      <c r="G97" s="3">
        <f ca="1"/>
        <v>1</v>
      </c>
      <c r="H97" s="3">
        <f ca="1"/>
        <v>0</v>
      </c>
      <c r="I97" s="3">
        <f ca="1"/>
        <v>2.5</v>
      </c>
      <c r="J97" s="3">
        <f ca="1"/>
        <v>6</v>
      </c>
      <c r="K97" s="3">
        <f ca="1"/>
        <v>5</v>
      </c>
      <c r="L97" s="3" t="str">
        <f ca="1"/>
        <v>5 8</v>
      </c>
      <c r="M97" s="3">
        <f ca="1"/>
        <v>1</v>
      </c>
      <c r="N97" s="3">
        <f ca="1"/>
        <v>5</v>
      </c>
      <c r="O97" s="3">
        <f ca="1"/>
        <v>1</v>
      </c>
      <c r="P97" s="3">
        <f ca="1"/>
        <v>5</v>
      </c>
      <c r="Q97" s="3">
        <f ca="1"/>
        <v>0.31587301587301586</v>
      </c>
      <c r="R97" s="3">
        <f ca="1"/>
        <v>1</v>
      </c>
      <c r="S97" s="3">
        <f ca="1"/>
        <v>3</v>
      </c>
      <c r="T97" s="3">
        <f ca="1"/>
        <v>2</v>
      </c>
      <c r="U97" s="3">
        <f ca="1"/>
        <v>4</v>
      </c>
      <c r="V97" s="3">
        <f ca="1"/>
        <v>4</v>
      </c>
      <c r="W97" s="3">
        <f ca="1"/>
        <v>5</v>
      </c>
      <c r="X97" s="3">
        <f ca="1"/>
        <v>1.5</v>
      </c>
      <c r="Y97" s="3">
        <f ca="1"/>
        <v>3.6666666666666665</v>
      </c>
      <c r="Z97" s="3">
        <f ca="1"/>
        <v>0.43939393939393934</v>
      </c>
      <c r="AA97" s="3">
        <f ca="1"/>
        <v>0.4375</v>
      </c>
      <c r="AB97" s="3">
        <f ca="1"/>
        <v>4.5</v>
      </c>
      <c r="AC97" s="3">
        <f ca="1"/>
        <v>5</v>
      </c>
      <c r="AD97" s="3">
        <f ca="1"/>
        <v>2</v>
      </c>
      <c r="AE97" s="3">
        <f ca="1"/>
        <v>4</v>
      </c>
      <c r="AF97" s="3">
        <f ca="1"/>
        <v>3</v>
      </c>
      <c r="AG97" s="3" t="str">
        <f ca="1"/>
        <v>faf46577-538e-4f19-a68c-c541b9161f52</v>
      </c>
    </row>
    <row r="98" spans="1:33" ht="14.4" customHeight="1" x14ac:dyDescent="0.3">
      <c r="A98" s="11" t="str">
        <f ca="1"/>
        <v>f9a8cd36-627d-4ba0-ad90-5b0fcb5de1fd</v>
      </c>
      <c r="D98" s="3">
        <f ca="1"/>
        <v>94</v>
      </c>
      <c r="E98" s="3">
        <f ca="1"/>
        <v>0</v>
      </c>
      <c r="F98" s="3">
        <f ca="1"/>
        <v>0</v>
      </c>
      <c r="G98" s="3">
        <f ca="1"/>
        <v>1</v>
      </c>
      <c r="H98" s="3">
        <f ca="1"/>
        <v>0</v>
      </c>
      <c r="I98" s="3">
        <f ca="1"/>
        <v>-2.5</v>
      </c>
      <c r="J98" s="3" t="str">
        <f ca="1"/>
        <v>1 2</v>
      </c>
      <c r="K98" s="3">
        <f ca="1"/>
        <v>5</v>
      </c>
      <c r="L98" s="3" t="str">
        <f ca="1"/>
        <v>1 3</v>
      </c>
      <c r="M98" s="3">
        <f ca="1"/>
        <v>1</v>
      </c>
      <c r="N98" s="3" t="str">
        <f ca="1"/>
        <v>3 1</v>
      </c>
      <c r="O98" s="3">
        <f ca="1"/>
        <v>2</v>
      </c>
      <c r="P98" s="3">
        <f ca="1"/>
        <v>2</v>
      </c>
      <c r="Q98" s="3">
        <f ca="1"/>
        <v>0.18835978835978837</v>
      </c>
      <c r="R98" s="3">
        <f ca="1"/>
        <v>0.66666666666666663</v>
      </c>
      <c r="S98" s="3">
        <f ca="1"/>
        <v>4</v>
      </c>
      <c r="T98" s="3">
        <f ca="1"/>
        <v>4</v>
      </c>
      <c r="U98" s="3">
        <f ca="1"/>
        <v>3</v>
      </c>
      <c r="V98" s="3">
        <f ca="1"/>
        <v>2</v>
      </c>
      <c r="W98" s="3">
        <f ca="1"/>
        <v>2</v>
      </c>
      <c r="X98" s="3">
        <f ca="1"/>
        <v>3</v>
      </c>
      <c r="Y98" s="3">
        <f ca="1"/>
        <v>3.6666666666666665</v>
      </c>
      <c r="Z98" s="3">
        <f ca="1"/>
        <v>0.17424242424242425</v>
      </c>
      <c r="AA98" s="3">
        <f ca="1"/>
        <v>0.25</v>
      </c>
      <c r="AB98" s="3">
        <f ca="1"/>
        <v>3.5</v>
      </c>
      <c r="AC98" s="3">
        <f ca="1"/>
        <v>2</v>
      </c>
      <c r="AD98" s="3">
        <f ca="1"/>
        <v>4</v>
      </c>
      <c r="AE98" s="3">
        <f ca="1"/>
        <v>1</v>
      </c>
      <c r="AF98" s="3">
        <f ca="1"/>
        <v>1</v>
      </c>
      <c r="AG98" s="3" t="str">
        <f ca="1"/>
        <v>f9a8cd36-627d-4ba0-ad90-5b0fcb5de1fd</v>
      </c>
    </row>
    <row r="99" spans="1:33" ht="14.4" customHeight="1" x14ac:dyDescent="0.3">
      <c r="A99" s="11" t="str">
        <f ca="1"/>
        <v>2cb7a10d-f3b1-465e-a758-9ef93652d91f</v>
      </c>
      <c r="D99" s="3">
        <f ca="1"/>
        <v>95</v>
      </c>
      <c r="E99" s="3">
        <f ca="1"/>
        <v>0</v>
      </c>
      <c r="F99" s="3">
        <f ca="1"/>
        <v>1</v>
      </c>
      <c r="G99" s="3">
        <f ca="1"/>
        <v>1</v>
      </c>
      <c r="H99" s="3">
        <f ca="1"/>
        <v>0</v>
      </c>
      <c r="I99" s="3">
        <f ca="1"/>
        <v>0</v>
      </c>
      <c r="J99" s="3" t="str">
        <f ca="1"/>
        <v>1 6 7</v>
      </c>
      <c r="K99" s="3">
        <f ca="1"/>
        <v>10</v>
      </c>
      <c r="L99" s="3" t="str">
        <f ca="1"/>
        <v>1 8</v>
      </c>
      <c r="M99" s="3">
        <f ca="1"/>
        <v>1</v>
      </c>
      <c r="N99" s="3" t="str">
        <f ca="1"/>
        <v>8 7 1</v>
      </c>
      <c r="O99" s="3">
        <f ca="1"/>
        <v>2</v>
      </c>
      <c r="P99" s="3">
        <f ca="1"/>
        <v>4</v>
      </c>
      <c r="Q99" s="3">
        <f ca="1"/>
        <v>0.30264550264550266</v>
      </c>
      <c r="R99" s="3">
        <f ca="1"/>
        <v>1</v>
      </c>
      <c r="S99" s="3">
        <f ca="1"/>
        <v>3</v>
      </c>
      <c r="T99" s="3">
        <f ca="1"/>
        <v>2</v>
      </c>
      <c r="U99" s="3">
        <f ca="1"/>
        <v>3</v>
      </c>
      <c r="V99" s="3">
        <f ca="1"/>
        <v>3</v>
      </c>
      <c r="W99" s="3">
        <f ca="1"/>
        <v>5</v>
      </c>
      <c r="X99" s="3">
        <f ca="1"/>
        <v>2</v>
      </c>
      <c r="Y99" s="3">
        <f ca="1"/>
        <v>3</v>
      </c>
      <c r="Z99" s="3">
        <f ca="1"/>
        <v>0.26136363636363635</v>
      </c>
      <c r="AA99" s="3">
        <f ca="1"/>
        <v>0.4375</v>
      </c>
      <c r="AB99" s="3">
        <f ca="1"/>
        <v>4</v>
      </c>
      <c r="AC99" s="3">
        <f ca="1"/>
        <v>5</v>
      </c>
      <c r="AD99" s="3">
        <f ca="1"/>
        <v>3</v>
      </c>
      <c r="AE99" s="3">
        <f ca="1"/>
        <v>3</v>
      </c>
      <c r="AF99" s="3">
        <f ca="1"/>
        <v>3</v>
      </c>
      <c r="AG99" s="3" t="str">
        <f ca="1"/>
        <v>2cb7a10d-f3b1-465e-a758-9ef93652d91f</v>
      </c>
    </row>
    <row r="100" spans="1:33" ht="14.4" customHeight="1" x14ac:dyDescent="0.3">
      <c r="A100" s="11" t="str">
        <f ca="1"/>
        <v>54b76799-04f7-4a90-8697-d2dee5a80b3a</v>
      </c>
      <c r="D100" s="3">
        <f ca="1"/>
        <v>96</v>
      </c>
      <c r="E100" s="3">
        <f ca="1"/>
        <v>1</v>
      </c>
      <c r="F100" s="3">
        <f ca="1"/>
        <v>1</v>
      </c>
      <c r="G100" s="3">
        <f ca="1"/>
        <v>1</v>
      </c>
      <c r="H100" s="3">
        <f ca="1"/>
        <v>1</v>
      </c>
      <c r="I100" s="3">
        <f ca="1"/>
        <v>5</v>
      </c>
      <c r="J100" s="3">
        <f ca="1"/>
        <v>1</v>
      </c>
      <c r="K100" s="3">
        <f ca="1"/>
        <v>5</v>
      </c>
      <c r="L100" s="3">
        <f ca="1"/>
        <v>8</v>
      </c>
      <c r="M100" s="3">
        <f ca="1"/>
        <v>0</v>
      </c>
      <c r="N100" s="3">
        <f ca="1"/>
        <v>1</v>
      </c>
      <c r="O100" s="3">
        <f ca="1"/>
        <v>1</v>
      </c>
      <c r="P100" s="3">
        <f ca="1"/>
        <v>4</v>
      </c>
      <c r="Q100" s="3">
        <f ca="1"/>
        <v>0.18835978835978837</v>
      </c>
      <c r="R100" s="3">
        <f ca="1"/>
        <v>1</v>
      </c>
      <c r="S100" s="3">
        <f ca="1"/>
        <v>3</v>
      </c>
      <c r="T100" s="3">
        <f ca="1"/>
        <v>3</v>
      </c>
      <c r="U100" s="3">
        <f ca="1"/>
        <v>2</v>
      </c>
      <c r="V100" s="3">
        <f ca="1"/>
        <v>3</v>
      </c>
      <c r="W100" s="3">
        <f ca="1"/>
        <v>4</v>
      </c>
      <c r="X100" s="3">
        <f ca="1"/>
        <v>1.5</v>
      </c>
      <c r="Y100" s="3">
        <f ca="1"/>
        <v>2.6666666666666665</v>
      </c>
      <c r="Z100" s="3">
        <f ca="1"/>
        <v>0.13257575757575757</v>
      </c>
      <c r="AA100" s="3">
        <f ca="1"/>
        <v>0.375</v>
      </c>
      <c r="AB100" s="3">
        <f ca="1"/>
        <v>2</v>
      </c>
      <c r="AC100" s="3">
        <f ca="1"/>
        <v>3</v>
      </c>
      <c r="AD100" s="3">
        <f ca="1"/>
        <v>3</v>
      </c>
      <c r="AE100" s="3">
        <f ca="1"/>
        <v>2</v>
      </c>
      <c r="AF100" s="3">
        <f ca="1"/>
        <v>2</v>
      </c>
      <c r="AG100" s="3" t="str">
        <f ca="1"/>
        <v>54b76799-04f7-4a90-8697-d2dee5a80b3a</v>
      </c>
    </row>
    <row r="101" spans="1:33" ht="14.4" customHeight="1" x14ac:dyDescent="0.3">
      <c r="A101" s="11" t="str">
        <f ca="1"/>
        <v>d84dd71a-3677-47ec-992b-774a4a3a3cf1</v>
      </c>
      <c r="D101" s="3">
        <f ca="1"/>
        <v>97</v>
      </c>
      <c r="E101" s="3">
        <f ca="1"/>
        <v>1</v>
      </c>
      <c r="F101" s="3">
        <f ca="1"/>
        <v>1</v>
      </c>
      <c r="G101" s="3">
        <f ca="1"/>
        <v>0</v>
      </c>
      <c r="H101" s="3">
        <f ca="1"/>
        <v>1</v>
      </c>
      <c r="I101" s="3">
        <f ca="1"/>
        <v>2.5</v>
      </c>
      <c r="J101" s="3" t="str">
        <f ca="1"/>
        <v>6 7</v>
      </c>
      <c r="K101" s="3">
        <f ca="1"/>
        <v>5</v>
      </c>
      <c r="L101" s="3" t="str">
        <f ca="1"/>
        <v>1 8</v>
      </c>
      <c r="M101" s="3">
        <f ca="1"/>
        <v>1</v>
      </c>
      <c r="N101" s="3" t="str">
        <f ca="1"/>
        <v>1 3</v>
      </c>
      <c r="O101" s="3">
        <f ca="1"/>
        <v>2</v>
      </c>
      <c r="P101" s="3">
        <f ca="1"/>
        <v>4</v>
      </c>
      <c r="Q101" s="3">
        <f ca="1"/>
        <v>0.27883597883597883</v>
      </c>
      <c r="R101" s="3">
        <f ca="1"/>
        <v>0.33333333333333331</v>
      </c>
      <c r="S101" s="3">
        <f ca="1"/>
        <v>3</v>
      </c>
      <c r="T101" s="3">
        <f ca="1"/>
        <v>3</v>
      </c>
      <c r="U101" s="3">
        <f ca="1"/>
        <v>4</v>
      </c>
      <c r="V101" s="3">
        <f ca="1"/>
        <v>3</v>
      </c>
      <c r="W101" s="3">
        <f ca="1"/>
        <v>3</v>
      </c>
      <c r="X101" s="3">
        <f ca="1"/>
        <v>1</v>
      </c>
      <c r="Y101" s="3">
        <f ca="1"/>
        <v>3</v>
      </c>
      <c r="Z101" s="3">
        <f ca="1"/>
        <v>0.31060606060606061</v>
      </c>
      <c r="AA101" s="3">
        <f ca="1"/>
        <v>0.5625</v>
      </c>
      <c r="AB101" s="3">
        <f ca="1"/>
        <v>3.5</v>
      </c>
      <c r="AC101" s="3">
        <f ca="1"/>
        <v>5</v>
      </c>
      <c r="AD101" s="3">
        <f ca="1"/>
        <v>2</v>
      </c>
      <c r="AE101" s="3">
        <f ca="1"/>
        <v>5</v>
      </c>
      <c r="AF101" s="3">
        <f ca="1"/>
        <v>1</v>
      </c>
      <c r="AG101" s="3" t="str">
        <f ca="1"/>
        <v>d84dd71a-3677-47ec-992b-774a4a3a3cf1</v>
      </c>
    </row>
    <row r="102" spans="1:33" ht="14.4" customHeight="1" x14ac:dyDescent="0.3">
      <c r="A102" s="11" t="str">
        <f ca="1"/>
        <v>94342eb5-9831-4fd1-b08f-e9b8e96f2df1</v>
      </c>
      <c r="D102" s="3">
        <f ca="1"/>
        <v>98</v>
      </c>
      <c r="E102" s="3">
        <f ca="1"/>
        <v>1</v>
      </c>
      <c r="F102" s="3">
        <f ca="1"/>
        <v>1</v>
      </c>
      <c r="G102" s="3">
        <f ca="1"/>
        <v>1</v>
      </c>
      <c r="H102" s="3">
        <f ca="1"/>
        <v>0</v>
      </c>
      <c r="I102" s="3">
        <f ca="1"/>
        <v>2.5</v>
      </c>
      <c r="J102" s="3" t="str">
        <f ca="1"/>
        <v>1 7 10 99</v>
      </c>
      <c r="K102" s="3">
        <f ca="1"/>
        <v>10</v>
      </c>
      <c r="L102" s="3" t="str">
        <f ca="1"/>
        <v>2 1 8</v>
      </c>
      <c r="M102" s="3">
        <f ca="1"/>
        <v>1</v>
      </c>
      <c r="N102" s="3">
        <f ca="1"/>
        <v>5</v>
      </c>
      <c r="O102" s="3">
        <f ca="1"/>
        <v>1</v>
      </c>
      <c r="P102" s="3">
        <f ca="1"/>
        <v>5</v>
      </c>
      <c r="Q102" s="3">
        <f ca="1"/>
        <v>0.28465608465608466</v>
      </c>
      <c r="R102" s="3">
        <f ca="1"/>
        <v>1</v>
      </c>
      <c r="S102" s="3">
        <f ca="1"/>
        <v>3</v>
      </c>
      <c r="T102" s="3">
        <f ca="1"/>
        <v>5</v>
      </c>
      <c r="U102" s="3">
        <f ca="1"/>
        <v>2</v>
      </c>
      <c r="V102" s="3">
        <f ca="1"/>
        <v>4</v>
      </c>
      <c r="W102" s="3">
        <f ca="1"/>
        <v>5</v>
      </c>
      <c r="X102" s="3">
        <f ca="1"/>
        <v>3</v>
      </c>
      <c r="Y102" s="3">
        <f ca="1"/>
        <v>3.3333333333333335</v>
      </c>
      <c r="Z102" s="3">
        <f ca="1"/>
        <v>0.17803030303030301</v>
      </c>
      <c r="AA102" s="3">
        <f ca="1"/>
        <v>0.4375</v>
      </c>
      <c r="AB102" s="3">
        <f ca="1"/>
        <v>4.5</v>
      </c>
      <c r="AC102" s="3">
        <f ca="1"/>
        <v>5</v>
      </c>
      <c r="AD102" s="3">
        <f ca="1"/>
        <v>2</v>
      </c>
      <c r="AE102" s="3">
        <f ca="1"/>
        <v>5</v>
      </c>
      <c r="AF102" s="3">
        <f ca="1"/>
        <v>3</v>
      </c>
      <c r="AG102" s="3" t="str">
        <f ca="1"/>
        <v>94342eb5-9831-4fd1-b08f-e9b8e96f2df1</v>
      </c>
    </row>
    <row r="103" spans="1:33" ht="14.4" customHeight="1" x14ac:dyDescent="0.3">
      <c r="A103" s="11" t="str">
        <f ca="1"/>
        <v>a2db94d5-a70e-4f2c-9a97-2e096f3e712c</v>
      </c>
      <c r="D103" s="3">
        <f ca="1"/>
        <v>99</v>
      </c>
      <c r="E103" s="3">
        <f ca="1"/>
        <v>1</v>
      </c>
      <c r="F103" s="3">
        <f ca="1"/>
        <v>1</v>
      </c>
      <c r="G103" s="3">
        <f ca="1"/>
        <v>1</v>
      </c>
      <c r="H103" s="3">
        <f ca="1"/>
        <v>0</v>
      </c>
      <c r="I103" s="3">
        <f ca="1"/>
        <v>2.5</v>
      </c>
      <c r="J103" s="3" t="str">
        <f ca="1"/>
        <v>1 2</v>
      </c>
      <c r="K103" s="3">
        <f ca="1"/>
        <v>5</v>
      </c>
      <c r="L103" s="3" t="str">
        <f ca="1"/>
        <v>2 5 8</v>
      </c>
      <c r="M103" s="3">
        <f ca="1"/>
        <v>1</v>
      </c>
      <c r="N103" s="3" t="str">
        <f ca="1"/>
        <v>2 8 4</v>
      </c>
      <c r="O103" s="3">
        <f ca="1"/>
        <v>2</v>
      </c>
      <c r="P103" s="3">
        <f ca="1"/>
        <v>2</v>
      </c>
      <c r="Q103" s="3">
        <f ca="1"/>
        <v>0.20158730158730162</v>
      </c>
      <c r="R103" s="3">
        <f ca="1"/>
        <v>1</v>
      </c>
      <c r="S103" s="3">
        <f ca="1"/>
        <v>3</v>
      </c>
      <c r="T103" s="3">
        <f ca="1"/>
        <v>4</v>
      </c>
      <c r="U103" s="3">
        <f ca="1"/>
        <v>4</v>
      </c>
      <c r="V103" s="3">
        <f ca="1"/>
        <v>3</v>
      </c>
      <c r="W103" s="3">
        <f ca="1"/>
        <v>2</v>
      </c>
      <c r="X103" s="3">
        <f ca="1"/>
        <v>2.5</v>
      </c>
      <c r="Y103" s="3">
        <f ca="1"/>
        <v>3.3333333333333335</v>
      </c>
      <c r="Z103" s="3">
        <f ca="1"/>
        <v>0.26515151515151514</v>
      </c>
      <c r="AA103" s="3">
        <f ca="1"/>
        <v>0.375</v>
      </c>
      <c r="AB103" s="3">
        <f ca="1"/>
        <v>4</v>
      </c>
      <c r="AC103" s="3">
        <f ca="1"/>
        <v>4</v>
      </c>
      <c r="AD103" s="3">
        <f ca="1"/>
        <v>3</v>
      </c>
      <c r="AE103" s="3">
        <f ca="1"/>
        <v>3</v>
      </c>
      <c r="AF103" s="3">
        <f ca="1"/>
        <v>2</v>
      </c>
      <c r="AG103" s="3" t="str">
        <f ca="1"/>
        <v>a2db94d5-a70e-4f2c-9a97-2e096f3e712c</v>
      </c>
    </row>
    <row r="104" spans="1:33" ht="14.4" customHeight="1" x14ac:dyDescent="0.3">
      <c r="A104" s="11" t="str">
        <f ca="1"/>
        <v>6ddfb75e-3b34-461f-b853-f180bb997642</v>
      </c>
      <c r="D104" s="3">
        <f ca="1"/>
        <v>100</v>
      </c>
      <c r="E104" s="3">
        <f ca="1"/>
        <v>1</v>
      </c>
      <c r="F104" s="3">
        <f ca="1"/>
        <v>1</v>
      </c>
      <c r="G104" s="3">
        <f ca="1"/>
        <v>1</v>
      </c>
      <c r="H104" s="3">
        <f ca="1"/>
        <v>1</v>
      </c>
      <c r="I104" s="3">
        <f ca="1"/>
        <v>5</v>
      </c>
      <c r="J104" s="3" t="str">
        <f ca="1"/>
        <v>6 7</v>
      </c>
      <c r="K104" s="3">
        <f ca="1"/>
        <v>5</v>
      </c>
      <c r="L104" s="3" t="str">
        <f ca="1"/>
        <v>1 2 5 4 8</v>
      </c>
      <c r="M104" s="3">
        <f ca="1"/>
        <v>2</v>
      </c>
      <c r="N104" s="3" t="str">
        <f ca="1"/>
        <v>5 4 8</v>
      </c>
      <c r="O104" s="3">
        <f ca="1"/>
        <v>2</v>
      </c>
      <c r="P104" s="3">
        <f ca="1"/>
        <v>5</v>
      </c>
      <c r="Q104" s="3">
        <f ca="1"/>
        <v>0.36349206349206353</v>
      </c>
      <c r="R104" s="3">
        <f ca="1"/>
        <v>1</v>
      </c>
      <c r="S104" s="3">
        <f ca="1"/>
        <v>3</v>
      </c>
      <c r="T104" s="3">
        <f ca="1"/>
        <v>3</v>
      </c>
      <c r="U104" s="3">
        <f ca="1"/>
        <v>4</v>
      </c>
      <c r="V104" s="3">
        <f ca="1"/>
        <v>3.5</v>
      </c>
      <c r="W104" s="3">
        <f ca="1"/>
        <v>5</v>
      </c>
      <c r="X104" s="3">
        <f ca="1"/>
        <v>3</v>
      </c>
      <c r="Y104" s="3">
        <f ca="1"/>
        <v>3</v>
      </c>
      <c r="Z104" s="3">
        <f ca="1"/>
        <v>0.52272727272727271</v>
      </c>
      <c r="AA104" s="3">
        <f ca="1"/>
        <v>0.625</v>
      </c>
      <c r="AB104" s="3">
        <f ca="1"/>
        <v>4</v>
      </c>
      <c r="AC104" s="3">
        <f ca="1"/>
        <v>5</v>
      </c>
      <c r="AD104" s="3">
        <f ca="1"/>
        <v>3</v>
      </c>
      <c r="AE104" s="3">
        <f ca="1"/>
        <v>2</v>
      </c>
      <c r="AF104" s="3">
        <f ca="1"/>
        <v>2</v>
      </c>
      <c r="AG104" s="3" t="str">
        <f ca="1"/>
        <v>6ddfb75e-3b34-461f-b853-f180bb997642</v>
      </c>
    </row>
    <row r="105" spans="1:33" ht="14.4" customHeight="1" x14ac:dyDescent="0.3">
      <c r="A105" s="11" t="str">
        <f ca="1"/>
        <v>8a53cbd0-213a-4e82-ba57-c9508554edbb</v>
      </c>
      <c r="D105" s="3">
        <f ca="1"/>
        <v>101</v>
      </c>
      <c r="E105" s="3">
        <f ca="1"/>
        <v>1</v>
      </c>
      <c r="F105" s="3">
        <f ca="1"/>
        <v>1</v>
      </c>
      <c r="G105" s="3">
        <f ca="1"/>
        <v>1</v>
      </c>
      <c r="H105" s="3">
        <f ca="1"/>
        <v>1</v>
      </c>
      <c r="I105" s="3">
        <f ca="1"/>
        <v>5</v>
      </c>
      <c r="J105" s="3" t="str">
        <f ca="1"/>
        <v>1 2 6</v>
      </c>
      <c r="K105" s="3">
        <f ca="1"/>
        <v>10</v>
      </c>
      <c r="L105" s="3" t="str">
        <f ca="1"/>
        <v>2 8</v>
      </c>
      <c r="M105" s="3">
        <f ca="1"/>
        <v>1</v>
      </c>
      <c r="N105" s="3">
        <f ca="1"/>
        <v>2</v>
      </c>
      <c r="O105" s="3">
        <f ca="1"/>
        <v>1</v>
      </c>
      <c r="P105" s="3">
        <f ca="1"/>
        <v>5</v>
      </c>
      <c r="Q105" s="3">
        <f ca="1"/>
        <v>0.3883597883597884</v>
      </c>
      <c r="R105" s="3">
        <f ca="1"/>
        <v>1</v>
      </c>
      <c r="S105" s="3">
        <f ca="1"/>
        <v>2</v>
      </c>
      <c r="T105" s="3">
        <f ca="1"/>
        <v>2</v>
      </c>
      <c r="U105" s="3">
        <f ca="1"/>
        <v>3</v>
      </c>
      <c r="V105" s="3">
        <f ca="1"/>
        <v>3</v>
      </c>
      <c r="W105" s="3">
        <f ca="1"/>
        <v>4</v>
      </c>
      <c r="X105" s="3">
        <f ca="1"/>
        <v>3</v>
      </c>
      <c r="Y105" s="3">
        <f ca="1"/>
        <v>2.3333333333333335</v>
      </c>
      <c r="Z105" s="3">
        <f ca="1"/>
        <v>0.39393939393939392</v>
      </c>
      <c r="AA105" s="3">
        <f ca="1"/>
        <v>0.5625</v>
      </c>
      <c r="AB105" s="3">
        <f ca="1"/>
        <v>4</v>
      </c>
      <c r="AC105" s="3">
        <f ca="1"/>
        <v>3</v>
      </c>
      <c r="AD105" s="3">
        <f ca="1"/>
        <v>2</v>
      </c>
      <c r="AE105" s="3">
        <f ca="1"/>
        <v>3</v>
      </c>
      <c r="AF105" s="3">
        <f ca="1"/>
        <v>3</v>
      </c>
      <c r="AG105" s="3" t="str">
        <f ca="1"/>
        <v>8a53cbd0-213a-4e82-ba57-c9508554edbb</v>
      </c>
    </row>
    <row r="106" spans="1:33" ht="14.4" customHeight="1" x14ac:dyDescent="0.3">
      <c r="A106" s="11" t="str">
        <f ca="1"/>
        <v>bee927e7-6089-4633-a0e3-fad37cdd08ff</v>
      </c>
      <c r="D106" s="3">
        <f ca="1"/>
        <v>102</v>
      </c>
      <c r="E106" s="3">
        <f ca="1"/>
        <v>1</v>
      </c>
      <c r="F106" s="3">
        <f ca="1"/>
        <v>1</v>
      </c>
      <c r="G106" s="3">
        <f ca="1"/>
        <v>1</v>
      </c>
      <c r="H106" s="3">
        <f ca="1"/>
        <v>1</v>
      </c>
      <c r="I106" s="3">
        <f ca="1"/>
        <v>5</v>
      </c>
      <c r="J106" s="3" t="str">
        <f ca="1"/>
        <v>8 10 6 7</v>
      </c>
      <c r="K106" s="3">
        <f ca="1"/>
        <v>10</v>
      </c>
      <c r="L106" s="3" t="str">
        <f ca="1"/>
        <v>8 1 4</v>
      </c>
      <c r="M106" s="3">
        <f ca="1"/>
        <v>1</v>
      </c>
      <c r="N106" s="3" t="str">
        <f ca="1"/>
        <v>3 1</v>
      </c>
      <c r="O106" s="3">
        <f ca="1"/>
        <v>2</v>
      </c>
      <c r="P106" s="3">
        <f ca="1"/>
        <v>5</v>
      </c>
      <c r="Q106" s="3">
        <f ca="1"/>
        <v>0.23597883597883595</v>
      </c>
      <c r="R106" s="3">
        <f ca="1"/>
        <v>1</v>
      </c>
      <c r="S106" s="3">
        <f ca="1"/>
        <v>2</v>
      </c>
      <c r="T106" s="3">
        <f ca="1"/>
        <v>2</v>
      </c>
      <c r="U106" s="3">
        <f ca="1"/>
        <v>3</v>
      </c>
      <c r="V106" s="3">
        <f ca="1"/>
        <v>5</v>
      </c>
      <c r="W106" s="3">
        <f ca="1"/>
        <v>3</v>
      </c>
      <c r="X106" s="3">
        <f ca="1"/>
        <v>1.5</v>
      </c>
      <c r="Y106" s="3">
        <f ca="1"/>
        <v>3.3333333333333335</v>
      </c>
      <c r="Z106" s="3">
        <f ca="1"/>
        <v>0.34848484848484851</v>
      </c>
      <c r="AA106" s="3">
        <f ca="1"/>
        <v>0.5</v>
      </c>
      <c r="AB106" s="3">
        <f ca="1"/>
        <v>3.5</v>
      </c>
      <c r="AC106" s="3">
        <f ca="1"/>
        <v>4</v>
      </c>
      <c r="AD106" s="3">
        <f ca="1"/>
        <v>3</v>
      </c>
      <c r="AE106" s="3">
        <f ca="1"/>
        <v>3</v>
      </c>
      <c r="AF106" s="3">
        <f ca="1"/>
        <v>2</v>
      </c>
      <c r="AG106" s="3" t="str">
        <f ca="1"/>
        <v>bee927e7-6089-4633-a0e3-fad37cdd08ff</v>
      </c>
    </row>
    <row r="107" spans="1:33" ht="14.4" customHeight="1" x14ac:dyDescent="0.3">
      <c r="A107" s="11" t="str">
        <f ca="1"/>
        <v>5d3256e1-7933-4fea-8a28-02388c8f38c9</v>
      </c>
      <c r="D107" s="3">
        <f ca="1"/>
        <v>103</v>
      </c>
      <c r="E107" s="3">
        <f ca="1"/>
        <v>1</v>
      </c>
      <c r="F107" s="3">
        <f ca="1"/>
        <v>1</v>
      </c>
      <c r="G107" s="3">
        <f ca="1"/>
        <v>1</v>
      </c>
      <c r="H107" s="3">
        <f ca="1"/>
        <v>1</v>
      </c>
      <c r="I107" s="3">
        <f ca="1"/>
        <v>5</v>
      </c>
      <c r="J107" s="3" t="str">
        <f ca="1"/>
        <v>1 2 4 8 7 10</v>
      </c>
      <c r="K107" s="3">
        <f ca="1"/>
        <v>15</v>
      </c>
      <c r="L107" s="3" t="str">
        <f ca="1"/>
        <v>1 2 8 3</v>
      </c>
      <c r="M107" s="3">
        <f ca="1"/>
        <v>2</v>
      </c>
      <c r="N107" s="3" t="str">
        <f ca="1"/>
        <v>1 2 8</v>
      </c>
      <c r="O107" s="3">
        <f ca="1"/>
        <v>2</v>
      </c>
      <c r="P107" s="3">
        <f ca="1"/>
        <v>4</v>
      </c>
      <c r="Q107" s="3">
        <f ca="1"/>
        <v>0.36349206349206353</v>
      </c>
      <c r="R107" s="3">
        <f ca="1"/>
        <v>1</v>
      </c>
      <c r="S107" s="3">
        <f ca="1"/>
        <v>2</v>
      </c>
      <c r="T107" s="3">
        <f ca="1"/>
        <v>2</v>
      </c>
      <c r="U107" s="3">
        <f ca="1"/>
        <v>4</v>
      </c>
      <c r="V107" s="3">
        <f ca="1"/>
        <v>4</v>
      </c>
      <c r="W107" s="3">
        <f ca="1"/>
        <v>4</v>
      </c>
      <c r="X107" s="3">
        <f ca="1"/>
        <v>1.5</v>
      </c>
      <c r="Y107" s="3">
        <f ca="1"/>
        <v>2.6666666666666665</v>
      </c>
      <c r="Z107" s="3">
        <f ca="1"/>
        <v>0.48106060606060608</v>
      </c>
      <c r="AA107" s="3">
        <f ca="1"/>
        <v>0.4375</v>
      </c>
      <c r="AB107" s="3">
        <f ca="1"/>
        <v>3.5</v>
      </c>
      <c r="AC107" s="3">
        <f ca="1"/>
        <v>4</v>
      </c>
      <c r="AD107" s="3">
        <f ca="1"/>
        <v>2</v>
      </c>
      <c r="AE107" s="3">
        <f ca="1"/>
        <v>5</v>
      </c>
      <c r="AF107" s="3">
        <f ca="1"/>
        <v>4</v>
      </c>
      <c r="AG107" s="3" t="str">
        <f ca="1"/>
        <v>5d3256e1-7933-4fea-8a28-02388c8f38c9</v>
      </c>
    </row>
    <row r="108" spans="1:33" ht="14.4" customHeight="1" x14ac:dyDescent="0.3">
      <c r="A108" s="11" t="str">
        <f ca="1"/>
        <v>5f967aff-ed8f-4e30-b315-ce5857ba9cbd</v>
      </c>
      <c r="D108" s="3">
        <f ca="1"/>
        <v>104</v>
      </c>
      <c r="E108" s="3">
        <f ca="1"/>
        <v>1</v>
      </c>
      <c r="F108" s="3">
        <f ca="1"/>
        <v>1</v>
      </c>
      <c r="G108" s="3">
        <f ca="1"/>
        <v>1</v>
      </c>
      <c r="H108" s="3">
        <f ca="1"/>
        <v>0</v>
      </c>
      <c r="I108" s="3">
        <f ca="1"/>
        <v>2.5</v>
      </c>
      <c r="J108" s="3" t="str">
        <f ca="1"/>
        <v>1 6 10 7</v>
      </c>
      <c r="K108" s="3">
        <f ca="1"/>
        <v>10</v>
      </c>
      <c r="L108" s="3" t="str">
        <f ca="1"/>
        <v>2 4 8</v>
      </c>
      <c r="M108" s="3">
        <f ca="1"/>
        <v>1</v>
      </c>
      <c r="N108" s="3" t="str">
        <f ca="1"/>
        <v>4 2 8</v>
      </c>
      <c r="O108" s="3">
        <f ca="1"/>
        <v>2</v>
      </c>
      <c r="P108" s="3">
        <f ca="1"/>
        <v>4</v>
      </c>
      <c r="Q108" s="3">
        <f ca="1"/>
        <v>0.27301587301587299</v>
      </c>
      <c r="R108" s="3">
        <f ca="1"/>
        <v>1</v>
      </c>
      <c r="S108" s="3">
        <f ca="1"/>
        <v>2</v>
      </c>
      <c r="T108" s="3">
        <f ca="1"/>
        <v>2</v>
      </c>
      <c r="U108" s="3">
        <f ca="1"/>
        <v>4</v>
      </c>
      <c r="V108" s="3">
        <f ca="1"/>
        <v>4</v>
      </c>
      <c r="W108" s="3">
        <f ca="1"/>
        <v>4</v>
      </c>
      <c r="X108" s="3">
        <f ca="1"/>
        <v>2</v>
      </c>
      <c r="Y108" s="3">
        <f ca="1"/>
        <v>2.6666666666666665</v>
      </c>
      <c r="Z108" s="3">
        <f ca="1"/>
        <v>0.30681818181818182</v>
      </c>
      <c r="AA108" s="3">
        <f ca="1"/>
        <v>0.4375</v>
      </c>
      <c r="AB108" s="3">
        <f ca="1"/>
        <v>4</v>
      </c>
      <c r="AC108" s="3">
        <f ca="1"/>
        <v>5</v>
      </c>
      <c r="AD108" s="3">
        <f ca="1"/>
        <v>2</v>
      </c>
      <c r="AE108" s="3">
        <f ca="1"/>
        <v>5</v>
      </c>
      <c r="AF108" s="3">
        <f ca="1"/>
        <v>4</v>
      </c>
      <c r="AG108" s="3" t="str">
        <f ca="1"/>
        <v>5f967aff-ed8f-4e30-b315-ce5857ba9cbd</v>
      </c>
    </row>
    <row r="109" spans="1:33" ht="14.4" customHeight="1" x14ac:dyDescent="0.3">
      <c r="A109" s="11" t="str">
        <f ca="1"/>
        <v>7959e02b-9cfb-4b02-849c-b8514c8f2a15</v>
      </c>
      <c r="D109" s="3">
        <f ca="1"/>
        <v>105</v>
      </c>
      <c r="E109" s="3">
        <f ca="1"/>
        <v>1</v>
      </c>
      <c r="F109" s="3">
        <f ca="1"/>
        <v>1</v>
      </c>
      <c r="G109" s="3">
        <f ca="1"/>
        <v>1</v>
      </c>
      <c r="H109" s="3">
        <f ca="1"/>
        <v>1</v>
      </c>
      <c r="I109" s="3">
        <f ca="1"/>
        <v>5</v>
      </c>
      <c r="J109" s="3" t="str">
        <f ca="1"/>
        <v>1 2 4 10 7</v>
      </c>
      <c r="K109" s="3">
        <f ca="1"/>
        <v>15</v>
      </c>
      <c r="L109" s="3" t="str">
        <f ca="1"/>
        <v>2 3</v>
      </c>
      <c r="M109" s="3">
        <f ca="1"/>
        <v>1</v>
      </c>
      <c r="N109" s="3" t="str">
        <f ca="1"/>
        <v>1 8 2</v>
      </c>
      <c r="O109" s="3">
        <f ca="1"/>
        <v>2</v>
      </c>
      <c r="P109" s="3">
        <f ca="1"/>
        <v>5</v>
      </c>
      <c r="Q109" s="3">
        <f ca="1"/>
        <v>0.37671957671957673</v>
      </c>
      <c r="R109" s="3">
        <f ca="1"/>
        <v>1</v>
      </c>
      <c r="S109" s="3">
        <f ca="1"/>
        <v>1</v>
      </c>
      <c r="T109" s="3">
        <f ca="1"/>
        <v>1</v>
      </c>
      <c r="U109" s="3">
        <f ca="1"/>
        <v>5</v>
      </c>
      <c r="V109" s="3">
        <f ca="1"/>
        <v>5</v>
      </c>
      <c r="W109" s="3">
        <f ca="1"/>
        <v>5</v>
      </c>
      <c r="X109" s="3">
        <f ca="1"/>
        <v>1</v>
      </c>
      <c r="Y109" s="3">
        <f ca="1"/>
        <v>2.6666666666666665</v>
      </c>
      <c r="Z109" s="3">
        <f ca="1"/>
        <v>0.35227272727272729</v>
      </c>
      <c r="AA109" s="3">
        <f ca="1"/>
        <v>0.4375</v>
      </c>
      <c r="AB109" s="3">
        <f ca="1"/>
        <v>4</v>
      </c>
      <c r="AC109" s="3">
        <f ca="1"/>
        <v>5</v>
      </c>
      <c r="AD109" s="3">
        <f ca="1"/>
        <v>1</v>
      </c>
      <c r="AE109" s="3">
        <f ca="1"/>
        <v>5</v>
      </c>
      <c r="AF109" s="3">
        <f ca="1"/>
        <v>4</v>
      </c>
      <c r="AG109" s="3" t="str">
        <f ca="1"/>
        <v>7959e02b-9cfb-4b02-849c-b8514c8f2a15</v>
      </c>
    </row>
    <row r="110" spans="1:33" ht="14.4" customHeight="1" x14ac:dyDescent="0.3">
      <c r="A110" s="11" t="str">
        <f ca="1"/>
        <v>feb865f2-3ced-42f1-b6d3-e040343b06cd</v>
      </c>
      <c r="D110" s="3">
        <f ca="1"/>
        <v>106</v>
      </c>
      <c r="E110" s="3">
        <f ca="1"/>
        <v>1</v>
      </c>
      <c r="F110" s="3">
        <f ca="1"/>
        <v>1</v>
      </c>
      <c r="G110" s="3">
        <f ca="1"/>
        <v>1</v>
      </c>
      <c r="H110" s="3">
        <f ca="1"/>
        <v>1</v>
      </c>
      <c r="I110" s="3">
        <f ca="1"/>
        <v>5</v>
      </c>
      <c r="J110" s="3" t="str">
        <f ca="1"/>
        <v>7 1 4</v>
      </c>
      <c r="K110" s="3">
        <f ca="1"/>
        <v>10</v>
      </c>
      <c r="L110" s="3" t="str">
        <f ca="1"/>
        <v>2 1 8 3</v>
      </c>
      <c r="M110" s="3">
        <f ca="1"/>
        <v>2</v>
      </c>
      <c r="N110" s="3" t="str">
        <f ca="1"/>
        <v>2 1 4 8</v>
      </c>
      <c r="O110" s="3">
        <f ca="1"/>
        <v>3</v>
      </c>
      <c r="P110" s="3">
        <f ca="1"/>
        <v>5</v>
      </c>
      <c r="Q110" s="3">
        <f ca="1"/>
        <v>0.28624338624338624</v>
      </c>
      <c r="R110" s="3">
        <f ca="1"/>
        <v>1</v>
      </c>
      <c r="S110" s="3">
        <f ca="1"/>
        <v>3</v>
      </c>
      <c r="T110" s="3">
        <f ca="1"/>
        <v>2</v>
      </c>
      <c r="U110" s="3">
        <f ca="1"/>
        <v>5</v>
      </c>
      <c r="V110" s="3">
        <f ca="1"/>
        <v>4.5</v>
      </c>
      <c r="W110" s="3">
        <f ca="1"/>
        <v>4</v>
      </c>
      <c r="X110" s="3">
        <f ca="1"/>
        <v>1</v>
      </c>
      <c r="Y110" s="3">
        <f ca="1"/>
        <v>3</v>
      </c>
      <c r="Z110" s="3">
        <f ca="1"/>
        <v>0.26136363636363635</v>
      </c>
      <c r="AA110" s="3">
        <f ca="1"/>
        <v>0.5</v>
      </c>
      <c r="AB110" s="3">
        <f ca="1"/>
        <v>4.5</v>
      </c>
      <c r="AC110" s="3">
        <f ca="1"/>
        <v>5</v>
      </c>
      <c r="AD110" s="3">
        <f ca="1"/>
        <v>3</v>
      </c>
      <c r="AE110" s="3">
        <f ca="1"/>
        <v>5</v>
      </c>
      <c r="AF110" s="3">
        <f ca="1"/>
        <v>4</v>
      </c>
      <c r="AG110" s="3" t="str">
        <f ca="1"/>
        <v>feb865f2-3ced-42f1-b6d3-e040343b06cd</v>
      </c>
    </row>
    <row r="111" spans="1:33" ht="14.4" customHeight="1" x14ac:dyDescent="0.3">
      <c r="A111" s="11" t="str">
        <f ca="1"/>
        <v>3a41179f-7b8d-444e-9936-e6ffc2f4a71c</v>
      </c>
      <c r="D111" s="3">
        <f ca="1"/>
        <v>107</v>
      </c>
      <c r="E111" s="3">
        <f ca="1"/>
        <v>1</v>
      </c>
      <c r="F111" s="3">
        <f ca="1"/>
        <v>1</v>
      </c>
      <c r="G111" s="3">
        <f ca="1"/>
        <v>1</v>
      </c>
      <c r="H111" s="3">
        <f ca="1"/>
        <v>1</v>
      </c>
      <c r="I111" s="3">
        <f ca="1"/>
        <v>5</v>
      </c>
      <c r="J111" s="3" t="str">
        <f ca="1"/>
        <v>8 2 4 6</v>
      </c>
      <c r="K111" s="3">
        <f ca="1"/>
        <v>10</v>
      </c>
      <c r="L111" s="3">
        <f ca="1"/>
        <v>8</v>
      </c>
      <c r="M111" s="3">
        <f ca="1"/>
        <v>0</v>
      </c>
      <c r="N111" s="3">
        <f ca="1"/>
        <v>99</v>
      </c>
      <c r="O111" s="3">
        <f ca="1"/>
        <v>1</v>
      </c>
      <c r="P111" s="3">
        <f ca="1"/>
        <v>3</v>
      </c>
      <c r="Q111" s="3">
        <f ca="1"/>
        <v>0.19894179894179895</v>
      </c>
      <c r="R111" s="3">
        <f ca="1"/>
        <v>1</v>
      </c>
      <c r="S111" s="3">
        <f ca="1"/>
        <v>4</v>
      </c>
      <c r="T111" s="3">
        <f ca="1"/>
        <v>3</v>
      </c>
      <c r="U111" s="3">
        <f ca="1"/>
        <v>1</v>
      </c>
      <c r="V111" s="3">
        <f ca="1"/>
        <v>3</v>
      </c>
      <c r="W111" s="3">
        <f ca="1"/>
        <v>1</v>
      </c>
      <c r="X111" s="3">
        <f ca="1"/>
        <v>1</v>
      </c>
      <c r="Y111" s="3">
        <f ca="1"/>
        <v>2.3333333333333335</v>
      </c>
      <c r="Z111" s="3">
        <f ca="1"/>
        <v>8.7121212121212127E-2</v>
      </c>
      <c r="AA111" s="3">
        <f ca="1"/>
        <v>0.4375</v>
      </c>
      <c r="AB111" s="3">
        <f ca="1"/>
        <v>4</v>
      </c>
      <c r="AC111" s="3">
        <f ca="1"/>
        <v>1</v>
      </c>
      <c r="AD111" s="3">
        <f ca="1"/>
        <v>4</v>
      </c>
      <c r="AE111" s="3">
        <f ca="1"/>
        <v>2</v>
      </c>
      <c r="AF111" s="3">
        <f ca="1"/>
        <v>1</v>
      </c>
      <c r="AG111" s="3" t="str">
        <f ca="1"/>
        <v>3a41179f-7b8d-444e-9936-e6ffc2f4a71c</v>
      </c>
    </row>
    <row r="112" spans="1:33" ht="14.4" customHeight="1" x14ac:dyDescent="0.3">
      <c r="A112" s="11" t="str">
        <f ca="1"/>
        <v>b49371c0-05f4-4d80-ab65-777d9f657cde</v>
      </c>
      <c r="D112" s="3">
        <f ca="1"/>
        <v>108</v>
      </c>
      <c r="E112" s="3">
        <f ca="1"/>
        <v>1</v>
      </c>
      <c r="F112" s="3">
        <f ca="1"/>
        <v>1</v>
      </c>
      <c r="G112" s="3">
        <f ca="1"/>
        <v>1</v>
      </c>
      <c r="H112" s="3">
        <f ca="1"/>
        <v>0</v>
      </c>
      <c r="I112" s="3">
        <f ca="1"/>
        <v>2.5</v>
      </c>
      <c r="J112" s="3" t="str">
        <f ca="1"/>
        <v>1 2 6 7 9</v>
      </c>
      <c r="K112" s="3">
        <f ca="1"/>
        <v>15</v>
      </c>
      <c r="L112" s="3" t="str">
        <f ca="1"/>
        <v>1 2 4 3 8</v>
      </c>
      <c r="M112" s="3">
        <f ca="1"/>
        <v>2</v>
      </c>
      <c r="N112" s="3" t="str">
        <f ca="1"/>
        <v>1 2 8</v>
      </c>
      <c r="O112" s="3">
        <f ca="1"/>
        <v>2</v>
      </c>
      <c r="P112" s="3">
        <f ca="1"/>
        <v>4</v>
      </c>
      <c r="Q112" s="3">
        <f ca="1"/>
        <v>0.44338624338624338</v>
      </c>
      <c r="R112" s="3">
        <f ca="1"/>
        <v>1</v>
      </c>
      <c r="S112" s="3">
        <f ca="1"/>
        <v>2</v>
      </c>
      <c r="T112" s="3">
        <f ca="1"/>
        <v>2</v>
      </c>
      <c r="U112" s="3">
        <f ca="1"/>
        <v>4</v>
      </c>
      <c r="V112" s="3">
        <f ca="1"/>
        <v>4</v>
      </c>
      <c r="W112" s="3">
        <f ca="1"/>
        <v>4</v>
      </c>
      <c r="X112" s="3">
        <f ca="1"/>
        <v>1</v>
      </c>
      <c r="Y112" s="3">
        <f ca="1"/>
        <v>3.3333333333333335</v>
      </c>
      <c r="Z112" s="3">
        <f ca="1"/>
        <v>0.39393939393939392</v>
      </c>
      <c r="AA112" s="3">
        <f ca="1"/>
        <v>0.5</v>
      </c>
      <c r="AB112" s="3">
        <f ca="1"/>
        <v>4.5</v>
      </c>
      <c r="AC112" s="3">
        <f ca="1"/>
        <v>5</v>
      </c>
      <c r="AD112" s="3">
        <f ca="1"/>
        <v>2</v>
      </c>
      <c r="AE112" s="3">
        <f ca="1"/>
        <v>4</v>
      </c>
      <c r="AF112" s="3">
        <f ca="1"/>
        <v>4</v>
      </c>
      <c r="AG112" s="3" t="str">
        <f ca="1"/>
        <v>b49371c0-05f4-4d80-ab65-777d9f657cde</v>
      </c>
    </row>
    <row r="113" spans="1:33" ht="14.4" customHeight="1" x14ac:dyDescent="0.3">
      <c r="A113" s="11" t="str">
        <f ca="1"/>
        <v>20720fb1-36a0-4a3f-82d7-d1ca0755a35d</v>
      </c>
      <c r="D113" s="3">
        <f ca="1"/>
        <v>109</v>
      </c>
      <c r="E113" s="3">
        <f ca="1"/>
        <v>1</v>
      </c>
      <c r="F113" s="3">
        <f ca="1"/>
        <v>0</v>
      </c>
      <c r="G113" s="3">
        <f ca="1"/>
        <v>1</v>
      </c>
      <c r="H113" s="3">
        <f ca="1"/>
        <v>1</v>
      </c>
      <c r="I113" s="3">
        <f ca="1"/>
        <v>2.5</v>
      </c>
      <c r="J113" s="3" t="str">
        <f ca="1"/>
        <v>1 6 7</v>
      </c>
      <c r="K113" s="3">
        <f ca="1"/>
        <v>10</v>
      </c>
      <c r="L113" s="3" t="str">
        <f ca="1"/>
        <v>2 8</v>
      </c>
      <c r="M113" s="3">
        <f ca="1"/>
        <v>1</v>
      </c>
      <c r="N113" s="3">
        <f ca="1"/>
        <v>8</v>
      </c>
      <c r="O113" s="3">
        <f ca="1"/>
        <v>1</v>
      </c>
      <c r="P113" s="3">
        <f ca="1"/>
        <v>3</v>
      </c>
      <c r="Q113" s="3">
        <f ca="1"/>
        <v>0.21216931216931215</v>
      </c>
      <c r="R113" s="3">
        <f ca="1"/>
        <v>0.66666666666666663</v>
      </c>
      <c r="S113" s="3">
        <f ca="1"/>
        <v>2</v>
      </c>
      <c r="T113" s="3">
        <f ca="1"/>
        <v>2</v>
      </c>
      <c r="U113" s="3">
        <f ca="1"/>
        <v>4</v>
      </c>
      <c r="V113" s="3">
        <f ca="1"/>
        <v>4</v>
      </c>
      <c r="W113" s="3">
        <f ca="1"/>
        <v>4</v>
      </c>
      <c r="X113" s="3">
        <f ca="1"/>
        <v>1.5</v>
      </c>
      <c r="Y113" s="3">
        <f ca="1"/>
        <v>2</v>
      </c>
      <c r="Z113" s="3">
        <f ca="1"/>
        <v>0.26515151515151514</v>
      </c>
      <c r="AA113" s="3">
        <f ca="1"/>
        <v>0.4375</v>
      </c>
      <c r="AB113" s="3">
        <f ca="1"/>
        <v>4</v>
      </c>
      <c r="AC113" s="3">
        <f ca="1"/>
        <v>4</v>
      </c>
      <c r="AD113" s="3">
        <f ca="1"/>
        <v>2</v>
      </c>
      <c r="AE113" s="3">
        <f ca="1"/>
        <v>4</v>
      </c>
      <c r="AF113" s="3">
        <f ca="1"/>
        <v>4</v>
      </c>
      <c r="AG113" s="3" t="str">
        <f ca="1"/>
        <v>20720fb1-36a0-4a3f-82d7-d1ca0755a35d</v>
      </c>
    </row>
    <row r="114" spans="1:33" ht="14.4" customHeight="1" x14ac:dyDescent="0.3">
      <c r="A114" s="11" t="str">
        <f ca="1"/>
        <v>878bc0aa-9188-4410-97e3-a4ba4e6cb20c</v>
      </c>
      <c r="D114" s="3">
        <f ca="1"/>
        <v>110</v>
      </c>
      <c r="E114" s="3">
        <f ca="1"/>
        <v>1</v>
      </c>
      <c r="F114" s="3">
        <f ca="1"/>
        <v>1</v>
      </c>
      <c r="G114" s="3">
        <f ca="1"/>
        <v>1</v>
      </c>
      <c r="H114" s="3">
        <f ca="1"/>
        <v>1</v>
      </c>
      <c r="I114" s="3">
        <f ca="1"/>
        <v>5</v>
      </c>
      <c r="J114" s="3" t="str">
        <f ca="1"/>
        <v>6 1 4</v>
      </c>
      <c r="K114" s="3">
        <f ca="1"/>
        <v>10</v>
      </c>
      <c r="L114" s="3" t="str">
        <f ca="1"/>
        <v>8 2 1</v>
      </c>
      <c r="M114" s="3">
        <f ca="1"/>
        <v>1</v>
      </c>
      <c r="N114" s="3" t="str">
        <f ca="1"/>
        <v>8 1</v>
      </c>
      <c r="O114" s="3">
        <f ca="1"/>
        <v>2</v>
      </c>
      <c r="P114" s="3">
        <f ca="1"/>
        <v>4</v>
      </c>
      <c r="Q114" s="3">
        <f ca="1"/>
        <v>0.23597883597883595</v>
      </c>
      <c r="R114" s="3">
        <f ca="1"/>
        <v>1</v>
      </c>
      <c r="S114" s="3">
        <f ca="1"/>
        <v>2</v>
      </c>
      <c r="T114" s="3">
        <f ca="1"/>
        <v>2</v>
      </c>
      <c r="U114" s="3">
        <f ca="1"/>
        <v>4</v>
      </c>
      <c r="V114" s="3">
        <f ca="1"/>
        <v>4</v>
      </c>
      <c r="W114" s="3">
        <f ca="1"/>
        <v>4</v>
      </c>
      <c r="X114" s="3">
        <f ca="1"/>
        <v>1.5</v>
      </c>
      <c r="Y114" s="3">
        <f ca="1"/>
        <v>2.3333333333333335</v>
      </c>
      <c r="Z114" s="3">
        <f ca="1"/>
        <v>0.35227272727272729</v>
      </c>
      <c r="AA114" s="3">
        <f ca="1"/>
        <v>0.5</v>
      </c>
      <c r="AB114" s="3">
        <f ca="1"/>
        <v>4</v>
      </c>
      <c r="AC114" s="3">
        <f ca="1"/>
        <v>4</v>
      </c>
      <c r="AD114" s="3">
        <f ca="1"/>
        <v>1</v>
      </c>
      <c r="AE114" s="3">
        <f ca="1"/>
        <v>4</v>
      </c>
      <c r="AF114" s="3">
        <f ca="1"/>
        <v>1</v>
      </c>
      <c r="AG114" s="3" t="str">
        <f ca="1"/>
        <v>878bc0aa-9188-4410-97e3-a4ba4e6cb20c</v>
      </c>
    </row>
    <row r="115" spans="1:33" ht="14.4" customHeight="1" x14ac:dyDescent="0.3">
      <c r="A115" s="11" t="str">
        <f ca="1"/>
        <v>09414d09-9207-402f-90ce-a373e713af01</v>
      </c>
      <c r="D115" s="3">
        <f ca="1"/>
        <v>111</v>
      </c>
      <c r="E115" s="3">
        <f ca="1"/>
        <v>1</v>
      </c>
      <c r="F115" s="3">
        <f ca="1"/>
        <v>1</v>
      </c>
      <c r="G115" s="3">
        <f ca="1"/>
        <v>1</v>
      </c>
      <c r="H115" s="3">
        <f ca="1"/>
        <v>1</v>
      </c>
      <c r="I115" s="3">
        <f ca="1"/>
        <v>5</v>
      </c>
      <c r="J115" s="3" t="str">
        <f ca="1"/>
        <v>1 4 7 6</v>
      </c>
      <c r="K115" s="3">
        <f ca="1"/>
        <v>10</v>
      </c>
      <c r="L115" s="3" t="str">
        <f ca="1"/>
        <v>8 1</v>
      </c>
      <c r="M115" s="3">
        <f ca="1"/>
        <v>1</v>
      </c>
      <c r="N115" s="3" t="str">
        <f ca="1"/>
        <v>8 1</v>
      </c>
      <c r="O115" s="3">
        <f ca="1"/>
        <v>2</v>
      </c>
      <c r="P115" s="3">
        <f ca="1"/>
        <v>4</v>
      </c>
      <c r="Q115" s="3">
        <f ca="1"/>
        <v>0.23597883597883595</v>
      </c>
      <c r="R115" s="3">
        <f ca="1"/>
        <v>1</v>
      </c>
      <c r="S115" s="3">
        <f ca="1"/>
        <v>2</v>
      </c>
      <c r="T115" s="3">
        <f ca="1"/>
        <v>2</v>
      </c>
      <c r="U115" s="3">
        <f ca="1"/>
        <v>5</v>
      </c>
      <c r="V115" s="3">
        <f ca="1"/>
        <v>3.5</v>
      </c>
      <c r="W115" s="3">
        <f ca="1"/>
        <v>5</v>
      </c>
      <c r="X115" s="3">
        <f ca="1"/>
        <v>3</v>
      </c>
      <c r="Y115" s="3">
        <f ca="1"/>
        <v>2.3333333333333335</v>
      </c>
      <c r="Z115" s="3">
        <f ca="1"/>
        <v>0.35227272727272729</v>
      </c>
      <c r="AA115" s="3">
        <f ca="1"/>
        <v>0.5</v>
      </c>
      <c r="AB115" s="3">
        <f ca="1"/>
        <v>4.5</v>
      </c>
      <c r="AC115" s="3">
        <f ca="1"/>
        <v>5</v>
      </c>
      <c r="AD115" s="3">
        <f ca="1"/>
        <v>1</v>
      </c>
      <c r="AE115" s="3">
        <f ca="1"/>
        <v>4</v>
      </c>
      <c r="AF115" s="3">
        <f ca="1"/>
        <v>4</v>
      </c>
      <c r="AG115" s="3" t="str">
        <f ca="1"/>
        <v>09414d09-9207-402f-90ce-a373e713af01</v>
      </c>
    </row>
    <row r="116" spans="1:33" ht="14.4" customHeight="1" x14ac:dyDescent="0.3">
      <c r="A116" s="11" t="str">
        <f ca="1"/>
        <v>8922abbc-c657-4868-b02b-229f7f678143</v>
      </c>
      <c r="D116" s="3">
        <f ca="1"/>
        <v>112</v>
      </c>
      <c r="E116" s="3">
        <f ca="1"/>
        <v>1</v>
      </c>
      <c r="F116" s="3">
        <f ca="1"/>
        <v>1</v>
      </c>
      <c r="G116" s="3">
        <f ca="1"/>
        <v>1</v>
      </c>
      <c r="H116" s="3">
        <f ca="1"/>
        <v>1</v>
      </c>
      <c r="I116" s="3">
        <f ca="1"/>
        <v>5</v>
      </c>
      <c r="J116" s="3" t="str">
        <f ca="1"/>
        <v>1 6 4</v>
      </c>
      <c r="K116" s="3">
        <f ca="1"/>
        <v>10</v>
      </c>
      <c r="L116" s="3" t="str">
        <f ca="1"/>
        <v>8 4</v>
      </c>
      <c r="M116" s="3">
        <f ca="1"/>
        <v>1</v>
      </c>
      <c r="N116" s="3" t="str">
        <f ca="1"/>
        <v>8 2 1</v>
      </c>
      <c r="O116" s="3">
        <f ca="1"/>
        <v>2</v>
      </c>
      <c r="P116" s="3">
        <f ca="1"/>
        <v>5</v>
      </c>
      <c r="Q116" s="3">
        <f ca="1"/>
        <v>0.21216931216931215</v>
      </c>
      <c r="R116" s="3">
        <f ca="1"/>
        <v>1</v>
      </c>
      <c r="S116" s="3">
        <f ca="1"/>
        <v>2</v>
      </c>
      <c r="T116" s="3">
        <f ca="1"/>
        <v>2</v>
      </c>
      <c r="U116" s="3">
        <f ca="1"/>
        <v>5</v>
      </c>
      <c r="V116" s="3">
        <f ca="1"/>
        <v>4</v>
      </c>
      <c r="W116" s="3">
        <f ca="1"/>
        <v>4</v>
      </c>
      <c r="X116" s="3">
        <f ca="1"/>
        <v>1.5</v>
      </c>
      <c r="Y116" s="3">
        <f ca="1"/>
        <v>2.3333333333333335</v>
      </c>
      <c r="Z116" s="3">
        <f ca="1"/>
        <v>0.26136363636363635</v>
      </c>
      <c r="AA116" s="3">
        <f ca="1"/>
        <v>0.4375</v>
      </c>
      <c r="AB116" s="3">
        <f ca="1"/>
        <v>5</v>
      </c>
      <c r="AC116" s="3">
        <f ca="1"/>
        <v>4</v>
      </c>
      <c r="AD116" s="3">
        <f ca="1"/>
        <v>2</v>
      </c>
      <c r="AE116" s="3">
        <f ca="1"/>
        <v>4</v>
      </c>
      <c r="AF116" s="3">
        <f ca="1"/>
        <v>4</v>
      </c>
      <c r="AG116" s="3" t="str">
        <f ca="1"/>
        <v>8922abbc-c657-4868-b02b-229f7f678143</v>
      </c>
    </row>
    <row r="117" spans="1:33" ht="14.4" customHeight="1" x14ac:dyDescent="0.3">
      <c r="A117" s="11" t="str">
        <f ca="1"/>
        <v>edb575ea-b97d-4498-8485-a2843f5ab9d9</v>
      </c>
      <c r="D117" s="3">
        <f ca="1"/>
        <v>113</v>
      </c>
      <c r="E117" s="3">
        <f ca="1"/>
        <v>1</v>
      </c>
      <c r="F117" s="3">
        <f ca="1"/>
        <v>1</v>
      </c>
      <c r="G117" s="3">
        <f ca="1"/>
        <v>1</v>
      </c>
      <c r="H117" s="3">
        <f ca="1"/>
        <v>1</v>
      </c>
      <c r="I117" s="3">
        <f ca="1"/>
        <v>5</v>
      </c>
      <c r="J117" s="3" t="str">
        <f ca="1"/>
        <v>1 2 4 7 8 9 10</v>
      </c>
      <c r="K117" s="3">
        <f ca="1"/>
        <v>20</v>
      </c>
      <c r="L117" s="3" t="str">
        <f ca="1"/>
        <v>1 2 3 5 8</v>
      </c>
      <c r="M117" s="3">
        <f ca="1"/>
        <v>2</v>
      </c>
      <c r="N117" s="3" t="str">
        <f ca="1"/>
        <v>1 2 3 4 8 5</v>
      </c>
      <c r="O117" s="3">
        <f ca="1"/>
        <v>4</v>
      </c>
      <c r="P117" s="3">
        <f ca="1"/>
        <v>5</v>
      </c>
      <c r="Q117" s="3">
        <f ca="1"/>
        <v>0.49206349206349209</v>
      </c>
      <c r="R117" s="3">
        <f ca="1"/>
        <v>1</v>
      </c>
      <c r="S117" s="3">
        <f ca="1"/>
        <v>3</v>
      </c>
      <c r="T117" s="3">
        <f ca="1"/>
        <v>4</v>
      </c>
      <c r="U117" s="3">
        <f ca="1"/>
        <v>4</v>
      </c>
      <c r="V117" s="3">
        <f ca="1"/>
        <v>3.5</v>
      </c>
      <c r="W117" s="3">
        <f ca="1"/>
        <v>4</v>
      </c>
      <c r="X117" s="3">
        <f ca="1"/>
        <v>1</v>
      </c>
      <c r="Y117" s="3">
        <f ca="1"/>
        <v>4</v>
      </c>
      <c r="Z117" s="3">
        <f ca="1"/>
        <v>0.57196969696969702</v>
      </c>
      <c r="AA117" s="3">
        <f ca="1"/>
        <v>0.6875</v>
      </c>
      <c r="AB117" s="3">
        <f ca="1"/>
        <v>3</v>
      </c>
      <c r="AC117" s="3">
        <f ca="1"/>
        <v>4</v>
      </c>
      <c r="AD117" s="3">
        <f ca="1"/>
        <v>1</v>
      </c>
      <c r="AE117" s="3">
        <f ca="1"/>
        <v>4</v>
      </c>
      <c r="AF117" s="3">
        <f ca="1"/>
        <v>3</v>
      </c>
      <c r="AG117" s="3" t="str">
        <f ca="1"/>
        <v>edb575ea-b97d-4498-8485-a2843f5ab9d9</v>
      </c>
    </row>
    <row r="118" spans="1:33" ht="14.4" customHeight="1" x14ac:dyDescent="0.3">
      <c r="A118" s="11" t="str">
        <f ca="1"/>
        <v>92f2ad18-f2de-4671-9d89-5c7bc22fd37e</v>
      </c>
      <c r="D118" s="3">
        <f ca="1"/>
        <v>114</v>
      </c>
      <c r="E118" s="3">
        <f ca="1"/>
        <v>1</v>
      </c>
      <c r="F118" s="3">
        <f ca="1"/>
        <v>1</v>
      </c>
      <c r="G118" s="3">
        <f ca="1"/>
        <v>1</v>
      </c>
      <c r="H118" s="3">
        <f ca="1"/>
        <v>1</v>
      </c>
      <c r="I118" s="3">
        <f ca="1"/>
        <v>5</v>
      </c>
      <c r="J118" s="3" t="str">
        <f ca="1"/>
        <v>1 4 7 6 8 9 10</v>
      </c>
      <c r="K118" s="3">
        <f ca="1"/>
        <v>20</v>
      </c>
      <c r="L118" s="3" t="str">
        <f ca="1"/>
        <v>3 2 1 5 8</v>
      </c>
      <c r="M118" s="3">
        <f ca="1"/>
        <v>2</v>
      </c>
      <c r="N118" s="3" t="str">
        <f ca="1"/>
        <v>1 2 3 5 8 7</v>
      </c>
      <c r="O118" s="3">
        <f ca="1"/>
        <v>4</v>
      </c>
      <c r="P118" s="3">
        <f ca="1"/>
        <v>4</v>
      </c>
      <c r="Q118" s="3">
        <f ca="1"/>
        <v>0.49206349206349209</v>
      </c>
      <c r="R118" s="3">
        <f ca="1"/>
        <v>1</v>
      </c>
      <c r="S118" s="3">
        <f ca="1"/>
        <v>2</v>
      </c>
      <c r="T118" s="3">
        <f ca="1"/>
        <v>3</v>
      </c>
      <c r="U118" s="3">
        <f ca="1"/>
        <v>4</v>
      </c>
      <c r="V118" s="3">
        <f ca="1"/>
        <v>4</v>
      </c>
      <c r="W118" s="3">
        <f ca="1"/>
        <v>4</v>
      </c>
      <c r="X118" s="3">
        <f ca="1"/>
        <v>1</v>
      </c>
      <c r="Y118" s="3">
        <f ca="1"/>
        <v>4</v>
      </c>
      <c r="Z118" s="3">
        <f ca="1"/>
        <v>0.52651515151515149</v>
      </c>
      <c r="AA118" s="3">
        <f ca="1"/>
        <v>0.5625</v>
      </c>
      <c r="AB118" s="3">
        <f ca="1"/>
        <v>3.5</v>
      </c>
      <c r="AC118" s="3">
        <f ca="1"/>
        <v>4</v>
      </c>
      <c r="AD118" s="3">
        <f ca="1"/>
        <v>2</v>
      </c>
      <c r="AE118" s="3">
        <f ca="1"/>
        <v>4</v>
      </c>
      <c r="AF118" s="3">
        <f ca="1"/>
        <v>4</v>
      </c>
      <c r="AG118" s="3" t="str">
        <f ca="1"/>
        <v>92f2ad18-f2de-4671-9d89-5c7bc22fd37e</v>
      </c>
    </row>
    <row r="119" spans="1:33" ht="14.4" customHeight="1" x14ac:dyDescent="0.3">
      <c r="A119" s="11" t="str">
        <f ca="1"/>
        <v>963c9291-d08a-446c-8701-85a770601007</v>
      </c>
      <c r="D119" s="3">
        <f ca="1"/>
        <v>115</v>
      </c>
      <c r="E119" s="3">
        <f ca="1"/>
        <v>1</v>
      </c>
      <c r="F119" s="3">
        <f ca="1"/>
        <v>1</v>
      </c>
      <c r="G119" s="3">
        <f ca="1"/>
        <v>1</v>
      </c>
      <c r="H119" s="3">
        <f ca="1"/>
        <v>1</v>
      </c>
      <c r="I119" s="3">
        <f ca="1"/>
        <v>5</v>
      </c>
      <c r="J119" s="3" t="str">
        <f ca="1"/>
        <v>2 7 5</v>
      </c>
      <c r="K119" s="3">
        <f ca="1"/>
        <v>10</v>
      </c>
      <c r="L119" s="3" t="str">
        <f ca="1"/>
        <v>1 2 3 8</v>
      </c>
      <c r="M119" s="3">
        <f ca="1"/>
        <v>2</v>
      </c>
      <c r="N119" s="3" t="str">
        <f ca="1"/>
        <v>1 3 5 8</v>
      </c>
      <c r="O119" s="3">
        <f ca="1"/>
        <v>3</v>
      </c>
      <c r="P119" s="3">
        <f ca="1"/>
        <v>4</v>
      </c>
      <c r="Q119" s="3">
        <f ca="1"/>
        <v>0.32936507936507936</v>
      </c>
      <c r="R119" s="3">
        <f ca="1"/>
        <v>1</v>
      </c>
      <c r="S119" s="3">
        <f ca="1"/>
        <v>2</v>
      </c>
      <c r="T119" s="3">
        <f ca="1"/>
        <v>3</v>
      </c>
      <c r="U119" s="3">
        <f ca="1"/>
        <v>4</v>
      </c>
      <c r="V119" s="3">
        <f ca="1"/>
        <v>4</v>
      </c>
      <c r="W119" s="3">
        <f ca="1"/>
        <v>4</v>
      </c>
      <c r="X119" s="3">
        <f ca="1"/>
        <v>1</v>
      </c>
      <c r="Y119" s="3">
        <f ca="1"/>
        <v>3</v>
      </c>
      <c r="Z119" s="3">
        <f ca="1"/>
        <v>0.43560606060606061</v>
      </c>
      <c r="AA119" s="3">
        <f ca="1"/>
        <v>0.75</v>
      </c>
      <c r="AB119" s="3">
        <f ca="1"/>
        <v>4.5</v>
      </c>
      <c r="AC119" s="3">
        <f ca="1"/>
        <v>5</v>
      </c>
      <c r="AD119" s="3">
        <f ca="1"/>
        <v>1</v>
      </c>
      <c r="AE119" s="3">
        <f ca="1"/>
        <v>5</v>
      </c>
      <c r="AF119" s="3">
        <f ca="1"/>
        <v>4</v>
      </c>
      <c r="AG119" s="3" t="str">
        <f ca="1"/>
        <v>963c9291-d08a-446c-8701-85a770601007</v>
      </c>
    </row>
    <row r="120" spans="1:33" ht="14.4" customHeight="1" x14ac:dyDescent="0.3">
      <c r="A120" s="11" t="str">
        <f ca="1"/>
        <v>2d7d8b94-bc1c-423d-aa66-ac41f8f959a4</v>
      </c>
      <c r="D120" s="3">
        <f ca="1"/>
        <v>116</v>
      </c>
      <c r="E120" s="3">
        <f ca="1"/>
        <v>1</v>
      </c>
      <c r="F120" s="3">
        <f ca="1"/>
        <v>1</v>
      </c>
      <c r="G120" s="3">
        <f ca="1"/>
        <v>1</v>
      </c>
      <c r="H120" s="3">
        <f ca="1"/>
        <v>1</v>
      </c>
      <c r="I120" s="3">
        <f ca="1"/>
        <v>5</v>
      </c>
      <c r="J120" s="3" t="str">
        <f ca="1"/>
        <v>1 4 7 10</v>
      </c>
      <c r="K120" s="3">
        <f ca="1"/>
        <v>10</v>
      </c>
      <c r="L120" s="3" t="str">
        <f ca="1"/>
        <v>1 3 8 5</v>
      </c>
      <c r="M120" s="3">
        <f ca="1"/>
        <v>2</v>
      </c>
      <c r="N120" s="3" t="str">
        <f ca="1"/>
        <v>1 3 5 8</v>
      </c>
      <c r="O120" s="3">
        <f ca="1"/>
        <v>3</v>
      </c>
      <c r="P120" s="3">
        <f ca="1"/>
        <v>4</v>
      </c>
      <c r="Q120" s="3">
        <f ca="1"/>
        <v>0.32936507936507936</v>
      </c>
      <c r="R120" s="3">
        <f ca="1"/>
        <v>1</v>
      </c>
      <c r="S120" s="3">
        <f ca="1"/>
        <v>2</v>
      </c>
      <c r="T120" s="3">
        <f ca="1"/>
        <v>3</v>
      </c>
      <c r="U120" s="3">
        <f ca="1"/>
        <v>4</v>
      </c>
      <c r="V120" s="3">
        <f ca="1"/>
        <v>4</v>
      </c>
      <c r="W120" s="3">
        <f ca="1"/>
        <v>4</v>
      </c>
      <c r="X120" s="3">
        <f ca="1"/>
        <v>1</v>
      </c>
      <c r="Y120" s="3">
        <f ca="1"/>
        <v>3</v>
      </c>
      <c r="Z120" s="3">
        <f ca="1"/>
        <v>0.48106060606060608</v>
      </c>
      <c r="AA120" s="3">
        <f ca="1"/>
        <v>0.5625</v>
      </c>
      <c r="AB120" s="3">
        <f ca="1"/>
        <v>4.5</v>
      </c>
      <c r="AC120" s="3">
        <f ca="1"/>
        <v>4</v>
      </c>
      <c r="AD120" s="3">
        <f ca="1"/>
        <v>1</v>
      </c>
      <c r="AE120" s="3">
        <f ca="1"/>
        <v>4</v>
      </c>
      <c r="AF120" s="3">
        <f ca="1"/>
        <v>4</v>
      </c>
      <c r="AG120" s="3" t="str">
        <f ca="1"/>
        <v>2d7d8b94-bc1c-423d-aa66-ac41f8f959a4</v>
      </c>
    </row>
    <row r="121" spans="1:33" ht="14.4" customHeight="1" x14ac:dyDescent="0.3">
      <c r="A121" s="11" t="str">
        <f ca="1"/>
        <v>70dc46d7-1060-4b58-835f-24795f57314d</v>
      </c>
      <c r="D121" s="3">
        <f ca="1"/>
        <v>117</v>
      </c>
      <c r="E121" s="3">
        <f ca="1"/>
        <v>1</v>
      </c>
      <c r="F121" s="3">
        <f ca="1"/>
        <v>1</v>
      </c>
      <c r="G121" s="3">
        <f ca="1"/>
        <v>1</v>
      </c>
      <c r="H121" s="3">
        <f ca="1"/>
        <v>1</v>
      </c>
      <c r="I121" s="3">
        <f ca="1"/>
        <v>5</v>
      </c>
      <c r="J121" s="3" t="str">
        <f ca="1"/>
        <v>1 3 4 7 10</v>
      </c>
      <c r="K121" s="3">
        <f ca="1"/>
        <v>15</v>
      </c>
      <c r="L121" s="3" t="str">
        <f ca="1"/>
        <v>1 2 3 8</v>
      </c>
      <c r="M121" s="3">
        <f ca="1"/>
        <v>2</v>
      </c>
      <c r="N121" s="3" t="str">
        <f ca="1"/>
        <v>1 2 3 8 5</v>
      </c>
      <c r="O121" s="3">
        <f ca="1"/>
        <v>3</v>
      </c>
      <c r="P121" s="3">
        <f ca="1"/>
        <v>4</v>
      </c>
      <c r="Q121" s="3">
        <f ca="1"/>
        <v>0.36507936507936506</v>
      </c>
      <c r="R121" s="3">
        <f ca="1"/>
        <v>1</v>
      </c>
      <c r="S121" s="3">
        <f ca="1"/>
        <v>1</v>
      </c>
      <c r="T121" s="3">
        <f ca="1"/>
        <v>3</v>
      </c>
      <c r="U121" s="3">
        <f ca="1"/>
        <v>4</v>
      </c>
      <c r="V121" s="3">
        <f ca="1"/>
        <v>4</v>
      </c>
      <c r="W121" s="3">
        <f ca="1"/>
        <v>4</v>
      </c>
      <c r="X121" s="3">
        <f ca="1"/>
        <v>1</v>
      </c>
      <c r="Y121" s="3">
        <f ca="1"/>
        <v>3</v>
      </c>
      <c r="Z121" s="3">
        <f ca="1"/>
        <v>0.43560606060606061</v>
      </c>
      <c r="AA121" s="3">
        <f ca="1"/>
        <v>0.6875</v>
      </c>
      <c r="AB121" s="3">
        <f ca="1"/>
        <v>4.5</v>
      </c>
      <c r="AC121" s="3">
        <f ca="1"/>
        <v>4</v>
      </c>
      <c r="AD121" s="3">
        <f ca="1"/>
        <v>1</v>
      </c>
      <c r="AE121" s="3">
        <f ca="1"/>
        <v>5</v>
      </c>
      <c r="AF121" s="3">
        <f ca="1"/>
        <v>4</v>
      </c>
      <c r="AG121" s="3" t="str">
        <f ca="1"/>
        <v>70dc46d7-1060-4b58-835f-24795f57314d</v>
      </c>
    </row>
    <row r="122" spans="1:33" ht="14.4" customHeight="1" x14ac:dyDescent="0.3">
      <c r="A122" s="11" t="str">
        <f ca="1"/>
        <v>9cd496ec-88a1-4451-9314-16ae2e73af0e</v>
      </c>
      <c r="D122" s="3">
        <f ca="1"/>
        <v>118</v>
      </c>
      <c r="E122" s="3">
        <f ca="1"/>
        <v>1</v>
      </c>
      <c r="F122" s="3">
        <f ca="1"/>
        <v>1</v>
      </c>
      <c r="G122" s="3">
        <f ca="1"/>
        <v>1</v>
      </c>
      <c r="H122" s="3">
        <f ca="1"/>
        <v>1</v>
      </c>
      <c r="I122" s="3">
        <f ca="1"/>
        <v>5</v>
      </c>
      <c r="J122" s="3" t="str">
        <f ca="1"/>
        <v>1 4 7 10</v>
      </c>
      <c r="K122" s="3">
        <f ca="1"/>
        <v>10</v>
      </c>
      <c r="L122" s="3" t="str">
        <f ca="1"/>
        <v>1 3 5 4 8</v>
      </c>
      <c r="M122" s="3">
        <f ca="1"/>
        <v>2</v>
      </c>
      <c r="N122" s="3" t="str">
        <f ca="1"/>
        <v>1 3 4 8 5</v>
      </c>
      <c r="O122" s="3">
        <f ca="1"/>
        <v>3</v>
      </c>
      <c r="P122" s="3">
        <f ca="1"/>
        <v>4</v>
      </c>
      <c r="Q122" s="3">
        <f ca="1"/>
        <v>0.42063492063492064</v>
      </c>
      <c r="R122" s="3">
        <f ca="1"/>
        <v>1</v>
      </c>
      <c r="S122" s="3">
        <f ca="1"/>
        <v>2</v>
      </c>
      <c r="T122" s="3">
        <f ca="1"/>
        <v>3</v>
      </c>
      <c r="U122" s="3">
        <f ca="1"/>
        <v>4</v>
      </c>
      <c r="V122" s="3">
        <f ca="1"/>
        <v>4</v>
      </c>
      <c r="W122" s="3">
        <f ca="1"/>
        <v>4</v>
      </c>
      <c r="X122" s="3">
        <f ca="1"/>
        <v>1</v>
      </c>
      <c r="Y122" s="3">
        <f ca="1"/>
        <v>3</v>
      </c>
      <c r="Z122" s="3">
        <f ca="1"/>
        <v>0.43560606060606061</v>
      </c>
      <c r="AA122" s="3">
        <f ca="1"/>
        <v>0.6875</v>
      </c>
      <c r="AB122" s="3">
        <f ca="1"/>
        <v>4.5</v>
      </c>
      <c r="AC122" s="3">
        <f ca="1"/>
        <v>5</v>
      </c>
      <c r="AD122" s="3">
        <f ca="1"/>
        <v>1</v>
      </c>
      <c r="AE122" s="3">
        <f ca="1"/>
        <v>4</v>
      </c>
      <c r="AF122" s="3">
        <f ca="1"/>
        <v>4</v>
      </c>
      <c r="AG122" s="3" t="str">
        <f ca="1"/>
        <v>9cd496ec-88a1-4451-9314-16ae2e73af0e</v>
      </c>
    </row>
    <row r="123" spans="1:33" ht="14.4" customHeight="1" x14ac:dyDescent="0.3">
      <c r="A123" s="11" t="str">
        <f ca="1"/>
        <v>7be614e3-229e-4124-8561-b93c8ea4a813</v>
      </c>
      <c r="D123" s="3">
        <f ca="1"/>
        <v>119</v>
      </c>
      <c r="E123" s="3">
        <f ca="1"/>
        <v>1</v>
      </c>
      <c r="F123" s="3">
        <f ca="1"/>
        <v>1</v>
      </c>
      <c r="G123" s="3">
        <f ca="1"/>
        <v>1</v>
      </c>
      <c r="H123" s="3">
        <f ca="1"/>
        <v>1</v>
      </c>
      <c r="I123" s="3">
        <f ca="1"/>
        <v>5</v>
      </c>
      <c r="J123" s="3" t="str">
        <f ca="1"/>
        <v>2 4 7 10 6</v>
      </c>
      <c r="K123" s="3">
        <f ca="1"/>
        <v>15</v>
      </c>
      <c r="L123" s="3" t="str">
        <f ca="1"/>
        <v>3 1 8 5</v>
      </c>
      <c r="M123" s="3">
        <f ca="1"/>
        <v>2</v>
      </c>
      <c r="N123" s="3" t="str">
        <f ca="1"/>
        <v>1 3 5 8</v>
      </c>
      <c r="O123" s="3">
        <f ca="1"/>
        <v>3</v>
      </c>
      <c r="P123" s="3">
        <f ca="1"/>
        <v>4</v>
      </c>
      <c r="Q123" s="3">
        <f ca="1"/>
        <v>0.36507936507936506</v>
      </c>
      <c r="R123" s="3">
        <f ca="1"/>
        <v>1</v>
      </c>
      <c r="S123" s="3">
        <f ca="1"/>
        <v>2</v>
      </c>
      <c r="T123" s="3">
        <f ca="1"/>
        <v>3</v>
      </c>
      <c r="U123" s="3">
        <f ca="1"/>
        <v>4</v>
      </c>
      <c r="V123" s="3">
        <f ca="1"/>
        <v>4</v>
      </c>
      <c r="W123" s="3">
        <f ca="1"/>
        <v>4</v>
      </c>
      <c r="X123" s="3">
        <f ca="1"/>
        <v>1</v>
      </c>
      <c r="Y123" s="3">
        <f ca="1"/>
        <v>3</v>
      </c>
      <c r="Z123" s="3">
        <f ca="1"/>
        <v>0.43560606060606061</v>
      </c>
      <c r="AA123" s="3">
        <f ca="1"/>
        <v>0.6875</v>
      </c>
      <c r="AB123" s="3">
        <f ca="1"/>
        <v>4.5</v>
      </c>
      <c r="AC123" s="3">
        <f ca="1"/>
        <v>5</v>
      </c>
      <c r="AD123" s="3">
        <f ca="1"/>
        <v>1</v>
      </c>
      <c r="AE123" s="3">
        <f ca="1"/>
        <v>4</v>
      </c>
      <c r="AF123" s="3">
        <f ca="1"/>
        <v>4</v>
      </c>
      <c r="AG123" s="3" t="str">
        <f ca="1"/>
        <v>7be614e3-229e-4124-8561-b93c8ea4a813</v>
      </c>
    </row>
    <row r="124" spans="1:33" ht="14.4" customHeight="1" x14ac:dyDescent="0.3">
      <c r="A124" s="11" t="str">
        <f ca="1"/>
        <v>4609b225-dc70-4921-9469-2f915dc47305</v>
      </c>
      <c r="D124" s="3">
        <f ca="1"/>
        <v>120</v>
      </c>
      <c r="E124" s="3">
        <f ca="1"/>
        <v>1</v>
      </c>
      <c r="F124" s="3">
        <f ca="1"/>
        <v>1</v>
      </c>
      <c r="G124" s="3">
        <f ca="1"/>
        <v>1</v>
      </c>
      <c r="H124" s="3">
        <f ca="1"/>
        <v>1</v>
      </c>
      <c r="I124" s="3">
        <f ca="1"/>
        <v>5</v>
      </c>
      <c r="J124" s="3" t="str">
        <f ca="1"/>
        <v>2 4 7 10 1</v>
      </c>
      <c r="K124" s="3">
        <f ca="1"/>
        <v>15</v>
      </c>
      <c r="L124" s="3" t="str">
        <f ca="1"/>
        <v>1 3 2 5 8</v>
      </c>
      <c r="M124" s="3">
        <f ca="1"/>
        <v>2</v>
      </c>
      <c r="N124" s="3" t="str">
        <f ca="1"/>
        <v>3 1 2 5 8</v>
      </c>
      <c r="O124" s="3">
        <f ca="1"/>
        <v>3</v>
      </c>
      <c r="P124" s="3">
        <f ca="1"/>
        <v>4</v>
      </c>
      <c r="Q124" s="3">
        <f ca="1"/>
        <v>0.42063492063492064</v>
      </c>
      <c r="R124" s="3">
        <f ca="1"/>
        <v>1</v>
      </c>
      <c r="S124" s="3">
        <f ca="1"/>
        <v>3</v>
      </c>
      <c r="T124" s="3">
        <f ca="1"/>
        <v>3</v>
      </c>
      <c r="U124" s="3">
        <f ca="1"/>
        <v>4</v>
      </c>
      <c r="V124" s="3">
        <f ca="1"/>
        <v>3.5</v>
      </c>
      <c r="W124" s="3">
        <f ca="1"/>
        <v>4</v>
      </c>
      <c r="X124" s="3">
        <f ca="1"/>
        <v>1</v>
      </c>
      <c r="Y124" s="3">
        <f ca="1"/>
        <v>3</v>
      </c>
      <c r="Z124" s="3">
        <f ca="1"/>
        <v>0.43560606060606061</v>
      </c>
      <c r="AA124" s="3">
        <f ca="1"/>
        <v>0.75</v>
      </c>
      <c r="AB124" s="3">
        <f ca="1"/>
        <v>4.5</v>
      </c>
      <c r="AC124" s="3">
        <f ca="1"/>
        <v>4</v>
      </c>
      <c r="AD124" s="3">
        <f ca="1"/>
        <v>1</v>
      </c>
      <c r="AE124" s="3">
        <f ca="1"/>
        <v>4</v>
      </c>
      <c r="AF124" s="3">
        <f ca="1"/>
        <v>4</v>
      </c>
      <c r="AG124" s="3" t="str">
        <f ca="1"/>
        <v>4609b225-dc70-4921-9469-2f915dc47305</v>
      </c>
    </row>
    <row r="125" spans="1:33" ht="14.4" customHeight="1" x14ac:dyDescent="0.3">
      <c r="A125" s="11" t="str">
        <f ca="1"/>
        <v>c154d1fb-0ef2-4f56-90d9-5600a0171b7c</v>
      </c>
      <c r="D125" s="3">
        <f ca="1"/>
        <v>121</v>
      </c>
      <c r="E125" s="3">
        <f ca="1"/>
        <v>1</v>
      </c>
      <c r="F125" s="3">
        <f ca="1"/>
        <v>1</v>
      </c>
      <c r="G125" s="3">
        <f ca="1"/>
        <v>1</v>
      </c>
      <c r="H125" s="3">
        <f ca="1"/>
        <v>1</v>
      </c>
      <c r="I125" s="3">
        <f ca="1"/>
        <v>5</v>
      </c>
      <c r="J125" s="3" t="str">
        <f ca="1"/>
        <v>1 4 7 10</v>
      </c>
      <c r="K125" s="3">
        <f ca="1"/>
        <v>10</v>
      </c>
      <c r="L125" s="3" t="str">
        <f ca="1"/>
        <v>1 3 8 5</v>
      </c>
      <c r="M125" s="3">
        <f ca="1"/>
        <v>2</v>
      </c>
      <c r="N125" s="3" t="str">
        <f ca="1"/>
        <v>1 3 8 5 2</v>
      </c>
      <c r="O125" s="3">
        <f ca="1"/>
        <v>3</v>
      </c>
      <c r="P125" s="3">
        <f ca="1"/>
        <v>4</v>
      </c>
      <c r="Q125" s="3">
        <f ca="1"/>
        <v>0.42063492063492064</v>
      </c>
      <c r="R125" s="3">
        <f ca="1"/>
        <v>1</v>
      </c>
      <c r="S125" s="3">
        <f ca="1"/>
        <v>3</v>
      </c>
      <c r="T125" s="3">
        <f ca="1"/>
        <v>3</v>
      </c>
      <c r="U125" s="3">
        <f ca="1"/>
        <v>4</v>
      </c>
      <c r="V125" s="3">
        <f ca="1"/>
        <v>3.5</v>
      </c>
      <c r="W125" s="3">
        <f ca="1"/>
        <v>4</v>
      </c>
      <c r="X125" s="3">
        <f ca="1"/>
        <v>1</v>
      </c>
      <c r="Y125" s="3">
        <f ca="1"/>
        <v>3</v>
      </c>
      <c r="Z125" s="3">
        <f ca="1"/>
        <v>0.43560606060606061</v>
      </c>
      <c r="AA125" s="3">
        <f ca="1"/>
        <v>0.6875</v>
      </c>
      <c r="AB125" s="3">
        <f ca="1"/>
        <v>4.5</v>
      </c>
      <c r="AC125" s="3">
        <f ca="1"/>
        <v>4</v>
      </c>
      <c r="AD125" s="3">
        <f ca="1"/>
        <v>2</v>
      </c>
      <c r="AE125" s="3">
        <f ca="1"/>
        <v>4</v>
      </c>
      <c r="AF125" s="3">
        <f ca="1"/>
        <v>4</v>
      </c>
      <c r="AG125" s="3" t="str">
        <f ca="1"/>
        <v>c154d1fb-0ef2-4f56-90d9-5600a0171b7c</v>
      </c>
    </row>
    <row r="126" spans="1:33" ht="14.4" customHeight="1" x14ac:dyDescent="0.3">
      <c r="A126" s="11" t="str">
        <f ca="1"/>
        <v>ed7a2929-5432-4e68-8e8b-b1969aff9cf1</v>
      </c>
      <c r="D126" s="3">
        <f ca="1"/>
        <v>122</v>
      </c>
      <c r="E126" s="3">
        <f ca="1"/>
        <v>1</v>
      </c>
      <c r="F126" s="3">
        <f ca="1"/>
        <v>1</v>
      </c>
      <c r="G126" s="3">
        <f ca="1"/>
        <v>1</v>
      </c>
      <c r="H126" s="3">
        <f ca="1"/>
        <v>1</v>
      </c>
      <c r="I126" s="3">
        <f ca="1"/>
        <v>5</v>
      </c>
      <c r="J126" s="3" t="str">
        <f ca="1"/>
        <v>1 2 4 6 7</v>
      </c>
      <c r="K126" s="3">
        <f ca="1"/>
        <v>15</v>
      </c>
      <c r="L126" s="3" t="str">
        <f ca="1"/>
        <v>2 8</v>
      </c>
      <c r="M126" s="3">
        <f ca="1"/>
        <v>1</v>
      </c>
      <c r="N126" s="3" t="str">
        <f ca="1"/>
        <v>2 4 8</v>
      </c>
      <c r="O126" s="3">
        <f ca="1"/>
        <v>2</v>
      </c>
      <c r="P126" s="3">
        <f ca="1"/>
        <v>4</v>
      </c>
      <c r="Q126" s="3">
        <f ca="1"/>
        <v>0.30952380952380953</v>
      </c>
      <c r="R126" s="3">
        <f ca="1"/>
        <v>1</v>
      </c>
      <c r="S126" s="3">
        <f ca="1"/>
        <v>2</v>
      </c>
      <c r="T126" s="3">
        <f ca="1"/>
        <v>3</v>
      </c>
      <c r="U126" s="3">
        <f ca="1"/>
        <v>4</v>
      </c>
      <c r="V126" s="3">
        <f ca="1"/>
        <v>3.5</v>
      </c>
      <c r="W126" s="3">
        <f ca="1"/>
        <v>4</v>
      </c>
      <c r="X126" s="3">
        <f ca="1"/>
        <v>1</v>
      </c>
      <c r="Y126" s="3">
        <f ca="1"/>
        <v>3</v>
      </c>
      <c r="Z126" s="3">
        <f ca="1"/>
        <v>0.39393939393939392</v>
      </c>
      <c r="AA126" s="3">
        <f ca="1"/>
        <v>0.5625</v>
      </c>
      <c r="AB126" s="3">
        <f ca="1"/>
        <v>4.5</v>
      </c>
      <c r="AC126" s="3">
        <f ca="1"/>
        <v>5</v>
      </c>
      <c r="AD126" s="3">
        <f ca="1"/>
        <v>2</v>
      </c>
      <c r="AE126" s="3">
        <f ca="1"/>
        <v>4</v>
      </c>
      <c r="AF126" s="3">
        <f ca="1"/>
        <v>1</v>
      </c>
      <c r="AG126" s="3" t="str">
        <f ca="1"/>
        <v>ed7a2929-5432-4e68-8e8b-b1969aff9cf1</v>
      </c>
    </row>
    <row r="127" spans="1:33" ht="14.4" customHeight="1" x14ac:dyDescent="0.3">
      <c r="A127" s="11" t="str">
        <f ca="1"/>
        <v>2476564b-c489-42df-8228-0524de210ac4</v>
      </c>
      <c r="D127" s="3">
        <f ca="1"/>
        <v>123</v>
      </c>
      <c r="E127" s="3">
        <f ca="1"/>
        <v>1</v>
      </c>
      <c r="F127" s="3">
        <f ca="1"/>
        <v>1</v>
      </c>
      <c r="G127" s="3">
        <f ca="1"/>
        <v>1</v>
      </c>
      <c r="H127" s="3">
        <f ca="1"/>
        <v>1</v>
      </c>
      <c r="I127" s="3">
        <f ca="1"/>
        <v>5</v>
      </c>
      <c r="J127" s="3" t="str">
        <f ca="1"/>
        <v>1 4 6 7</v>
      </c>
      <c r="K127" s="3">
        <f ca="1"/>
        <v>10</v>
      </c>
      <c r="L127" s="3" t="str">
        <f ca="1"/>
        <v>1 2 8</v>
      </c>
      <c r="M127" s="3">
        <f ca="1"/>
        <v>1</v>
      </c>
      <c r="N127" s="3" t="str">
        <f ca="1"/>
        <v>2 4 8 1</v>
      </c>
      <c r="O127" s="3">
        <f ca="1"/>
        <v>3</v>
      </c>
      <c r="P127" s="3">
        <f ca="1"/>
        <v>4</v>
      </c>
      <c r="Q127" s="3">
        <f ca="1"/>
        <v>0.36507936507936506</v>
      </c>
      <c r="R127" s="3">
        <f ca="1"/>
        <v>1</v>
      </c>
      <c r="S127" s="3">
        <f ca="1"/>
        <v>2</v>
      </c>
      <c r="T127" s="3">
        <f ca="1"/>
        <v>3</v>
      </c>
      <c r="U127" s="3">
        <f ca="1"/>
        <v>3</v>
      </c>
      <c r="V127" s="3">
        <f ca="1"/>
        <v>3.5</v>
      </c>
      <c r="W127" s="3">
        <f ca="1"/>
        <v>4</v>
      </c>
      <c r="X127" s="3">
        <f ca="1"/>
        <v>1</v>
      </c>
      <c r="Y127" s="3">
        <f ca="1"/>
        <v>3</v>
      </c>
      <c r="Z127" s="3">
        <f ca="1"/>
        <v>0.34848484848484851</v>
      </c>
      <c r="AA127" s="3">
        <f ca="1"/>
        <v>0.4375</v>
      </c>
      <c r="AB127" s="3">
        <f ca="1"/>
        <v>5</v>
      </c>
      <c r="AC127" s="3">
        <f ca="1"/>
        <v>4</v>
      </c>
      <c r="AD127" s="3">
        <f ca="1"/>
        <v>3</v>
      </c>
      <c r="AE127" s="3">
        <f ca="1"/>
        <v>3</v>
      </c>
      <c r="AF127" s="3">
        <f ca="1"/>
        <v>1</v>
      </c>
      <c r="AG127" s="3" t="str">
        <f ca="1"/>
        <v>2476564b-c489-42df-8228-0524de210ac4</v>
      </c>
    </row>
    <row r="128" spans="1:33" ht="14.4" customHeight="1" x14ac:dyDescent="0.3">
      <c r="A128" s="11" t="str">
        <f ca="1"/>
        <v>aef3826b-9ca7-4f3e-8dfe-b2ca90c730c6</v>
      </c>
      <c r="D128" s="3">
        <f ca="1"/>
        <v>124</v>
      </c>
      <c r="E128" s="3">
        <f ca="1"/>
        <v>1</v>
      </c>
      <c r="F128" s="3">
        <f ca="1"/>
        <v>1</v>
      </c>
      <c r="G128" s="3">
        <f ca="1"/>
        <v>1</v>
      </c>
      <c r="H128" s="3">
        <f ca="1"/>
        <v>1</v>
      </c>
      <c r="I128" s="3">
        <f ca="1"/>
        <v>5</v>
      </c>
      <c r="J128" s="3" t="str">
        <f ca="1"/>
        <v>1 4 6 7</v>
      </c>
      <c r="K128" s="3">
        <f ca="1"/>
        <v>10</v>
      </c>
      <c r="L128" s="3" t="str">
        <f ca="1"/>
        <v>8 4 2 1</v>
      </c>
      <c r="M128" s="3">
        <f ca="1"/>
        <v>2</v>
      </c>
      <c r="N128" s="3" t="str">
        <f ca="1"/>
        <v>2 1 5 8</v>
      </c>
      <c r="O128" s="3">
        <f ca="1"/>
        <v>3</v>
      </c>
      <c r="P128" s="3">
        <f ca="1"/>
        <v>4</v>
      </c>
      <c r="Q128" s="3">
        <f ca="1"/>
        <v>0.40079365079365081</v>
      </c>
      <c r="R128" s="3">
        <f ca="1"/>
        <v>1</v>
      </c>
      <c r="S128" s="3">
        <f ca="1"/>
        <v>2</v>
      </c>
      <c r="T128" s="3">
        <f ca="1"/>
        <v>2</v>
      </c>
      <c r="U128" s="3">
        <f ca="1"/>
        <v>4</v>
      </c>
      <c r="V128" s="3">
        <f ca="1"/>
        <v>3.5</v>
      </c>
      <c r="W128" s="3">
        <f ca="1"/>
        <v>4</v>
      </c>
      <c r="X128" s="3">
        <f ca="1"/>
        <v>1</v>
      </c>
      <c r="Y128" s="3">
        <f ca="1"/>
        <v>3</v>
      </c>
      <c r="Z128" s="3">
        <f ca="1"/>
        <v>0.39393939393939392</v>
      </c>
      <c r="AA128" s="3">
        <f ca="1"/>
        <v>0.5625</v>
      </c>
      <c r="AB128" s="3">
        <f ca="1"/>
        <v>4.5</v>
      </c>
      <c r="AC128" s="3">
        <f ca="1"/>
        <v>5</v>
      </c>
      <c r="AD128" s="3">
        <f ca="1"/>
        <v>1</v>
      </c>
      <c r="AE128" s="3">
        <f ca="1"/>
        <v>4</v>
      </c>
      <c r="AF128" s="3">
        <f ca="1"/>
        <v>1</v>
      </c>
      <c r="AG128" s="3" t="str">
        <f ca="1"/>
        <v>aef3826b-9ca7-4f3e-8dfe-b2ca90c730c6</v>
      </c>
    </row>
    <row r="129" spans="1:33" ht="14.4" customHeight="1" x14ac:dyDescent="0.3">
      <c r="A129" s="11" t="str">
        <f ca="1"/>
        <v>83f4f588-c84f-447c-b993-45f513537abe</v>
      </c>
      <c r="D129" s="3">
        <f ca="1"/>
        <v>125</v>
      </c>
      <c r="E129" s="3">
        <f ca="1"/>
        <v>1</v>
      </c>
      <c r="F129" s="3">
        <f ca="1"/>
        <v>1</v>
      </c>
      <c r="G129" s="3">
        <f ca="1"/>
        <v>1</v>
      </c>
      <c r="H129" s="3">
        <f ca="1"/>
        <v>1</v>
      </c>
      <c r="I129" s="3">
        <f ca="1"/>
        <v>5</v>
      </c>
      <c r="J129" s="3" t="str">
        <f ca="1"/>
        <v>1 4 6 7</v>
      </c>
      <c r="K129" s="3">
        <f ca="1"/>
        <v>10</v>
      </c>
      <c r="L129" s="3" t="str">
        <f ca="1"/>
        <v>1 2 4 5 8</v>
      </c>
      <c r="M129" s="3">
        <f ca="1"/>
        <v>2</v>
      </c>
      <c r="N129" s="3" t="str">
        <f ca="1"/>
        <v>1 2 4 8</v>
      </c>
      <c r="O129" s="3">
        <f ca="1"/>
        <v>3</v>
      </c>
      <c r="P129" s="3">
        <f ca="1"/>
        <v>5</v>
      </c>
      <c r="Q129" s="3">
        <f ca="1"/>
        <v>0.36507936507936506</v>
      </c>
      <c r="R129" s="3">
        <f ca="1"/>
        <v>1</v>
      </c>
      <c r="S129" s="3">
        <f ca="1"/>
        <v>2</v>
      </c>
      <c r="T129" s="3">
        <f ca="1"/>
        <v>3</v>
      </c>
      <c r="U129" s="3">
        <f ca="1"/>
        <v>4</v>
      </c>
      <c r="V129" s="3">
        <f ca="1"/>
        <v>3</v>
      </c>
      <c r="W129" s="3">
        <f ca="1"/>
        <v>5</v>
      </c>
      <c r="X129" s="3">
        <f ca="1"/>
        <v>1</v>
      </c>
      <c r="Y129" s="3">
        <f ca="1"/>
        <v>3</v>
      </c>
      <c r="Z129" s="3">
        <f ca="1"/>
        <v>0.39393939393939392</v>
      </c>
      <c r="AA129" s="3">
        <f ca="1"/>
        <v>0.5</v>
      </c>
      <c r="AB129" s="3">
        <f ca="1"/>
        <v>5</v>
      </c>
      <c r="AC129" s="3">
        <f ca="1"/>
        <v>4</v>
      </c>
      <c r="AD129" s="3">
        <f ca="1"/>
        <v>1</v>
      </c>
      <c r="AE129" s="3">
        <f ca="1"/>
        <v>4</v>
      </c>
      <c r="AF129" s="3">
        <f ca="1"/>
        <v>1</v>
      </c>
      <c r="AG129" s="3" t="str">
        <f ca="1"/>
        <v>83f4f588-c84f-447c-b993-45f513537abe</v>
      </c>
    </row>
    <row r="130" spans="1:33" ht="14.4" customHeight="1" x14ac:dyDescent="0.3">
      <c r="A130" s="11" t="str">
        <f ca="1"/>
        <v>a806969d-6592-4e1e-a38e-7053b2f6ab7c</v>
      </c>
      <c r="D130" s="3">
        <f ca="1"/>
        <v>126</v>
      </c>
      <c r="E130" s="3">
        <f ca="1"/>
        <v>1</v>
      </c>
      <c r="F130" s="3">
        <f ca="1"/>
        <v>1</v>
      </c>
      <c r="G130" s="3">
        <f ca="1"/>
        <v>1</v>
      </c>
      <c r="H130" s="3">
        <f ca="1"/>
        <v>1</v>
      </c>
      <c r="I130" s="3">
        <f ca="1"/>
        <v>5</v>
      </c>
      <c r="J130" s="3" t="str">
        <f ca="1"/>
        <v>1 6 7</v>
      </c>
      <c r="K130" s="3">
        <f ca="1"/>
        <v>10</v>
      </c>
      <c r="L130" s="3" t="str">
        <f ca="1"/>
        <v>1 2 5 8</v>
      </c>
      <c r="M130" s="3">
        <f ca="1"/>
        <v>2</v>
      </c>
      <c r="N130" s="3" t="str">
        <f ca="1"/>
        <v>1 2 5 8</v>
      </c>
      <c r="O130" s="3">
        <f ca="1"/>
        <v>3</v>
      </c>
      <c r="P130" s="3">
        <f ca="1"/>
        <v>4</v>
      </c>
      <c r="Q130" s="3">
        <f ca="1"/>
        <v>0.49206349206349209</v>
      </c>
      <c r="R130" s="3">
        <f ca="1"/>
        <v>1</v>
      </c>
      <c r="S130" s="3">
        <f ca="1"/>
        <v>1</v>
      </c>
      <c r="T130" s="3">
        <f ca="1"/>
        <v>1</v>
      </c>
      <c r="U130" s="3">
        <f ca="1"/>
        <v>3</v>
      </c>
      <c r="V130" s="3">
        <f ca="1"/>
        <v>3.5</v>
      </c>
      <c r="W130" s="3">
        <f ca="1"/>
        <v>4</v>
      </c>
      <c r="X130" s="3">
        <f ca="1"/>
        <v>1</v>
      </c>
      <c r="Y130" s="3">
        <f ca="1"/>
        <v>2.5</v>
      </c>
      <c r="Z130" s="3">
        <f ca="1"/>
        <v>0.30303030303030298</v>
      </c>
      <c r="AA130" s="3">
        <f ca="1"/>
        <v>0.4375</v>
      </c>
      <c r="AB130" s="3">
        <f ca="1"/>
        <v>4.5</v>
      </c>
      <c r="AC130" s="3">
        <f ca="1"/>
        <v>4</v>
      </c>
      <c r="AD130" s="3">
        <f ca="1"/>
        <v>1</v>
      </c>
      <c r="AE130" s="3">
        <f ca="1"/>
        <v>4</v>
      </c>
      <c r="AF130" s="3">
        <f ca="1"/>
        <v>1</v>
      </c>
      <c r="AG130" s="3" t="str">
        <f ca="1"/>
        <v>a806969d-6592-4e1e-a38e-7053b2f6ab7c</v>
      </c>
    </row>
    <row r="131" spans="1:33" ht="14.4" customHeight="1" x14ac:dyDescent="0.3">
      <c r="A131" s="11" t="str">
        <f ca="1"/>
        <v>dbe72e3b-8b49-4389-bfea-af3ea61bc051</v>
      </c>
      <c r="D131" s="3">
        <f ca="1"/>
        <v>127</v>
      </c>
      <c r="E131" s="3">
        <f ca="1"/>
        <v>1</v>
      </c>
      <c r="F131" s="3">
        <f ca="1"/>
        <v>1</v>
      </c>
      <c r="G131" s="3">
        <f ca="1"/>
        <v>0</v>
      </c>
      <c r="H131" s="3">
        <f ca="1"/>
        <v>1</v>
      </c>
      <c r="I131" s="3">
        <f ca="1"/>
        <v>2.5</v>
      </c>
      <c r="J131" s="3" t="str">
        <f ca="1"/>
        <v>1 4 7 10</v>
      </c>
      <c r="K131" s="3">
        <f ca="1"/>
        <v>10</v>
      </c>
      <c r="L131" s="3" t="str">
        <f ca="1"/>
        <v>2 1 8</v>
      </c>
      <c r="M131" s="3">
        <f ca="1"/>
        <v>1</v>
      </c>
      <c r="N131" s="3" t="str">
        <f ca="1"/>
        <v>1 2 5 8</v>
      </c>
      <c r="O131" s="3">
        <f ca="1"/>
        <v>3</v>
      </c>
      <c r="P131" s="3">
        <f ca="1"/>
        <v>4</v>
      </c>
      <c r="Q131" s="3">
        <f ca="1"/>
        <v>0.36507936507936506</v>
      </c>
      <c r="R131" s="3">
        <f ca="1"/>
        <v>1</v>
      </c>
      <c r="S131" s="3">
        <f ca="1"/>
        <v>2</v>
      </c>
      <c r="T131" s="3">
        <f ca="1"/>
        <v>2</v>
      </c>
      <c r="U131" s="3">
        <f ca="1"/>
        <v>4</v>
      </c>
      <c r="V131" s="3">
        <f ca="1"/>
        <v>3</v>
      </c>
      <c r="W131" s="3">
        <f ca="1"/>
        <v>3</v>
      </c>
      <c r="X131" s="3">
        <f ca="1"/>
        <v>2</v>
      </c>
      <c r="Y131" s="3">
        <f ca="1"/>
        <v>3</v>
      </c>
      <c r="Z131" s="3">
        <f ca="1"/>
        <v>0.39393939393939392</v>
      </c>
      <c r="AA131" s="3">
        <f ca="1"/>
        <v>0.5</v>
      </c>
      <c r="AB131" s="3">
        <f ca="1"/>
        <v>4.5</v>
      </c>
      <c r="AC131" s="3">
        <f ca="1"/>
        <v>4</v>
      </c>
      <c r="AD131" s="3">
        <f ca="1"/>
        <v>2</v>
      </c>
      <c r="AE131" s="3">
        <f ca="1"/>
        <v>3</v>
      </c>
      <c r="AF131" s="3">
        <f ca="1"/>
        <v>1</v>
      </c>
      <c r="AG131" s="3" t="str">
        <f ca="1"/>
        <v>dbe72e3b-8b49-4389-bfea-af3ea61bc051</v>
      </c>
    </row>
    <row r="132" spans="1:33" ht="14.4" customHeight="1" x14ac:dyDescent="0.3">
      <c r="A132" s="11" t="str">
        <f ca="1"/>
        <v>3fa68de5-a2ef-4dfe-abcb-ad08b3586ff4</v>
      </c>
      <c r="D132" s="3">
        <f ca="1"/>
        <v>128</v>
      </c>
      <c r="E132" s="3">
        <f ca="1"/>
        <v>1</v>
      </c>
      <c r="F132" s="3">
        <f ca="1"/>
        <v>1</v>
      </c>
      <c r="G132" s="3">
        <f ca="1"/>
        <v>0</v>
      </c>
      <c r="H132" s="3">
        <f ca="1"/>
        <v>1</v>
      </c>
      <c r="I132" s="3">
        <f ca="1"/>
        <v>2.5</v>
      </c>
      <c r="J132" s="3" t="str">
        <f ca="1"/>
        <v>4 1 6 2 10</v>
      </c>
      <c r="K132" s="3">
        <f ca="1"/>
        <v>15</v>
      </c>
      <c r="L132" s="3" t="str">
        <f ca="1"/>
        <v>2 1 8 4</v>
      </c>
      <c r="M132" s="3">
        <f ca="1"/>
        <v>2</v>
      </c>
      <c r="N132" s="3" t="str">
        <f ca="1"/>
        <v>2 5 8</v>
      </c>
      <c r="O132" s="3">
        <f ca="1"/>
        <v>2</v>
      </c>
      <c r="P132" s="3">
        <f ca="1"/>
        <v>5</v>
      </c>
      <c r="Q132" s="3">
        <f ca="1"/>
        <v>0.49206349206349209</v>
      </c>
      <c r="R132" s="3">
        <f ca="1"/>
        <v>1</v>
      </c>
      <c r="S132" s="3">
        <f ca="1"/>
        <v>2</v>
      </c>
      <c r="T132" s="3">
        <f ca="1"/>
        <v>2</v>
      </c>
      <c r="U132" s="3">
        <f ca="1"/>
        <v>4</v>
      </c>
      <c r="V132" s="3">
        <f ca="1"/>
        <v>3</v>
      </c>
      <c r="W132" s="3">
        <f ca="1"/>
        <v>4</v>
      </c>
      <c r="X132" s="3">
        <f ca="1"/>
        <v>1</v>
      </c>
      <c r="Y132" s="3">
        <f ca="1"/>
        <v>3.5</v>
      </c>
      <c r="Z132" s="3">
        <f ca="1"/>
        <v>0.39393939393939392</v>
      </c>
      <c r="AA132" s="3">
        <f ca="1"/>
        <v>0.4375</v>
      </c>
      <c r="AB132" s="3">
        <f ca="1"/>
        <v>4.5</v>
      </c>
      <c r="AC132" s="3">
        <f ca="1"/>
        <v>4</v>
      </c>
      <c r="AD132" s="3">
        <f ca="1"/>
        <v>1</v>
      </c>
      <c r="AE132" s="3">
        <f ca="1"/>
        <v>3</v>
      </c>
      <c r="AF132" s="3">
        <f ca="1"/>
        <v>1</v>
      </c>
      <c r="AG132" s="3" t="str">
        <f ca="1"/>
        <v>3fa68de5-a2ef-4dfe-abcb-ad08b3586ff4</v>
      </c>
    </row>
    <row r="133" spans="1:33" ht="14.4" customHeight="1" x14ac:dyDescent="0.3">
      <c r="A133" s="11" t="str">
        <f ca="1"/>
        <v>b2d823e1-5558-45a9-b8ca-ef0ab3693080</v>
      </c>
      <c r="D133" s="3">
        <f ca="1"/>
        <v>129</v>
      </c>
      <c r="E133" s="3">
        <f ca="1"/>
        <v>1</v>
      </c>
      <c r="F133" s="3">
        <f ca="1"/>
        <v>0</v>
      </c>
      <c r="G133" s="3">
        <f ca="1"/>
        <v>0</v>
      </c>
      <c r="H133" s="3">
        <f ca="1"/>
        <v>1</v>
      </c>
      <c r="I133" s="3">
        <f ca="1"/>
        <v>0</v>
      </c>
      <c r="J133" s="3" t="str">
        <f ca="1"/>
        <v>1 2 3 4 6 7</v>
      </c>
      <c r="K133" s="3">
        <f ca="1"/>
        <v>15</v>
      </c>
      <c r="L133" s="3" t="str">
        <f ca="1"/>
        <v>2 8 1 4</v>
      </c>
      <c r="M133" s="3">
        <f ca="1"/>
        <v>2</v>
      </c>
      <c r="N133" s="3" t="str">
        <f ca="1"/>
        <v>1 8</v>
      </c>
      <c r="O133" s="3">
        <f ca="1"/>
        <v>2</v>
      </c>
      <c r="P133" s="3">
        <f ca="1"/>
        <v>4</v>
      </c>
      <c r="Q133" s="3">
        <f ca="1"/>
        <v>0.27380952380952378</v>
      </c>
      <c r="R133" s="3">
        <f ca="1"/>
        <v>1</v>
      </c>
      <c r="S133" s="3">
        <f ca="1"/>
        <v>3</v>
      </c>
      <c r="T133" s="3">
        <f ca="1"/>
        <v>3</v>
      </c>
      <c r="U133" s="3">
        <f ca="1"/>
        <v>3</v>
      </c>
      <c r="V133" s="3">
        <f ca="1"/>
        <v>2.5</v>
      </c>
      <c r="W133" s="3">
        <f ca="1"/>
        <v>4</v>
      </c>
      <c r="X133" s="3">
        <f ca="1"/>
        <v>2</v>
      </c>
      <c r="Y133" s="3">
        <f ca="1"/>
        <v>3</v>
      </c>
      <c r="Z133" s="3">
        <f ca="1"/>
        <v>0.30681818181818182</v>
      </c>
      <c r="AA133" s="3">
        <f ca="1"/>
        <v>0.4375</v>
      </c>
      <c r="AB133" s="3">
        <f ca="1"/>
        <v>4.5</v>
      </c>
      <c r="AC133" s="3">
        <f ca="1"/>
        <v>4</v>
      </c>
      <c r="AD133" s="3">
        <f ca="1"/>
        <v>2</v>
      </c>
      <c r="AE133" s="3">
        <f ca="1"/>
        <v>4</v>
      </c>
      <c r="AF133" s="3">
        <f ca="1"/>
        <v>2</v>
      </c>
      <c r="AG133" s="3" t="str">
        <f ca="1"/>
        <v>b2d823e1-5558-45a9-b8ca-ef0ab3693080</v>
      </c>
    </row>
    <row r="134" spans="1:33" ht="14.4" customHeight="1" x14ac:dyDescent="0.3">
      <c r="A134" s="11" t="str">
        <f ca="1"/>
        <v>039c6344-2cf3-48a0-8359-086bd2523494</v>
      </c>
      <c r="D134" s="3">
        <f ca="1"/>
        <v>130</v>
      </c>
      <c r="E134" s="3">
        <f ca="1"/>
        <v>1</v>
      </c>
      <c r="F134" s="3">
        <f ca="1"/>
        <v>1</v>
      </c>
      <c r="G134" s="3">
        <f ca="1"/>
        <v>1</v>
      </c>
      <c r="H134" s="3">
        <f ca="1"/>
        <v>1</v>
      </c>
      <c r="I134" s="3">
        <f ca="1"/>
        <v>5</v>
      </c>
      <c r="J134" s="3" t="str">
        <f ca="1"/>
        <v>1 4 6</v>
      </c>
      <c r="K134" s="3">
        <f ca="1"/>
        <v>10</v>
      </c>
      <c r="L134" s="3" t="str">
        <f ca="1"/>
        <v>1 2 8</v>
      </c>
      <c r="M134" s="3">
        <f ca="1"/>
        <v>1</v>
      </c>
      <c r="N134" s="3" t="str">
        <f ca="1"/>
        <v>1 2 8</v>
      </c>
      <c r="O134" s="3">
        <f ca="1"/>
        <v>2</v>
      </c>
      <c r="P134" s="3">
        <f ca="1"/>
        <v>4</v>
      </c>
      <c r="Q134" s="3">
        <f ca="1"/>
        <v>0.38095238095238093</v>
      </c>
      <c r="R134" s="3">
        <f ca="1"/>
        <v>1</v>
      </c>
      <c r="S134" s="3">
        <f ca="1"/>
        <v>2</v>
      </c>
      <c r="T134" s="3">
        <f ca="1"/>
        <v>2</v>
      </c>
      <c r="U134" s="3">
        <f ca="1"/>
        <v>4</v>
      </c>
      <c r="V134" s="3">
        <f ca="1"/>
        <v>3</v>
      </c>
      <c r="W134" s="3">
        <f ca="1"/>
        <v>4</v>
      </c>
      <c r="X134" s="3">
        <f ca="1"/>
        <v>1</v>
      </c>
      <c r="Y134" s="3">
        <f ca="1"/>
        <v>3</v>
      </c>
      <c r="Z134" s="3">
        <f ca="1"/>
        <v>0.30681818181818182</v>
      </c>
      <c r="AA134" s="3">
        <f ca="1"/>
        <v>0.4375</v>
      </c>
      <c r="AB134" s="3">
        <f ca="1"/>
        <v>4.5</v>
      </c>
      <c r="AC134" s="3">
        <f ca="1"/>
        <v>4</v>
      </c>
      <c r="AD134" s="3">
        <f ca="1"/>
        <v>1</v>
      </c>
      <c r="AE134" s="3">
        <f ca="1"/>
        <v>2</v>
      </c>
      <c r="AF134" s="3">
        <f ca="1"/>
        <v>1</v>
      </c>
      <c r="AG134" s="3" t="str">
        <f ca="1"/>
        <v>039c6344-2cf3-48a0-8359-086bd2523494</v>
      </c>
    </row>
    <row r="135" spans="1:33" ht="14.4" customHeight="1" x14ac:dyDescent="0.3">
      <c r="A135" s="11" t="str">
        <f ca="1"/>
        <v>605febb0-fb8a-4c93-953f-6b73d41bc76e</v>
      </c>
      <c r="D135" s="3">
        <f ca="1"/>
        <v>131</v>
      </c>
      <c r="E135" s="3">
        <f ca="1"/>
        <v>1</v>
      </c>
      <c r="F135" s="3">
        <f ca="1"/>
        <v>1</v>
      </c>
      <c r="G135" s="3">
        <f ca="1"/>
        <v>1</v>
      </c>
      <c r="H135" s="3">
        <f ca="1"/>
        <v>1</v>
      </c>
      <c r="I135" s="3">
        <f ca="1"/>
        <v>5</v>
      </c>
      <c r="J135" s="3" t="str">
        <f ca="1"/>
        <v>1 2 4 6 7</v>
      </c>
      <c r="K135" s="3">
        <f ca="1"/>
        <v>15</v>
      </c>
      <c r="L135" s="3" t="str">
        <f ca="1"/>
        <v>8 2</v>
      </c>
      <c r="M135" s="3">
        <f ca="1"/>
        <v>1</v>
      </c>
      <c r="N135" s="3" t="str">
        <f ca="1"/>
        <v>2 4 8</v>
      </c>
      <c r="O135" s="3">
        <f ca="1"/>
        <v>2</v>
      </c>
      <c r="P135" s="3">
        <f ca="1"/>
        <v>5</v>
      </c>
      <c r="Q135" s="3">
        <f ca="1"/>
        <v>0.34523809523809523</v>
      </c>
      <c r="R135" s="3">
        <f ca="1"/>
        <v>1</v>
      </c>
      <c r="S135" s="3">
        <f ca="1"/>
        <v>1</v>
      </c>
      <c r="T135" s="3">
        <f ca="1"/>
        <v>2</v>
      </c>
      <c r="U135" s="3">
        <f ca="1"/>
        <v>4</v>
      </c>
      <c r="V135" s="3">
        <f ca="1"/>
        <v>4.5</v>
      </c>
      <c r="W135" s="3">
        <f ca="1"/>
        <v>5</v>
      </c>
      <c r="X135" s="3">
        <f ca="1"/>
        <v>1</v>
      </c>
      <c r="Y135" s="3">
        <f ca="1"/>
        <v>3</v>
      </c>
      <c r="Z135" s="3">
        <f ca="1"/>
        <v>0.30681818181818182</v>
      </c>
      <c r="AA135" s="3">
        <f ca="1"/>
        <v>0.4375</v>
      </c>
      <c r="AB135" s="3">
        <f ca="1"/>
        <v>4.5</v>
      </c>
      <c r="AC135" s="3">
        <f ca="1"/>
        <v>4</v>
      </c>
      <c r="AD135" s="3">
        <f ca="1"/>
        <v>1</v>
      </c>
      <c r="AE135" s="3">
        <f ca="1"/>
        <v>4</v>
      </c>
      <c r="AF135" s="3">
        <f ca="1"/>
        <v>1</v>
      </c>
      <c r="AG135" s="3" t="str">
        <f ca="1"/>
        <v>605febb0-fb8a-4c93-953f-6b73d41bc76e</v>
      </c>
    </row>
    <row r="136" spans="1:33" ht="14.4" customHeight="1" x14ac:dyDescent="0.3">
      <c r="A136" s="11" t="str">
        <f ca="1"/>
        <v>d29ca2cd-d191-4266-95b2-c4d52be61365</v>
      </c>
      <c r="D136" s="3">
        <f ca="1"/>
        <v>132</v>
      </c>
      <c r="E136" s="3">
        <f ca="1"/>
        <v>1</v>
      </c>
      <c r="F136" s="3">
        <f ca="1"/>
        <v>1</v>
      </c>
      <c r="G136" s="3">
        <f ca="1"/>
        <v>1</v>
      </c>
      <c r="H136" s="3">
        <f ca="1"/>
        <v>1</v>
      </c>
      <c r="I136" s="3">
        <f ca="1"/>
        <v>5</v>
      </c>
      <c r="J136" s="3" t="str">
        <f ca="1"/>
        <v>1 4</v>
      </c>
      <c r="K136" s="3">
        <f ca="1"/>
        <v>5</v>
      </c>
      <c r="L136" s="3">
        <f ca="1"/>
        <v>1</v>
      </c>
      <c r="M136" s="3">
        <f ca="1"/>
        <v>0</v>
      </c>
      <c r="N136" s="3">
        <f ca="1"/>
        <v>1</v>
      </c>
      <c r="O136" s="3">
        <f ca="1"/>
        <v>1</v>
      </c>
      <c r="P136" s="3">
        <f ca="1"/>
        <v>4</v>
      </c>
      <c r="Q136" s="3">
        <f ca="1"/>
        <v>0.12698412698412698</v>
      </c>
      <c r="R136" s="3">
        <f ca="1"/>
        <v>0.33333333333333331</v>
      </c>
      <c r="S136" s="3">
        <f ca="1"/>
        <v>3</v>
      </c>
      <c r="T136" s="3">
        <f ca="1"/>
        <v>2</v>
      </c>
      <c r="U136" s="3">
        <f ca="1"/>
        <v>3</v>
      </c>
      <c r="V136" s="3">
        <f ca="1"/>
        <v>2</v>
      </c>
      <c r="W136" s="3">
        <f ca="1"/>
        <v>4</v>
      </c>
      <c r="X136" s="3">
        <f ca="1"/>
        <v>2</v>
      </c>
      <c r="Y136" s="3">
        <f ca="1"/>
        <v>2.5</v>
      </c>
      <c r="Z136" s="3">
        <f ca="1"/>
        <v>0.21969696969696967</v>
      </c>
      <c r="AA136" s="3">
        <f ca="1"/>
        <v>0.375</v>
      </c>
      <c r="AB136" s="3">
        <f ca="1"/>
        <v>3</v>
      </c>
      <c r="AC136" s="3">
        <f ca="1"/>
        <v>3</v>
      </c>
      <c r="AD136" s="3">
        <f ca="1"/>
        <v>3</v>
      </c>
      <c r="AE136" s="3">
        <f ca="1"/>
        <v>3</v>
      </c>
      <c r="AF136" s="3">
        <f ca="1"/>
        <v>2</v>
      </c>
      <c r="AG136" s="3" t="str">
        <f ca="1"/>
        <v>d29ca2cd-d191-4266-95b2-c4d52be61365</v>
      </c>
    </row>
    <row r="137" spans="1:33" ht="14.4" customHeight="1" x14ac:dyDescent="0.3">
      <c r="A137" s="11" t="str">
        <f ca="1"/>
        <v>6c22dbbf-21c7-47cc-98db-c8ca0ce76c54</v>
      </c>
      <c r="D137" s="3">
        <f ca="1"/>
        <v>133</v>
      </c>
      <c r="E137" s="3">
        <f ca="1"/>
        <v>1</v>
      </c>
      <c r="F137" s="3">
        <f ca="1"/>
        <v>0</v>
      </c>
      <c r="G137" s="3">
        <f ca="1"/>
        <v>1</v>
      </c>
      <c r="H137" s="3">
        <f ca="1"/>
        <v>0</v>
      </c>
      <c r="I137" s="3">
        <f ca="1"/>
        <v>0</v>
      </c>
      <c r="J137" s="3" t="str">
        <f ca="1"/>
        <v>1 2</v>
      </c>
      <c r="K137" s="3">
        <f ca="1"/>
        <v>5</v>
      </c>
      <c r="L137" s="3">
        <f ca="1"/>
        <v>1</v>
      </c>
      <c r="M137" s="3">
        <f ca="1"/>
        <v>0</v>
      </c>
      <c r="N137" s="3">
        <f ca="1"/>
        <v>8</v>
      </c>
      <c r="O137" s="3">
        <f ca="1"/>
        <v>1</v>
      </c>
      <c r="P137" s="3">
        <f ca="1"/>
        <v>4</v>
      </c>
      <c r="Q137" s="3">
        <f ca="1"/>
        <v>0.12698412698412698</v>
      </c>
      <c r="R137" s="3">
        <f ca="1"/>
        <v>0.33333333333333331</v>
      </c>
      <c r="S137" s="3">
        <f ca="1"/>
        <v>2</v>
      </c>
      <c r="T137" s="3">
        <f ca="1"/>
        <v>1</v>
      </c>
      <c r="U137" s="3">
        <f ca="1"/>
        <v>3</v>
      </c>
      <c r="V137" s="3">
        <f ca="1"/>
        <v>2.5</v>
      </c>
      <c r="W137" s="3">
        <f ca="1"/>
        <v>4</v>
      </c>
      <c r="X137" s="3">
        <f ca="1"/>
        <v>2</v>
      </c>
      <c r="Y137" s="3">
        <f ca="1"/>
        <v>2.5</v>
      </c>
      <c r="Z137" s="3">
        <f ca="1"/>
        <v>0.17803030303030301</v>
      </c>
      <c r="AA137" s="3">
        <f ca="1"/>
        <v>0.3125</v>
      </c>
      <c r="AB137" s="3">
        <f ca="1"/>
        <v>3</v>
      </c>
      <c r="AC137" s="3">
        <f ca="1"/>
        <v>4</v>
      </c>
      <c r="AD137" s="3">
        <f ca="1"/>
        <v>2</v>
      </c>
      <c r="AE137" s="3">
        <f ca="1"/>
        <v>2</v>
      </c>
      <c r="AF137" s="3">
        <f ca="1"/>
        <v>1</v>
      </c>
      <c r="AG137" s="3" t="str">
        <f ca="1"/>
        <v>6c22dbbf-21c7-47cc-98db-c8ca0ce76c54</v>
      </c>
    </row>
    <row r="138" spans="1:33" ht="14.4" customHeight="1" x14ac:dyDescent="0.3">
      <c r="A138" s="11" t="str">
        <f ca="1"/>
        <v>5b635f21-d57a-4e4d-af1d-0317ad74ef1a</v>
      </c>
      <c r="D138" s="3">
        <f ca="1"/>
        <v>134</v>
      </c>
      <c r="E138" s="3">
        <f ca="1"/>
        <v>1</v>
      </c>
      <c r="F138" s="3">
        <f ca="1"/>
        <v>0</v>
      </c>
      <c r="G138" s="3">
        <f ca="1"/>
        <v>1</v>
      </c>
      <c r="H138" s="3">
        <f ca="1"/>
        <v>0</v>
      </c>
      <c r="I138" s="3">
        <f ca="1"/>
        <v>0</v>
      </c>
      <c r="J138" s="3" t="str">
        <f ca="1"/>
        <v>1 4 6</v>
      </c>
      <c r="K138" s="3">
        <f ca="1"/>
        <v>10</v>
      </c>
      <c r="L138" s="3">
        <f ca="1"/>
        <v>1</v>
      </c>
      <c r="M138" s="3">
        <f ca="1"/>
        <v>0</v>
      </c>
      <c r="N138" s="3">
        <f ca="1"/>
        <v>1</v>
      </c>
      <c r="O138" s="3">
        <f ca="1"/>
        <v>1</v>
      </c>
      <c r="P138" s="3">
        <f ca="1"/>
        <v>4</v>
      </c>
      <c r="Q138" s="3">
        <f ca="1"/>
        <v>9.1269841269841265E-2</v>
      </c>
      <c r="R138" s="3">
        <f ca="1"/>
        <v>0.33333333333333331</v>
      </c>
      <c r="S138" s="3">
        <f ca="1"/>
        <v>2</v>
      </c>
      <c r="T138" s="3">
        <f ca="1"/>
        <v>2</v>
      </c>
      <c r="U138" s="3">
        <f ca="1"/>
        <v>3</v>
      </c>
      <c r="V138" s="3">
        <f ca="1"/>
        <v>1.5</v>
      </c>
      <c r="W138" s="3">
        <f ca="1"/>
        <v>3</v>
      </c>
      <c r="X138" s="3">
        <f ca="1"/>
        <v>1</v>
      </c>
      <c r="Y138" s="3">
        <f ca="1"/>
        <v>2.5</v>
      </c>
      <c r="Z138" s="3">
        <f ca="1"/>
        <v>0.17424242424242425</v>
      </c>
      <c r="AA138" s="3">
        <f ca="1"/>
        <v>0.4375</v>
      </c>
      <c r="AB138" s="3">
        <f ca="1"/>
        <v>2.5</v>
      </c>
      <c r="AC138" s="3">
        <f ca="1"/>
        <v>4</v>
      </c>
      <c r="AD138" s="3">
        <f ca="1"/>
        <v>3</v>
      </c>
      <c r="AE138" s="3">
        <f ca="1"/>
        <v>3</v>
      </c>
      <c r="AF138" s="3">
        <f ca="1"/>
        <v>3</v>
      </c>
      <c r="AG138" s="3" t="str">
        <f ca="1"/>
        <v>5b635f21-d57a-4e4d-af1d-0317ad74ef1a</v>
      </c>
    </row>
    <row r="139" spans="1:33" ht="14.4" customHeight="1" x14ac:dyDescent="0.3">
      <c r="A139" s="11" t="str">
        <f ca="1"/>
        <v>ce39d116-dfa5-497f-a8a7-caceb79b694d</v>
      </c>
      <c r="D139" s="3">
        <f ca="1"/>
        <v>135</v>
      </c>
      <c r="E139" s="3">
        <f ca="1"/>
        <v>1</v>
      </c>
      <c r="F139" s="3">
        <f ca="1"/>
        <v>1</v>
      </c>
      <c r="G139" s="3">
        <f ca="1"/>
        <v>1</v>
      </c>
      <c r="H139" s="3">
        <f ca="1"/>
        <v>1</v>
      </c>
      <c r="I139" s="3">
        <f ca="1"/>
        <v>5</v>
      </c>
      <c r="J139" s="3" t="str">
        <f ca="1"/>
        <v>1 4 7 10 6</v>
      </c>
      <c r="K139" s="3">
        <f ca="1"/>
        <v>15</v>
      </c>
      <c r="L139" s="3" t="str">
        <f ca="1"/>
        <v>1 2 3 5 8</v>
      </c>
      <c r="M139" s="3">
        <f ca="1"/>
        <v>2</v>
      </c>
      <c r="N139" s="3" t="str">
        <f ca="1"/>
        <v>1 5 2</v>
      </c>
      <c r="O139" s="3">
        <f ca="1"/>
        <v>2</v>
      </c>
      <c r="P139" s="3">
        <f ca="1"/>
        <v>5</v>
      </c>
      <c r="Q139" s="3">
        <f ca="1"/>
        <v>0.25396825396825395</v>
      </c>
      <c r="R139" s="3">
        <f ca="1"/>
        <v>0.66666666666666663</v>
      </c>
      <c r="S139" s="3">
        <f ca="1"/>
        <v>3</v>
      </c>
      <c r="T139" s="3">
        <f ca="1"/>
        <v>2</v>
      </c>
      <c r="U139" s="3">
        <f ca="1"/>
        <v>5</v>
      </c>
      <c r="V139" s="3">
        <f ca="1"/>
        <v>2.5</v>
      </c>
      <c r="W139" s="3">
        <f ca="1"/>
        <v>5</v>
      </c>
      <c r="X139" s="3">
        <f ca="1"/>
        <v>3</v>
      </c>
      <c r="Y139" s="3">
        <f ca="1"/>
        <v>3.5</v>
      </c>
      <c r="Z139" s="3">
        <f ca="1"/>
        <v>0.26136363636363635</v>
      </c>
      <c r="AA139" s="3">
        <f ca="1"/>
        <v>0.5</v>
      </c>
      <c r="AB139" s="3">
        <f ca="1"/>
        <v>3.5</v>
      </c>
      <c r="AC139" s="3">
        <f ca="1"/>
        <v>5</v>
      </c>
      <c r="AD139" s="3">
        <f ca="1"/>
        <v>2</v>
      </c>
      <c r="AE139" s="3">
        <f ca="1"/>
        <v>5</v>
      </c>
      <c r="AF139" s="3">
        <f ca="1"/>
        <v>1</v>
      </c>
      <c r="AG139" s="3" t="str">
        <f ca="1"/>
        <v>ce39d116-dfa5-497f-a8a7-caceb79b694d</v>
      </c>
    </row>
    <row r="140" spans="1:33" ht="14.4" customHeight="1" x14ac:dyDescent="0.3">
      <c r="A140" s="11" t="str">
        <f ca="1"/>
        <v>3489a9c8-7712-4181-bad8-2e9f50159c91</v>
      </c>
      <c r="D140" s="3">
        <f ca="1"/>
        <v>136</v>
      </c>
      <c r="E140" s="3">
        <f ca="1"/>
        <v>1</v>
      </c>
      <c r="F140" s="3">
        <f ca="1"/>
        <v>1</v>
      </c>
      <c r="G140" s="3">
        <f ca="1"/>
        <v>1</v>
      </c>
      <c r="H140" s="3">
        <f ca="1"/>
        <v>1</v>
      </c>
      <c r="I140" s="3">
        <f ca="1"/>
        <v>5</v>
      </c>
      <c r="J140" s="3" t="str">
        <f ca="1"/>
        <v>1 4 6</v>
      </c>
      <c r="K140" s="3">
        <f ca="1"/>
        <v>10</v>
      </c>
      <c r="L140" s="3" t="str">
        <f ca="1"/>
        <v>4 1 2 5</v>
      </c>
      <c r="M140" s="3">
        <f ca="1"/>
        <v>2</v>
      </c>
      <c r="N140" s="3" t="str">
        <f ca="1"/>
        <v>1 3 5</v>
      </c>
      <c r="O140" s="3">
        <f ca="1"/>
        <v>2</v>
      </c>
      <c r="P140" s="3">
        <f ca="1"/>
        <v>4</v>
      </c>
      <c r="Q140" s="3">
        <f ca="1"/>
        <v>0.30952380952380953</v>
      </c>
      <c r="R140" s="3">
        <f ca="1"/>
        <v>0.33333333333333331</v>
      </c>
      <c r="S140" s="3">
        <f ca="1"/>
        <v>3</v>
      </c>
      <c r="T140" s="3">
        <f ca="1"/>
        <v>2</v>
      </c>
      <c r="U140" s="3">
        <f ca="1"/>
        <v>5</v>
      </c>
      <c r="V140" s="3">
        <f ca="1"/>
        <v>2</v>
      </c>
      <c r="W140" s="3">
        <f ca="1"/>
        <v>5</v>
      </c>
      <c r="X140" s="3">
        <f ca="1"/>
        <v>2</v>
      </c>
      <c r="Y140" s="3">
        <f ca="1"/>
        <v>3.5</v>
      </c>
      <c r="Z140" s="3">
        <f ca="1"/>
        <v>0.34848484848484851</v>
      </c>
      <c r="AA140" s="3">
        <f ca="1"/>
        <v>0.625</v>
      </c>
      <c r="AB140" s="3">
        <f ca="1"/>
        <v>4</v>
      </c>
      <c r="AC140" s="3">
        <f ca="1"/>
        <v>5</v>
      </c>
      <c r="AD140" s="3">
        <f ca="1"/>
        <v>2</v>
      </c>
      <c r="AE140" s="3">
        <f ca="1"/>
        <v>2</v>
      </c>
      <c r="AF140" s="3">
        <f ca="1"/>
        <v>1</v>
      </c>
      <c r="AG140" s="3" t="str">
        <f ca="1"/>
        <v>3489a9c8-7712-4181-bad8-2e9f50159c91</v>
      </c>
    </row>
    <row r="141" spans="1:33" ht="14.4" customHeight="1" x14ac:dyDescent="0.3">
      <c r="A141" s="11" t="str">
        <f ca="1"/>
        <v>17cde654-e92a-417e-b24c-938896954fef</v>
      </c>
      <c r="D141" s="3">
        <f ca="1"/>
        <v>137</v>
      </c>
      <c r="E141" s="3">
        <f ca="1"/>
        <v>1</v>
      </c>
      <c r="F141" s="3">
        <f ca="1"/>
        <v>1</v>
      </c>
      <c r="G141" s="3">
        <f ca="1"/>
        <v>1</v>
      </c>
      <c r="H141" s="3">
        <f ca="1"/>
        <v>1</v>
      </c>
      <c r="I141" s="3">
        <f ca="1"/>
        <v>5</v>
      </c>
      <c r="J141" s="3" t="str">
        <f ca="1"/>
        <v>2 1 4 6 10 3</v>
      </c>
      <c r="K141" s="3">
        <f ca="1"/>
        <v>15</v>
      </c>
      <c r="L141" s="3" t="str">
        <f ca="1"/>
        <v>1 2 5</v>
      </c>
      <c r="M141" s="3">
        <f ca="1"/>
        <v>1</v>
      </c>
      <c r="N141" s="3" t="str">
        <f ca="1"/>
        <v>1 3 5</v>
      </c>
      <c r="O141" s="3">
        <f ca="1"/>
        <v>2</v>
      </c>
      <c r="P141" s="3">
        <f ca="1"/>
        <v>5</v>
      </c>
      <c r="Q141" s="3">
        <f ca="1"/>
        <v>0.47222222222222221</v>
      </c>
      <c r="R141" s="3">
        <f ca="1"/>
        <v>0.33333333333333331</v>
      </c>
      <c r="S141" s="3">
        <f ca="1"/>
        <v>2</v>
      </c>
      <c r="T141" s="3">
        <f ca="1"/>
        <v>3</v>
      </c>
      <c r="U141" s="3">
        <f ca="1"/>
        <v>5</v>
      </c>
      <c r="V141" s="3">
        <f ca="1"/>
        <v>2.5</v>
      </c>
      <c r="W141" s="3">
        <f ca="1"/>
        <v>5</v>
      </c>
      <c r="X141" s="3">
        <f ca="1"/>
        <v>2</v>
      </c>
      <c r="Y141" s="3">
        <f ca="1"/>
        <v>3.5</v>
      </c>
      <c r="Z141" s="3">
        <f ca="1"/>
        <v>0.39015151515151514</v>
      </c>
      <c r="AA141" s="3">
        <f ca="1"/>
        <v>0.5625</v>
      </c>
      <c r="AB141" s="3">
        <f ca="1"/>
        <v>3</v>
      </c>
      <c r="AC141" s="3">
        <f ca="1"/>
        <v>5</v>
      </c>
      <c r="AD141" s="3">
        <f ca="1"/>
        <v>1</v>
      </c>
      <c r="AE141" s="3">
        <f ca="1"/>
        <v>5</v>
      </c>
      <c r="AF141" s="3">
        <f ca="1"/>
        <v>2</v>
      </c>
      <c r="AG141" s="3" t="str">
        <f ca="1"/>
        <v>17cde654-e92a-417e-b24c-938896954fef</v>
      </c>
    </row>
    <row r="142" spans="1:33" ht="14.4" customHeight="1" x14ac:dyDescent="0.3">
      <c r="A142" s="11" t="str">
        <f ca="1"/>
        <v>6470142c-bf01-45a8-b257-f6ded5523cb8</v>
      </c>
      <c r="D142" s="3">
        <f ca="1"/>
        <v>138</v>
      </c>
      <c r="E142" s="3">
        <f ca="1"/>
        <v>1</v>
      </c>
      <c r="F142" s="3">
        <f ca="1"/>
        <v>1</v>
      </c>
      <c r="G142" s="3">
        <f ca="1"/>
        <v>1</v>
      </c>
      <c r="H142" s="3">
        <f ca="1"/>
        <v>1</v>
      </c>
      <c r="I142" s="3">
        <f ca="1"/>
        <v>5</v>
      </c>
      <c r="J142" s="3" t="str">
        <f ca="1"/>
        <v>6 10 1</v>
      </c>
      <c r="K142" s="3">
        <f ca="1"/>
        <v>10</v>
      </c>
      <c r="L142" s="3" t="str">
        <f ca="1"/>
        <v>1 2 5</v>
      </c>
      <c r="M142" s="3">
        <f ca="1"/>
        <v>1</v>
      </c>
      <c r="N142" s="3" t="str">
        <f ca="1"/>
        <v>1 2 3</v>
      </c>
      <c r="O142" s="3">
        <f ca="1"/>
        <v>2</v>
      </c>
      <c r="P142" s="3">
        <f ca="1"/>
        <v>5</v>
      </c>
      <c r="Q142" s="3">
        <f ca="1"/>
        <v>0.16269841269841268</v>
      </c>
      <c r="R142" s="3">
        <f ca="1"/>
        <v>0.33333333333333331</v>
      </c>
      <c r="S142" s="3">
        <f ca="1"/>
        <v>2</v>
      </c>
      <c r="T142" s="3">
        <f ca="1"/>
        <v>3</v>
      </c>
      <c r="U142" s="3">
        <f ca="1"/>
        <v>3</v>
      </c>
      <c r="V142" s="3">
        <f ca="1"/>
        <v>1.5</v>
      </c>
      <c r="W142" s="3">
        <f ca="1"/>
        <v>4</v>
      </c>
      <c r="X142" s="3">
        <f ca="1"/>
        <v>2</v>
      </c>
      <c r="Y142" s="3">
        <f ca="1"/>
        <v>1.5</v>
      </c>
      <c r="Z142" s="3">
        <f ca="1"/>
        <v>0.26136363636363635</v>
      </c>
      <c r="AA142" s="3">
        <f ca="1"/>
        <v>0.4375</v>
      </c>
      <c r="AB142" s="3">
        <f ca="1"/>
        <v>3</v>
      </c>
      <c r="AC142" s="3">
        <f ca="1"/>
        <v>4</v>
      </c>
      <c r="AD142" s="3">
        <f ca="1"/>
        <v>2</v>
      </c>
      <c r="AE142" s="3">
        <f ca="1"/>
        <v>5</v>
      </c>
      <c r="AF142" s="3">
        <f ca="1"/>
        <v>2</v>
      </c>
      <c r="AG142" s="3" t="str">
        <f ca="1"/>
        <v>6470142c-bf01-45a8-b257-f6ded5523cb8</v>
      </c>
    </row>
    <row r="143" spans="1:33" ht="14.4" customHeight="1" x14ac:dyDescent="0.3">
      <c r="A143" s="11" t="str">
        <f ca="1"/>
        <v>aeca001a-eb5e-485c-b6eb-3f6cb81eeb4e</v>
      </c>
      <c r="D143" s="3">
        <f ca="1"/>
        <v>139</v>
      </c>
      <c r="E143" s="3">
        <f ca="1"/>
        <v>1</v>
      </c>
      <c r="F143" s="3">
        <f ca="1"/>
        <v>0</v>
      </c>
      <c r="G143" s="3">
        <f ca="1"/>
        <v>1</v>
      </c>
      <c r="H143" s="3">
        <f ca="1"/>
        <v>0</v>
      </c>
      <c r="I143" s="3">
        <f ca="1"/>
        <v>0</v>
      </c>
      <c r="J143" s="3" t="str">
        <f ca="1"/>
        <v>4 1 6</v>
      </c>
      <c r="K143" s="3">
        <f ca="1"/>
        <v>10</v>
      </c>
      <c r="L143" s="3" t="str">
        <f ca="1"/>
        <v>2 1</v>
      </c>
      <c r="M143" s="3">
        <f ca="1"/>
        <v>1</v>
      </c>
      <c r="N143" s="3">
        <f ca="1"/>
        <v>1</v>
      </c>
      <c r="O143" s="3">
        <f ca="1"/>
        <v>1</v>
      </c>
      <c r="P143" s="3">
        <f ca="1"/>
        <v>3</v>
      </c>
      <c r="Q143" s="3">
        <f ca="1"/>
        <v>0.18253968253968253</v>
      </c>
      <c r="R143" s="3">
        <f ca="1"/>
        <v>0.33333333333333331</v>
      </c>
      <c r="S143" s="3">
        <f ca="1"/>
        <v>1</v>
      </c>
      <c r="T143" s="3">
        <f ca="1"/>
        <v>4</v>
      </c>
      <c r="U143" s="3">
        <f ca="1"/>
        <v>3</v>
      </c>
      <c r="V143" s="3">
        <f ca="1"/>
        <v>2</v>
      </c>
      <c r="W143" s="3">
        <f ca="1"/>
        <v>3</v>
      </c>
      <c r="X143" s="3">
        <f ca="1"/>
        <v>1</v>
      </c>
      <c r="Y143" s="3">
        <f ca="1"/>
        <v>3</v>
      </c>
      <c r="Z143" s="3">
        <f ca="1"/>
        <v>0.21969696969696967</v>
      </c>
      <c r="AA143" s="3">
        <f ca="1"/>
        <v>0.4375</v>
      </c>
      <c r="AB143" s="3">
        <f ca="1"/>
        <v>3.5</v>
      </c>
      <c r="AC143" s="3">
        <f ca="1"/>
        <v>3</v>
      </c>
      <c r="AD143" s="3">
        <f ca="1"/>
        <v>3</v>
      </c>
      <c r="AE143" s="3">
        <f ca="1"/>
        <v>5</v>
      </c>
      <c r="AF143" s="3">
        <f ca="1"/>
        <v>1</v>
      </c>
      <c r="AG143" s="3" t="str">
        <f ca="1"/>
        <v>aeca001a-eb5e-485c-b6eb-3f6cb81eeb4e</v>
      </c>
    </row>
    <row r="144" spans="1:33" ht="14.4" customHeight="1" x14ac:dyDescent="0.3">
      <c r="A144" s="11" t="str">
        <f ca="1"/>
        <v>b77f932a-0644-41c2-b171-f02f163b9d0d</v>
      </c>
      <c r="D144" s="3">
        <f ca="1"/>
        <v>140</v>
      </c>
      <c r="E144" s="3">
        <f ca="1"/>
        <v>1</v>
      </c>
      <c r="F144" s="3">
        <f ca="1"/>
        <v>1</v>
      </c>
      <c r="G144" s="3">
        <f ca="1"/>
        <v>1</v>
      </c>
      <c r="H144" s="3">
        <f ca="1"/>
        <v>0</v>
      </c>
      <c r="I144" s="3">
        <f ca="1"/>
        <v>2.5</v>
      </c>
      <c r="J144" s="3" t="str">
        <f ca="1"/>
        <v>1 4</v>
      </c>
      <c r="K144" s="3">
        <f ca="1"/>
        <v>5</v>
      </c>
      <c r="L144" s="3">
        <f ca="1"/>
        <v>2</v>
      </c>
      <c r="M144" s="3">
        <f ca="1"/>
        <v>0</v>
      </c>
      <c r="N144" s="3">
        <f ca="1"/>
        <v>2</v>
      </c>
      <c r="O144" s="3">
        <f ca="1"/>
        <v>1</v>
      </c>
      <c r="P144" s="3">
        <f ca="1"/>
        <v>5</v>
      </c>
      <c r="Q144" s="3">
        <f ca="1"/>
        <v>0.12698412698412698</v>
      </c>
      <c r="R144" s="3">
        <f ca="1"/>
        <v>0.33333333333333331</v>
      </c>
      <c r="S144" s="3">
        <f ca="1"/>
        <v>1</v>
      </c>
      <c r="T144" s="3">
        <f ca="1"/>
        <v>3</v>
      </c>
      <c r="U144" s="3">
        <f ca="1"/>
        <v>4</v>
      </c>
      <c r="V144" s="3">
        <f ca="1"/>
        <v>1.5</v>
      </c>
      <c r="W144" s="3">
        <f ca="1"/>
        <v>5</v>
      </c>
      <c r="X144" s="3">
        <f ca="1"/>
        <v>3</v>
      </c>
      <c r="Y144" s="3">
        <f ca="1"/>
        <v>2.5</v>
      </c>
      <c r="Z144" s="3">
        <f ca="1"/>
        <v>0.17803030303030301</v>
      </c>
      <c r="AA144" s="3">
        <f ca="1"/>
        <v>0.5</v>
      </c>
      <c r="AB144" s="3">
        <f ca="1"/>
        <v>3.5</v>
      </c>
      <c r="AC144" s="3">
        <f ca="1"/>
        <v>5</v>
      </c>
      <c r="AD144" s="3">
        <f ca="1"/>
        <v>2</v>
      </c>
      <c r="AE144" s="3">
        <f ca="1"/>
        <v>3</v>
      </c>
      <c r="AF144" s="3">
        <f ca="1"/>
        <v>3</v>
      </c>
      <c r="AG144" s="3" t="str">
        <f ca="1"/>
        <v>b77f932a-0644-41c2-b171-f02f163b9d0d</v>
      </c>
    </row>
    <row r="145" spans="1:33" ht="14.4" customHeight="1" x14ac:dyDescent="0.3">
      <c r="A145" s="11" t="str">
        <f ca="1"/>
        <v>86d1fe03-1fa1-485d-99d8-4014993ec330</v>
      </c>
      <c r="D145" s="3">
        <f ca="1"/>
        <v>141</v>
      </c>
      <c r="E145" s="3">
        <f ca="1"/>
        <v>1</v>
      </c>
      <c r="F145" s="3">
        <f ca="1"/>
        <v>0</v>
      </c>
      <c r="G145" s="3">
        <f ca="1"/>
        <v>1</v>
      </c>
      <c r="H145" s="3">
        <f ca="1"/>
        <v>0</v>
      </c>
      <c r="I145" s="3">
        <f ca="1"/>
        <v>0</v>
      </c>
      <c r="J145" s="3" t="str">
        <f ca="1"/>
        <v>2 1 4</v>
      </c>
      <c r="K145" s="3">
        <f ca="1"/>
        <v>10</v>
      </c>
      <c r="L145" s="3">
        <f ca="1"/>
        <v>8</v>
      </c>
      <c r="M145" s="3">
        <f ca="1"/>
        <v>0</v>
      </c>
      <c r="N145" s="3" t="str">
        <f ca="1"/>
        <v>5 8</v>
      </c>
      <c r="O145" s="3">
        <f ca="1"/>
        <v>2</v>
      </c>
      <c r="P145" s="3">
        <f ca="1"/>
        <v>3</v>
      </c>
      <c r="Q145" s="3">
        <f ca="1"/>
        <v>0.25396825396825395</v>
      </c>
      <c r="R145" s="3">
        <f ca="1"/>
        <v>0.66666666666666663</v>
      </c>
      <c r="S145" s="3">
        <f ca="1"/>
        <v>4</v>
      </c>
      <c r="T145" s="3">
        <f ca="1"/>
        <v>5</v>
      </c>
      <c r="U145" s="3">
        <f ca="1"/>
        <v>4</v>
      </c>
      <c r="V145" s="3">
        <f ca="1"/>
        <v>1</v>
      </c>
      <c r="W145" s="3">
        <f ca="1"/>
        <v>2</v>
      </c>
      <c r="X145" s="3">
        <f ca="1"/>
        <v>4</v>
      </c>
      <c r="Y145" s="3">
        <f ca="1"/>
        <v>3</v>
      </c>
      <c r="Z145" s="3">
        <f ca="1"/>
        <v>0.43560606060606061</v>
      </c>
      <c r="AA145" s="3">
        <f ca="1"/>
        <v>0.4375</v>
      </c>
      <c r="AB145" s="3">
        <f ca="1"/>
        <v>3</v>
      </c>
      <c r="AC145" s="3">
        <f ca="1"/>
        <v>3</v>
      </c>
      <c r="AD145" s="3">
        <f ca="1"/>
        <v>3</v>
      </c>
      <c r="AE145" s="3">
        <f ca="1"/>
        <v>5</v>
      </c>
      <c r="AF145" s="3">
        <f ca="1"/>
        <v>1</v>
      </c>
      <c r="AG145" s="3" t="str">
        <f ca="1"/>
        <v>86d1fe03-1fa1-485d-99d8-4014993ec330</v>
      </c>
    </row>
    <row r="146" spans="1:33" ht="14.4" customHeight="1" x14ac:dyDescent="0.3">
      <c r="A146" s="11" t="str">
        <f ca="1"/>
        <v>ac66ac9e-fcf1-4478-b4e9-15a48baf4741</v>
      </c>
      <c r="D146" s="3">
        <f ca="1"/>
        <v>142</v>
      </c>
      <c r="E146" s="3">
        <f ca="1"/>
        <v>1</v>
      </c>
      <c r="F146" s="3">
        <f ca="1"/>
        <v>0</v>
      </c>
      <c r="G146" s="3">
        <f ca="1"/>
        <v>1</v>
      </c>
      <c r="H146" s="3">
        <f ca="1"/>
        <v>1</v>
      </c>
      <c r="I146" s="3">
        <f ca="1"/>
        <v>2.5</v>
      </c>
      <c r="J146" s="3" t="str">
        <f ca="1"/>
        <v>6 1</v>
      </c>
      <c r="K146" s="3">
        <f ca="1"/>
        <v>5</v>
      </c>
      <c r="L146" s="3" t="str">
        <f ca="1"/>
        <v>1 2 8</v>
      </c>
      <c r="M146" s="3">
        <f ca="1"/>
        <v>1</v>
      </c>
      <c r="N146" s="3">
        <f ca="1"/>
        <v>8</v>
      </c>
      <c r="O146" s="3">
        <f ca="1"/>
        <v>1</v>
      </c>
      <c r="P146" s="3">
        <f ca="1"/>
        <v>4</v>
      </c>
      <c r="Q146" s="3">
        <f ca="1"/>
        <v>0.16269841269841268</v>
      </c>
      <c r="R146" s="3">
        <f ca="1"/>
        <v>0.33333333333333331</v>
      </c>
      <c r="S146" s="3">
        <f ca="1"/>
        <v>3</v>
      </c>
      <c r="T146" s="3">
        <f ca="1"/>
        <v>4</v>
      </c>
      <c r="U146" s="3">
        <f ca="1"/>
        <v>4</v>
      </c>
      <c r="V146" s="3">
        <f ca="1"/>
        <v>1.5</v>
      </c>
      <c r="W146" s="3">
        <f ca="1"/>
        <v>3</v>
      </c>
      <c r="X146" s="3">
        <f ca="1"/>
        <v>4</v>
      </c>
      <c r="Y146" s="3">
        <f ca="1"/>
        <v>3.5</v>
      </c>
      <c r="Z146" s="3">
        <f ca="1"/>
        <v>0.21969696969696967</v>
      </c>
      <c r="AA146" s="3">
        <f ca="1"/>
        <v>0.5</v>
      </c>
      <c r="AB146" s="3">
        <f ca="1"/>
        <v>3.5</v>
      </c>
      <c r="AC146" s="3">
        <f ca="1"/>
        <v>4</v>
      </c>
      <c r="AD146" s="3">
        <f ca="1"/>
        <v>4</v>
      </c>
      <c r="AE146" s="3">
        <f ca="1"/>
        <v>3</v>
      </c>
      <c r="AF146" s="3">
        <f ca="1"/>
        <v>3</v>
      </c>
      <c r="AG146" s="3" t="str">
        <f ca="1"/>
        <v>ac66ac9e-fcf1-4478-b4e9-15a48baf4741</v>
      </c>
    </row>
    <row r="147" spans="1:33" ht="14.4" customHeight="1" x14ac:dyDescent="0.3">
      <c r="A147" s="11" t="str">
        <f ca="1"/>
        <v>f3be7497-1e74-49fb-bbab-8f48a37d2b4e</v>
      </c>
      <c r="D147" s="3">
        <f ca="1"/>
        <v>143</v>
      </c>
      <c r="E147" s="3">
        <f ca="1"/>
        <v>1</v>
      </c>
      <c r="F147" s="3">
        <f ca="1"/>
        <v>1</v>
      </c>
      <c r="G147" s="3">
        <f ca="1"/>
        <v>1</v>
      </c>
      <c r="H147" s="3">
        <f ca="1"/>
        <v>1</v>
      </c>
      <c r="I147" s="3">
        <f ca="1"/>
        <v>5</v>
      </c>
      <c r="J147" s="3" t="str">
        <f ca="1"/>
        <v>8 10</v>
      </c>
      <c r="K147" s="3">
        <f ca="1"/>
        <v>5</v>
      </c>
      <c r="L147" s="3" t="str">
        <f ca="1"/>
        <v>2 1</v>
      </c>
      <c r="M147" s="3">
        <f ca="1"/>
        <v>1</v>
      </c>
      <c r="N147" s="3">
        <f ca="1"/>
        <v>8</v>
      </c>
      <c r="O147" s="3">
        <f ca="1"/>
        <v>1</v>
      </c>
      <c r="P147" s="3">
        <f ca="1"/>
        <v>2</v>
      </c>
      <c r="Q147" s="3">
        <f ca="1"/>
        <v>0.25793650793650791</v>
      </c>
      <c r="R147" s="3">
        <f ca="1"/>
        <v>0</v>
      </c>
      <c r="S147" s="3">
        <f ca="1"/>
        <v>4</v>
      </c>
      <c r="T147" s="3">
        <f ca="1"/>
        <v>4</v>
      </c>
      <c r="U147" s="3">
        <f ca="1"/>
        <v>3</v>
      </c>
      <c r="V147" s="3">
        <f ca="1"/>
        <v>1</v>
      </c>
      <c r="W147" s="3">
        <f ca="1"/>
        <v>5</v>
      </c>
      <c r="X147" s="3">
        <f ca="1"/>
        <v>3</v>
      </c>
      <c r="Y147" s="3">
        <f ca="1"/>
        <v>3.5</v>
      </c>
      <c r="Z147" s="3">
        <f ca="1"/>
        <v>0.17803030303030301</v>
      </c>
      <c r="AA147" s="3">
        <f ca="1"/>
        <v>0.625</v>
      </c>
      <c r="AB147" s="3">
        <f ca="1"/>
        <v>3</v>
      </c>
      <c r="AC147" s="3">
        <f ca="1"/>
        <v>4</v>
      </c>
      <c r="AD147" s="3">
        <f ca="1"/>
        <v>5</v>
      </c>
      <c r="AE147" s="3">
        <f ca="1"/>
        <v>4</v>
      </c>
      <c r="AF147" s="3">
        <f ca="1"/>
        <v>2</v>
      </c>
      <c r="AG147" s="3" t="str">
        <f ca="1"/>
        <v>f3be7497-1e74-49fb-bbab-8f48a37d2b4e</v>
      </c>
    </row>
    <row r="148" spans="1:33" ht="14.4" customHeight="1" x14ac:dyDescent="0.3">
      <c r="A148" s="11" t="str">
        <f ca="1"/>
        <v>d1223662-3e85-4083-87dc-df71c683c852</v>
      </c>
      <c r="D148" s="3">
        <f ca="1"/>
        <v>144</v>
      </c>
      <c r="E148" s="3">
        <f ca="1"/>
        <v>1</v>
      </c>
      <c r="F148" s="3">
        <f ca="1"/>
        <v>0</v>
      </c>
      <c r="G148" s="3">
        <f ca="1"/>
        <v>1</v>
      </c>
      <c r="H148" s="3">
        <f ca="1"/>
        <v>1</v>
      </c>
      <c r="I148" s="3">
        <f ca="1"/>
        <v>2.5</v>
      </c>
      <c r="J148" s="3" t="str">
        <f ca="1"/>
        <v>2 7 10</v>
      </c>
      <c r="K148" s="3">
        <f ca="1"/>
        <v>10</v>
      </c>
      <c r="L148" s="3" t="str">
        <f ca="1"/>
        <v>1 5</v>
      </c>
      <c r="M148" s="3">
        <f ca="1"/>
        <v>1</v>
      </c>
      <c r="N148" s="3" t="str">
        <f ca="1"/>
        <v>1 99</v>
      </c>
      <c r="O148" s="3">
        <f ca="1"/>
        <v>2</v>
      </c>
      <c r="P148" s="3">
        <f ca="1"/>
        <v>4</v>
      </c>
      <c r="Q148" s="3">
        <f ca="1"/>
        <v>0.27380952380952378</v>
      </c>
      <c r="R148" s="3">
        <f ca="1"/>
        <v>0.66666666666666663</v>
      </c>
      <c r="S148" s="3">
        <f ca="1"/>
        <v>3</v>
      </c>
      <c r="T148" s="3">
        <f ca="1"/>
        <v>2</v>
      </c>
      <c r="U148" s="3">
        <f ca="1"/>
        <v>4</v>
      </c>
      <c r="V148" s="3">
        <f ca="1"/>
        <v>3</v>
      </c>
      <c r="W148" s="3">
        <f ca="1"/>
        <v>2</v>
      </c>
      <c r="X148" s="3">
        <f ca="1"/>
        <v>2</v>
      </c>
      <c r="Y148" s="3">
        <f ca="1"/>
        <v>3.5</v>
      </c>
      <c r="Z148" s="3">
        <f ca="1"/>
        <v>0.30681818181818182</v>
      </c>
      <c r="AA148" s="3">
        <f ca="1"/>
        <v>0.4375</v>
      </c>
      <c r="AB148" s="3">
        <f ca="1"/>
        <v>3.5</v>
      </c>
      <c r="AC148" s="3">
        <f ca="1"/>
        <v>4</v>
      </c>
      <c r="AD148" s="3">
        <f ca="1"/>
        <v>3</v>
      </c>
      <c r="AE148" s="3">
        <f ca="1"/>
        <v>5</v>
      </c>
      <c r="AF148" s="3">
        <f ca="1"/>
        <v>2</v>
      </c>
      <c r="AG148" s="3" t="str">
        <f ca="1"/>
        <v>d1223662-3e85-4083-87dc-df71c683c852</v>
      </c>
    </row>
    <row r="149" spans="1:33" ht="14.4" customHeight="1" x14ac:dyDescent="0.3">
      <c r="A149" s="11" t="str">
        <f ca="1"/>
        <v>ca728775-9a8e-4613-9192-2231491c7611</v>
      </c>
      <c r="D149" s="3">
        <f ca="1"/>
        <v>145</v>
      </c>
      <c r="E149" s="3">
        <f ca="1"/>
        <v>0</v>
      </c>
      <c r="F149" s="3">
        <f ca="1"/>
        <v>0</v>
      </c>
      <c r="G149" s="3">
        <f ca="1"/>
        <v>1</v>
      </c>
      <c r="H149" s="3">
        <f ca="1"/>
        <v>0</v>
      </c>
      <c r="I149" s="3">
        <f ca="1"/>
        <v>-2.5</v>
      </c>
      <c r="J149" s="3">
        <f ca="1"/>
        <v>1</v>
      </c>
      <c r="K149" s="3">
        <f ca="1"/>
        <v>5</v>
      </c>
      <c r="L149" s="3">
        <f ca="1"/>
        <v>99</v>
      </c>
      <c r="M149" s="3">
        <f ca="1"/>
        <v>0</v>
      </c>
      <c r="N149" s="3">
        <f ca="1"/>
        <v>99</v>
      </c>
      <c r="O149" s="3">
        <f ca="1"/>
        <v>1</v>
      </c>
      <c r="P149" s="3">
        <f ca="1"/>
        <v>2</v>
      </c>
      <c r="Q149" s="3">
        <f ca="1"/>
        <v>9.1269841269841265E-2</v>
      </c>
      <c r="R149" s="3">
        <f ca="1"/>
        <v>0</v>
      </c>
      <c r="S149" s="3">
        <f ca="1"/>
        <v>5</v>
      </c>
      <c r="T149" s="3">
        <f ca="1"/>
        <v>2</v>
      </c>
      <c r="U149" s="3">
        <f ca="1"/>
        <v>1</v>
      </c>
      <c r="V149" s="3">
        <f ca="1"/>
        <v>2</v>
      </c>
      <c r="W149" s="3">
        <f ca="1"/>
        <v>1</v>
      </c>
      <c r="X149" s="3">
        <f ca="1"/>
        <v>5</v>
      </c>
      <c r="Y149" s="3">
        <f ca="1"/>
        <v>3</v>
      </c>
      <c r="Z149" s="3">
        <f ca="1"/>
        <v>0.13257575757575757</v>
      </c>
      <c r="AA149" s="3">
        <f ca="1"/>
        <v>6.25E-2</v>
      </c>
      <c r="AB149" s="3">
        <f ca="1"/>
        <v>3</v>
      </c>
      <c r="AC149" s="3">
        <f ca="1"/>
        <v>1</v>
      </c>
      <c r="AD149" s="3">
        <f ca="1"/>
        <v>4</v>
      </c>
      <c r="AE149" s="3">
        <f ca="1"/>
        <v>1</v>
      </c>
      <c r="AF149" s="3">
        <f ca="1"/>
        <v>1</v>
      </c>
      <c r="AG149" s="3" t="str">
        <f ca="1"/>
        <v>ca728775-9a8e-4613-9192-2231491c7611</v>
      </c>
    </row>
    <row r="150" spans="1:33" ht="14.4" customHeight="1" x14ac:dyDescent="0.3">
      <c r="A150" s="11" t="str">
        <f ca="1"/>
        <v>fb51007d-1448-4ed9-babd-e5900f7cdd0a</v>
      </c>
      <c r="D150" s="3">
        <f ca="1"/>
        <v>146</v>
      </c>
      <c r="E150" s="3">
        <f ca="1"/>
        <v>1</v>
      </c>
      <c r="F150" s="3">
        <f ca="1"/>
        <v>0</v>
      </c>
      <c r="G150" s="3">
        <f ca="1"/>
        <v>1</v>
      </c>
      <c r="H150" s="3">
        <f ca="1"/>
        <v>1</v>
      </c>
      <c r="I150" s="3">
        <f ca="1"/>
        <v>2.5</v>
      </c>
      <c r="J150" s="3" t="str">
        <f ca="1"/>
        <v>1 99</v>
      </c>
      <c r="K150" s="3">
        <f ca="1"/>
        <v>5</v>
      </c>
      <c r="L150" s="3" t="str">
        <f ca="1"/>
        <v>1 3 2 8</v>
      </c>
      <c r="M150" s="3">
        <f ca="1"/>
        <v>2</v>
      </c>
      <c r="N150" s="3" t="str">
        <f ca="1"/>
        <v>1 2 8</v>
      </c>
      <c r="O150" s="3">
        <f ca="1"/>
        <v>2</v>
      </c>
      <c r="P150" s="3">
        <f ca="1"/>
        <v>2</v>
      </c>
      <c r="Q150" s="3">
        <f ca="1"/>
        <v>0.21825396825396826</v>
      </c>
      <c r="R150" s="3">
        <f ca="1"/>
        <v>0.33333333333333331</v>
      </c>
      <c r="S150" s="3">
        <f ca="1"/>
        <v>3</v>
      </c>
      <c r="T150" s="3">
        <f ca="1"/>
        <v>4</v>
      </c>
      <c r="U150" s="3">
        <f ca="1"/>
        <v>3</v>
      </c>
      <c r="V150" s="3">
        <f ca="1"/>
        <v>2.5</v>
      </c>
      <c r="W150" s="3">
        <f ca="1"/>
        <v>2</v>
      </c>
      <c r="X150" s="3">
        <f ca="1"/>
        <v>2</v>
      </c>
      <c r="Y150" s="3">
        <f ca="1"/>
        <v>1.5</v>
      </c>
      <c r="Z150" s="3">
        <f ca="1"/>
        <v>0.35606060606060602</v>
      </c>
      <c r="AA150" s="3">
        <f ca="1"/>
        <v>0.4375</v>
      </c>
      <c r="AB150" s="3">
        <f ca="1"/>
        <v>2</v>
      </c>
      <c r="AC150" s="3">
        <f ca="1"/>
        <v>2</v>
      </c>
      <c r="AD150" s="3">
        <f ca="1"/>
        <v>3</v>
      </c>
      <c r="AE150" s="3">
        <f ca="1"/>
        <v>1</v>
      </c>
      <c r="AF150" s="3">
        <f ca="1"/>
        <v>1</v>
      </c>
      <c r="AG150" s="3" t="str">
        <f ca="1"/>
        <v>fb51007d-1448-4ed9-babd-e5900f7cdd0a</v>
      </c>
    </row>
    <row r="151" spans="1:33" ht="14.4" customHeight="1" x14ac:dyDescent="0.3">
      <c r="A151" s="11" t="str">
        <f ca="1"/>
        <v>0e764f4f-6d01-46c6-8f08-fae53154dbf0</v>
      </c>
      <c r="D151" s="3">
        <f ca="1"/>
        <v>147</v>
      </c>
      <c r="E151" s="3">
        <f ca="1"/>
        <v>1</v>
      </c>
      <c r="F151" s="3">
        <f ca="1"/>
        <v>0</v>
      </c>
      <c r="G151" s="3">
        <f ca="1"/>
        <v>1</v>
      </c>
      <c r="H151" s="3">
        <f ca="1"/>
        <v>0</v>
      </c>
      <c r="I151" s="3">
        <f ca="1"/>
        <v>0</v>
      </c>
      <c r="J151" s="3">
        <f ca="1"/>
        <v>1</v>
      </c>
      <c r="K151" s="3">
        <f ca="1"/>
        <v>5</v>
      </c>
      <c r="L151" s="3">
        <f ca="1"/>
        <v>8</v>
      </c>
      <c r="M151" s="3">
        <f ca="1"/>
        <v>0</v>
      </c>
      <c r="N151" s="3">
        <f ca="1"/>
        <v>8</v>
      </c>
      <c r="O151" s="3">
        <f ca="1"/>
        <v>1</v>
      </c>
      <c r="P151" s="3">
        <f ca="1"/>
        <v>3</v>
      </c>
      <c r="Q151" s="3">
        <f ca="1"/>
        <v>0.21825396825396826</v>
      </c>
      <c r="R151" s="3">
        <f ca="1"/>
        <v>0.33333333333333331</v>
      </c>
      <c r="S151" s="3">
        <f ca="1"/>
        <v>4</v>
      </c>
      <c r="T151" s="3">
        <f ca="1"/>
        <v>5</v>
      </c>
      <c r="U151" s="3">
        <f ca="1"/>
        <v>3</v>
      </c>
      <c r="V151" s="3">
        <f ca="1"/>
        <v>1.5</v>
      </c>
      <c r="W151" s="3">
        <f ca="1"/>
        <v>2</v>
      </c>
      <c r="X151" s="3">
        <f ca="1"/>
        <v>4</v>
      </c>
      <c r="Y151" s="3">
        <f ca="1"/>
        <v>2</v>
      </c>
      <c r="Z151" s="3">
        <f ca="1"/>
        <v>0.17424242424242425</v>
      </c>
      <c r="AA151" s="3">
        <f ca="1"/>
        <v>0.1875</v>
      </c>
      <c r="AB151" s="3">
        <f ca="1"/>
        <v>3</v>
      </c>
      <c r="AC151" s="3">
        <f ca="1"/>
        <v>2</v>
      </c>
      <c r="AD151" s="3">
        <f ca="1"/>
        <v>4</v>
      </c>
      <c r="AE151" s="3">
        <f ca="1"/>
        <v>5</v>
      </c>
      <c r="AF151" s="3">
        <f ca="1"/>
        <v>1</v>
      </c>
      <c r="AG151" s="3" t="str">
        <f ca="1"/>
        <v>0e764f4f-6d01-46c6-8f08-fae53154dbf0</v>
      </c>
    </row>
    <row r="152" spans="1:33" ht="14.4" customHeight="1" x14ac:dyDescent="0.3">
      <c r="A152" s="11" t="str">
        <f ca="1"/>
        <v>1d7cac5f-256b-4748-ae1f-9fd5759e260c</v>
      </c>
      <c r="D152" s="3">
        <f ca="1"/>
        <v>148</v>
      </c>
      <c r="E152" s="3">
        <f ca="1"/>
        <v>1</v>
      </c>
      <c r="F152" s="3">
        <f ca="1"/>
        <v>0</v>
      </c>
      <c r="G152" s="3">
        <f ca="1"/>
        <v>1</v>
      </c>
      <c r="H152" s="3">
        <f ca="1"/>
        <v>0</v>
      </c>
      <c r="I152" s="3">
        <f ca="1"/>
        <v>0</v>
      </c>
      <c r="J152" s="3" t="str">
        <f ca="1"/>
        <v>2 1 99</v>
      </c>
      <c r="K152" s="3">
        <f ca="1"/>
        <v>10</v>
      </c>
      <c r="L152" s="3">
        <f ca="1"/>
        <v>8</v>
      </c>
      <c r="M152" s="3">
        <f ca="1"/>
        <v>0</v>
      </c>
      <c r="N152" s="3">
        <f ca="1"/>
        <v>5</v>
      </c>
      <c r="O152" s="3">
        <f ca="1"/>
        <v>1</v>
      </c>
      <c r="P152" s="3">
        <f ca="1"/>
        <v>4</v>
      </c>
      <c r="Q152" s="3">
        <f ca="1"/>
        <v>0.12698412698412698</v>
      </c>
      <c r="R152" s="3">
        <f ca="1"/>
        <v>0.33333333333333331</v>
      </c>
      <c r="S152" s="3">
        <f ca="1"/>
        <v>4</v>
      </c>
      <c r="T152" s="3">
        <f ca="1"/>
        <v>4</v>
      </c>
      <c r="U152" s="3">
        <f ca="1"/>
        <v>5</v>
      </c>
      <c r="V152" s="3">
        <f ca="1"/>
        <v>1.5</v>
      </c>
      <c r="W152" s="3">
        <f ca="1"/>
        <v>4</v>
      </c>
      <c r="X152" s="3">
        <f ca="1"/>
        <v>4</v>
      </c>
      <c r="Y152" s="3">
        <f ca="1"/>
        <v>3</v>
      </c>
      <c r="Z152" s="3">
        <f ca="1"/>
        <v>0.17424242424242425</v>
      </c>
      <c r="AA152" s="3">
        <f ca="1"/>
        <v>0.5625</v>
      </c>
      <c r="AB152" s="3">
        <f ca="1"/>
        <v>3.5</v>
      </c>
      <c r="AC152" s="3">
        <f ca="1"/>
        <v>3</v>
      </c>
      <c r="AD152" s="3">
        <f ca="1"/>
        <v>4</v>
      </c>
      <c r="AE152" s="3">
        <f ca="1"/>
        <v>2</v>
      </c>
      <c r="AF152" s="3">
        <f ca="1"/>
        <v>3</v>
      </c>
      <c r="AG152" s="3" t="str">
        <f ca="1"/>
        <v>1d7cac5f-256b-4748-ae1f-9fd5759e260c</v>
      </c>
    </row>
    <row r="153" spans="1:33" ht="14.4" customHeight="1" x14ac:dyDescent="0.3">
      <c r="A153" s="11" t="str">
        <f ca="1"/>
        <v>f0f26434-cd53-411c-b2e2-ecaba3dfb3c5</v>
      </c>
      <c r="D153" s="3">
        <f ca="1"/>
        <v>149</v>
      </c>
      <c r="E153" s="3">
        <f ca="1"/>
        <v>1</v>
      </c>
      <c r="F153" s="3">
        <f ca="1"/>
        <v>1</v>
      </c>
      <c r="G153" s="3">
        <f ca="1"/>
        <v>1</v>
      </c>
      <c r="H153" s="3">
        <f ca="1"/>
        <v>0</v>
      </c>
      <c r="I153" s="3">
        <f ca="1"/>
        <v>2.5</v>
      </c>
      <c r="J153" s="3">
        <f ca="1"/>
        <v>6</v>
      </c>
      <c r="K153" s="3">
        <f ca="1"/>
        <v>5</v>
      </c>
      <c r="L153" s="3">
        <f ca="1"/>
        <v>8</v>
      </c>
      <c r="M153" s="3">
        <f ca="1"/>
        <v>0</v>
      </c>
      <c r="N153" s="3">
        <f ca="1"/>
        <v>8</v>
      </c>
      <c r="O153" s="3">
        <f ca="1"/>
        <v>1</v>
      </c>
      <c r="P153" s="3">
        <f ca="1"/>
        <v>3</v>
      </c>
      <c r="Q153" s="3">
        <f ca="1"/>
        <v>9.1269841269841265E-2</v>
      </c>
      <c r="R153" s="3">
        <f ca="1"/>
        <v>0</v>
      </c>
      <c r="S153" s="3">
        <f ca="1"/>
        <v>3</v>
      </c>
      <c r="T153" s="3">
        <f ca="1"/>
        <v>3</v>
      </c>
      <c r="U153" s="3">
        <f ca="1"/>
        <v>2</v>
      </c>
      <c r="V153" s="3">
        <f ca="1"/>
        <v>2</v>
      </c>
      <c r="W153" s="3">
        <f ca="1"/>
        <v>4</v>
      </c>
      <c r="X153" s="3">
        <f ca="1"/>
        <v>3</v>
      </c>
      <c r="Y153" s="3">
        <f ca="1"/>
        <v>4.5</v>
      </c>
      <c r="Z153" s="3">
        <f ca="1"/>
        <v>0.13257575757575757</v>
      </c>
      <c r="AA153" s="3">
        <f ca="1"/>
        <v>0.4375</v>
      </c>
      <c r="AB153" s="3">
        <f ca="1"/>
        <v>5</v>
      </c>
      <c r="AC153" s="3">
        <f ca="1"/>
        <v>2</v>
      </c>
      <c r="AD153" s="3">
        <f ca="1"/>
        <v>3</v>
      </c>
      <c r="AE153" s="3">
        <f ca="1"/>
        <v>3</v>
      </c>
      <c r="AF153" s="3">
        <f ca="1"/>
        <v>1</v>
      </c>
      <c r="AG153" s="3" t="str">
        <f ca="1"/>
        <v>f0f26434-cd53-411c-b2e2-ecaba3dfb3c5</v>
      </c>
    </row>
    <row r="154" spans="1:33" ht="14.4" customHeight="1" x14ac:dyDescent="0.3">
      <c r="A154" s="11" t="str">
        <f ca="1"/>
        <v>86f0ba74-5128-4d28-9d81-884b31eba4af</v>
      </c>
      <c r="D154" s="3">
        <f ca="1"/>
        <v>150</v>
      </c>
      <c r="E154" s="3">
        <f ca="1"/>
        <v>1</v>
      </c>
      <c r="F154" s="3">
        <f ca="1"/>
        <v>1</v>
      </c>
      <c r="G154" s="3">
        <f ca="1"/>
        <v>1</v>
      </c>
      <c r="H154" s="3">
        <f ca="1"/>
        <v>1</v>
      </c>
      <c r="I154" s="3">
        <f ca="1"/>
        <v>5</v>
      </c>
      <c r="J154" s="3" t="str">
        <f ca="1"/>
        <v>1 6</v>
      </c>
      <c r="K154" s="3">
        <f ca="1"/>
        <v>5</v>
      </c>
      <c r="L154" s="3">
        <f ca="1"/>
        <v>8</v>
      </c>
      <c r="M154" s="3">
        <f ca="1"/>
        <v>0</v>
      </c>
      <c r="N154" s="3">
        <f ca="1"/>
        <v>8</v>
      </c>
      <c r="O154" s="3">
        <f ca="1"/>
        <v>1</v>
      </c>
      <c r="P154" s="3">
        <f ca="1"/>
        <v>4</v>
      </c>
      <c r="Q154" s="3">
        <f ca="1"/>
        <v>0.32936507936507936</v>
      </c>
      <c r="R154" s="3">
        <f ca="1"/>
        <v>0</v>
      </c>
      <c r="S154" s="3">
        <f ca="1"/>
        <v>4</v>
      </c>
      <c r="T154" s="3">
        <f ca="1"/>
        <v>5</v>
      </c>
      <c r="U154" s="3">
        <f ca="1"/>
        <v>4</v>
      </c>
      <c r="V154" s="3">
        <f ca="1"/>
        <v>2.5</v>
      </c>
      <c r="W154" s="3">
        <f ca="1"/>
        <v>4</v>
      </c>
      <c r="X154" s="3">
        <f ca="1"/>
        <v>3</v>
      </c>
      <c r="Y154" s="3">
        <f ca="1"/>
        <v>4</v>
      </c>
      <c r="Z154" s="3">
        <f ca="1"/>
        <v>0.21969696969696967</v>
      </c>
      <c r="AA154" s="3">
        <f ca="1"/>
        <v>0.25</v>
      </c>
      <c r="AB154" s="3">
        <f ca="1"/>
        <v>3</v>
      </c>
      <c r="AC154" s="3">
        <f ca="1"/>
        <v>3</v>
      </c>
      <c r="AD154" s="3">
        <f ca="1"/>
        <v>4</v>
      </c>
      <c r="AE154" s="3">
        <f ca="1"/>
        <v>4</v>
      </c>
      <c r="AF154" s="3">
        <f ca="1"/>
        <v>4</v>
      </c>
      <c r="AG154" s="3" t="str">
        <f ca="1"/>
        <v>86f0ba74-5128-4d28-9d81-884b31eba4af</v>
      </c>
    </row>
    <row r="155" spans="1:33" ht="14.4" customHeight="1" x14ac:dyDescent="0.3">
      <c r="A155" s="11" t="str">
        <f ca="1"/>
        <v>98e3ae17-44d2-4185-87f7-76e22f32453a</v>
      </c>
      <c r="D155" s="3">
        <f ca="1"/>
        <v>151</v>
      </c>
      <c r="E155" s="3">
        <f ca="1"/>
        <v>0</v>
      </c>
      <c r="F155" s="3">
        <f ca="1"/>
        <v>1</v>
      </c>
      <c r="G155" s="3">
        <f ca="1"/>
        <v>1</v>
      </c>
      <c r="H155" s="3">
        <f ca="1"/>
        <v>1</v>
      </c>
      <c r="I155" s="3">
        <f ca="1"/>
        <v>2.5</v>
      </c>
      <c r="J155" s="3" t="str">
        <f ca="1"/>
        <v>1 7 10 4 6</v>
      </c>
      <c r="K155" s="3">
        <f ca="1"/>
        <v>15</v>
      </c>
      <c r="L155" s="3" t="str">
        <f ca="1"/>
        <v>2 8</v>
      </c>
      <c r="M155" s="3">
        <f ca="1"/>
        <v>1</v>
      </c>
      <c r="N155" s="3" t="str">
        <f ca="1"/>
        <v>8 2 1</v>
      </c>
      <c r="O155" s="3">
        <f ca="1"/>
        <v>2</v>
      </c>
      <c r="P155" s="3">
        <f ca="1"/>
        <v>5</v>
      </c>
      <c r="Q155" s="3">
        <f ca="1"/>
        <v>0.30952380952380953</v>
      </c>
      <c r="R155" s="3">
        <f ca="1"/>
        <v>0.66666666666666663</v>
      </c>
      <c r="S155" s="3">
        <f ca="1"/>
        <v>2</v>
      </c>
      <c r="T155" s="3">
        <f ca="1"/>
        <v>2</v>
      </c>
      <c r="U155" s="3">
        <f ca="1"/>
        <v>4</v>
      </c>
      <c r="V155" s="3">
        <f ca="1"/>
        <v>4</v>
      </c>
      <c r="W155" s="3">
        <f ca="1"/>
        <v>4</v>
      </c>
      <c r="X155" s="3">
        <f ca="1"/>
        <v>1</v>
      </c>
      <c r="Y155" s="3">
        <f ca="1"/>
        <v>2.5</v>
      </c>
      <c r="Z155" s="3">
        <f ca="1"/>
        <v>0.30681818181818182</v>
      </c>
      <c r="AA155" s="3">
        <f ca="1"/>
        <v>0.5</v>
      </c>
      <c r="AB155" s="3">
        <f ca="1"/>
        <v>3</v>
      </c>
      <c r="AC155" s="3">
        <f ca="1"/>
        <v>5</v>
      </c>
      <c r="AD155" s="3">
        <f ca="1"/>
        <v>1</v>
      </c>
      <c r="AE155" s="3">
        <f ca="1"/>
        <v>5</v>
      </c>
      <c r="AF155" s="3">
        <f ca="1"/>
        <v>4</v>
      </c>
      <c r="AG155" s="3" t="str">
        <f ca="1"/>
        <v>98e3ae17-44d2-4185-87f7-76e22f32453a</v>
      </c>
    </row>
    <row r="156" spans="1:33" ht="14.4" customHeight="1" x14ac:dyDescent="0.3">
      <c r="A156" s="11" t="str">
        <f ca="1"/>
        <v>69aa0e23-81e5-4ef1-80ce-6aa3dc6fa070</v>
      </c>
      <c r="D156" s="3">
        <f ca="1"/>
        <v>152</v>
      </c>
      <c r="E156" s="3">
        <f ca="1"/>
        <v>1</v>
      </c>
      <c r="F156" s="3">
        <f ca="1"/>
        <v>1</v>
      </c>
      <c r="G156" s="3">
        <f ca="1"/>
        <v>1</v>
      </c>
      <c r="H156" s="3">
        <f ca="1"/>
        <v>0</v>
      </c>
      <c r="I156" s="3">
        <f ca="1"/>
        <v>2.5</v>
      </c>
      <c r="J156" s="3" t="str">
        <f ca="1"/>
        <v>1 2 4 7 6</v>
      </c>
      <c r="K156" s="3">
        <f ca="1"/>
        <v>15</v>
      </c>
      <c r="L156" s="3" t="str">
        <f ca="1"/>
        <v>3 2 8</v>
      </c>
      <c r="M156" s="3">
        <f ca="1"/>
        <v>1</v>
      </c>
      <c r="N156" s="3" t="str">
        <f ca="1"/>
        <v>8 1</v>
      </c>
      <c r="O156" s="3">
        <f ca="1"/>
        <v>2</v>
      </c>
      <c r="P156" s="3">
        <f ca="1"/>
        <v>5</v>
      </c>
      <c r="Q156" s="3">
        <f ca="1"/>
        <v>0.21825396825396826</v>
      </c>
      <c r="R156" s="3">
        <f ca="1"/>
        <v>0.66666666666666663</v>
      </c>
      <c r="S156" s="3">
        <f ca="1"/>
        <v>3</v>
      </c>
      <c r="T156" s="3">
        <f ca="1"/>
        <v>4</v>
      </c>
      <c r="U156" s="3">
        <f ca="1"/>
        <v>5</v>
      </c>
      <c r="V156" s="3">
        <f ca="1"/>
        <v>4</v>
      </c>
      <c r="W156" s="3">
        <f ca="1"/>
        <v>4</v>
      </c>
      <c r="X156" s="3">
        <f ca="1"/>
        <v>1</v>
      </c>
      <c r="Y156" s="3">
        <f ca="1"/>
        <v>4</v>
      </c>
      <c r="Z156" s="3">
        <f ca="1"/>
        <v>0.30681818181818182</v>
      </c>
      <c r="AA156" s="3">
        <f ca="1"/>
        <v>0.4375</v>
      </c>
      <c r="AB156" s="3">
        <f ca="1"/>
        <v>3.5</v>
      </c>
      <c r="AC156" s="3">
        <f ca="1"/>
        <v>4</v>
      </c>
      <c r="AD156" s="3">
        <f ca="1"/>
        <v>3</v>
      </c>
      <c r="AE156" s="3">
        <f ca="1"/>
        <v>4</v>
      </c>
      <c r="AF156" s="3">
        <f ca="1"/>
        <v>4</v>
      </c>
      <c r="AG156" s="3" t="str">
        <f ca="1"/>
        <v>69aa0e23-81e5-4ef1-80ce-6aa3dc6fa070</v>
      </c>
    </row>
    <row r="157" spans="1:33" ht="14.4" customHeight="1" x14ac:dyDescent="0.3">
      <c r="A157" s="11" t="str">
        <f ca="1"/>
        <v>cf2e7cac-4a25-4c9e-a4ca-de068887f1e9</v>
      </c>
      <c r="D157" s="3">
        <f ca="1"/>
        <v>153</v>
      </c>
      <c r="E157" s="3">
        <f ca="1"/>
        <v>1</v>
      </c>
      <c r="F157" s="3">
        <f ca="1"/>
        <v>1</v>
      </c>
      <c r="G157" s="3">
        <f ca="1"/>
        <v>1</v>
      </c>
      <c r="H157" s="3">
        <f ca="1"/>
        <v>1</v>
      </c>
      <c r="I157" s="3">
        <f ca="1"/>
        <v>5</v>
      </c>
      <c r="J157" s="3" t="str">
        <f ca="1"/>
        <v>1 7 4 10</v>
      </c>
      <c r="K157" s="3">
        <f ca="1"/>
        <v>10</v>
      </c>
      <c r="L157" s="3" t="str">
        <f ca="1"/>
        <v>8 2 3 1</v>
      </c>
      <c r="M157" s="3">
        <f ca="1"/>
        <v>2</v>
      </c>
      <c r="N157" s="3" t="str">
        <f ca="1"/>
        <v>8 1 3</v>
      </c>
      <c r="O157" s="3">
        <f ca="1"/>
        <v>2</v>
      </c>
      <c r="P157" s="3">
        <f ca="1"/>
        <v>4</v>
      </c>
      <c r="Q157" s="3">
        <f ca="1"/>
        <v>0.36507936507936506</v>
      </c>
      <c r="R157" s="3">
        <f ca="1"/>
        <v>1</v>
      </c>
      <c r="S157" s="3">
        <f ca="1"/>
        <v>3</v>
      </c>
      <c r="T157" s="3">
        <f ca="1"/>
        <v>4</v>
      </c>
      <c r="U157" s="3">
        <f ca="1"/>
        <v>5</v>
      </c>
      <c r="V157" s="3">
        <f ca="1"/>
        <v>3</v>
      </c>
      <c r="W157" s="3">
        <f ca="1"/>
        <v>5</v>
      </c>
      <c r="X157" s="3">
        <f ca="1"/>
        <v>1</v>
      </c>
      <c r="Y157" s="3">
        <f ca="1"/>
        <v>3</v>
      </c>
      <c r="Z157" s="3">
        <f ca="1"/>
        <v>0.26515151515151514</v>
      </c>
      <c r="AA157" s="3">
        <f ca="1"/>
        <v>0.625</v>
      </c>
      <c r="AB157" s="3">
        <f ca="1"/>
        <v>4</v>
      </c>
      <c r="AC157" s="3">
        <f ca="1"/>
        <v>4</v>
      </c>
      <c r="AD157" s="3">
        <f ca="1"/>
        <v>3</v>
      </c>
      <c r="AE157" s="3">
        <f ca="1"/>
        <v>5</v>
      </c>
      <c r="AF157" s="3">
        <f ca="1"/>
        <v>1</v>
      </c>
      <c r="AG157" s="3" t="str">
        <f ca="1"/>
        <v>cf2e7cac-4a25-4c9e-a4ca-de068887f1e9</v>
      </c>
    </row>
    <row r="158" spans="1:33" ht="14.4" customHeight="1" x14ac:dyDescent="0.3">
      <c r="A158" s="11" t="str">
        <f ca="1"/>
        <v>754138ee-e527-422f-a044-5db83f4511ba</v>
      </c>
      <c r="D158" s="3">
        <f ca="1"/>
        <v>154</v>
      </c>
      <c r="E158" s="3">
        <f ca="1"/>
        <v>1</v>
      </c>
      <c r="F158" s="3">
        <f ca="1"/>
        <v>1</v>
      </c>
      <c r="G158" s="3">
        <f ca="1"/>
        <v>1</v>
      </c>
      <c r="H158" s="3">
        <f ca="1"/>
        <v>1</v>
      </c>
      <c r="I158" s="3">
        <f ca="1"/>
        <v>5</v>
      </c>
      <c r="J158" s="3" t="str">
        <f ca="1"/>
        <v>6 4</v>
      </c>
      <c r="K158" s="3">
        <f ca="1"/>
        <v>5</v>
      </c>
      <c r="L158" s="3">
        <f ca="1"/>
        <v>8</v>
      </c>
      <c r="M158" s="3">
        <f ca="1"/>
        <v>0</v>
      </c>
      <c r="N158" s="3">
        <f ca="1"/>
        <v>8</v>
      </c>
      <c r="O158" s="3">
        <f ca="1"/>
        <v>1</v>
      </c>
      <c r="P158" s="3">
        <f ca="1"/>
        <v>1</v>
      </c>
      <c r="Q158" s="3">
        <f ca="1"/>
        <v>0.16269841269841268</v>
      </c>
      <c r="R158" s="3">
        <f ca="1"/>
        <v>0</v>
      </c>
      <c r="S158" s="3">
        <f ca="1"/>
        <v>4</v>
      </c>
      <c r="T158" s="3">
        <f ca="1"/>
        <v>5</v>
      </c>
      <c r="U158" s="3">
        <f ca="1"/>
        <v>4</v>
      </c>
      <c r="V158" s="3">
        <f ca="1"/>
        <v>1</v>
      </c>
      <c r="W158" s="3">
        <f ca="1"/>
        <v>1</v>
      </c>
      <c r="X158" s="3">
        <f ca="1"/>
        <v>1</v>
      </c>
      <c r="Y158" s="3">
        <f ca="1"/>
        <v>2.5</v>
      </c>
      <c r="Z158" s="3">
        <f ca="1"/>
        <v>0.31060606060606061</v>
      </c>
      <c r="AA158" s="3">
        <f ca="1"/>
        <v>0.4375</v>
      </c>
      <c r="AB158" s="3">
        <f ca="1"/>
        <v>1</v>
      </c>
      <c r="AC158" s="3">
        <f ca="1"/>
        <v>3</v>
      </c>
      <c r="AD158" s="3">
        <f ca="1"/>
        <v>4</v>
      </c>
      <c r="AE158" s="3">
        <f ca="1"/>
        <v>3</v>
      </c>
      <c r="AF158" s="3">
        <f ca="1"/>
        <v>1</v>
      </c>
      <c r="AG158" s="3" t="str">
        <f ca="1"/>
        <v>754138ee-e527-422f-a044-5db83f4511ba</v>
      </c>
    </row>
    <row r="159" spans="1:33" ht="14.4" customHeight="1" x14ac:dyDescent="0.3">
      <c r="A159" s="11" t="str">
        <f ca="1"/>
        <v>99af9e41-6b34-4547-98e5-f025f96ad3e8</v>
      </c>
      <c r="D159" s="3">
        <f ca="1"/>
        <v>155</v>
      </c>
      <c r="E159" s="3">
        <f ca="1"/>
        <v>1</v>
      </c>
      <c r="F159" s="3">
        <f ca="1"/>
        <v>0</v>
      </c>
      <c r="G159" s="3">
        <f ca="1"/>
        <v>1</v>
      </c>
      <c r="H159" s="3">
        <f ca="1"/>
        <v>1</v>
      </c>
      <c r="I159" s="3">
        <f ca="1"/>
        <v>2.5</v>
      </c>
      <c r="J159" s="3" t="str">
        <f ca="1"/>
        <v>1 4 6 7 8 10</v>
      </c>
      <c r="K159" s="3">
        <f ca="1"/>
        <v>15</v>
      </c>
      <c r="L159" s="3" t="str">
        <f ca="1"/>
        <v>1 2 3 8 4</v>
      </c>
      <c r="M159" s="3">
        <f ca="1"/>
        <v>2</v>
      </c>
      <c r="N159" s="3" t="str">
        <f ca="1"/>
        <v>1 2 3 8</v>
      </c>
      <c r="O159" s="3">
        <f ca="1"/>
        <v>3</v>
      </c>
      <c r="P159" s="3">
        <f ca="1"/>
        <v>4</v>
      </c>
      <c r="Q159" s="3">
        <f ca="1"/>
        <v>0.40079365079365081</v>
      </c>
      <c r="R159" s="3">
        <f ca="1"/>
        <v>1</v>
      </c>
      <c r="S159" s="3">
        <f ca="1"/>
        <v>2</v>
      </c>
      <c r="T159" s="3">
        <f ca="1"/>
        <v>2</v>
      </c>
      <c r="U159" s="3">
        <f ca="1"/>
        <v>4</v>
      </c>
      <c r="V159" s="3">
        <f ca="1"/>
        <v>4</v>
      </c>
      <c r="W159" s="3">
        <f ca="1"/>
        <v>4</v>
      </c>
      <c r="X159" s="3">
        <f ca="1"/>
        <v>2</v>
      </c>
      <c r="Y159" s="3">
        <f ca="1"/>
        <v>2.5</v>
      </c>
      <c r="Z159" s="3">
        <f ca="1"/>
        <v>0.43560606060606061</v>
      </c>
      <c r="AA159" s="3">
        <f ca="1"/>
        <v>0.5</v>
      </c>
      <c r="AB159" s="3">
        <f ca="1"/>
        <v>3.5</v>
      </c>
      <c r="AC159" s="3">
        <f ca="1"/>
        <v>4</v>
      </c>
      <c r="AD159" s="3">
        <f ca="1"/>
        <v>2</v>
      </c>
      <c r="AE159" s="3">
        <f ca="1"/>
        <v>4</v>
      </c>
      <c r="AF159" s="3">
        <f ca="1"/>
        <v>2</v>
      </c>
      <c r="AG159" s="3" t="str">
        <f ca="1"/>
        <v>99af9e41-6b34-4547-98e5-f025f96ad3e8</v>
      </c>
    </row>
    <row r="160" spans="1:33" ht="14.4" customHeight="1" x14ac:dyDescent="0.3">
      <c r="A160" s="11" t="str">
        <f ca="1"/>
        <v>a5036716-a96f-4f1a-9842-c4fabc6d4d0f</v>
      </c>
      <c r="D160" s="3">
        <f ca="1"/>
        <v>156</v>
      </c>
      <c r="E160" s="3">
        <f ca="1"/>
        <v>1</v>
      </c>
      <c r="F160" s="3">
        <f ca="1"/>
        <v>1</v>
      </c>
      <c r="G160" s="3">
        <f ca="1"/>
        <v>1</v>
      </c>
      <c r="H160" s="3">
        <f ca="1"/>
        <v>1</v>
      </c>
      <c r="I160" s="3">
        <f ca="1"/>
        <v>5</v>
      </c>
      <c r="J160" s="3" t="str">
        <f ca="1"/>
        <v>1 7 6</v>
      </c>
      <c r="K160" s="3">
        <f ca="1"/>
        <v>10</v>
      </c>
      <c r="L160" s="3" t="str">
        <f ca="1"/>
        <v>8 2</v>
      </c>
      <c r="M160" s="3">
        <f ca="1"/>
        <v>1</v>
      </c>
      <c r="N160" s="3" t="str">
        <f ca="1"/>
        <v>8 2</v>
      </c>
      <c r="O160" s="3">
        <f ca="1"/>
        <v>2</v>
      </c>
      <c r="P160" s="3">
        <f ca="1"/>
        <v>5</v>
      </c>
      <c r="Q160" s="3">
        <f ca="1"/>
        <v>0.21825396825396826</v>
      </c>
      <c r="R160" s="3">
        <f ca="1"/>
        <v>1</v>
      </c>
      <c r="S160" s="3">
        <f ca="1"/>
        <v>2</v>
      </c>
      <c r="T160" s="3">
        <f ca="1"/>
        <v>2</v>
      </c>
      <c r="U160" s="3">
        <f ca="1"/>
        <v>5</v>
      </c>
      <c r="V160" s="3">
        <f ca="1"/>
        <v>4</v>
      </c>
      <c r="W160" s="3">
        <f ca="1"/>
        <v>4</v>
      </c>
      <c r="X160" s="3">
        <f ca="1"/>
        <v>1</v>
      </c>
      <c r="Y160" s="3">
        <f ca="1"/>
        <v>4</v>
      </c>
      <c r="Z160" s="3">
        <f ca="1"/>
        <v>0.21969696969696967</v>
      </c>
      <c r="AA160" s="3">
        <f ca="1"/>
        <v>0.4375</v>
      </c>
      <c r="AB160" s="3">
        <f ca="1"/>
        <v>4</v>
      </c>
      <c r="AC160" s="3">
        <f ca="1"/>
        <v>4</v>
      </c>
      <c r="AD160" s="3">
        <f ca="1"/>
        <v>2</v>
      </c>
      <c r="AE160" s="3">
        <f ca="1"/>
        <v>4</v>
      </c>
      <c r="AF160" s="3">
        <f ca="1"/>
        <v>2</v>
      </c>
      <c r="AG160" s="3" t="str">
        <f ca="1"/>
        <v>a5036716-a96f-4f1a-9842-c4fabc6d4d0f</v>
      </c>
    </row>
    <row r="161" spans="1:33" ht="14.4" customHeight="1" x14ac:dyDescent="0.3">
      <c r="A161" s="11" t="str">
        <f ca="1"/>
        <v>3a7adc49-f3f6-4092-a1bc-905f6a292cc8</v>
      </c>
      <c r="D161" s="3">
        <f ca="1"/>
        <v>157</v>
      </c>
      <c r="E161" s="3">
        <f ca="1"/>
        <v>1</v>
      </c>
      <c r="F161" s="3">
        <f ca="1"/>
        <v>1</v>
      </c>
      <c r="G161" s="3">
        <f ca="1"/>
        <v>1</v>
      </c>
      <c r="H161" s="3">
        <f ca="1"/>
        <v>1</v>
      </c>
      <c r="I161" s="3">
        <f ca="1"/>
        <v>5</v>
      </c>
      <c r="J161" s="3" t="str">
        <f ca="1"/>
        <v>1 4 6</v>
      </c>
      <c r="K161" s="3">
        <f ca="1"/>
        <v>10</v>
      </c>
      <c r="L161" s="3" t="str">
        <f ca="1"/>
        <v>8 1</v>
      </c>
      <c r="M161" s="3">
        <f ca="1"/>
        <v>1</v>
      </c>
      <c r="N161" s="3" t="str">
        <f ca="1"/>
        <v>8 1</v>
      </c>
      <c r="O161" s="3">
        <f ca="1"/>
        <v>2</v>
      </c>
      <c r="P161" s="3">
        <f ca="1"/>
        <v>5</v>
      </c>
      <c r="Q161" s="3">
        <f ca="1"/>
        <v>0.25396825396825395</v>
      </c>
      <c r="R161" s="3">
        <f ca="1"/>
        <v>1</v>
      </c>
      <c r="S161" s="3">
        <f ca="1"/>
        <v>2</v>
      </c>
      <c r="T161" s="3">
        <f ca="1"/>
        <v>2</v>
      </c>
      <c r="U161" s="3">
        <f ca="1"/>
        <v>5</v>
      </c>
      <c r="V161" s="3">
        <f ca="1"/>
        <v>4</v>
      </c>
      <c r="W161" s="3">
        <f ca="1"/>
        <v>4</v>
      </c>
      <c r="X161" s="3">
        <f ca="1"/>
        <v>1</v>
      </c>
      <c r="Y161" s="3">
        <f ca="1"/>
        <v>4</v>
      </c>
      <c r="Z161" s="3">
        <f ca="1"/>
        <v>0.21969696969696967</v>
      </c>
      <c r="AA161" s="3">
        <f ca="1"/>
        <v>0.4375</v>
      </c>
      <c r="AB161" s="3">
        <f ca="1"/>
        <v>4</v>
      </c>
      <c r="AC161" s="3">
        <f ca="1"/>
        <v>4</v>
      </c>
      <c r="AD161" s="3">
        <f ca="1"/>
        <v>3</v>
      </c>
      <c r="AE161" s="3">
        <f ca="1"/>
        <v>4</v>
      </c>
      <c r="AF161" s="3">
        <f ca="1"/>
        <v>1</v>
      </c>
      <c r="AG161" s="3" t="str">
        <f ca="1"/>
        <v>3a7adc49-f3f6-4092-a1bc-905f6a292cc8</v>
      </c>
    </row>
    <row r="162" spans="1:33" ht="14.4" customHeight="1" x14ac:dyDescent="0.3">
      <c r="A162" s="11" t="str">
        <f ca="1"/>
        <v>fa1b2f7c-59c4-499a-aed6-a3f8cd09dc59</v>
      </c>
      <c r="D162" s="3">
        <f ca="1"/>
        <v>158</v>
      </c>
      <c r="E162" s="3">
        <f ca="1"/>
        <v>1</v>
      </c>
      <c r="F162" s="3">
        <f ca="1"/>
        <v>1</v>
      </c>
      <c r="G162" s="3">
        <f ca="1"/>
        <v>1</v>
      </c>
      <c r="H162" s="3">
        <f ca="1"/>
        <v>1</v>
      </c>
      <c r="I162" s="3">
        <f ca="1"/>
        <v>5</v>
      </c>
      <c r="J162" s="3" t="str">
        <f ca="1"/>
        <v>1 4 6</v>
      </c>
      <c r="K162" s="3">
        <f ca="1"/>
        <v>10</v>
      </c>
      <c r="L162" s="3">
        <f ca="1"/>
        <v>8</v>
      </c>
      <c r="M162" s="3">
        <f ca="1"/>
        <v>0</v>
      </c>
      <c r="N162" s="3" t="str">
        <f ca="1"/>
        <v>8 1</v>
      </c>
      <c r="O162" s="3">
        <f ca="1"/>
        <v>2</v>
      </c>
      <c r="P162" s="3">
        <f ca="1"/>
        <v>4</v>
      </c>
      <c r="Q162" s="3">
        <f ca="1"/>
        <v>0.25396825396825395</v>
      </c>
      <c r="R162" s="3">
        <f ca="1"/>
        <v>1</v>
      </c>
      <c r="S162" s="3">
        <f ca="1"/>
        <v>1</v>
      </c>
      <c r="T162" s="3">
        <f ca="1"/>
        <v>1</v>
      </c>
      <c r="U162" s="3">
        <f ca="1"/>
        <v>5</v>
      </c>
      <c r="V162" s="3">
        <f ca="1"/>
        <v>4</v>
      </c>
      <c r="W162" s="3">
        <f ca="1"/>
        <v>4</v>
      </c>
      <c r="X162" s="3">
        <f ca="1"/>
        <v>1</v>
      </c>
      <c r="Y162" s="3">
        <f ca="1"/>
        <v>3</v>
      </c>
      <c r="Z162" s="3">
        <f ca="1"/>
        <v>0.31060606060606061</v>
      </c>
      <c r="AA162" s="3">
        <f ca="1"/>
        <v>0.5625</v>
      </c>
      <c r="AB162" s="3">
        <f ca="1"/>
        <v>4</v>
      </c>
      <c r="AC162" s="3">
        <f ca="1"/>
        <v>5</v>
      </c>
      <c r="AD162" s="3">
        <f ca="1"/>
        <v>2</v>
      </c>
      <c r="AE162" s="3">
        <f ca="1"/>
        <v>5</v>
      </c>
      <c r="AF162" s="3">
        <f ca="1"/>
        <v>1</v>
      </c>
      <c r="AG162" s="3" t="str">
        <f ca="1"/>
        <v>fa1b2f7c-59c4-499a-aed6-a3f8cd09dc59</v>
      </c>
    </row>
    <row r="163" spans="1:33" ht="14.4" customHeight="1" x14ac:dyDescent="0.3">
      <c r="A163" s="11" t="str">
        <f ca="1"/>
        <v>2e96f98b-5e16-4087-ab47-c33305fcf0e6</v>
      </c>
      <c r="D163" s="3">
        <f ca="1"/>
        <v>159</v>
      </c>
      <c r="E163" s="3">
        <f ca="1"/>
        <v>1</v>
      </c>
      <c r="F163" s="3">
        <f ca="1"/>
        <v>1</v>
      </c>
      <c r="G163" s="3">
        <f ca="1"/>
        <v>1</v>
      </c>
      <c r="H163" s="3">
        <f ca="1"/>
        <v>1</v>
      </c>
      <c r="I163" s="3">
        <f ca="1"/>
        <v>5</v>
      </c>
      <c r="J163" s="3" t="str">
        <f ca="1"/>
        <v>7 1</v>
      </c>
      <c r="K163" s="3">
        <f ca="1"/>
        <v>5</v>
      </c>
      <c r="L163" s="3">
        <f ca="1"/>
        <v>8</v>
      </c>
      <c r="M163" s="3">
        <f ca="1"/>
        <v>0</v>
      </c>
      <c r="N163" s="3">
        <f ca="1"/>
        <v>8</v>
      </c>
      <c r="O163" s="3">
        <f ca="1"/>
        <v>1</v>
      </c>
      <c r="P163" s="3">
        <f ca="1"/>
        <v>2</v>
      </c>
      <c r="Q163" s="3">
        <f ca="1"/>
        <v>0.21825396825396826</v>
      </c>
      <c r="R163" s="3">
        <f ca="1"/>
        <v>1</v>
      </c>
      <c r="S163" s="3">
        <f ca="1"/>
        <v>1</v>
      </c>
      <c r="T163" s="3">
        <f ca="1"/>
        <v>1</v>
      </c>
      <c r="U163" s="3">
        <f ca="1"/>
        <v>4</v>
      </c>
      <c r="V163" s="3">
        <f ca="1"/>
        <v>5</v>
      </c>
      <c r="W163" s="3">
        <f ca="1"/>
        <v>5</v>
      </c>
      <c r="X163" s="3">
        <f ca="1"/>
        <v>1</v>
      </c>
      <c r="Y163" s="3">
        <f ca="1"/>
        <v>4</v>
      </c>
      <c r="Z163" s="3">
        <f ca="1"/>
        <v>0.26136363636363635</v>
      </c>
      <c r="AA163" s="3">
        <f ca="1"/>
        <v>0.5625</v>
      </c>
      <c r="AB163" s="3">
        <f ca="1"/>
        <v>4</v>
      </c>
      <c r="AC163" s="3">
        <f ca="1"/>
        <v>5</v>
      </c>
      <c r="AD163" s="3">
        <f ca="1"/>
        <v>2</v>
      </c>
      <c r="AE163" s="3">
        <f ca="1"/>
        <v>4</v>
      </c>
      <c r="AF163" s="3">
        <f ca="1"/>
        <v>2</v>
      </c>
      <c r="AG163" s="3" t="str">
        <f ca="1"/>
        <v>2e96f98b-5e16-4087-ab47-c33305fcf0e6</v>
      </c>
    </row>
    <row r="164" spans="1:33" ht="14.4" customHeight="1" x14ac:dyDescent="0.3">
      <c r="A164" s="11" t="str">
        <f ca="1"/>
        <v>8f2e59a4-0050-4c8c-b77d-d9a7a1c04bc9</v>
      </c>
      <c r="D164" s="3">
        <f ca="1"/>
        <v>160</v>
      </c>
      <c r="E164" s="3">
        <f ca="1"/>
        <v>1</v>
      </c>
      <c r="F164" s="3">
        <f ca="1"/>
        <v>1</v>
      </c>
      <c r="G164" s="3">
        <f ca="1"/>
        <v>1</v>
      </c>
      <c r="H164" s="3">
        <f ca="1"/>
        <v>1</v>
      </c>
      <c r="I164" s="3">
        <f ca="1"/>
        <v>5</v>
      </c>
      <c r="J164" s="3" t="str">
        <f ca="1"/>
        <v>1 6</v>
      </c>
      <c r="K164" s="3">
        <f ca="1"/>
        <v>5</v>
      </c>
      <c r="L164" s="3" t="str">
        <f ca="1"/>
        <v>1 8</v>
      </c>
      <c r="M164" s="3">
        <f ca="1"/>
        <v>1</v>
      </c>
      <c r="N164" s="3" t="str">
        <f ca="1"/>
        <v>1 8</v>
      </c>
      <c r="O164" s="3">
        <f ca="1"/>
        <v>2</v>
      </c>
      <c r="P164" s="3">
        <f ca="1"/>
        <v>5</v>
      </c>
      <c r="Q164" s="3">
        <f ca="1"/>
        <v>0.25396825396825395</v>
      </c>
      <c r="R164" s="3">
        <f ca="1"/>
        <v>1</v>
      </c>
      <c r="S164" s="3">
        <f ca="1"/>
        <v>1</v>
      </c>
      <c r="T164" s="3">
        <f ca="1"/>
        <v>2</v>
      </c>
      <c r="U164" s="3">
        <f ca="1"/>
        <v>4</v>
      </c>
      <c r="V164" s="3">
        <f ca="1"/>
        <v>4</v>
      </c>
      <c r="W164" s="3">
        <f ca="1"/>
        <v>4</v>
      </c>
      <c r="X164" s="3">
        <f ca="1"/>
        <v>1</v>
      </c>
      <c r="Y164" s="3">
        <f ca="1"/>
        <v>4</v>
      </c>
      <c r="Z164" s="3">
        <f ca="1"/>
        <v>0.30681818181818182</v>
      </c>
      <c r="AA164" s="3">
        <f ca="1"/>
        <v>0.4375</v>
      </c>
      <c r="AB164" s="3">
        <f ca="1"/>
        <v>4</v>
      </c>
      <c r="AC164" s="3">
        <f ca="1"/>
        <v>4</v>
      </c>
      <c r="AD164" s="3">
        <f ca="1"/>
        <v>2</v>
      </c>
      <c r="AE164" s="3">
        <f ca="1"/>
        <v>4</v>
      </c>
      <c r="AF164" s="3">
        <f ca="1"/>
        <v>4</v>
      </c>
      <c r="AG164" s="3" t="str">
        <f ca="1"/>
        <v>8f2e59a4-0050-4c8c-b77d-d9a7a1c04bc9</v>
      </c>
    </row>
    <row r="165" spans="1:33" ht="14.4" customHeight="1" x14ac:dyDescent="0.3">
      <c r="A165" s="11" t="str">
        <f ca="1"/>
        <v>030f7089-73cb-4b3a-b24c-58b6f0f6549c</v>
      </c>
      <c r="D165" s="3">
        <f ca="1"/>
        <v>161</v>
      </c>
      <c r="E165" s="3">
        <f ca="1"/>
        <v>1</v>
      </c>
      <c r="F165" s="3">
        <f ca="1"/>
        <v>1</v>
      </c>
      <c r="G165" s="3">
        <f ca="1"/>
        <v>1</v>
      </c>
      <c r="H165" s="3">
        <f ca="1"/>
        <v>1</v>
      </c>
      <c r="I165" s="3">
        <f ca="1"/>
        <v>5</v>
      </c>
      <c r="J165" s="3" t="str">
        <f ca="1"/>
        <v>6 1 4</v>
      </c>
      <c r="K165" s="3">
        <f ca="1"/>
        <v>10</v>
      </c>
      <c r="L165" s="3">
        <f ca="1"/>
        <v>8</v>
      </c>
      <c r="M165" s="3">
        <f ca="1"/>
        <v>0</v>
      </c>
      <c r="N165" s="3">
        <f ca="1"/>
        <v>8</v>
      </c>
      <c r="O165" s="3">
        <f ca="1"/>
        <v>1</v>
      </c>
      <c r="P165" s="3">
        <f ca="1"/>
        <v>5</v>
      </c>
      <c r="Q165" s="3">
        <f ca="1"/>
        <v>0.18253968253968253</v>
      </c>
      <c r="R165" s="3">
        <f ca="1"/>
        <v>1</v>
      </c>
      <c r="S165" s="3">
        <f ca="1"/>
        <v>2</v>
      </c>
      <c r="T165" s="3">
        <f ca="1"/>
        <v>5</v>
      </c>
      <c r="U165" s="3">
        <f ca="1"/>
        <v>3</v>
      </c>
      <c r="V165" s="3">
        <f ca="1"/>
        <v>2</v>
      </c>
      <c r="W165" s="3">
        <f ca="1"/>
        <v>4</v>
      </c>
      <c r="X165" s="3">
        <f ca="1"/>
        <v>1</v>
      </c>
      <c r="Y165" s="3">
        <f ca="1"/>
        <v>3</v>
      </c>
      <c r="Z165" s="3">
        <f ca="1"/>
        <v>0.12878787878787878</v>
      </c>
      <c r="AA165" s="3">
        <f ca="1"/>
        <v>0.5625</v>
      </c>
      <c r="AB165" s="3">
        <f ca="1"/>
        <v>4</v>
      </c>
      <c r="AC165" s="3">
        <f ca="1"/>
        <v>5</v>
      </c>
      <c r="AD165" s="3">
        <f ca="1"/>
        <v>4</v>
      </c>
      <c r="AE165" s="3">
        <f ca="1"/>
        <v>2</v>
      </c>
      <c r="AF165" s="3">
        <f ca="1"/>
        <v>4</v>
      </c>
      <c r="AG165" s="3" t="str">
        <f ca="1"/>
        <v>030f7089-73cb-4b3a-b24c-58b6f0f6549c</v>
      </c>
    </row>
    <row r="166" spans="1:33" ht="14.4" customHeight="1" x14ac:dyDescent="0.3">
      <c r="A166" s="11" t="str">
        <f ca="1"/>
        <v>c9680507-bec6-41e4-a4be-c0bb0d9cdc03</v>
      </c>
      <c r="D166" s="3">
        <f ca="1"/>
        <v>162</v>
      </c>
      <c r="E166" s="3">
        <f ca="1"/>
        <v>1</v>
      </c>
      <c r="F166" s="3">
        <f ca="1"/>
        <v>1</v>
      </c>
      <c r="G166" s="3">
        <f ca="1"/>
        <v>1</v>
      </c>
      <c r="H166" s="3">
        <f ca="1"/>
        <v>1</v>
      </c>
      <c r="I166" s="3">
        <f ca="1"/>
        <v>5</v>
      </c>
      <c r="J166" s="3" t="str">
        <f ca="1"/>
        <v>1 4 7 10</v>
      </c>
      <c r="K166" s="3">
        <f ca="1"/>
        <v>10</v>
      </c>
      <c r="L166" s="3" t="str">
        <f ca="1"/>
        <v>1 3 8 5</v>
      </c>
      <c r="M166" s="3">
        <f ca="1"/>
        <v>2</v>
      </c>
      <c r="N166" s="3" t="str">
        <f ca="1"/>
        <v>1 3 8 5</v>
      </c>
      <c r="O166" s="3">
        <f ca="1"/>
        <v>3</v>
      </c>
      <c r="P166" s="3">
        <f ca="1"/>
        <v>4</v>
      </c>
      <c r="Q166" s="3">
        <f ca="1"/>
        <v>0.25</v>
      </c>
      <c r="R166" s="3">
        <f ca="1"/>
        <v>1</v>
      </c>
      <c r="S166" s="3">
        <f ca="1"/>
        <v>2</v>
      </c>
      <c r="T166" s="3">
        <f ca="1"/>
        <v>2</v>
      </c>
      <c r="U166" s="3">
        <f ca="1"/>
        <v>4</v>
      </c>
      <c r="V166" s="3">
        <f ca="1"/>
        <v>3.5</v>
      </c>
      <c r="W166" s="3">
        <f ca="1"/>
        <v>4</v>
      </c>
      <c r="X166" s="3">
        <f ca="1"/>
        <v>4</v>
      </c>
      <c r="Y166" s="3">
        <f ca="1"/>
        <v>4</v>
      </c>
      <c r="Z166" s="3">
        <f ca="1"/>
        <v>0.43560606060606061</v>
      </c>
      <c r="AA166" s="3">
        <f ca="1"/>
        <v>0.5625</v>
      </c>
      <c r="AB166" s="3">
        <f ca="1"/>
        <v>4</v>
      </c>
      <c r="AC166" s="3">
        <f ca="1"/>
        <v>4</v>
      </c>
      <c r="AD166" s="3">
        <f ca="1"/>
        <v>1</v>
      </c>
      <c r="AE166" s="3">
        <f ca="1"/>
        <v>4</v>
      </c>
      <c r="AF166" s="3">
        <f ca="1"/>
        <v>4</v>
      </c>
      <c r="AG166" s="3" t="str">
        <f ca="1"/>
        <v>c9680507-bec6-41e4-a4be-c0bb0d9cdc03</v>
      </c>
    </row>
    <row r="167" spans="1:33" ht="14.4" customHeight="1" x14ac:dyDescent="0.3">
      <c r="A167" s="11" t="str">
        <f ca="1"/>
        <v>f16dc048-cb43-44b8-abc7-3cf1d7fd9876</v>
      </c>
      <c r="D167" s="3">
        <f ca="1"/>
        <v>163</v>
      </c>
      <c r="E167" s="3">
        <f ca="1"/>
        <v>1</v>
      </c>
      <c r="F167" s="3">
        <f ca="1"/>
        <v>1</v>
      </c>
      <c r="G167" s="3">
        <f ca="1"/>
        <v>1</v>
      </c>
      <c r="H167" s="3">
        <f ca="1"/>
        <v>1</v>
      </c>
      <c r="I167" s="3">
        <f ca="1"/>
        <v>5</v>
      </c>
      <c r="J167" s="3" t="str">
        <f ca="1"/>
        <v>1 4 6 7 9 8 10</v>
      </c>
      <c r="K167" s="3">
        <f ca="1"/>
        <v>20</v>
      </c>
      <c r="L167" s="3" t="str">
        <f ca="1"/>
        <v>1 2 3 5 7 8</v>
      </c>
      <c r="M167" s="3">
        <f ca="1"/>
        <v>3</v>
      </c>
      <c r="N167" s="3" t="str">
        <f ca="1"/>
        <v>1 2 3 5 8 7 4</v>
      </c>
      <c r="O167" s="3">
        <f ca="1"/>
        <v>4</v>
      </c>
      <c r="P167" s="3">
        <f ca="1"/>
        <v>4</v>
      </c>
      <c r="Q167" s="3">
        <f ca="1"/>
        <v>0.42857142857142855</v>
      </c>
      <c r="R167" s="3">
        <f ca="1"/>
        <v>1</v>
      </c>
      <c r="S167" s="3">
        <f ca="1"/>
        <v>1</v>
      </c>
      <c r="T167" s="3">
        <f ca="1"/>
        <v>1</v>
      </c>
      <c r="U167" s="3">
        <f ca="1"/>
        <v>4</v>
      </c>
      <c r="V167" s="3">
        <f ca="1"/>
        <v>4.5</v>
      </c>
      <c r="W167" s="3">
        <f ca="1"/>
        <v>4</v>
      </c>
      <c r="X167" s="3">
        <f ca="1"/>
        <v>4</v>
      </c>
      <c r="Y167" s="3">
        <f ca="1"/>
        <v>3.5</v>
      </c>
      <c r="Z167" s="3">
        <f ca="1"/>
        <v>0.52651515151515149</v>
      </c>
      <c r="AA167" s="3">
        <f ca="1"/>
        <v>0.5625</v>
      </c>
      <c r="AB167" s="3">
        <f ca="1"/>
        <v>3.5</v>
      </c>
      <c r="AC167" s="3">
        <f ca="1"/>
        <v>5</v>
      </c>
      <c r="AD167" s="3">
        <f ca="1"/>
        <v>1</v>
      </c>
      <c r="AE167" s="3">
        <f ca="1"/>
        <v>4</v>
      </c>
      <c r="AF167" s="3">
        <f ca="1"/>
        <v>4</v>
      </c>
      <c r="AG167" s="3" t="str">
        <f ca="1"/>
        <v>f16dc048-cb43-44b8-abc7-3cf1d7fd9876</v>
      </c>
    </row>
    <row r="168" spans="1:33" ht="14.4" customHeight="1" x14ac:dyDescent="0.3">
      <c r="A168" s="11" t="str">
        <f ca="1"/>
        <v>8da1da87-ea79-4772-bbd0-ea8800578395</v>
      </c>
      <c r="D168" s="3">
        <f ca="1"/>
        <v>164</v>
      </c>
      <c r="E168" s="3">
        <f ca="1"/>
        <v>1</v>
      </c>
      <c r="F168" s="3">
        <f ca="1"/>
        <v>1</v>
      </c>
      <c r="G168" s="3">
        <f ca="1"/>
        <v>1</v>
      </c>
      <c r="H168" s="3">
        <f ca="1"/>
        <v>1</v>
      </c>
      <c r="I168" s="3">
        <f ca="1"/>
        <v>5</v>
      </c>
      <c r="J168" s="3" t="str">
        <f ca="1"/>
        <v>1 4 6 7 8 9 10</v>
      </c>
      <c r="K168" s="3">
        <f ca="1"/>
        <v>20</v>
      </c>
      <c r="L168" s="3" t="str">
        <f ca="1"/>
        <v>1 3 5 4 8 2</v>
      </c>
      <c r="M168" s="3">
        <f ca="1"/>
        <v>3</v>
      </c>
      <c r="N168" s="3" t="str">
        <f ca="1"/>
        <v>2 1 3 4 5 8</v>
      </c>
      <c r="O168" s="3">
        <f ca="1"/>
        <v>4</v>
      </c>
      <c r="P168" s="3">
        <f ca="1"/>
        <v>4</v>
      </c>
      <c r="Q168" s="3">
        <f ca="1"/>
        <v>0.39285714285714285</v>
      </c>
      <c r="R168" s="3">
        <f ca="1"/>
        <v>1</v>
      </c>
      <c r="S168" s="3">
        <f ca="1"/>
        <v>1</v>
      </c>
      <c r="T168" s="3">
        <f ca="1"/>
        <v>1</v>
      </c>
      <c r="U168" s="3">
        <f ca="1"/>
        <v>4</v>
      </c>
      <c r="V168" s="3">
        <f ca="1"/>
        <v>3.5</v>
      </c>
      <c r="W168" s="3">
        <f ca="1"/>
        <v>4</v>
      </c>
      <c r="X168" s="3">
        <f ca="1"/>
        <v>4</v>
      </c>
      <c r="Y168" s="3">
        <f ca="1"/>
        <v>4</v>
      </c>
      <c r="Z168" s="3">
        <f ca="1"/>
        <v>0.57196969696969702</v>
      </c>
      <c r="AA168" s="3">
        <f ca="1"/>
        <v>0.5625</v>
      </c>
      <c r="AB168" s="3">
        <f ca="1"/>
        <v>3.5</v>
      </c>
      <c r="AC168" s="3">
        <f ca="1"/>
        <v>5</v>
      </c>
      <c r="AD168" s="3">
        <f ca="1"/>
        <v>1</v>
      </c>
      <c r="AE168" s="3">
        <f ca="1"/>
        <v>4</v>
      </c>
      <c r="AF168" s="3">
        <f ca="1"/>
        <v>4</v>
      </c>
      <c r="AG168" s="3" t="str">
        <f ca="1"/>
        <v>8da1da87-ea79-4772-bbd0-ea8800578395</v>
      </c>
    </row>
    <row r="169" spans="1:33" ht="14.4" customHeight="1" x14ac:dyDescent="0.3">
      <c r="A169" s="11" t="str">
        <f ca="1"/>
        <v>d01ed6b8-a574-4079-9d8c-2bafd76d3221</v>
      </c>
      <c r="D169" s="3">
        <f ca="1"/>
        <v>165</v>
      </c>
      <c r="E169" s="3">
        <f ca="1"/>
        <v>1</v>
      </c>
      <c r="F169" s="3">
        <f ca="1"/>
        <v>1</v>
      </c>
      <c r="G169" s="3">
        <f ca="1"/>
        <v>1</v>
      </c>
      <c r="H169" s="3">
        <f ca="1"/>
        <v>1</v>
      </c>
      <c r="I169" s="3">
        <f ca="1"/>
        <v>5</v>
      </c>
      <c r="J169" s="3" t="str">
        <f ca="1"/>
        <v>1 4 7</v>
      </c>
      <c r="K169" s="3">
        <f ca="1"/>
        <v>10</v>
      </c>
      <c r="L169" s="3" t="str">
        <f ca="1"/>
        <v>1 3 7</v>
      </c>
      <c r="M169" s="3">
        <f ca="1"/>
        <v>1</v>
      </c>
      <c r="N169" s="3" t="str">
        <f ca="1"/>
        <v>1 2 8</v>
      </c>
      <c r="O169" s="3">
        <f ca="1"/>
        <v>2</v>
      </c>
      <c r="P169" s="3">
        <f ca="1"/>
        <v>4</v>
      </c>
      <c r="Q169" s="3">
        <f ca="1"/>
        <v>0.3214285714285714</v>
      </c>
      <c r="R169" s="3">
        <f ca="1"/>
        <v>1</v>
      </c>
      <c r="S169" s="3">
        <f ca="1"/>
        <v>1</v>
      </c>
      <c r="T169" s="3">
        <f ca="1"/>
        <v>1</v>
      </c>
      <c r="U169" s="3">
        <f ca="1"/>
        <v>4</v>
      </c>
      <c r="V169" s="3">
        <f ca="1"/>
        <v>3.5</v>
      </c>
      <c r="W169" s="3">
        <f ca="1"/>
        <v>4</v>
      </c>
      <c r="X169" s="3">
        <f ca="1"/>
        <v>5</v>
      </c>
      <c r="Y169" s="3">
        <f ca="1"/>
        <v>4.5</v>
      </c>
      <c r="Z169" s="3">
        <f ca="1"/>
        <v>0.39393939393939392</v>
      </c>
      <c r="AA169" s="3">
        <f ca="1"/>
        <v>0.75</v>
      </c>
      <c r="AB169" s="3">
        <f ca="1"/>
        <v>4</v>
      </c>
      <c r="AC169" s="3">
        <f ca="1"/>
        <v>5</v>
      </c>
      <c r="AD169" s="3">
        <f ca="1"/>
        <v>1</v>
      </c>
      <c r="AE169" s="3">
        <f ca="1"/>
        <v>4</v>
      </c>
      <c r="AF169" s="3">
        <f ca="1"/>
        <v>4</v>
      </c>
      <c r="AG169" s="3" t="str">
        <f ca="1"/>
        <v>d01ed6b8-a574-4079-9d8c-2bafd76d3221</v>
      </c>
    </row>
    <row r="170" spans="1:33" ht="14.4" customHeight="1" x14ac:dyDescent="0.3">
      <c r="A170" s="11" t="str">
        <f ca="1"/>
        <v>8c19fa5b-d7c3-47e9-8f07-8a2147284347</v>
      </c>
      <c r="D170" s="3">
        <f ca="1"/>
        <v>166</v>
      </c>
      <c r="E170" s="3">
        <f ca="1"/>
        <v>1</v>
      </c>
      <c r="F170" s="3">
        <f ca="1"/>
        <v>1</v>
      </c>
      <c r="G170" s="3">
        <f ca="1"/>
        <v>1</v>
      </c>
      <c r="H170" s="3">
        <f ca="1"/>
        <v>1</v>
      </c>
      <c r="I170" s="3">
        <f ca="1"/>
        <v>5</v>
      </c>
      <c r="J170" s="3" t="str">
        <f ca="1"/>
        <v>1 4 7 10</v>
      </c>
      <c r="K170" s="3">
        <f ca="1"/>
        <v>10</v>
      </c>
      <c r="L170" s="3" t="str">
        <f ca="1"/>
        <v>1 2 3 5 8 4</v>
      </c>
      <c r="M170" s="3">
        <f ca="1"/>
        <v>3</v>
      </c>
      <c r="N170" s="3" t="str">
        <f ca="1"/>
        <v>1 3 5 4 8</v>
      </c>
      <c r="O170" s="3">
        <f ca="1"/>
        <v>3</v>
      </c>
      <c r="P170" s="3">
        <f ca="1"/>
        <v>4</v>
      </c>
      <c r="Q170" s="3">
        <f ca="1"/>
        <v>0.3214285714285714</v>
      </c>
      <c r="R170" s="3">
        <f ca="1"/>
        <v>1</v>
      </c>
      <c r="S170" s="3">
        <f ca="1"/>
        <v>1</v>
      </c>
      <c r="T170" s="3">
        <f ca="1"/>
        <v>2</v>
      </c>
      <c r="U170" s="3">
        <f ca="1"/>
        <v>4</v>
      </c>
      <c r="V170" s="3">
        <f ca="1"/>
        <v>4</v>
      </c>
      <c r="W170" s="3">
        <f ca="1"/>
        <v>4</v>
      </c>
      <c r="X170" s="3">
        <f ca="1"/>
        <v>4</v>
      </c>
      <c r="Y170" s="3">
        <f ca="1"/>
        <v>4.5</v>
      </c>
      <c r="Z170" s="3">
        <f ca="1"/>
        <v>0.48106060606060608</v>
      </c>
      <c r="AA170" s="3">
        <f ca="1"/>
        <v>0.6875</v>
      </c>
      <c r="AB170" s="3">
        <f ca="1"/>
        <v>4.5</v>
      </c>
      <c r="AC170" s="3">
        <f ca="1"/>
        <v>4</v>
      </c>
      <c r="AD170" s="3">
        <f ca="1"/>
        <v>1</v>
      </c>
      <c r="AE170" s="3">
        <f ca="1"/>
        <v>5</v>
      </c>
      <c r="AF170" s="3">
        <f ca="1"/>
        <v>4</v>
      </c>
      <c r="AG170" s="3" t="str">
        <f ca="1"/>
        <v>8c19fa5b-d7c3-47e9-8f07-8a2147284347</v>
      </c>
    </row>
    <row r="171" spans="1:33" ht="14.4" customHeight="1" x14ac:dyDescent="0.3">
      <c r="A171" s="11" t="str">
        <f ca="1"/>
        <v>6fe703a3-05a0-4e6a-ba7c-c5f4a55a5425</v>
      </c>
      <c r="D171" s="3">
        <f ca="1"/>
        <v>167</v>
      </c>
      <c r="E171" s="3">
        <f ca="1"/>
        <v>1</v>
      </c>
      <c r="F171" s="3">
        <f ca="1"/>
        <v>1</v>
      </c>
      <c r="G171" s="3">
        <f ca="1"/>
        <v>1</v>
      </c>
      <c r="H171" s="3">
        <f ca="1"/>
        <v>1</v>
      </c>
      <c r="I171" s="3">
        <f ca="1"/>
        <v>5</v>
      </c>
      <c r="J171" s="3" t="str">
        <f ca="1"/>
        <v>1 4 7 10 6</v>
      </c>
      <c r="K171" s="3">
        <f ca="1"/>
        <v>15</v>
      </c>
      <c r="L171" s="3" t="str">
        <f ca="1"/>
        <v>1 3 5 8</v>
      </c>
      <c r="M171" s="3">
        <f ca="1"/>
        <v>2</v>
      </c>
      <c r="N171" s="3" t="str">
        <f ca="1"/>
        <v>1 3 5 8</v>
      </c>
      <c r="O171" s="3">
        <f ca="1"/>
        <v>3</v>
      </c>
      <c r="P171" s="3">
        <f ca="1"/>
        <v>4</v>
      </c>
      <c r="Q171" s="3">
        <f ca="1"/>
        <v>0.3571428571428571</v>
      </c>
      <c r="R171" s="3">
        <f ca="1"/>
        <v>1</v>
      </c>
      <c r="S171" s="3">
        <f ca="1"/>
        <v>1</v>
      </c>
      <c r="T171" s="3">
        <f ca="1"/>
        <v>1</v>
      </c>
      <c r="U171" s="3">
        <f ca="1"/>
        <v>4</v>
      </c>
      <c r="V171" s="3">
        <f ca="1"/>
        <v>4</v>
      </c>
      <c r="W171" s="3">
        <f ca="1"/>
        <v>4</v>
      </c>
      <c r="X171" s="3">
        <f ca="1"/>
        <v>4</v>
      </c>
      <c r="Y171" s="3">
        <f ca="1"/>
        <v>4</v>
      </c>
      <c r="Z171" s="3">
        <f ca="1"/>
        <v>0.43560606060606061</v>
      </c>
      <c r="AA171" s="3">
        <f ca="1"/>
        <v>0.6875</v>
      </c>
      <c r="AB171" s="3">
        <f ca="1"/>
        <v>4.5</v>
      </c>
      <c r="AC171" s="3">
        <f ca="1"/>
        <v>4</v>
      </c>
      <c r="AD171" s="3">
        <f ca="1"/>
        <v>1</v>
      </c>
      <c r="AE171" s="3">
        <f ca="1"/>
        <v>4</v>
      </c>
      <c r="AF171" s="3">
        <f ca="1"/>
        <v>4</v>
      </c>
      <c r="AG171" s="3" t="str">
        <f ca="1"/>
        <v>6fe703a3-05a0-4e6a-ba7c-c5f4a55a5425</v>
      </c>
    </row>
    <row r="172" spans="1:33" ht="14.4" customHeight="1" x14ac:dyDescent="0.3">
      <c r="A172" s="11" t="str">
        <f ca="1"/>
        <v>6bf1a07d-e084-4f8a-8db7-c2fc190efb6d</v>
      </c>
      <c r="D172" s="3">
        <f ca="1"/>
        <v>168</v>
      </c>
      <c r="E172" s="3">
        <f ca="1"/>
        <v>1</v>
      </c>
      <c r="F172" s="3">
        <f ca="1"/>
        <v>1</v>
      </c>
      <c r="G172" s="3">
        <f ca="1"/>
        <v>1</v>
      </c>
      <c r="H172" s="3">
        <f ca="1"/>
        <v>1</v>
      </c>
      <c r="I172" s="3">
        <f ca="1"/>
        <v>5</v>
      </c>
      <c r="J172" s="3" t="str">
        <f ca="1"/>
        <v>1 2 4 7</v>
      </c>
      <c r="K172" s="3">
        <f ca="1"/>
        <v>10</v>
      </c>
      <c r="L172" s="3" t="str">
        <f ca="1"/>
        <v>1 3 5 8</v>
      </c>
      <c r="M172" s="3">
        <f ca="1"/>
        <v>2</v>
      </c>
      <c r="N172" s="3" t="str">
        <f ca="1"/>
        <v>1 3 5 8</v>
      </c>
      <c r="O172" s="3">
        <f ca="1"/>
        <v>3</v>
      </c>
      <c r="P172" s="3">
        <f ca="1"/>
        <v>4</v>
      </c>
      <c r="Q172" s="3">
        <f ca="1"/>
        <v>0.2857142857142857</v>
      </c>
      <c r="R172" s="3">
        <f ca="1"/>
        <v>1</v>
      </c>
      <c r="S172" s="3">
        <f ca="1"/>
        <v>1</v>
      </c>
      <c r="T172" s="3">
        <f ca="1"/>
        <v>1</v>
      </c>
      <c r="U172" s="3">
        <f ca="1"/>
        <v>4</v>
      </c>
      <c r="V172" s="3">
        <f ca="1"/>
        <v>3.5</v>
      </c>
      <c r="W172" s="3">
        <f ca="1"/>
        <v>4</v>
      </c>
      <c r="X172" s="3">
        <f ca="1"/>
        <v>4</v>
      </c>
      <c r="Y172" s="3">
        <f ca="1"/>
        <v>4</v>
      </c>
      <c r="Z172" s="3">
        <f ca="1"/>
        <v>0.43560606060606061</v>
      </c>
      <c r="AA172" s="3">
        <f ca="1"/>
        <v>0.6875</v>
      </c>
      <c r="AB172" s="3">
        <f ca="1"/>
        <v>4.5</v>
      </c>
      <c r="AC172" s="3">
        <f ca="1"/>
        <v>4</v>
      </c>
      <c r="AD172" s="3">
        <f ca="1"/>
        <v>1</v>
      </c>
      <c r="AE172" s="3">
        <f ca="1"/>
        <v>4</v>
      </c>
      <c r="AF172" s="3">
        <f ca="1"/>
        <v>4</v>
      </c>
      <c r="AG172" s="3" t="str">
        <f ca="1"/>
        <v>6bf1a07d-e084-4f8a-8db7-c2fc190efb6d</v>
      </c>
    </row>
    <row r="173" spans="1:33" ht="14.4" customHeight="1" x14ac:dyDescent="0.3">
      <c r="A173" s="11" t="str">
        <f ca="1"/>
        <v>01a2a745-1544-422d-af68-c7e2913ac5ba</v>
      </c>
      <c r="D173" s="3">
        <f ca="1"/>
        <v>169</v>
      </c>
      <c r="E173" s="3">
        <f ca="1"/>
        <v>1</v>
      </c>
      <c r="F173" s="3">
        <f ca="1"/>
        <v>1</v>
      </c>
      <c r="G173" s="3">
        <f ca="1"/>
        <v>1</v>
      </c>
      <c r="H173" s="3">
        <f ca="1"/>
        <v>1</v>
      </c>
      <c r="I173" s="3">
        <f ca="1"/>
        <v>5</v>
      </c>
      <c r="J173" s="3" t="str">
        <f ca="1"/>
        <v>1 4 7 10 6</v>
      </c>
      <c r="K173" s="3">
        <f ca="1"/>
        <v>15</v>
      </c>
      <c r="L173" s="3" t="str">
        <f ca="1"/>
        <v>1 3 5 8 2</v>
      </c>
      <c r="M173" s="3">
        <f ca="1"/>
        <v>2</v>
      </c>
      <c r="N173" s="3" t="str">
        <f ca="1"/>
        <v>1 3 5 8</v>
      </c>
      <c r="O173" s="3">
        <f ca="1"/>
        <v>3</v>
      </c>
      <c r="P173" s="3">
        <f ca="1"/>
        <v>4</v>
      </c>
      <c r="Q173" s="3">
        <f ca="1"/>
        <v>0.2857142857142857</v>
      </c>
      <c r="R173" s="3">
        <f ca="1"/>
        <v>1</v>
      </c>
      <c r="S173" s="3">
        <f ca="1"/>
        <v>1</v>
      </c>
      <c r="T173" s="3">
        <f ca="1"/>
        <v>1</v>
      </c>
      <c r="U173" s="3">
        <f ca="1"/>
        <v>4</v>
      </c>
      <c r="V173" s="3">
        <f ca="1"/>
        <v>4</v>
      </c>
      <c r="W173" s="3">
        <f ca="1"/>
        <v>4</v>
      </c>
      <c r="X173" s="3">
        <f ca="1"/>
        <v>4</v>
      </c>
      <c r="Y173" s="3">
        <f ca="1"/>
        <v>4</v>
      </c>
      <c r="Z173" s="3">
        <f ca="1"/>
        <v>0.43560606060606061</v>
      </c>
      <c r="AA173" s="3">
        <f ca="1"/>
        <v>0.6875</v>
      </c>
      <c r="AB173" s="3">
        <f ca="1"/>
        <v>4.5</v>
      </c>
      <c r="AC173" s="3">
        <f ca="1"/>
        <v>4</v>
      </c>
      <c r="AD173" s="3">
        <f ca="1"/>
        <v>1</v>
      </c>
      <c r="AE173" s="3">
        <f ca="1"/>
        <v>4</v>
      </c>
      <c r="AF173" s="3">
        <f ca="1"/>
        <v>4</v>
      </c>
      <c r="AG173" s="3" t="str">
        <f ca="1"/>
        <v>01a2a745-1544-422d-af68-c7e2913ac5ba</v>
      </c>
    </row>
    <row r="174" spans="1:33" ht="14.4" customHeight="1" x14ac:dyDescent="0.3">
      <c r="A174" s="11" t="str">
        <f ca="1"/>
        <v>faad49db-32ce-4d1b-9d84-75f9084f857d</v>
      </c>
      <c r="D174" s="3">
        <f ca="1"/>
        <v>170</v>
      </c>
      <c r="E174" s="3">
        <f ca="1"/>
        <v>1</v>
      </c>
      <c r="F174" s="3">
        <f ca="1"/>
        <v>1</v>
      </c>
      <c r="G174" s="3">
        <f ca="1"/>
        <v>1</v>
      </c>
      <c r="H174" s="3">
        <f ca="1"/>
        <v>1</v>
      </c>
      <c r="I174" s="3">
        <f ca="1"/>
        <v>5</v>
      </c>
      <c r="J174" s="3" t="str">
        <f ca="1"/>
        <v>1 4 7 9 10 6</v>
      </c>
      <c r="K174" s="3">
        <f ca="1"/>
        <v>15</v>
      </c>
      <c r="L174" s="3" t="str">
        <f ca="1"/>
        <v>1 3 8 5 2</v>
      </c>
      <c r="M174" s="3">
        <f ca="1"/>
        <v>2</v>
      </c>
      <c r="N174" s="3" t="str">
        <f ca="1"/>
        <v>3 1 8 5 2</v>
      </c>
      <c r="O174" s="3">
        <f ca="1"/>
        <v>3</v>
      </c>
      <c r="P174" s="3">
        <f ca="1"/>
        <v>4</v>
      </c>
      <c r="Q174" s="3">
        <f ca="1"/>
        <v>0.2857142857142857</v>
      </c>
      <c r="R174" s="3">
        <f ca="1"/>
        <v>1</v>
      </c>
      <c r="S174" s="3">
        <f ca="1"/>
        <v>1</v>
      </c>
      <c r="T174" s="3">
        <f ca="1"/>
        <v>1</v>
      </c>
      <c r="U174" s="3">
        <f ca="1"/>
        <v>3</v>
      </c>
      <c r="V174" s="3">
        <f ca="1"/>
        <v>4</v>
      </c>
      <c r="W174" s="3">
        <f ca="1"/>
        <v>4</v>
      </c>
      <c r="X174" s="3">
        <f ca="1"/>
        <v>4</v>
      </c>
      <c r="Y174" s="3">
        <f ca="1"/>
        <v>4</v>
      </c>
      <c r="Z174" s="3">
        <f ca="1"/>
        <v>0.43560606060606061</v>
      </c>
      <c r="AA174" s="3">
        <f ca="1"/>
        <v>0.6875</v>
      </c>
      <c r="AB174" s="3">
        <f ca="1"/>
        <v>4</v>
      </c>
      <c r="AC174" s="3">
        <f ca="1"/>
        <v>4</v>
      </c>
      <c r="AD174" s="3">
        <f ca="1"/>
        <v>1</v>
      </c>
      <c r="AE174" s="3">
        <f ca="1"/>
        <v>4</v>
      </c>
      <c r="AF174" s="3">
        <f ca="1"/>
        <v>4</v>
      </c>
      <c r="AG174" s="3" t="str">
        <f ca="1"/>
        <v>faad49db-32ce-4d1b-9d84-75f9084f857d</v>
      </c>
    </row>
    <row r="175" spans="1:33" ht="14.4" customHeight="1" x14ac:dyDescent="0.3">
      <c r="A175" s="11" t="str">
        <f ca="1"/>
        <v>2cb2edc5-824c-4486-a701-d305e770b103</v>
      </c>
      <c r="D175" s="3">
        <f ca="1"/>
        <v>171</v>
      </c>
      <c r="E175" s="3">
        <f ca="1"/>
        <v>1</v>
      </c>
      <c r="F175" s="3">
        <f ca="1"/>
        <v>1</v>
      </c>
      <c r="G175" s="3">
        <f ca="1"/>
        <v>1</v>
      </c>
      <c r="H175" s="3">
        <f ca="1"/>
        <v>1</v>
      </c>
      <c r="I175" s="3">
        <f ca="1"/>
        <v>5</v>
      </c>
      <c r="J175" s="3" t="str">
        <f ca="1"/>
        <v>1 4 6 7</v>
      </c>
      <c r="K175" s="3">
        <f ca="1"/>
        <v>10</v>
      </c>
      <c r="L175" s="3" t="str">
        <f ca="1"/>
        <v>1 2 8</v>
      </c>
      <c r="M175" s="3">
        <f ca="1"/>
        <v>1</v>
      </c>
      <c r="N175" s="3" t="str">
        <f ca="1"/>
        <v>2 5 8 1</v>
      </c>
      <c r="O175" s="3">
        <f ca="1"/>
        <v>3</v>
      </c>
      <c r="P175" s="3">
        <f ca="1"/>
        <v>4</v>
      </c>
      <c r="Q175" s="3">
        <f ca="1"/>
        <v>0.3571428571428571</v>
      </c>
      <c r="R175" s="3">
        <f ca="1"/>
        <v>1</v>
      </c>
      <c r="S175" s="3">
        <f ca="1"/>
        <v>1</v>
      </c>
      <c r="T175" s="3">
        <f ca="1"/>
        <v>1</v>
      </c>
      <c r="U175" s="3">
        <f ca="1"/>
        <v>3</v>
      </c>
      <c r="V175" s="3">
        <f ca="1"/>
        <v>3.5</v>
      </c>
      <c r="W175" s="3">
        <f ca="1"/>
        <v>5</v>
      </c>
      <c r="X175" s="3">
        <f ca="1"/>
        <v>3</v>
      </c>
      <c r="Y175" s="3">
        <f ca="1"/>
        <v>3</v>
      </c>
      <c r="Z175" s="3">
        <f ca="1"/>
        <v>0.34848484848484851</v>
      </c>
      <c r="AA175" s="3">
        <f ca="1"/>
        <v>0.4375</v>
      </c>
      <c r="AB175" s="3">
        <f ca="1"/>
        <v>4.5</v>
      </c>
      <c r="AC175" s="3">
        <f ca="1"/>
        <v>5</v>
      </c>
      <c r="AD175" s="3">
        <f ca="1"/>
        <v>1</v>
      </c>
      <c r="AE175" s="3">
        <f ca="1"/>
        <v>4</v>
      </c>
      <c r="AF175" s="3">
        <f ca="1"/>
        <v>1</v>
      </c>
      <c r="AG175" s="3" t="str">
        <f ca="1"/>
        <v>2cb2edc5-824c-4486-a701-d305e770b103</v>
      </c>
    </row>
    <row r="176" spans="1:33" ht="14.4" customHeight="1" x14ac:dyDescent="0.3">
      <c r="A176" s="11" t="str">
        <f ca="1"/>
        <v>d371a28b-d77d-40ba-a926-75ade31b1620</v>
      </c>
      <c r="D176" s="3">
        <f ca="1"/>
        <v>172</v>
      </c>
      <c r="E176" s="3">
        <f ca="1"/>
        <v>1</v>
      </c>
      <c r="F176" s="3">
        <f ca="1"/>
        <v>1</v>
      </c>
      <c r="G176" s="3">
        <f ca="1"/>
        <v>1</v>
      </c>
      <c r="H176" s="3">
        <f ca="1"/>
        <v>1</v>
      </c>
      <c r="I176" s="3">
        <f ca="1"/>
        <v>5</v>
      </c>
      <c r="J176" s="3" t="str">
        <f ca="1"/>
        <v>4 1 2 6</v>
      </c>
      <c r="K176" s="3">
        <f ca="1"/>
        <v>10</v>
      </c>
      <c r="L176" s="3" t="str">
        <f ca="1"/>
        <v>2 8 5</v>
      </c>
      <c r="M176" s="3">
        <f ca="1"/>
        <v>1</v>
      </c>
      <c r="N176" s="3" t="str">
        <f ca="1"/>
        <v>2 4 8</v>
      </c>
      <c r="O176" s="3">
        <f ca="1"/>
        <v>2</v>
      </c>
      <c r="P176" s="3">
        <f ca="1"/>
        <v>4</v>
      </c>
      <c r="Q176" s="3">
        <f ca="1"/>
        <v>0.4642857142857143</v>
      </c>
      <c r="R176" s="3">
        <f ca="1"/>
        <v>1</v>
      </c>
      <c r="S176" s="3">
        <f ca="1"/>
        <v>1</v>
      </c>
      <c r="T176" s="3">
        <f ca="1"/>
        <v>1</v>
      </c>
      <c r="U176" s="3">
        <f ca="1"/>
        <v>4</v>
      </c>
      <c r="V176" s="3">
        <f ca="1"/>
        <v>3.5</v>
      </c>
      <c r="W176" s="3">
        <f ca="1"/>
        <v>5</v>
      </c>
      <c r="X176" s="3">
        <f ca="1"/>
        <v>4</v>
      </c>
      <c r="Y176" s="3">
        <f ca="1"/>
        <v>2.5</v>
      </c>
      <c r="Z176" s="3">
        <f ca="1"/>
        <v>0.39015151515151514</v>
      </c>
      <c r="AA176" s="3">
        <f ca="1"/>
        <v>0.4375</v>
      </c>
      <c r="AB176" s="3">
        <f ca="1"/>
        <v>5</v>
      </c>
      <c r="AC176" s="3">
        <f ca="1"/>
        <v>4</v>
      </c>
      <c r="AD176" s="3">
        <f ca="1"/>
        <v>1</v>
      </c>
      <c r="AE176" s="3">
        <f ca="1"/>
        <v>4</v>
      </c>
      <c r="AF176" s="3">
        <f ca="1"/>
        <v>1</v>
      </c>
      <c r="AG176" s="3" t="str">
        <f ca="1"/>
        <v>d371a28b-d77d-40ba-a926-75ade31b1620</v>
      </c>
    </row>
    <row r="177" spans="1:33" ht="14.4" customHeight="1" x14ac:dyDescent="0.3">
      <c r="A177" s="11" t="str">
        <f ca="1"/>
        <v>b76f452f-cdbc-44f7-9419-e48763433e5c</v>
      </c>
      <c r="D177" s="3">
        <f ca="1"/>
        <v>173</v>
      </c>
      <c r="E177" s="3">
        <f ca="1"/>
        <v>1</v>
      </c>
      <c r="F177" s="3">
        <f ca="1"/>
        <v>1</v>
      </c>
      <c r="G177" s="3">
        <f ca="1"/>
        <v>1</v>
      </c>
      <c r="H177" s="3">
        <f ca="1"/>
        <v>1</v>
      </c>
      <c r="I177" s="3">
        <f ca="1"/>
        <v>5</v>
      </c>
      <c r="J177" s="3" t="str">
        <f ca="1"/>
        <v>1 4 6 9 7</v>
      </c>
      <c r="K177" s="3">
        <f ca="1"/>
        <v>15</v>
      </c>
      <c r="L177" s="3" t="str">
        <f ca="1"/>
        <v>2 1 8</v>
      </c>
      <c r="M177" s="3">
        <f ca="1"/>
        <v>1</v>
      </c>
      <c r="N177" s="3" t="str">
        <f ca="1"/>
        <v>1 2 4 8</v>
      </c>
      <c r="O177" s="3">
        <f ca="1"/>
        <v>3</v>
      </c>
      <c r="P177" s="3">
        <f ca="1"/>
        <v>4</v>
      </c>
      <c r="Q177" s="3">
        <f ca="1"/>
        <v>0.2857142857142857</v>
      </c>
      <c r="R177" s="3">
        <f ca="1"/>
        <v>1</v>
      </c>
      <c r="S177" s="3">
        <f ca="1"/>
        <v>1</v>
      </c>
      <c r="T177" s="3">
        <f ca="1"/>
        <v>1</v>
      </c>
      <c r="U177" s="3">
        <f ca="1"/>
        <v>3</v>
      </c>
      <c r="V177" s="3">
        <f ca="1"/>
        <v>2.5</v>
      </c>
      <c r="W177" s="3">
        <f ca="1"/>
        <v>3</v>
      </c>
      <c r="X177" s="3">
        <f ca="1"/>
        <v>3</v>
      </c>
      <c r="Y177" s="3">
        <f ca="1"/>
        <v>3</v>
      </c>
      <c r="Z177" s="3">
        <f ca="1"/>
        <v>0.43560606060606061</v>
      </c>
      <c r="AA177" s="3">
        <f ca="1"/>
        <v>0.4375</v>
      </c>
      <c r="AB177" s="3">
        <f ca="1"/>
        <v>4.5</v>
      </c>
      <c r="AC177" s="3">
        <f ca="1"/>
        <v>3</v>
      </c>
      <c r="AD177" s="3">
        <f ca="1"/>
        <v>1</v>
      </c>
      <c r="AE177" s="3">
        <f ca="1"/>
        <v>4</v>
      </c>
      <c r="AF177" s="3">
        <f ca="1"/>
        <v>1</v>
      </c>
      <c r="AG177" s="3" t="str">
        <f ca="1"/>
        <v>b76f452f-cdbc-44f7-9419-e48763433e5c</v>
      </c>
    </row>
    <row r="178" spans="1:33" ht="14.4" customHeight="1" x14ac:dyDescent="0.3">
      <c r="A178" s="11" t="str">
        <f ca="1"/>
        <v>301ae09f-6f5f-40b8-9f73-2ece38cf32ab</v>
      </c>
      <c r="D178" s="3">
        <f ca="1"/>
        <v>174</v>
      </c>
      <c r="E178" s="3">
        <f ca="1"/>
        <v>1</v>
      </c>
      <c r="F178" s="3">
        <f ca="1"/>
        <v>1</v>
      </c>
      <c r="G178" s="3">
        <f ca="1"/>
        <v>1</v>
      </c>
      <c r="H178" s="3">
        <f ca="1"/>
        <v>1</v>
      </c>
      <c r="I178" s="3">
        <f ca="1"/>
        <v>5</v>
      </c>
      <c r="J178" s="3" t="str">
        <f ca="1"/>
        <v>1 4 10 6</v>
      </c>
      <c r="K178" s="3">
        <f ca="1"/>
        <v>10</v>
      </c>
      <c r="L178" s="3" t="str">
        <f ca="1"/>
        <v>1 4 8 2</v>
      </c>
      <c r="M178" s="3">
        <f ca="1"/>
        <v>2</v>
      </c>
      <c r="N178" s="3" t="str">
        <f ca="1"/>
        <v>1 5 8 2</v>
      </c>
      <c r="O178" s="3">
        <f ca="1"/>
        <v>3</v>
      </c>
      <c r="P178" s="3">
        <f ca="1"/>
        <v>3</v>
      </c>
      <c r="Q178" s="3">
        <f ca="1"/>
        <v>0.3214285714285714</v>
      </c>
      <c r="R178" s="3">
        <f ca="1"/>
        <v>1</v>
      </c>
      <c r="S178" s="3">
        <f ca="1"/>
        <v>1</v>
      </c>
      <c r="T178" s="3">
        <f ca="1"/>
        <v>1</v>
      </c>
      <c r="U178" s="3">
        <f ca="1"/>
        <v>3</v>
      </c>
      <c r="V178" s="3">
        <f ca="1"/>
        <v>3</v>
      </c>
      <c r="W178" s="3">
        <f ca="1"/>
        <v>3</v>
      </c>
      <c r="X178" s="3">
        <f ca="1"/>
        <v>3</v>
      </c>
      <c r="Y178" s="3">
        <f ca="1"/>
        <v>2.5</v>
      </c>
      <c r="Z178" s="3">
        <f ca="1"/>
        <v>0.39393939393939392</v>
      </c>
      <c r="AA178" s="3">
        <f ca="1"/>
        <v>0.4375</v>
      </c>
      <c r="AB178" s="3">
        <f ca="1"/>
        <v>4</v>
      </c>
      <c r="AC178" s="3">
        <f ca="1"/>
        <v>4</v>
      </c>
      <c r="AD178" s="3">
        <f ca="1"/>
        <v>1</v>
      </c>
      <c r="AE178" s="3">
        <f ca="1"/>
        <v>1</v>
      </c>
      <c r="AF178" s="3">
        <f ca="1"/>
        <v>1</v>
      </c>
      <c r="AG178" s="3" t="str">
        <f ca="1"/>
        <v>301ae09f-6f5f-40b8-9f73-2ece38cf32ab</v>
      </c>
    </row>
    <row r="179" spans="1:33" ht="14.4" customHeight="1" x14ac:dyDescent="0.3">
      <c r="A179" s="11" t="str">
        <f ca="1"/>
        <v>f9e42fc1-2ee5-402a-a6c9-b4d596b9df6a</v>
      </c>
      <c r="D179" s="3">
        <f ca="1"/>
        <v>175</v>
      </c>
      <c r="E179" s="3">
        <f ca="1"/>
        <v>1</v>
      </c>
      <c r="F179" s="3">
        <f ca="1"/>
        <v>1</v>
      </c>
      <c r="G179" s="3">
        <f ca="1"/>
        <v>1</v>
      </c>
      <c r="H179" s="3">
        <f ca="1"/>
        <v>1</v>
      </c>
      <c r="I179" s="3">
        <f ca="1"/>
        <v>5</v>
      </c>
      <c r="J179" s="3" t="str">
        <f ca="1"/>
        <v>1 2 4</v>
      </c>
      <c r="K179" s="3">
        <f ca="1"/>
        <v>10</v>
      </c>
      <c r="L179" s="3" t="str">
        <f ca="1"/>
        <v>2 4 8</v>
      </c>
      <c r="M179" s="3">
        <f ca="1"/>
        <v>1</v>
      </c>
      <c r="N179" s="3" t="str">
        <f ca="1"/>
        <v>2 4 8</v>
      </c>
      <c r="O179" s="3">
        <f ca="1"/>
        <v>2</v>
      </c>
      <c r="P179" s="3">
        <f ca="1"/>
        <v>5</v>
      </c>
      <c r="Q179" s="3">
        <f ca="1"/>
        <v>0.25</v>
      </c>
      <c r="R179" s="3">
        <f ca="1"/>
        <v>1</v>
      </c>
      <c r="S179" s="3">
        <f ca="1"/>
        <v>1</v>
      </c>
      <c r="T179" s="3">
        <f ca="1"/>
        <v>1</v>
      </c>
      <c r="U179" s="3">
        <f ca="1"/>
        <v>3</v>
      </c>
      <c r="V179" s="3">
        <f ca="1"/>
        <v>3.5</v>
      </c>
      <c r="W179" s="3">
        <f ca="1"/>
        <v>4</v>
      </c>
      <c r="X179" s="3">
        <f ca="1"/>
        <v>4</v>
      </c>
      <c r="Y179" s="3">
        <f ca="1"/>
        <v>3</v>
      </c>
      <c r="Z179" s="3">
        <f ca="1"/>
        <v>0.39393939393939392</v>
      </c>
      <c r="AA179" s="3">
        <f ca="1"/>
        <v>0.4375</v>
      </c>
      <c r="AB179" s="3">
        <f ca="1"/>
        <v>5</v>
      </c>
      <c r="AC179" s="3">
        <f ca="1"/>
        <v>4</v>
      </c>
      <c r="AD179" s="3">
        <f ca="1"/>
        <v>1</v>
      </c>
      <c r="AE179" s="3">
        <f ca="1"/>
        <v>4</v>
      </c>
      <c r="AF179" s="3">
        <f ca="1"/>
        <v>1</v>
      </c>
      <c r="AG179" s="3" t="str">
        <f ca="1"/>
        <v>f9e42fc1-2ee5-402a-a6c9-b4d596b9df6a</v>
      </c>
    </row>
    <row r="180" spans="1:33" ht="14.4" customHeight="1" x14ac:dyDescent="0.3">
      <c r="A180" s="11" t="str">
        <f ca="1"/>
        <v>661033da-52d4-4158-afb9-052b216025c8</v>
      </c>
      <c r="D180" s="3">
        <f ca="1"/>
        <v>176</v>
      </c>
      <c r="E180" s="3">
        <f ca="1"/>
        <v>0</v>
      </c>
      <c r="F180" s="3">
        <f ca="1"/>
        <v>1</v>
      </c>
      <c r="G180" s="3">
        <f ca="1"/>
        <v>1</v>
      </c>
      <c r="H180" s="3">
        <f ca="1"/>
        <v>0</v>
      </c>
      <c r="I180" s="3">
        <f ca="1"/>
        <v>0</v>
      </c>
      <c r="J180" s="3" t="str">
        <f ca="1"/>
        <v>1 6</v>
      </c>
      <c r="K180" s="3">
        <f ca="1"/>
        <v>5</v>
      </c>
      <c r="L180" s="3">
        <f ca="1"/>
        <v>8</v>
      </c>
      <c r="M180" s="3">
        <f ca="1"/>
        <v>0</v>
      </c>
      <c r="N180" s="3">
        <f ca="1"/>
        <v>8</v>
      </c>
      <c r="O180" s="3">
        <f ca="1"/>
        <v>1</v>
      </c>
      <c r="P180" s="3">
        <f ca="1"/>
        <v>1</v>
      </c>
      <c r="Q180" s="3">
        <f ca="1"/>
        <v>0.14285714285714285</v>
      </c>
      <c r="R180" s="3">
        <f ca="1"/>
        <v>0</v>
      </c>
      <c r="S180" s="3">
        <f ca="1"/>
        <v>1</v>
      </c>
      <c r="T180" s="3">
        <f ca="1"/>
        <v>1</v>
      </c>
      <c r="U180" s="3">
        <f ca="1"/>
        <v>1</v>
      </c>
      <c r="V180" s="3">
        <f ca="1"/>
        <v>1</v>
      </c>
      <c r="W180" s="3">
        <f ca="1"/>
        <v>2</v>
      </c>
      <c r="X180" s="3">
        <f ca="1"/>
        <v>3</v>
      </c>
      <c r="Y180" s="3">
        <f ca="1"/>
        <v>1.5</v>
      </c>
      <c r="Z180" s="3">
        <f ca="1"/>
        <v>0.12878787878787878</v>
      </c>
      <c r="AA180" s="3">
        <f ca="1"/>
        <v>0.1875</v>
      </c>
      <c r="AB180" s="3">
        <f ca="1"/>
        <v>4</v>
      </c>
      <c r="AC180" s="3">
        <f ca="1"/>
        <v>1</v>
      </c>
      <c r="AD180" s="3">
        <f ca="1"/>
        <v>3</v>
      </c>
      <c r="AE180" s="3">
        <f ca="1"/>
        <v>5</v>
      </c>
      <c r="AF180" s="3">
        <f ca="1"/>
        <v>1</v>
      </c>
      <c r="AG180" s="3" t="str">
        <f ca="1"/>
        <v>661033da-52d4-4158-afb9-052b216025c8</v>
      </c>
    </row>
    <row r="181" spans="1:33" ht="14.4" customHeight="1" x14ac:dyDescent="0.3">
      <c r="A181" s="11" t="str">
        <f ca="1"/>
        <v>7ed90dc0-66cd-462a-849d-c0c8b10786f3</v>
      </c>
      <c r="D181" s="3">
        <f ca="1"/>
        <v>177</v>
      </c>
      <c r="E181" s="3">
        <f ca="1"/>
        <v>1</v>
      </c>
      <c r="F181" s="3">
        <f ca="1"/>
        <v>1</v>
      </c>
      <c r="G181" s="3">
        <f ca="1"/>
        <v>0</v>
      </c>
      <c r="H181" s="3">
        <f ca="1"/>
        <v>1</v>
      </c>
      <c r="I181" s="3">
        <f ca="1"/>
        <v>2.5</v>
      </c>
      <c r="J181" s="3" t="str">
        <f ca="1"/>
        <v>1 4 6</v>
      </c>
      <c r="K181" s="3">
        <f ca="1"/>
        <v>10</v>
      </c>
      <c r="L181" s="3" t="str">
        <f ca="1"/>
        <v>1 2 8</v>
      </c>
      <c r="M181" s="3">
        <f ca="1"/>
        <v>1</v>
      </c>
      <c r="N181" s="3" t="str">
        <f ca="1"/>
        <v>1 2 4 8</v>
      </c>
      <c r="O181" s="3">
        <f ca="1"/>
        <v>3</v>
      </c>
      <c r="P181" s="3">
        <f ca="1"/>
        <v>4</v>
      </c>
      <c r="Q181" s="3">
        <f ca="1"/>
        <v>0.17857142857142855</v>
      </c>
      <c r="R181" s="3">
        <f ca="1"/>
        <v>1</v>
      </c>
      <c r="S181" s="3">
        <f ca="1"/>
        <v>2</v>
      </c>
      <c r="T181" s="3">
        <f ca="1"/>
        <v>1</v>
      </c>
      <c r="U181" s="3">
        <f ca="1"/>
        <v>3</v>
      </c>
      <c r="V181" s="3">
        <f ca="1"/>
        <v>3.5</v>
      </c>
      <c r="W181" s="3">
        <f ca="1"/>
        <v>4</v>
      </c>
      <c r="X181" s="3">
        <f ca="1"/>
        <v>3</v>
      </c>
      <c r="Y181" s="3">
        <f ca="1"/>
        <v>2.5</v>
      </c>
      <c r="Z181" s="3">
        <f ca="1"/>
        <v>0.30681818181818182</v>
      </c>
      <c r="AA181" s="3">
        <f ca="1"/>
        <v>0.4375</v>
      </c>
      <c r="AB181" s="3">
        <f ca="1"/>
        <v>4</v>
      </c>
      <c r="AC181" s="3">
        <f ca="1"/>
        <v>4</v>
      </c>
      <c r="AD181" s="3">
        <f ca="1"/>
        <v>1</v>
      </c>
      <c r="AE181" s="3">
        <f ca="1"/>
        <v>4</v>
      </c>
      <c r="AF181" s="3">
        <f ca="1"/>
        <v>1</v>
      </c>
      <c r="AG181" s="3" t="str">
        <f ca="1"/>
        <v>7ed90dc0-66cd-462a-849d-c0c8b10786f3</v>
      </c>
    </row>
    <row r="182" spans="1:33" ht="14.4" customHeight="1" x14ac:dyDescent="0.3">
      <c r="A182" s="11" t="str">
        <f ca="1"/>
        <v>095413bb-e182-4438-b346-150e70369864</v>
      </c>
      <c r="D182" s="3">
        <f ca="1"/>
        <v>178</v>
      </c>
      <c r="E182" s="3">
        <f ca="1"/>
        <v>1</v>
      </c>
      <c r="F182" s="3">
        <f ca="1"/>
        <v>1</v>
      </c>
      <c r="G182" s="3">
        <f ca="1"/>
        <v>1</v>
      </c>
      <c r="H182" s="3">
        <f ca="1"/>
        <v>1</v>
      </c>
      <c r="I182" s="3">
        <f ca="1"/>
        <v>5</v>
      </c>
      <c r="J182" s="3" t="str">
        <f ca="1"/>
        <v>1 4 7 10</v>
      </c>
      <c r="K182" s="3">
        <f ca="1"/>
        <v>10</v>
      </c>
      <c r="L182" s="3" t="str">
        <f ca="1"/>
        <v>2 1 4 8</v>
      </c>
      <c r="M182" s="3">
        <f ca="1"/>
        <v>2</v>
      </c>
      <c r="N182" s="3" t="str">
        <f ca="1"/>
        <v>2 8 4</v>
      </c>
      <c r="O182" s="3">
        <f ca="1"/>
        <v>2</v>
      </c>
      <c r="P182" s="3">
        <f ca="1"/>
        <v>4</v>
      </c>
      <c r="Q182" s="3">
        <f ca="1"/>
        <v>0.21428571428571427</v>
      </c>
      <c r="R182" s="3">
        <f ca="1"/>
        <v>1</v>
      </c>
      <c r="S182" s="3">
        <f ca="1"/>
        <v>2</v>
      </c>
      <c r="T182" s="3">
        <f ca="1"/>
        <v>2</v>
      </c>
      <c r="U182" s="3">
        <f ca="1"/>
        <v>5</v>
      </c>
      <c r="V182" s="3">
        <f ca="1"/>
        <v>4</v>
      </c>
      <c r="W182" s="3">
        <f ca="1"/>
        <v>5</v>
      </c>
      <c r="X182" s="3">
        <f ca="1"/>
        <v>4</v>
      </c>
      <c r="Y182" s="3">
        <f ca="1"/>
        <v>3</v>
      </c>
      <c r="Z182" s="3">
        <f ca="1"/>
        <v>0.30681818181818182</v>
      </c>
      <c r="AA182" s="3">
        <f ca="1"/>
        <v>0.5625</v>
      </c>
      <c r="AB182" s="3">
        <f ca="1"/>
        <v>4.5</v>
      </c>
      <c r="AC182" s="3">
        <f ca="1"/>
        <v>4</v>
      </c>
      <c r="AD182" s="3">
        <f ca="1"/>
        <v>1</v>
      </c>
      <c r="AE182" s="3">
        <f ca="1"/>
        <v>4</v>
      </c>
      <c r="AF182" s="3">
        <f ca="1"/>
        <v>1</v>
      </c>
      <c r="AG182" s="3" t="str">
        <f ca="1"/>
        <v>095413bb-e182-4438-b346-150e70369864</v>
      </c>
    </row>
    <row r="183" spans="1:33" ht="14.4" customHeight="1" x14ac:dyDescent="0.3">
      <c r="A183" s="11" t="str">
        <f ca="1"/>
        <v>f1a7e5bd-d247-4210-8b79-fd690af2acc6</v>
      </c>
      <c r="D183" s="3">
        <f ca="1"/>
        <v>179</v>
      </c>
      <c r="E183" s="3">
        <f ca="1"/>
        <v>1</v>
      </c>
      <c r="F183" s="3">
        <f ca="1"/>
        <v>1</v>
      </c>
      <c r="G183" s="3">
        <f ca="1"/>
        <v>1</v>
      </c>
      <c r="H183" s="3">
        <f ca="1"/>
        <v>1</v>
      </c>
      <c r="I183" s="3">
        <f ca="1"/>
        <v>5</v>
      </c>
      <c r="J183" s="3" t="str">
        <f ca="1"/>
        <v>1 4 6 7</v>
      </c>
      <c r="K183" s="3">
        <f ca="1"/>
        <v>10</v>
      </c>
      <c r="L183" s="3" t="str">
        <f ca="1"/>
        <v>2 4 8</v>
      </c>
      <c r="M183" s="3">
        <f ca="1"/>
        <v>1</v>
      </c>
      <c r="N183" s="3" t="str">
        <f ca="1"/>
        <v>8 4 2</v>
      </c>
      <c r="O183" s="3">
        <f ca="1"/>
        <v>2</v>
      </c>
      <c r="P183" s="3">
        <f ca="1"/>
        <v>3</v>
      </c>
      <c r="Q183" s="3">
        <f ca="1"/>
        <v>0.25</v>
      </c>
      <c r="R183" s="3">
        <f ca="1"/>
        <v>1</v>
      </c>
      <c r="S183" s="3">
        <f ca="1"/>
        <v>1</v>
      </c>
      <c r="T183" s="3">
        <f ca="1"/>
        <v>1</v>
      </c>
      <c r="U183" s="3">
        <f ca="1"/>
        <v>3</v>
      </c>
      <c r="V183" s="3">
        <f ca="1"/>
        <v>3.5</v>
      </c>
      <c r="W183" s="3">
        <f ca="1"/>
        <v>4</v>
      </c>
      <c r="X183" s="3">
        <f ca="1"/>
        <v>4</v>
      </c>
      <c r="Y183" s="3">
        <f ca="1"/>
        <v>3</v>
      </c>
      <c r="Z183" s="3">
        <f ca="1"/>
        <v>0.30681818181818182</v>
      </c>
      <c r="AA183" s="3">
        <f ca="1"/>
        <v>0.4375</v>
      </c>
      <c r="AB183" s="3">
        <f ca="1"/>
        <v>4.5</v>
      </c>
      <c r="AC183" s="3">
        <f ca="1"/>
        <v>4</v>
      </c>
      <c r="AD183" s="3">
        <f ca="1"/>
        <v>1</v>
      </c>
      <c r="AE183" s="3">
        <f ca="1"/>
        <v>4</v>
      </c>
      <c r="AF183" s="3">
        <f ca="1"/>
        <v>1</v>
      </c>
      <c r="AG183" s="3" t="str">
        <f ca="1"/>
        <v>f1a7e5bd-d247-4210-8b79-fd690af2acc6</v>
      </c>
    </row>
    <row r="184" spans="1:33" ht="14.4" customHeight="1" x14ac:dyDescent="0.3">
      <c r="A184" s="11" t="str">
        <f ca="1"/>
        <v>bd722e8c-3924-4f0c-87d9-3e47cc77a4fb</v>
      </c>
      <c r="D184" s="3">
        <f ca="1"/>
        <v>180</v>
      </c>
      <c r="E184" s="3">
        <f ca="1"/>
        <v>1</v>
      </c>
      <c r="F184" s="3">
        <f ca="1"/>
        <v>1</v>
      </c>
      <c r="G184" s="3">
        <f ca="1"/>
        <v>1</v>
      </c>
      <c r="H184" s="3">
        <f ca="1"/>
        <v>1</v>
      </c>
      <c r="I184" s="3">
        <f ca="1"/>
        <v>5</v>
      </c>
      <c r="J184" s="3" t="str">
        <f ca="1"/>
        <v>1 4 6 7</v>
      </c>
      <c r="K184" s="3">
        <f ca="1"/>
        <v>10</v>
      </c>
      <c r="L184" s="3" t="str">
        <f ca="1"/>
        <v>1 2 4 8</v>
      </c>
      <c r="M184" s="3">
        <f ca="1"/>
        <v>2</v>
      </c>
      <c r="N184" s="3" t="str">
        <f ca="1"/>
        <v>1 2 8 4</v>
      </c>
      <c r="O184" s="3">
        <f ca="1"/>
        <v>3</v>
      </c>
      <c r="P184" s="3">
        <f ca="1"/>
        <v>4</v>
      </c>
      <c r="Q184" s="3">
        <f ca="1"/>
        <v>0.39285714285714285</v>
      </c>
      <c r="R184" s="3">
        <f ca="1"/>
        <v>1</v>
      </c>
      <c r="S184" s="3">
        <f ca="1"/>
        <v>1</v>
      </c>
      <c r="T184" s="3">
        <f ca="1"/>
        <v>1</v>
      </c>
      <c r="U184" s="3">
        <f ca="1"/>
        <v>3</v>
      </c>
      <c r="V184" s="3">
        <f ca="1"/>
        <v>3</v>
      </c>
      <c r="W184" s="3">
        <f ca="1"/>
        <v>3</v>
      </c>
      <c r="X184" s="3">
        <f ca="1"/>
        <v>3</v>
      </c>
      <c r="Y184" s="3">
        <f ca="1"/>
        <v>2.5</v>
      </c>
      <c r="Z184" s="3">
        <f ca="1"/>
        <v>0.43560606060606061</v>
      </c>
      <c r="AA184" s="3">
        <f ca="1"/>
        <v>0.375</v>
      </c>
      <c r="AB184" s="3">
        <f ca="1"/>
        <v>4.5</v>
      </c>
      <c r="AC184" s="3">
        <f ca="1"/>
        <v>4</v>
      </c>
      <c r="AD184" s="3">
        <f ca="1"/>
        <v>1</v>
      </c>
      <c r="AE184" s="3">
        <f ca="1"/>
        <v>2</v>
      </c>
      <c r="AF184" s="3">
        <f ca="1"/>
        <v>1</v>
      </c>
      <c r="AG184" s="3" t="str">
        <f ca="1"/>
        <v>bd722e8c-3924-4f0c-87d9-3e47cc77a4fb</v>
      </c>
    </row>
    <row r="185" spans="1:33" ht="14.4" customHeight="1" x14ac:dyDescent="0.3">
      <c r="A185" s="11" t="str">
        <f ca="1"/>
        <v>d9c82ad4-d32d-4b80-8667-913f2f6481c0</v>
      </c>
      <c r="D185" s="3">
        <f ca="1"/>
        <v>181</v>
      </c>
      <c r="E185" s="3">
        <f ca="1"/>
        <v>1</v>
      </c>
      <c r="F185" s="3">
        <f ca="1"/>
        <v>1</v>
      </c>
      <c r="G185" s="3">
        <f ca="1"/>
        <v>1</v>
      </c>
      <c r="H185" s="3">
        <f ca="1"/>
        <v>1</v>
      </c>
      <c r="I185" s="3">
        <f ca="1"/>
        <v>5</v>
      </c>
      <c r="J185" s="3" t="str">
        <f ca="1"/>
        <v>1 2 4 10 6</v>
      </c>
      <c r="K185" s="3">
        <f ca="1"/>
        <v>15</v>
      </c>
      <c r="L185" s="3" t="str">
        <f ca="1"/>
        <v>3 5 1</v>
      </c>
      <c r="M185" s="3">
        <f ca="1"/>
        <v>1</v>
      </c>
      <c r="N185" s="3" t="str">
        <f ca="1"/>
        <v>1 2 5</v>
      </c>
      <c r="O185" s="3">
        <f ca="1"/>
        <v>2</v>
      </c>
      <c r="P185" s="3">
        <f ca="1"/>
        <v>3</v>
      </c>
      <c r="Q185" s="3">
        <f ca="1"/>
        <v>0.2857142857142857</v>
      </c>
      <c r="R185" s="3">
        <f ca="1"/>
        <v>1</v>
      </c>
      <c r="S185" s="3">
        <f ca="1"/>
        <v>1</v>
      </c>
      <c r="T185" s="3">
        <f ca="1"/>
        <v>3</v>
      </c>
      <c r="U185" s="3">
        <f ca="1"/>
        <v>3</v>
      </c>
      <c r="V185" s="3">
        <f ca="1"/>
        <v>2.5</v>
      </c>
      <c r="W185" s="3">
        <f ca="1"/>
        <v>4</v>
      </c>
      <c r="X185" s="3">
        <f ca="1"/>
        <v>3</v>
      </c>
      <c r="Y185" s="3">
        <f ca="1"/>
        <v>2.5</v>
      </c>
      <c r="Z185" s="3">
        <f ca="1"/>
        <v>0.39393939393939392</v>
      </c>
      <c r="AA185" s="3">
        <f ca="1"/>
        <v>0.375</v>
      </c>
      <c r="AB185" s="3">
        <f ca="1"/>
        <v>3</v>
      </c>
      <c r="AC185" s="3">
        <f ca="1"/>
        <v>4</v>
      </c>
      <c r="AD185" s="3">
        <f ca="1"/>
        <v>2</v>
      </c>
      <c r="AE185" s="3">
        <f ca="1"/>
        <v>3</v>
      </c>
      <c r="AF185" s="3">
        <f ca="1"/>
        <v>2</v>
      </c>
      <c r="AG185" s="3" t="str">
        <f ca="1"/>
        <v>d9c82ad4-d32d-4b80-8667-913f2f6481c0</v>
      </c>
    </row>
    <row r="186" spans="1:33" ht="14.4" customHeight="1" x14ac:dyDescent="0.3">
      <c r="A186" s="11" t="str">
        <f ca="1"/>
        <v>dd88d90e-d11f-46da-9552-b4f8c6887c08</v>
      </c>
      <c r="D186" s="3">
        <f ca="1"/>
        <v>182</v>
      </c>
      <c r="E186" s="3">
        <f ca="1"/>
        <v>1</v>
      </c>
      <c r="F186" s="3">
        <f ca="1"/>
        <v>0</v>
      </c>
      <c r="G186" s="3">
        <f ca="1"/>
        <v>1</v>
      </c>
      <c r="H186" s="3">
        <f ca="1"/>
        <v>1</v>
      </c>
      <c r="I186" s="3">
        <f ca="1"/>
        <v>2.5</v>
      </c>
      <c r="J186" s="3" t="str">
        <f ca="1"/>
        <v>1 4 99</v>
      </c>
      <c r="K186" s="3">
        <f ca="1"/>
        <v>10</v>
      </c>
      <c r="L186" s="3" t="str">
        <f ca="1"/>
        <v>1 3</v>
      </c>
      <c r="M186" s="3">
        <f ca="1"/>
        <v>1</v>
      </c>
      <c r="N186" s="3">
        <f ca="1"/>
        <v>1</v>
      </c>
      <c r="O186" s="3">
        <f ca="1"/>
        <v>1</v>
      </c>
      <c r="P186" s="3">
        <f ca="1"/>
        <v>3</v>
      </c>
      <c r="Q186" s="3">
        <f ca="1"/>
        <v>0.14285714285714285</v>
      </c>
      <c r="R186" s="3">
        <f ca="1"/>
        <v>0</v>
      </c>
      <c r="S186" s="3">
        <f ca="1"/>
        <v>1</v>
      </c>
      <c r="T186" s="3">
        <f ca="1"/>
        <v>1</v>
      </c>
      <c r="U186" s="3">
        <f ca="1"/>
        <v>3</v>
      </c>
      <c r="V186" s="3">
        <f ca="1"/>
        <v>1.5</v>
      </c>
      <c r="W186" s="3">
        <f ca="1"/>
        <v>4</v>
      </c>
      <c r="X186" s="3">
        <f ca="1"/>
        <v>2</v>
      </c>
      <c r="Y186" s="3">
        <f ca="1"/>
        <v>2.5</v>
      </c>
      <c r="Z186" s="3">
        <f ca="1"/>
        <v>0.17424242424242425</v>
      </c>
      <c r="AA186" s="3">
        <f ca="1"/>
        <v>0.3125</v>
      </c>
      <c r="AB186" s="3">
        <f ca="1"/>
        <v>3.5</v>
      </c>
      <c r="AC186" s="3">
        <f ca="1"/>
        <v>4</v>
      </c>
      <c r="AD186" s="3">
        <f ca="1"/>
        <v>1</v>
      </c>
      <c r="AE186" s="3">
        <f ca="1"/>
        <v>3</v>
      </c>
      <c r="AF186" s="3">
        <f ca="1"/>
        <v>1</v>
      </c>
      <c r="AG186" s="3" t="str">
        <f ca="1"/>
        <v>dd88d90e-d11f-46da-9552-b4f8c6887c08</v>
      </c>
    </row>
    <row r="187" spans="1:33" ht="14.4" customHeight="1" x14ac:dyDescent="0.3">
      <c r="A187" s="11" t="str">
        <f ca="1"/>
        <v>90ac8a26-cce5-4d0b-adfe-f3b9d2ba172a</v>
      </c>
      <c r="D187" s="3">
        <f ca="1"/>
        <v>183</v>
      </c>
      <c r="E187" s="3">
        <f ca="1"/>
        <v>1</v>
      </c>
      <c r="F187" s="3">
        <f ca="1"/>
        <v>0</v>
      </c>
      <c r="G187" s="3">
        <f ca="1"/>
        <v>1</v>
      </c>
      <c r="H187" s="3">
        <f ca="1"/>
        <v>0</v>
      </c>
      <c r="I187" s="3">
        <f ca="1"/>
        <v>0</v>
      </c>
      <c r="J187" s="3" t="str">
        <f ca="1"/>
        <v>1 4</v>
      </c>
      <c r="K187" s="3">
        <f ca="1"/>
        <v>5</v>
      </c>
      <c r="L187" s="3" t="str">
        <f ca="1"/>
        <v>1 3</v>
      </c>
      <c r="M187" s="3">
        <f ca="1"/>
        <v>1</v>
      </c>
      <c r="N187" s="3">
        <f ca="1"/>
        <v>1</v>
      </c>
      <c r="O187" s="3">
        <f ca="1"/>
        <v>1</v>
      </c>
      <c r="P187" s="3">
        <f ca="1"/>
        <v>2</v>
      </c>
      <c r="Q187" s="3">
        <f ca="1"/>
        <v>0.21428571428571427</v>
      </c>
      <c r="R187" s="3">
        <f ca="1"/>
        <v>0</v>
      </c>
      <c r="S187" s="3">
        <f ca="1"/>
        <v>1</v>
      </c>
      <c r="T187" s="3">
        <f ca="1"/>
        <v>1</v>
      </c>
      <c r="U187" s="3">
        <f ca="1"/>
        <v>3</v>
      </c>
      <c r="V187" s="3">
        <f ca="1"/>
        <v>3</v>
      </c>
      <c r="W187" s="3">
        <f ca="1"/>
        <v>2</v>
      </c>
      <c r="X187" s="3">
        <f ca="1"/>
        <v>2</v>
      </c>
      <c r="Y187" s="3">
        <f ca="1"/>
        <v>4</v>
      </c>
      <c r="Z187" s="3">
        <f ca="1"/>
        <v>0.21969696969696967</v>
      </c>
      <c r="AA187" s="3">
        <f ca="1"/>
        <v>0.25</v>
      </c>
      <c r="AB187" s="3">
        <f ca="1"/>
        <v>1.5</v>
      </c>
      <c r="AC187" s="3">
        <f ca="1"/>
        <v>2</v>
      </c>
      <c r="AD187" s="3">
        <f ca="1"/>
        <v>1</v>
      </c>
      <c r="AE187" s="3">
        <f ca="1"/>
        <v>2</v>
      </c>
      <c r="AF187" s="3">
        <f ca="1"/>
        <v>2</v>
      </c>
      <c r="AG187" s="3" t="str">
        <f ca="1"/>
        <v>90ac8a26-cce5-4d0b-adfe-f3b9d2ba172a</v>
      </c>
    </row>
    <row r="188" spans="1:33" ht="14.4" customHeight="1" x14ac:dyDescent="0.3">
      <c r="A188" s="11" t="str">
        <f ca="1"/>
        <v>41ea393a-ed71-488d-9ddd-827a4c1a588b</v>
      </c>
      <c r="D188" s="3">
        <f ca="1"/>
        <v>184</v>
      </c>
      <c r="E188" s="3">
        <f ca="1"/>
        <v>1</v>
      </c>
      <c r="F188" s="3">
        <f ca="1"/>
        <v>1</v>
      </c>
      <c r="G188" s="3">
        <f ca="1"/>
        <v>1</v>
      </c>
      <c r="H188" s="3">
        <f ca="1"/>
        <v>0</v>
      </c>
      <c r="I188" s="3">
        <f ca="1"/>
        <v>2.5</v>
      </c>
      <c r="J188" s="3" t="str">
        <f ca="1"/>
        <v>1 4</v>
      </c>
      <c r="K188" s="3">
        <f ca="1"/>
        <v>5</v>
      </c>
      <c r="L188" s="3" t="str">
        <f ca="1"/>
        <v>1 2</v>
      </c>
      <c r="M188" s="3">
        <f ca="1"/>
        <v>1</v>
      </c>
      <c r="N188" s="3" t="str">
        <f ca="1"/>
        <v>1 2</v>
      </c>
      <c r="O188" s="3">
        <f ca="1"/>
        <v>2</v>
      </c>
      <c r="P188" s="3">
        <f ca="1"/>
        <v>2</v>
      </c>
      <c r="Q188" s="3">
        <f ca="1"/>
        <v>0.21428571428571427</v>
      </c>
      <c r="R188" s="3">
        <f ca="1"/>
        <v>0</v>
      </c>
      <c r="S188" s="3">
        <f ca="1"/>
        <v>1</v>
      </c>
      <c r="T188" s="3">
        <f ca="1"/>
        <v>1</v>
      </c>
      <c r="U188" s="3">
        <f ca="1"/>
        <v>3</v>
      </c>
      <c r="V188" s="3">
        <f ca="1"/>
        <v>1</v>
      </c>
      <c r="W188" s="3">
        <f ca="1"/>
        <v>2</v>
      </c>
      <c r="X188" s="3">
        <f ca="1"/>
        <v>3</v>
      </c>
      <c r="Y188" s="3">
        <f ca="1"/>
        <v>3</v>
      </c>
      <c r="Z188" s="3">
        <f ca="1"/>
        <v>0.26136363636363635</v>
      </c>
      <c r="AA188" s="3">
        <f ca="1"/>
        <v>0.25</v>
      </c>
      <c r="AB188" s="3">
        <f ca="1"/>
        <v>2.5</v>
      </c>
      <c r="AC188" s="3">
        <f ca="1"/>
        <v>2</v>
      </c>
      <c r="AD188" s="3">
        <f ca="1"/>
        <v>1</v>
      </c>
      <c r="AE188" s="3">
        <f ca="1"/>
        <v>4</v>
      </c>
      <c r="AF188" s="3">
        <f ca="1"/>
        <v>2</v>
      </c>
      <c r="AG188" s="3" t="str">
        <f ca="1"/>
        <v>41ea393a-ed71-488d-9ddd-827a4c1a588b</v>
      </c>
    </row>
    <row r="189" spans="1:33" ht="14.4" customHeight="1" x14ac:dyDescent="0.3">
      <c r="A189" s="11" t="str">
        <f ca="1"/>
        <v>861315a2-3a95-477d-b155-d175d17b008e</v>
      </c>
      <c r="D189" s="3">
        <f ca="1"/>
        <v>185</v>
      </c>
      <c r="E189" s="3">
        <f ca="1"/>
        <v>1</v>
      </c>
      <c r="F189" s="3">
        <f ca="1"/>
        <v>0</v>
      </c>
      <c r="G189" s="3">
        <f ca="1"/>
        <v>1</v>
      </c>
      <c r="H189" s="3">
        <f ca="1"/>
        <v>0</v>
      </c>
      <c r="I189" s="3">
        <f ca="1"/>
        <v>0</v>
      </c>
      <c r="J189" s="3" t="str">
        <f ca="1"/>
        <v>1 4 7</v>
      </c>
      <c r="K189" s="3">
        <f ca="1"/>
        <v>10</v>
      </c>
      <c r="L189" s="3">
        <f ca="1"/>
        <v>1</v>
      </c>
      <c r="M189" s="3">
        <f ca="1"/>
        <v>0</v>
      </c>
      <c r="N189" s="3">
        <f ca="1"/>
        <v>1</v>
      </c>
      <c r="O189" s="3">
        <f ca="1"/>
        <v>1</v>
      </c>
      <c r="P189" s="3">
        <f ca="1"/>
        <v>2</v>
      </c>
      <c r="Q189" s="3">
        <f ca="1"/>
        <v>0.21428571428571427</v>
      </c>
      <c r="R189" s="3">
        <f ca="1"/>
        <v>0</v>
      </c>
      <c r="S189" s="3">
        <f ca="1"/>
        <v>1</v>
      </c>
      <c r="T189" s="3">
        <f ca="1"/>
        <v>1</v>
      </c>
      <c r="U189" s="3">
        <f ca="1"/>
        <v>1</v>
      </c>
      <c r="V189" s="3">
        <f ca="1"/>
        <v>1</v>
      </c>
      <c r="W189" s="3">
        <f ca="1"/>
        <v>2</v>
      </c>
      <c r="X189" s="3">
        <f ca="1"/>
        <v>3</v>
      </c>
      <c r="Y189" s="3">
        <f ca="1"/>
        <v>3</v>
      </c>
      <c r="Z189" s="3">
        <f ca="1"/>
        <v>0.13257575757575757</v>
      </c>
      <c r="AA189" s="3">
        <f ca="1"/>
        <v>6.25E-2</v>
      </c>
      <c r="AB189" s="3">
        <f ca="1"/>
        <v>1.5</v>
      </c>
      <c r="AC189" s="3">
        <f ca="1"/>
        <v>1</v>
      </c>
      <c r="AD189" s="3">
        <f ca="1"/>
        <v>1</v>
      </c>
      <c r="AE189" s="3">
        <f ca="1"/>
        <v>2</v>
      </c>
      <c r="AF189" s="3">
        <f ca="1"/>
        <v>1</v>
      </c>
      <c r="AG189" s="3" t="str">
        <f ca="1"/>
        <v>861315a2-3a95-477d-b155-d175d17b008e</v>
      </c>
    </row>
    <row r="190" spans="1:33" ht="14.4" customHeight="1" x14ac:dyDescent="0.3">
      <c r="A190" s="11" t="str">
        <f ca="1"/>
        <v>126bb965-9fe0-4777-8132-2510d7c7a5f9</v>
      </c>
      <c r="D190" s="3">
        <f ca="1"/>
        <v>186</v>
      </c>
      <c r="E190" s="3">
        <f ca="1"/>
        <v>1</v>
      </c>
      <c r="F190" s="3">
        <f ca="1"/>
        <v>1</v>
      </c>
      <c r="G190" s="3">
        <f ca="1"/>
        <v>1</v>
      </c>
      <c r="H190" s="3">
        <f ca="1"/>
        <v>1</v>
      </c>
      <c r="I190" s="3">
        <f ca="1"/>
        <v>5</v>
      </c>
      <c r="J190" s="3" t="str">
        <f ca="1"/>
        <v>1 2 4 6</v>
      </c>
      <c r="K190" s="3">
        <f ca="1"/>
        <v>10</v>
      </c>
      <c r="L190" s="3" t="str">
        <f ca="1"/>
        <v>1 2</v>
      </c>
      <c r="M190" s="3">
        <f ca="1"/>
        <v>1</v>
      </c>
      <c r="N190" s="3" t="str">
        <f ca="1"/>
        <v>1 2 4</v>
      </c>
      <c r="O190" s="3">
        <f ca="1"/>
        <v>2</v>
      </c>
      <c r="P190" s="3">
        <f ca="1"/>
        <v>4</v>
      </c>
      <c r="Q190" s="3">
        <f ca="1"/>
        <v>0.25</v>
      </c>
      <c r="R190" s="3">
        <f ca="1"/>
        <v>0</v>
      </c>
      <c r="S190" s="3">
        <f ca="1"/>
        <v>1</v>
      </c>
      <c r="T190" s="3">
        <f ca="1"/>
        <v>1</v>
      </c>
      <c r="U190" s="3">
        <f ca="1"/>
        <v>3</v>
      </c>
      <c r="V190" s="3">
        <f ca="1"/>
        <v>2</v>
      </c>
      <c r="W190" s="3">
        <f ca="1"/>
        <v>4</v>
      </c>
      <c r="X190" s="3">
        <f ca="1"/>
        <v>1</v>
      </c>
      <c r="Y190" s="3">
        <f ca="1"/>
        <v>2.5</v>
      </c>
      <c r="Z190" s="3">
        <f ca="1"/>
        <v>0.30681818181818182</v>
      </c>
      <c r="AA190" s="3">
        <f ca="1"/>
        <v>0.4375</v>
      </c>
      <c r="AB190" s="3">
        <f ca="1"/>
        <v>3.5</v>
      </c>
      <c r="AC190" s="3">
        <f ca="1"/>
        <v>5</v>
      </c>
      <c r="AD190" s="3">
        <f ca="1"/>
        <v>2</v>
      </c>
      <c r="AE190" s="3">
        <f ca="1"/>
        <v>2</v>
      </c>
      <c r="AF190" s="3">
        <f ca="1"/>
        <v>1</v>
      </c>
      <c r="AG190" s="3" t="str">
        <f ca="1"/>
        <v>126bb965-9fe0-4777-8132-2510d7c7a5f9</v>
      </c>
    </row>
    <row r="191" spans="1:33" ht="14.4" customHeight="1" x14ac:dyDescent="0.3">
      <c r="A191" s="11" t="str">
        <f ca="1"/>
        <v>a63ec1aa-e46a-465a-b101-86819c7b8838</v>
      </c>
      <c r="D191" s="3">
        <f ca="1"/>
        <v>187</v>
      </c>
      <c r="E191" s="3">
        <f ca="1"/>
        <v>1</v>
      </c>
      <c r="F191" s="3">
        <f ca="1"/>
        <v>1</v>
      </c>
      <c r="G191" s="3">
        <f ca="1"/>
        <v>1</v>
      </c>
      <c r="H191" s="3">
        <f ca="1"/>
        <v>1</v>
      </c>
      <c r="I191" s="3">
        <f ca="1"/>
        <v>5</v>
      </c>
      <c r="J191" s="3" t="str">
        <f ca="1"/>
        <v>4 2 1 7</v>
      </c>
      <c r="K191" s="3">
        <f ca="1"/>
        <v>10</v>
      </c>
      <c r="L191" s="3" t="str">
        <f ca="1"/>
        <v>1 2 3 5</v>
      </c>
      <c r="M191" s="3">
        <f ca="1"/>
        <v>2</v>
      </c>
      <c r="N191" s="3" t="str">
        <f ca="1"/>
        <v>1 2 3 5</v>
      </c>
      <c r="O191" s="3">
        <f ca="1"/>
        <v>3</v>
      </c>
      <c r="P191" s="3">
        <f ca="1"/>
        <v>5</v>
      </c>
      <c r="Q191" s="3">
        <f ca="1"/>
        <v>0.2857142857142857</v>
      </c>
      <c r="R191" s="3">
        <f ca="1"/>
        <v>0.66666666666666663</v>
      </c>
      <c r="S191" s="3">
        <f ca="1"/>
        <v>1</v>
      </c>
      <c r="T191" s="3">
        <f ca="1"/>
        <v>1</v>
      </c>
      <c r="U191" s="3">
        <f ca="1"/>
        <v>3</v>
      </c>
      <c r="V191" s="3">
        <f ca="1"/>
        <v>1.5</v>
      </c>
      <c r="W191" s="3">
        <f ca="1"/>
        <v>4</v>
      </c>
      <c r="X191" s="3">
        <f ca="1"/>
        <v>3</v>
      </c>
      <c r="Y191" s="3">
        <f ca="1"/>
        <v>4.5</v>
      </c>
      <c r="Z191" s="3">
        <f ca="1"/>
        <v>0.30303030303030298</v>
      </c>
      <c r="AA191" s="3">
        <f ca="1"/>
        <v>0.5</v>
      </c>
      <c r="AB191" s="3">
        <f ca="1"/>
        <v>3</v>
      </c>
      <c r="AC191" s="3">
        <f ca="1"/>
        <v>5</v>
      </c>
      <c r="AD191" s="3">
        <f ca="1"/>
        <v>1</v>
      </c>
      <c r="AE191" s="3">
        <f ca="1"/>
        <v>5</v>
      </c>
      <c r="AF191" s="3">
        <f ca="1"/>
        <v>2</v>
      </c>
      <c r="AG191" s="3" t="str">
        <f ca="1"/>
        <v>a63ec1aa-e46a-465a-b101-86819c7b8838</v>
      </c>
    </row>
    <row r="192" spans="1:33" ht="14.4" customHeight="1" x14ac:dyDescent="0.3">
      <c r="A192" s="11" t="str">
        <f ca="1"/>
        <v>0bdcaf01-fe03-4fc6-91ef-d2b1138c3695</v>
      </c>
      <c r="D192" s="3">
        <f ca="1"/>
        <v>188</v>
      </c>
      <c r="E192" s="3">
        <f ca="1"/>
        <v>1</v>
      </c>
      <c r="F192" s="3">
        <f ca="1"/>
        <v>0</v>
      </c>
      <c r="G192" s="3">
        <f ca="1"/>
        <v>1</v>
      </c>
      <c r="H192" s="3">
        <f ca="1"/>
        <v>1</v>
      </c>
      <c r="I192" s="3">
        <f ca="1"/>
        <v>2.5</v>
      </c>
      <c r="J192" s="3" t="str">
        <f ca="1"/>
        <v>1 6 4</v>
      </c>
      <c r="K192" s="3">
        <f ca="1"/>
        <v>10</v>
      </c>
      <c r="L192" s="3" t="str">
        <f ca="1"/>
        <v>2 5</v>
      </c>
      <c r="M192" s="3">
        <f ca="1"/>
        <v>1</v>
      </c>
      <c r="N192" s="3">
        <f ca="1"/>
        <v>1</v>
      </c>
      <c r="O192" s="3">
        <f ca="1"/>
        <v>1</v>
      </c>
      <c r="P192" s="3">
        <f ca="1"/>
        <v>4</v>
      </c>
      <c r="Q192" s="3">
        <f ca="1"/>
        <v>0.17857142857142855</v>
      </c>
      <c r="R192" s="3">
        <f ca="1"/>
        <v>0.33333333333333331</v>
      </c>
      <c r="S192" s="3">
        <f ca="1"/>
        <v>1</v>
      </c>
      <c r="T192" s="3">
        <f ca="1"/>
        <v>1</v>
      </c>
      <c r="U192" s="3">
        <f ca="1"/>
        <v>2</v>
      </c>
      <c r="V192" s="3">
        <f ca="1"/>
        <v>2.5</v>
      </c>
      <c r="W192" s="3">
        <f ca="1"/>
        <v>3</v>
      </c>
      <c r="X192" s="3">
        <f ca="1"/>
        <v>5</v>
      </c>
      <c r="Y192" s="3">
        <f ca="1"/>
        <v>2.5</v>
      </c>
      <c r="Z192" s="3">
        <f ca="1"/>
        <v>0.30681818181818182</v>
      </c>
      <c r="AA192" s="3">
        <f ca="1"/>
        <v>0.3125</v>
      </c>
      <c r="AB192" s="3">
        <f ca="1"/>
        <v>3.5</v>
      </c>
      <c r="AC192" s="3">
        <f ca="1"/>
        <v>4</v>
      </c>
      <c r="AD192" s="3">
        <f ca="1"/>
        <v>1</v>
      </c>
      <c r="AE192" s="3">
        <f ca="1"/>
        <v>5</v>
      </c>
      <c r="AF192" s="3">
        <f ca="1"/>
        <v>2</v>
      </c>
      <c r="AG192" s="3" t="str">
        <f ca="1"/>
        <v>0bdcaf01-fe03-4fc6-91ef-d2b1138c3695</v>
      </c>
    </row>
    <row r="193" spans="1:33" ht="14.4" customHeight="1" x14ac:dyDescent="0.3">
      <c r="A193" s="11" t="str">
        <f ca="1"/>
        <v>7ca81c0f-1e1e-42c8-a05b-db8f82f8a0df</v>
      </c>
      <c r="D193" s="3">
        <f ca="1"/>
        <v>189</v>
      </c>
      <c r="E193" s="3">
        <f ca="1"/>
        <v>1</v>
      </c>
      <c r="F193" s="3">
        <f ca="1"/>
        <v>0</v>
      </c>
      <c r="G193" s="3">
        <f ca="1"/>
        <v>1</v>
      </c>
      <c r="H193" s="3">
        <f ca="1"/>
        <v>1</v>
      </c>
      <c r="I193" s="3">
        <f ca="1"/>
        <v>2.5</v>
      </c>
      <c r="J193" s="3" t="str">
        <f ca="1"/>
        <v>10 1 4</v>
      </c>
      <c r="K193" s="3">
        <f ca="1"/>
        <v>10</v>
      </c>
      <c r="L193" s="3" t="str">
        <f ca="1"/>
        <v>2 4 5</v>
      </c>
      <c r="M193" s="3">
        <f ca="1"/>
        <v>1</v>
      </c>
      <c r="N193" s="3" t="str">
        <f ca="1"/>
        <v>1 2</v>
      </c>
      <c r="O193" s="3">
        <f ca="1"/>
        <v>2</v>
      </c>
      <c r="P193" s="3">
        <f ca="1"/>
        <v>4</v>
      </c>
      <c r="Q193" s="3">
        <f ca="1"/>
        <v>0.14285714285714285</v>
      </c>
      <c r="R193" s="3">
        <f ca="1"/>
        <v>0.33333333333333331</v>
      </c>
      <c r="S193" s="3">
        <f ca="1"/>
        <v>1</v>
      </c>
      <c r="T193" s="3">
        <f ca="1"/>
        <v>1</v>
      </c>
      <c r="U193" s="3">
        <f ca="1"/>
        <v>3</v>
      </c>
      <c r="V193" s="3">
        <f ca="1"/>
        <v>1.5</v>
      </c>
      <c r="W193" s="3">
        <f ca="1"/>
        <v>4</v>
      </c>
      <c r="X193" s="3">
        <f ca="1"/>
        <v>3</v>
      </c>
      <c r="Y193" s="3">
        <f ca="1"/>
        <v>3</v>
      </c>
      <c r="Z193" s="3">
        <f ca="1"/>
        <v>0.26136363636363635</v>
      </c>
      <c r="AA193" s="3">
        <f ca="1"/>
        <v>0.4375</v>
      </c>
      <c r="AB193" s="3">
        <f ca="1"/>
        <v>4</v>
      </c>
      <c r="AC193" s="3">
        <f ca="1"/>
        <v>5</v>
      </c>
      <c r="AD193" s="3">
        <f ca="1"/>
        <v>2</v>
      </c>
      <c r="AE193" s="3">
        <f ca="1"/>
        <v>3</v>
      </c>
      <c r="AF193" s="3">
        <f ca="1"/>
        <v>2</v>
      </c>
      <c r="AG193" s="3" t="str">
        <f ca="1"/>
        <v>7ca81c0f-1e1e-42c8-a05b-db8f82f8a0df</v>
      </c>
    </row>
    <row r="194" spans="1:33" ht="14.4" customHeight="1" x14ac:dyDescent="0.3">
      <c r="A194" s="11" t="str">
        <f ca="1"/>
        <v>1885760e-e848-418d-a76d-b26d782a01ae</v>
      </c>
      <c r="D194" s="3">
        <f ca="1"/>
        <v>190</v>
      </c>
      <c r="E194" s="3">
        <f ca="1"/>
        <v>1</v>
      </c>
      <c r="F194" s="3">
        <f ca="1"/>
        <v>1</v>
      </c>
      <c r="G194" s="3">
        <f ca="1"/>
        <v>1</v>
      </c>
      <c r="H194" s="3">
        <f ca="1"/>
        <v>0</v>
      </c>
      <c r="I194" s="3">
        <f ca="1"/>
        <v>2.5</v>
      </c>
      <c r="J194" s="3" t="str">
        <f ca="1"/>
        <v>1 4 6</v>
      </c>
      <c r="K194" s="3">
        <f ca="1"/>
        <v>10</v>
      </c>
      <c r="L194" s="3" t="str">
        <f ca="1"/>
        <v>1 2 4 5</v>
      </c>
      <c r="M194" s="3">
        <f ca="1"/>
        <v>2</v>
      </c>
      <c r="N194" s="3" t="str">
        <f ca="1"/>
        <v>5 2</v>
      </c>
      <c r="O194" s="3">
        <f ca="1"/>
        <v>2</v>
      </c>
      <c r="P194" s="3">
        <f ca="1"/>
        <v>2</v>
      </c>
      <c r="Q194" s="3">
        <f ca="1"/>
        <v>0.14285714285714285</v>
      </c>
      <c r="R194" s="3">
        <f ca="1"/>
        <v>0</v>
      </c>
      <c r="S194" s="3">
        <f ca="1"/>
        <v>1</v>
      </c>
      <c r="T194" s="3">
        <f ca="1"/>
        <v>1</v>
      </c>
      <c r="U194" s="3">
        <f ca="1"/>
        <v>3</v>
      </c>
      <c r="V194" s="3">
        <f ca="1"/>
        <v>1.5</v>
      </c>
      <c r="W194" s="3">
        <f ca="1"/>
        <v>3</v>
      </c>
      <c r="X194" s="3">
        <f ca="1"/>
        <v>3</v>
      </c>
      <c r="Y194" s="3">
        <f ca="1"/>
        <v>3</v>
      </c>
      <c r="Z194" s="3">
        <f ca="1"/>
        <v>0.30681818181818182</v>
      </c>
      <c r="AA194" s="3">
        <f ca="1"/>
        <v>0.3125</v>
      </c>
      <c r="AB194" s="3">
        <f ca="1"/>
        <v>3.5</v>
      </c>
      <c r="AC194" s="3">
        <f ca="1"/>
        <v>3</v>
      </c>
      <c r="AD194" s="3">
        <f ca="1"/>
        <v>2</v>
      </c>
      <c r="AE194" s="3">
        <f ca="1"/>
        <v>4</v>
      </c>
      <c r="AF194" s="3">
        <f ca="1"/>
        <v>3</v>
      </c>
      <c r="AG194" s="3" t="str">
        <f ca="1"/>
        <v>1885760e-e848-418d-a76d-b26d782a01ae</v>
      </c>
    </row>
    <row r="195" spans="1:33" ht="14.4" customHeight="1" x14ac:dyDescent="0.3">
      <c r="A195" s="11" t="str">
        <f ca="1"/>
        <v>2d924360-a3d8-427e-8f91-d04b5ad487b3</v>
      </c>
      <c r="D195" s="3">
        <f ca="1"/>
        <v>191</v>
      </c>
      <c r="E195" s="3">
        <f ca="1"/>
        <v>1</v>
      </c>
      <c r="F195" s="3">
        <f ca="1"/>
        <v>1</v>
      </c>
      <c r="G195" s="3">
        <f ca="1"/>
        <v>1</v>
      </c>
      <c r="H195" s="3">
        <f ca="1"/>
        <v>1</v>
      </c>
      <c r="I195" s="3">
        <f ca="1"/>
        <v>5</v>
      </c>
      <c r="J195" s="3" t="str">
        <f ca="1"/>
        <v>1 7 8 99</v>
      </c>
      <c r="K195" s="3">
        <f ca="1"/>
        <v>10</v>
      </c>
      <c r="L195" s="3" t="str">
        <f ca="1"/>
        <v>2 8 5 4</v>
      </c>
      <c r="M195" s="3">
        <f ca="1"/>
        <v>2</v>
      </c>
      <c r="N195" s="3" t="str">
        <f ca="1"/>
        <v>2 1 5 4 8</v>
      </c>
      <c r="O195" s="3">
        <f ca="1"/>
        <v>3</v>
      </c>
      <c r="P195" s="3">
        <f ca="1"/>
        <v>5</v>
      </c>
      <c r="Q195" s="3">
        <f ca="1"/>
        <v>0.5357142857142857</v>
      </c>
      <c r="R195" s="3">
        <f ca="1"/>
        <v>0.66666666666666663</v>
      </c>
      <c r="S195" s="3">
        <f ca="1"/>
        <v>2</v>
      </c>
      <c r="T195" s="3">
        <f ca="1"/>
        <v>3</v>
      </c>
      <c r="U195" s="3">
        <f ca="1"/>
        <v>3</v>
      </c>
      <c r="V195" s="3">
        <f ca="1"/>
        <v>3</v>
      </c>
      <c r="W195" s="3">
        <f ca="1"/>
        <v>5</v>
      </c>
      <c r="X195" s="3">
        <f ca="1"/>
        <v>5</v>
      </c>
      <c r="Y195" s="3">
        <f ca="1"/>
        <v>2.5</v>
      </c>
      <c r="Z195" s="3">
        <f ca="1"/>
        <v>0.56818181818181812</v>
      </c>
      <c r="AA195" s="3">
        <f ca="1"/>
        <v>0.625</v>
      </c>
      <c r="AB195" s="3">
        <f ca="1"/>
        <v>4</v>
      </c>
      <c r="AC195" s="3">
        <f ca="1"/>
        <v>5</v>
      </c>
      <c r="AD195" s="3">
        <f ca="1"/>
        <v>1</v>
      </c>
      <c r="AE195" s="3">
        <f ca="1"/>
        <v>3</v>
      </c>
      <c r="AF195" s="3">
        <f ca="1"/>
        <v>2</v>
      </c>
      <c r="AG195" s="3" t="str">
        <f ca="1"/>
        <v>2d924360-a3d8-427e-8f91-d04b5ad487b3</v>
      </c>
    </row>
    <row r="196" spans="1:33" ht="14.4" customHeight="1" x14ac:dyDescent="0.3">
      <c r="A196" s="11" t="str">
        <f ca="1"/>
        <v>3f94df1f-b7b5-47cf-8176-b2b111eb3680</v>
      </c>
      <c r="D196" s="3">
        <f ca="1"/>
        <v>192</v>
      </c>
      <c r="E196" s="3">
        <f ca="1"/>
        <v>1</v>
      </c>
      <c r="F196" s="3">
        <f ca="1"/>
        <v>1</v>
      </c>
      <c r="G196" s="3">
        <f ca="1"/>
        <v>1</v>
      </c>
      <c r="H196" s="3">
        <f ca="1"/>
        <v>1</v>
      </c>
      <c r="I196" s="3">
        <f ca="1"/>
        <v>5</v>
      </c>
      <c r="J196" s="3" t="str">
        <f ca="1"/>
        <v>6 7</v>
      </c>
      <c r="K196" s="3">
        <f ca="1"/>
        <v>5</v>
      </c>
      <c r="L196" s="3" t="str">
        <f ca="1"/>
        <v>8 3 1 2</v>
      </c>
      <c r="M196" s="3">
        <f ca="1"/>
        <v>2</v>
      </c>
      <c r="N196" s="3" t="str">
        <f ca="1"/>
        <v>5 8</v>
      </c>
      <c r="O196" s="3">
        <f ca="1"/>
        <v>2</v>
      </c>
      <c r="P196" s="3">
        <f ca="1"/>
        <v>2</v>
      </c>
      <c r="Q196" s="3">
        <f ca="1"/>
        <v>0.5</v>
      </c>
      <c r="R196" s="3">
        <f ca="1"/>
        <v>0</v>
      </c>
      <c r="S196" s="3">
        <f ca="1"/>
        <v>5</v>
      </c>
      <c r="T196" s="3">
        <f ca="1"/>
        <v>4</v>
      </c>
      <c r="U196" s="3">
        <f ca="1"/>
        <v>3</v>
      </c>
      <c r="V196" s="3">
        <f ca="1"/>
        <v>1.5</v>
      </c>
      <c r="W196" s="3">
        <f ca="1"/>
        <v>4</v>
      </c>
      <c r="X196" s="3">
        <f ca="1"/>
        <v>2</v>
      </c>
      <c r="Y196" s="3">
        <f ca="1"/>
        <v>2.5</v>
      </c>
      <c r="Z196" s="3">
        <f ca="1"/>
        <v>0.30303030303030298</v>
      </c>
      <c r="AA196" s="3">
        <f ca="1"/>
        <v>0.25</v>
      </c>
      <c r="AB196" s="3">
        <f ca="1"/>
        <v>3.5</v>
      </c>
      <c r="AC196" s="3">
        <f ca="1"/>
        <v>4</v>
      </c>
      <c r="AD196" s="3">
        <f ca="1"/>
        <v>1</v>
      </c>
      <c r="AE196" s="3">
        <f ca="1"/>
        <v>5</v>
      </c>
      <c r="AF196" s="3">
        <f ca="1"/>
        <v>2</v>
      </c>
      <c r="AG196" s="3" t="str">
        <f ca="1"/>
        <v>3f94df1f-b7b5-47cf-8176-b2b111eb3680</v>
      </c>
    </row>
    <row r="197" spans="1:33" ht="14.4" customHeight="1" x14ac:dyDescent="0.3">
      <c r="A197" s="11" t="str">
        <f ca="1"/>
        <v>6c3c73a2-b426-4116-8352-efbb2057d658</v>
      </c>
      <c r="D197" s="3">
        <f ca="1"/>
        <v>193</v>
      </c>
      <c r="E197" s="3">
        <f ca="1"/>
        <v>0</v>
      </c>
      <c r="F197" s="3">
        <f ca="1"/>
        <v>1</v>
      </c>
      <c r="G197" s="3">
        <f ca="1"/>
        <v>1</v>
      </c>
      <c r="H197" s="3">
        <f ca="1"/>
        <v>0</v>
      </c>
      <c r="I197" s="3">
        <f ca="1"/>
        <v>0</v>
      </c>
      <c r="J197" s="3" t="str">
        <f ca="1"/>
        <v>2 1</v>
      </c>
      <c r="K197" s="3">
        <f ca="1"/>
        <v>5</v>
      </c>
      <c r="L197" s="3" t="str">
        <f ca="1"/>
        <v>8 5 3</v>
      </c>
      <c r="M197" s="3">
        <f ca="1"/>
        <v>1</v>
      </c>
      <c r="N197" s="3" t="str">
        <f ca="1"/>
        <v>7 8</v>
      </c>
      <c r="O197" s="3">
        <f ca="1"/>
        <v>2</v>
      </c>
      <c r="P197" s="3">
        <f ca="1"/>
        <v>2</v>
      </c>
      <c r="Q197" s="3">
        <f ca="1"/>
        <v>0.2857142857142857</v>
      </c>
      <c r="R197" s="3">
        <f ca="1"/>
        <v>0</v>
      </c>
      <c r="S197" s="3">
        <f ca="1"/>
        <v>3</v>
      </c>
      <c r="T197" s="3">
        <f ca="1"/>
        <v>5</v>
      </c>
      <c r="U197" s="3">
        <f ca="1"/>
        <v>4</v>
      </c>
      <c r="V197" s="3">
        <f ca="1"/>
        <v>2</v>
      </c>
      <c r="W197" s="3">
        <f ca="1"/>
        <v>4</v>
      </c>
      <c r="X197" s="3">
        <f ca="1"/>
        <v>3</v>
      </c>
      <c r="Y197" s="3">
        <f ca="1"/>
        <v>3</v>
      </c>
      <c r="Z197" s="3">
        <f ca="1"/>
        <v>0.34848484848484851</v>
      </c>
      <c r="AA197" s="3">
        <f ca="1"/>
        <v>0.5</v>
      </c>
      <c r="AB197" s="3">
        <f ca="1"/>
        <v>4</v>
      </c>
      <c r="AC197" s="3">
        <f ca="1"/>
        <v>3</v>
      </c>
      <c r="AD197" s="3">
        <f ca="1"/>
        <v>4</v>
      </c>
      <c r="AE197" s="3">
        <f ca="1"/>
        <v>5</v>
      </c>
      <c r="AF197" s="3">
        <f ca="1"/>
        <v>2</v>
      </c>
      <c r="AG197" s="3" t="str">
        <f ca="1"/>
        <v>6c3c73a2-b426-4116-8352-efbb2057d658</v>
      </c>
    </row>
    <row r="198" spans="1:33" ht="14.4" customHeight="1" x14ac:dyDescent="0.3">
      <c r="A198" s="11" t="str">
        <f ca="1"/>
        <v>24c8757e-a365-4ba2-b444-fb1be9afb0fc</v>
      </c>
      <c r="D198" s="3">
        <f ca="1"/>
        <v>194</v>
      </c>
      <c r="E198" s="3">
        <f ca="1"/>
        <v>1</v>
      </c>
      <c r="F198" s="3">
        <f ca="1"/>
        <v>0</v>
      </c>
      <c r="G198" s="3">
        <f ca="1"/>
        <v>0</v>
      </c>
      <c r="H198" s="3">
        <f ca="1"/>
        <v>0</v>
      </c>
      <c r="I198" s="3">
        <f ca="1"/>
        <v>-2.5</v>
      </c>
      <c r="J198" s="3">
        <f ca="1"/>
        <v>6</v>
      </c>
      <c r="K198" s="3">
        <f ca="1"/>
        <v>5</v>
      </c>
      <c r="L198" s="3">
        <f ca="1"/>
        <v>8</v>
      </c>
      <c r="M198" s="3">
        <f ca="1"/>
        <v>0</v>
      </c>
      <c r="N198" s="3">
        <f ca="1"/>
        <v>8</v>
      </c>
      <c r="O198" s="3">
        <f ca="1"/>
        <v>1</v>
      </c>
      <c r="P198" s="3">
        <f ca="1"/>
        <v>4</v>
      </c>
      <c r="Q198" s="3">
        <f ca="1"/>
        <v>0.21428571428571427</v>
      </c>
      <c r="R198" s="3">
        <f ca="1"/>
        <v>0</v>
      </c>
      <c r="S198" s="3">
        <f ca="1"/>
        <v>4</v>
      </c>
      <c r="T198" s="3">
        <f ca="1"/>
        <v>4</v>
      </c>
      <c r="U198" s="3">
        <f ca="1"/>
        <v>3</v>
      </c>
      <c r="V198" s="3">
        <f ca="1"/>
        <v>3</v>
      </c>
      <c r="W198" s="3">
        <f ca="1"/>
        <v>4</v>
      </c>
      <c r="X198" s="3">
        <f ca="1"/>
        <v>4</v>
      </c>
      <c r="Y198" s="3">
        <f ca="1"/>
        <v>3</v>
      </c>
      <c r="Z198" s="3">
        <f ca="1"/>
        <v>0.13257575757575757</v>
      </c>
      <c r="AA198" s="3">
        <f ca="1"/>
        <v>0.375</v>
      </c>
      <c r="AB198" s="3">
        <f ca="1"/>
        <v>3.5</v>
      </c>
      <c r="AC198" s="3">
        <f ca="1"/>
        <v>3</v>
      </c>
      <c r="AD198" s="3">
        <f ca="1"/>
        <v>4</v>
      </c>
      <c r="AE198" s="3">
        <f ca="1"/>
        <v>1</v>
      </c>
      <c r="AF198" s="3">
        <f ca="1"/>
        <v>2</v>
      </c>
      <c r="AG198" s="3" t="str">
        <f ca="1"/>
        <v>24c8757e-a365-4ba2-b444-fb1be9afb0fc</v>
      </c>
    </row>
    <row r="199" spans="1:33" ht="14.4" customHeight="1" x14ac:dyDescent="0.3">
      <c r="A199" s="11" t="str">
        <f ca="1"/>
        <v>3bb232ba-8233-4940-b080-fae4978c69e8</v>
      </c>
      <c r="D199" s="3">
        <f ca="1"/>
        <v>195</v>
      </c>
      <c r="E199" s="3">
        <f ca="1"/>
        <v>1</v>
      </c>
      <c r="F199" s="3">
        <f ca="1"/>
        <v>1</v>
      </c>
      <c r="G199" s="3">
        <f ca="1"/>
        <v>1</v>
      </c>
      <c r="H199" s="3">
        <f ca="1"/>
        <v>1</v>
      </c>
      <c r="I199" s="3">
        <f ca="1"/>
        <v>5</v>
      </c>
      <c r="J199" s="3" t="str">
        <f ca="1"/>
        <v>1 6</v>
      </c>
      <c r="K199" s="3">
        <f ca="1"/>
        <v>5</v>
      </c>
      <c r="L199" s="3" t="str">
        <f ca="1"/>
        <v>8 6 5</v>
      </c>
      <c r="M199" s="3">
        <f ca="1"/>
        <v>1</v>
      </c>
      <c r="N199" s="3">
        <f ca="1"/>
        <v>1</v>
      </c>
      <c r="O199" s="3">
        <f ca="1"/>
        <v>1</v>
      </c>
      <c r="P199" s="3">
        <f ca="1"/>
        <v>4</v>
      </c>
      <c r="Q199" s="3">
        <f ca="1"/>
        <v>0.25</v>
      </c>
      <c r="R199" s="3">
        <f ca="1"/>
        <v>0.66666666666666663</v>
      </c>
      <c r="S199" s="3">
        <f ca="1"/>
        <v>2</v>
      </c>
      <c r="T199" s="3">
        <f ca="1"/>
        <v>4</v>
      </c>
      <c r="U199" s="3">
        <f ca="1"/>
        <v>4</v>
      </c>
      <c r="V199" s="3">
        <f ca="1"/>
        <v>3</v>
      </c>
      <c r="W199" s="3">
        <f ca="1"/>
        <v>4</v>
      </c>
      <c r="X199" s="3">
        <f ca="1"/>
        <v>2</v>
      </c>
      <c r="Y199" s="3">
        <f ca="1"/>
        <v>2</v>
      </c>
      <c r="Z199" s="3">
        <f ca="1"/>
        <v>0.12878787878787878</v>
      </c>
      <c r="AA199" s="3">
        <f ca="1"/>
        <v>0.5625</v>
      </c>
      <c r="AB199" s="3">
        <f ca="1"/>
        <v>4.5</v>
      </c>
      <c r="AC199" s="3">
        <f ca="1"/>
        <v>4</v>
      </c>
      <c r="AD199" s="3">
        <f ca="1"/>
        <v>5</v>
      </c>
      <c r="AE199" s="3">
        <f ca="1"/>
        <v>1</v>
      </c>
      <c r="AF199" s="3">
        <f ca="1"/>
        <v>1</v>
      </c>
      <c r="AG199" s="3" t="str">
        <f ca="1"/>
        <v>3bb232ba-8233-4940-b080-fae4978c69e8</v>
      </c>
    </row>
    <row r="200" spans="1:33" ht="14.4" customHeight="1" x14ac:dyDescent="0.3">
      <c r="A200" s="11" t="str">
        <f ca="1"/>
        <v>7411b4eb-c17a-4c6e-874e-aa7cc7a5b1b5</v>
      </c>
      <c r="D200" s="3">
        <f ca="1"/>
        <v>196</v>
      </c>
      <c r="E200" s="3">
        <f ca="1"/>
        <v>1</v>
      </c>
      <c r="F200" s="3">
        <f ca="1"/>
        <v>1</v>
      </c>
      <c r="G200" s="3">
        <f ca="1"/>
        <v>1</v>
      </c>
      <c r="H200" s="3">
        <f ca="1"/>
        <v>1</v>
      </c>
      <c r="I200" s="3">
        <f ca="1"/>
        <v>5</v>
      </c>
      <c r="J200" s="3" t="str">
        <f ca="1"/>
        <v>1 2</v>
      </c>
      <c r="K200" s="3">
        <f ca="1"/>
        <v>5</v>
      </c>
      <c r="L200" s="3" t="str">
        <f ca="1"/>
        <v>8 2</v>
      </c>
      <c r="M200" s="3">
        <f ca="1"/>
        <v>1</v>
      </c>
      <c r="N200" s="3" t="str">
        <f ca="1"/>
        <v>2 8 5</v>
      </c>
      <c r="O200" s="3">
        <f ca="1"/>
        <v>2</v>
      </c>
      <c r="P200" s="3">
        <f ca="1"/>
        <v>5</v>
      </c>
      <c r="Q200" s="3">
        <f ca="1"/>
        <v>0.39285714285714285</v>
      </c>
      <c r="R200" s="3">
        <f ca="1"/>
        <v>0.33333333333333331</v>
      </c>
      <c r="S200" s="3">
        <f ca="1"/>
        <v>2</v>
      </c>
      <c r="T200" s="3">
        <f ca="1"/>
        <v>3</v>
      </c>
      <c r="U200" s="3">
        <f ca="1"/>
        <v>3</v>
      </c>
      <c r="V200" s="3">
        <f ca="1"/>
        <v>4</v>
      </c>
      <c r="W200" s="3">
        <f ca="1"/>
        <v>3</v>
      </c>
      <c r="X200" s="3">
        <f ca="1"/>
        <v>1</v>
      </c>
      <c r="Y200" s="3">
        <f ca="1"/>
        <v>3</v>
      </c>
      <c r="Z200" s="3">
        <f ca="1"/>
        <v>0.43939393939393934</v>
      </c>
      <c r="AA200" s="3">
        <f ca="1"/>
        <v>0.5625</v>
      </c>
      <c r="AB200" s="3">
        <f ca="1"/>
        <v>4</v>
      </c>
      <c r="AC200" s="3">
        <f ca="1"/>
        <v>5</v>
      </c>
      <c r="AD200" s="3">
        <f ca="1"/>
        <v>1</v>
      </c>
      <c r="AE200" s="3">
        <f ca="1"/>
        <v>3</v>
      </c>
      <c r="AF200" s="3">
        <f ca="1"/>
        <v>2</v>
      </c>
      <c r="AG200" s="3" t="str">
        <f ca="1"/>
        <v>7411b4eb-c17a-4c6e-874e-aa7cc7a5b1b5</v>
      </c>
    </row>
    <row r="201" spans="1:33" ht="14.4" customHeight="1" x14ac:dyDescent="0.3">
      <c r="A201" s="11" t="str">
        <f ca="1"/>
        <v>46d853b4-6f13-4ac7-9854-a46bcf396d63</v>
      </c>
      <c r="D201" s="3">
        <f ca="1"/>
        <v>197</v>
      </c>
      <c r="E201" s="3">
        <f ca="1"/>
        <v>1</v>
      </c>
      <c r="F201" s="3">
        <f ca="1"/>
        <v>1</v>
      </c>
      <c r="G201" s="3">
        <f ca="1"/>
        <v>1</v>
      </c>
      <c r="H201" s="3">
        <f ca="1"/>
        <v>1</v>
      </c>
      <c r="I201" s="3">
        <f ca="1"/>
        <v>5</v>
      </c>
      <c r="J201" s="3" t="str">
        <f ca="1"/>
        <v>1 2 6</v>
      </c>
      <c r="K201" s="3">
        <f ca="1"/>
        <v>10</v>
      </c>
      <c r="L201" s="3" t="str">
        <f ca="1"/>
        <v>2 1 5 8</v>
      </c>
      <c r="M201" s="3">
        <f ca="1"/>
        <v>2</v>
      </c>
      <c r="N201" s="3">
        <f ca="1"/>
        <v>5</v>
      </c>
      <c r="O201" s="3">
        <f ca="1"/>
        <v>1</v>
      </c>
      <c r="P201" s="3">
        <f ca="1"/>
        <v>4</v>
      </c>
      <c r="Q201" s="3">
        <f ca="1"/>
        <v>0.3571428571428571</v>
      </c>
      <c r="R201" s="3">
        <f ca="1"/>
        <v>0</v>
      </c>
      <c r="S201" s="3">
        <f ca="1"/>
        <v>3</v>
      </c>
      <c r="T201" s="3">
        <f ca="1"/>
        <v>3</v>
      </c>
      <c r="U201" s="3">
        <f ca="1"/>
        <v>2</v>
      </c>
      <c r="V201" s="3">
        <f ca="1"/>
        <v>3.5</v>
      </c>
      <c r="W201" s="3">
        <f ca="1"/>
        <v>4</v>
      </c>
      <c r="X201" s="3">
        <f ca="1"/>
        <v>5</v>
      </c>
      <c r="Y201" s="3">
        <f ca="1"/>
        <v>3</v>
      </c>
      <c r="Z201" s="3">
        <f ca="1"/>
        <v>0.17424242424242425</v>
      </c>
      <c r="AA201" s="3">
        <f ca="1"/>
        <v>0.625</v>
      </c>
      <c r="AB201" s="3">
        <f ca="1"/>
        <v>4.5</v>
      </c>
      <c r="AC201" s="3">
        <f ca="1"/>
        <v>4</v>
      </c>
      <c r="AD201" s="3">
        <f ca="1"/>
        <v>1</v>
      </c>
      <c r="AE201" s="3">
        <f ca="1"/>
        <v>2</v>
      </c>
      <c r="AF201" s="3">
        <f ca="1"/>
        <v>1</v>
      </c>
      <c r="AG201" s="3" t="str">
        <f ca="1"/>
        <v>46d853b4-6f13-4ac7-9854-a46bcf396d63</v>
      </c>
    </row>
    <row r="202" spans="1:33" ht="14.4" customHeight="1" x14ac:dyDescent="0.3">
      <c r="A202" s="11" t="str">
        <f ca="1"/>
        <v>60248eed-df83-455c-896e-da34c501f162</v>
      </c>
      <c r="D202" s="3">
        <f ca="1"/>
        <v>198</v>
      </c>
      <c r="E202" s="3">
        <f ca="1"/>
        <v>1</v>
      </c>
      <c r="F202" s="3">
        <f ca="1"/>
        <v>1</v>
      </c>
      <c r="G202" s="3">
        <f ca="1"/>
        <v>1</v>
      </c>
      <c r="H202" s="3">
        <f ca="1"/>
        <v>0</v>
      </c>
      <c r="I202" s="3">
        <f ca="1"/>
        <v>2.5</v>
      </c>
      <c r="J202" s="3" t="str">
        <f ca="1"/>
        <v>1 6</v>
      </c>
      <c r="K202" s="3">
        <f ca="1"/>
        <v>5</v>
      </c>
      <c r="L202" s="3" t="str">
        <f ca="1"/>
        <v>1 2 8 5</v>
      </c>
      <c r="M202" s="3">
        <f ca="1"/>
        <v>2</v>
      </c>
      <c r="N202" s="3" t="str">
        <f ca="1"/>
        <v>5 8</v>
      </c>
      <c r="O202" s="3">
        <f ca="1"/>
        <v>2</v>
      </c>
      <c r="P202" s="3">
        <f ca="1"/>
        <v>4</v>
      </c>
      <c r="Q202" s="3">
        <f ca="1"/>
        <v>0.4642857142857143</v>
      </c>
      <c r="R202" s="3">
        <f ca="1"/>
        <v>0.33333333333333331</v>
      </c>
      <c r="S202" s="3">
        <f ca="1"/>
        <v>3</v>
      </c>
      <c r="T202" s="3">
        <f ca="1"/>
        <v>3</v>
      </c>
      <c r="U202" s="3">
        <f ca="1"/>
        <v>3</v>
      </c>
      <c r="V202" s="3">
        <f ca="1"/>
        <v>4</v>
      </c>
      <c r="W202" s="3">
        <f ca="1"/>
        <v>4</v>
      </c>
      <c r="X202" s="3">
        <f ca="1"/>
        <v>2</v>
      </c>
      <c r="Y202" s="3">
        <f ca="1"/>
        <v>3.5</v>
      </c>
      <c r="Z202" s="3">
        <f ca="1"/>
        <v>0.30303030303030298</v>
      </c>
      <c r="AA202" s="3">
        <f ca="1"/>
        <v>0.5</v>
      </c>
      <c r="AB202" s="3">
        <f ca="1"/>
        <v>2</v>
      </c>
      <c r="AC202" s="3">
        <f ca="1"/>
        <v>2</v>
      </c>
      <c r="AD202" s="3">
        <f ca="1"/>
        <v>2</v>
      </c>
      <c r="AE202" s="3">
        <f ca="1"/>
        <v>3</v>
      </c>
      <c r="AF202" s="3">
        <f ca="1"/>
        <v>1</v>
      </c>
      <c r="AG202" s="3" t="str">
        <f ca="1"/>
        <v>60248eed-df83-455c-896e-da34c501f162</v>
      </c>
    </row>
    <row r="203" spans="1:33" ht="14.4" customHeight="1" x14ac:dyDescent="0.3">
      <c r="A203" s="11" t="str">
        <f ca="1"/>
        <v>82076ab7-c431-46af-af5e-2a1f296678a4</v>
      </c>
      <c r="D203" s="3">
        <f ca="1"/>
        <v>199</v>
      </c>
      <c r="E203" s="3">
        <f ca="1"/>
        <v>1</v>
      </c>
      <c r="F203" s="3">
        <f ca="1"/>
        <v>1</v>
      </c>
      <c r="G203" s="3">
        <f ca="1"/>
        <v>1</v>
      </c>
      <c r="H203" s="3">
        <f ca="1"/>
        <v>1</v>
      </c>
      <c r="I203" s="3">
        <f ca="1"/>
        <v>5</v>
      </c>
      <c r="J203" s="3" t="str">
        <f ca="1"/>
        <v>1 4 8</v>
      </c>
      <c r="K203" s="3">
        <f ca="1"/>
        <v>10</v>
      </c>
      <c r="L203" s="3" t="str">
        <f ca="1"/>
        <v>1 2 7 8</v>
      </c>
      <c r="M203" s="3">
        <f ca="1"/>
        <v>2</v>
      </c>
      <c r="N203" s="3" t="str">
        <f ca="1"/>
        <v>1 8 7</v>
      </c>
      <c r="O203" s="3">
        <f ca="1"/>
        <v>2</v>
      </c>
      <c r="P203" s="3">
        <f ca="1"/>
        <v>3</v>
      </c>
      <c r="Q203" s="3">
        <f ca="1"/>
        <v>0.4642857142857143</v>
      </c>
      <c r="R203" s="3">
        <f ca="1"/>
        <v>0.33333333333333331</v>
      </c>
      <c r="S203" s="3">
        <f ca="1"/>
        <v>3</v>
      </c>
      <c r="T203" s="3">
        <f ca="1"/>
        <v>3</v>
      </c>
      <c r="U203" s="3">
        <f ca="1"/>
        <v>3</v>
      </c>
      <c r="V203" s="3">
        <f ca="1"/>
        <v>3</v>
      </c>
      <c r="W203" s="3">
        <f ca="1"/>
        <v>4</v>
      </c>
      <c r="X203" s="3">
        <f ca="1"/>
        <v>3</v>
      </c>
      <c r="Y203" s="3">
        <f ca="1"/>
        <v>3.5</v>
      </c>
      <c r="Z203" s="3">
        <f ca="1"/>
        <v>0.43181818181818182</v>
      </c>
      <c r="AA203" s="3">
        <f ca="1"/>
        <v>0.5</v>
      </c>
      <c r="AB203" s="3">
        <f ca="1"/>
        <v>3.5</v>
      </c>
      <c r="AC203" s="3">
        <f ca="1"/>
        <v>3</v>
      </c>
      <c r="AD203" s="3">
        <f ca="1"/>
        <v>2</v>
      </c>
      <c r="AE203" s="3">
        <f ca="1"/>
        <v>5</v>
      </c>
      <c r="AF203" s="3">
        <f ca="1"/>
        <v>2</v>
      </c>
      <c r="AG203" s="3" t="str">
        <f ca="1"/>
        <v>82076ab7-c431-46af-af5e-2a1f296678a4</v>
      </c>
    </row>
    <row r="204" spans="1:33" ht="14.4" customHeight="1" x14ac:dyDescent="0.3">
      <c r="A204" s="11" t="str">
        <f ca="1"/>
        <v>de4f13c7-21bb-4522-90e3-66cbff29655c</v>
      </c>
      <c r="D204" s="3">
        <f ca="1"/>
        <v>200</v>
      </c>
      <c r="E204" s="3">
        <f ca="1"/>
        <v>1</v>
      </c>
      <c r="F204" s="3">
        <f ca="1"/>
        <v>0</v>
      </c>
      <c r="G204" s="3">
        <f ca="1"/>
        <v>1</v>
      </c>
      <c r="H204" s="3">
        <f ca="1"/>
        <v>1</v>
      </c>
      <c r="I204" s="3">
        <f ca="1"/>
        <v>2.5</v>
      </c>
      <c r="J204" s="3" t="str">
        <f ca="1"/>
        <v>1 10</v>
      </c>
      <c r="K204" s="3">
        <f ca="1"/>
        <v>5</v>
      </c>
      <c r="L204" s="3" t="str">
        <f ca="1"/>
        <v>1 8</v>
      </c>
      <c r="M204" s="3">
        <f ca="1"/>
        <v>1</v>
      </c>
      <c r="N204" s="3" t="str">
        <f ca="1"/>
        <v>3 2 1</v>
      </c>
      <c r="O204" s="3">
        <f ca="1"/>
        <v>2</v>
      </c>
      <c r="P204" s="3">
        <f ca="1"/>
        <v>4</v>
      </c>
      <c r="Q204" s="3">
        <f ca="1"/>
        <v>0.21428571428571427</v>
      </c>
      <c r="R204" s="3">
        <f ca="1"/>
        <v>0.33333333333333331</v>
      </c>
      <c r="S204" s="3">
        <f ca="1"/>
        <v>4</v>
      </c>
      <c r="T204" s="3">
        <f ca="1"/>
        <v>3</v>
      </c>
      <c r="U204" s="3">
        <f ca="1"/>
        <v>3</v>
      </c>
      <c r="V204" s="3">
        <f ca="1"/>
        <v>2.5</v>
      </c>
      <c r="W204" s="3">
        <f ca="1"/>
        <v>4</v>
      </c>
      <c r="X204" s="3">
        <f ca="1"/>
        <v>3</v>
      </c>
      <c r="Y204" s="3">
        <f ca="1"/>
        <v>2.5</v>
      </c>
      <c r="Z204" s="3">
        <f ca="1"/>
        <v>0.26515151515151514</v>
      </c>
      <c r="AA204" s="3">
        <f ca="1"/>
        <v>0.6875</v>
      </c>
      <c r="AB204" s="3">
        <f ca="1"/>
        <v>3.5</v>
      </c>
      <c r="AC204" s="3">
        <f ca="1"/>
        <v>5</v>
      </c>
      <c r="AD204" s="3">
        <f ca="1"/>
        <v>4</v>
      </c>
      <c r="AE204" s="3">
        <f ca="1"/>
        <v>2</v>
      </c>
      <c r="AF204" s="3">
        <f ca="1"/>
        <v>3</v>
      </c>
      <c r="AG204" s="3" t="str">
        <f ca="1"/>
        <v>de4f13c7-21bb-4522-90e3-66cbff29655c</v>
      </c>
    </row>
    <row r="205" spans="1:33" ht="14.4" customHeight="1" x14ac:dyDescent="0.3">
      <c r="A205" s="11" t="str">
        <f ca="1"/>
        <v>c23beef2-215c-4cdf-b33f-77e6550387b9</v>
      </c>
      <c r="D205" s="3">
        <f ca="1"/>
        <v>201</v>
      </c>
      <c r="E205" s="3">
        <f ca="1"/>
        <v>1</v>
      </c>
      <c r="F205" s="3">
        <f ca="1"/>
        <v>1</v>
      </c>
      <c r="G205" s="3">
        <f ca="1"/>
        <v>0</v>
      </c>
      <c r="H205" s="3">
        <f ca="1"/>
        <v>1</v>
      </c>
      <c r="I205" s="3">
        <f ca="1"/>
        <v>2.5</v>
      </c>
      <c r="J205" s="3" t="str">
        <f ca="1"/>
        <v>1 4 6</v>
      </c>
      <c r="K205" s="3">
        <f ca="1"/>
        <v>10</v>
      </c>
      <c r="L205" s="3" t="str">
        <f ca="1"/>
        <v>2 8</v>
      </c>
      <c r="M205" s="3">
        <f ca="1"/>
        <v>1</v>
      </c>
      <c r="N205" s="3" t="str">
        <f ca="1"/>
        <v>1 2 8 6</v>
      </c>
      <c r="O205" s="3">
        <f ca="1"/>
        <v>3</v>
      </c>
      <c r="P205" s="3">
        <f ca="1"/>
        <v>5</v>
      </c>
      <c r="Q205" s="3">
        <f ca="1"/>
        <v>0.21428571428571427</v>
      </c>
      <c r="R205" s="3">
        <f ca="1"/>
        <v>0.66666666666666663</v>
      </c>
      <c r="S205" s="3">
        <f ca="1"/>
        <v>1</v>
      </c>
      <c r="T205" s="3">
        <f ca="1"/>
        <v>1</v>
      </c>
      <c r="U205" s="3">
        <f ca="1"/>
        <v>4</v>
      </c>
      <c r="V205" s="3">
        <f ca="1"/>
        <v>4</v>
      </c>
      <c r="W205" s="3">
        <f ca="1"/>
        <v>5</v>
      </c>
      <c r="X205" s="3">
        <f ca="1"/>
        <v>3</v>
      </c>
      <c r="Y205" s="3">
        <f ca="1"/>
        <v>4.5</v>
      </c>
      <c r="Z205" s="3">
        <f ca="1"/>
        <v>0.34848484848484851</v>
      </c>
      <c r="AA205" s="3">
        <f ca="1"/>
        <v>0.5625</v>
      </c>
      <c r="AB205" s="3">
        <f ca="1"/>
        <v>3.5</v>
      </c>
      <c r="AC205" s="3">
        <f ca="1"/>
        <v>5</v>
      </c>
      <c r="AD205" s="3">
        <f ca="1"/>
        <v>2</v>
      </c>
      <c r="AE205" s="3">
        <f ca="1"/>
        <v>4</v>
      </c>
      <c r="AF205" s="3">
        <f ca="1"/>
        <v>1</v>
      </c>
      <c r="AG205" s="3" t="str">
        <f ca="1"/>
        <v>c23beef2-215c-4cdf-b33f-77e6550387b9</v>
      </c>
    </row>
    <row r="206" spans="1:33" ht="14.4" customHeight="1" x14ac:dyDescent="0.3">
      <c r="A206" s="11" t="str">
        <f ca="1"/>
        <v>f422a844-aace-48d8-a5bc-03acc9612eeb</v>
      </c>
      <c r="D206" s="3">
        <f ca="1"/>
        <v>202</v>
      </c>
      <c r="E206" s="3">
        <f ca="1"/>
        <v>1</v>
      </c>
      <c r="F206" s="3">
        <f ca="1"/>
        <v>1</v>
      </c>
      <c r="G206" s="3">
        <f ca="1"/>
        <v>1</v>
      </c>
      <c r="H206" s="3">
        <f ca="1"/>
        <v>0</v>
      </c>
      <c r="I206" s="3">
        <f ca="1"/>
        <v>2.5</v>
      </c>
      <c r="J206" s="3" t="str">
        <f ca="1"/>
        <v>1 7 4 6</v>
      </c>
      <c r="K206" s="3">
        <f ca="1"/>
        <v>10</v>
      </c>
      <c r="L206" s="3" t="str">
        <f ca="1"/>
        <v>2 4 8</v>
      </c>
      <c r="M206" s="3">
        <f ca="1"/>
        <v>1</v>
      </c>
      <c r="N206" s="3" t="str">
        <f ca="1"/>
        <v>2 8 3</v>
      </c>
      <c r="O206" s="3">
        <f ca="1"/>
        <v>2</v>
      </c>
      <c r="P206" s="3">
        <f ca="1"/>
        <v>4</v>
      </c>
      <c r="Q206" s="3">
        <f ca="1"/>
        <v>0.2857142857142857</v>
      </c>
      <c r="R206" s="3">
        <f ca="1"/>
        <v>1</v>
      </c>
      <c r="S206" s="3">
        <f ca="1"/>
        <v>2</v>
      </c>
      <c r="T206" s="3">
        <f ca="1"/>
        <v>1</v>
      </c>
      <c r="U206" s="3">
        <f ca="1"/>
        <v>4</v>
      </c>
      <c r="V206" s="3">
        <f ca="1"/>
        <v>4</v>
      </c>
      <c r="W206" s="3">
        <f ca="1"/>
        <v>5</v>
      </c>
      <c r="X206" s="3">
        <f ca="1"/>
        <v>3</v>
      </c>
      <c r="Y206" s="3">
        <f ca="1"/>
        <v>4.5</v>
      </c>
      <c r="Z206" s="3">
        <f ca="1"/>
        <v>0.35227272727272729</v>
      </c>
      <c r="AA206" s="3">
        <f ca="1"/>
        <v>0.4375</v>
      </c>
      <c r="AB206" s="3">
        <f ca="1"/>
        <v>2</v>
      </c>
      <c r="AC206" s="3">
        <f ca="1"/>
        <v>4</v>
      </c>
      <c r="AD206" s="3">
        <f ca="1"/>
        <v>1</v>
      </c>
      <c r="AE206" s="3">
        <f ca="1"/>
        <v>5</v>
      </c>
      <c r="AF206" s="3">
        <f ca="1"/>
        <v>4</v>
      </c>
      <c r="AG206" s="3" t="str">
        <f ca="1"/>
        <v>f422a844-aace-48d8-a5bc-03acc9612eeb</v>
      </c>
    </row>
    <row r="207" spans="1:33" ht="14.4" customHeight="1" x14ac:dyDescent="0.3">
      <c r="A207" s="11" t="str">
        <f ca="1"/>
        <v>8dd612e0-8ace-4846-b659-9847b08cd906</v>
      </c>
      <c r="D207" s="3">
        <f ca="1"/>
        <v>203</v>
      </c>
      <c r="E207" s="3">
        <f ca="1"/>
        <v>1</v>
      </c>
      <c r="F207" s="3">
        <f ca="1"/>
        <v>1</v>
      </c>
      <c r="G207" s="3">
        <f ca="1"/>
        <v>1</v>
      </c>
      <c r="H207" s="3">
        <f ca="1"/>
        <v>1</v>
      </c>
      <c r="I207" s="3">
        <f ca="1"/>
        <v>5</v>
      </c>
      <c r="J207" s="3" t="str">
        <f ca="1"/>
        <v>1 2 4 7 10</v>
      </c>
      <c r="K207" s="3">
        <f ca="1"/>
        <v>15</v>
      </c>
      <c r="L207" s="3" t="str">
        <f ca="1"/>
        <v>2 3 8 1</v>
      </c>
      <c r="M207" s="3">
        <f ca="1"/>
        <v>2</v>
      </c>
      <c r="N207" s="3" t="str">
        <f ca="1"/>
        <v>1 2 8</v>
      </c>
      <c r="O207" s="3">
        <f ca="1"/>
        <v>2</v>
      </c>
      <c r="P207" s="3">
        <f ca="1"/>
        <v>5</v>
      </c>
      <c r="Q207" s="3">
        <f ca="1"/>
        <v>0.17857142857142855</v>
      </c>
      <c r="R207" s="3">
        <f ca="1"/>
        <v>1</v>
      </c>
      <c r="S207" s="3">
        <f ca="1"/>
        <v>2</v>
      </c>
      <c r="T207" s="3">
        <f ca="1"/>
        <v>1</v>
      </c>
      <c r="U207" s="3">
        <f ca="1"/>
        <v>4</v>
      </c>
      <c r="V207" s="3">
        <f ca="1"/>
        <v>4.5</v>
      </c>
      <c r="W207" s="3">
        <f ca="1"/>
        <v>5</v>
      </c>
      <c r="X207" s="3">
        <f ca="1"/>
        <v>3</v>
      </c>
      <c r="Y207" s="3">
        <f ca="1"/>
        <v>4</v>
      </c>
      <c r="Z207" s="3">
        <f ca="1"/>
        <v>0.30681818181818182</v>
      </c>
      <c r="AA207" s="3">
        <f ca="1"/>
        <v>0.5625</v>
      </c>
      <c r="AB207" s="3">
        <f ca="1"/>
        <v>4</v>
      </c>
      <c r="AC207" s="3">
        <f ca="1"/>
        <v>5</v>
      </c>
      <c r="AD207" s="3">
        <f ca="1"/>
        <v>1</v>
      </c>
      <c r="AE207" s="3">
        <f ca="1"/>
        <v>5</v>
      </c>
      <c r="AF207" s="3">
        <f ca="1"/>
        <v>5</v>
      </c>
      <c r="AG207" s="3" t="str">
        <f ca="1"/>
        <v>8dd612e0-8ace-4846-b659-9847b08cd906</v>
      </c>
    </row>
    <row r="208" spans="1:33" ht="14.4" customHeight="1" x14ac:dyDescent="0.3">
      <c r="A208" s="11" t="str">
        <f ca="1"/>
        <v>1fac1b5f-0d8c-4d24-9580-65f46d5cb964</v>
      </c>
      <c r="D208" s="3">
        <f ca="1"/>
        <v>204</v>
      </c>
      <c r="E208" s="3">
        <f ca="1"/>
        <v>1</v>
      </c>
      <c r="F208" s="3">
        <f ca="1"/>
        <v>1</v>
      </c>
      <c r="G208" s="3">
        <f ca="1"/>
        <v>1</v>
      </c>
      <c r="H208" s="3">
        <f ca="1"/>
        <v>1</v>
      </c>
      <c r="I208" s="3">
        <f ca="1"/>
        <v>5</v>
      </c>
      <c r="J208" s="3" t="str">
        <f ca="1"/>
        <v>1 7 4</v>
      </c>
      <c r="K208" s="3">
        <f ca="1"/>
        <v>10</v>
      </c>
      <c r="L208" s="3">
        <f ca="1"/>
        <v>8</v>
      </c>
      <c r="M208" s="3">
        <f ca="1"/>
        <v>0</v>
      </c>
      <c r="N208" s="3" t="str">
        <f ca="1"/>
        <v>8 2 1</v>
      </c>
      <c r="O208" s="3">
        <f ca="1"/>
        <v>2</v>
      </c>
      <c r="P208" s="3">
        <f ca="1"/>
        <v>5</v>
      </c>
      <c r="Q208" s="3">
        <f ca="1"/>
        <v>0.25</v>
      </c>
      <c r="R208" s="3">
        <f ca="1"/>
        <v>0.66666666666666663</v>
      </c>
      <c r="S208" s="3">
        <f ca="1"/>
        <v>2</v>
      </c>
      <c r="T208" s="3">
        <f ca="1"/>
        <v>2</v>
      </c>
      <c r="U208" s="3">
        <f ca="1"/>
        <v>4</v>
      </c>
      <c r="V208" s="3">
        <f ca="1"/>
        <v>4.5</v>
      </c>
      <c r="W208" s="3">
        <f ca="1"/>
        <v>5</v>
      </c>
      <c r="X208" s="3">
        <f ca="1"/>
        <v>4</v>
      </c>
      <c r="Y208" s="3">
        <f ca="1"/>
        <v>2.5</v>
      </c>
      <c r="Z208" s="3">
        <f ca="1"/>
        <v>0.26136363636363635</v>
      </c>
      <c r="AA208" s="3">
        <f ca="1"/>
        <v>0.5625</v>
      </c>
      <c r="AB208" s="3">
        <f ca="1"/>
        <v>4.5</v>
      </c>
      <c r="AC208" s="3">
        <f ca="1"/>
        <v>5</v>
      </c>
      <c r="AD208" s="3">
        <f ca="1"/>
        <v>1</v>
      </c>
      <c r="AE208" s="3">
        <f ca="1"/>
        <v>5</v>
      </c>
      <c r="AF208" s="3">
        <f ca="1"/>
        <v>1</v>
      </c>
      <c r="AG208" s="3" t="str">
        <f ca="1"/>
        <v>1fac1b5f-0d8c-4d24-9580-65f46d5cb964</v>
      </c>
    </row>
    <row r="209" spans="1:33" ht="14.4" customHeight="1" x14ac:dyDescent="0.3">
      <c r="A209" s="11" t="str">
        <f ca="1"/>
        <v>46b2ac28-71d4-4dea-9109-197fd4ce3b8f</v>
      </c>
      <c r="D209" s="3">
        <f ca="1"/>
        <v>205</v>
      </c>
      <c r="E209" s="3">
        <f ca="1"/>
        <v>1</v>
      </c>
      <c r="F209" s="3">
        <f ca="1"/>
        <v>1</v>
      </c>
      <c r="G209" s="3">
        <f ca="1"/>
        <v>1</v>
      </c>
      <c r="H209" s="3">
        <f ca="1"/>
        <v>1</v>
      </c>
      <c r="I209" s="3">
        <f ca="1"/>
        <v>5</v>
      </c>
      <c r="J209" s="3" t="str">
        <f ca="1"/>
        <v>6 4 1</v>
      </c>
      <c r="K209" s="3">
        <f ca="1"/>
        <v>10</v>
      </c>
      <c r="L209" s="3">
        <f ca="1"/>
        <v>8</v>
      </c>
      <c r="M209" s="3">
        <f ca="1"/>
        <v>0</v>
      </c>
      <c r="N209" s="3" t="str">
        <f ca="1"/>
        <v>8 2 1</v>
      </c>
      <c r="O209" s="3">
        <f ca="1"/>
        <v>2</v>
      </c>
      <c r="P209" s="3">
        <f ca="1"/>
        <v>2</v>
      </c>
      <c r="Q209" s="3">
        <f ca="1"/>
        <v>0.17857142857142855</v>
      </c>
      <c r="R209" s="3">
        <f ca="1"/>
        <v>1</v>
      </c>
      <c r="S209" s="3">
        <f ca="1"/>
        <v>1</v>
      </c>
      <c r="T209" s="3">
        <f ca="1"/>
        <v>1</v>
      </c>
      <c r="U209" s="3">
        <f ca="1"/>
        <v>4</v>
      </c>
      <c r="V209" s="3">
        <f ca="1"/>
        <v>4</v>
      </c>
      <c r="W209" s="3">
        <f ca="1"/>
        <v>3</v>
      </c>
      <c r="X209" s="3">
        <f ca="1"/>
        <v>1</v>
      </c>
      <c r="Y209" s="3">
        <f ca="1"/>
        <v>2.5</v>
      </c>
      <c r="Z209" s="3">
        <f ca="1"/>
        <v>0.21969696969696967</v>
      </c>
      <c r="AA209" s="3">
        <f ca="1"/>
        <v>0.4375</v>
      </c>
      <c r="AB209" s="3">
        <f ca="1"/>
        <v>4</v>
      </c>
      <c r="AC209" s="3">
        <f ca="1"/>
        <v>5</v>
      </c>
      <c r="AD209" s="3">
        <f ca="1"/>
        <v>1</v>
      </c>
      <c r="AE209" s="3">
        <f ca="1"/>
        <v>5</v>
      </c>
      <c r="AF209" s="3">
        <f ca="1"/>
        <v>1</v>
      </c>
      <c r="AG209" s="3" t="str">
        <f ca="1"/>
        <v>46b2ac28-71d4-4dea-9109-197fd4ce3b8f</v>
      </c>
    </row>
    <row r="210" spans="1:33" ht="14.4" customHeight="1" x14ac:dyDescent="0.3">
      <c r="A210" s="11" t="str">
        <f ca="1"/>
        <v>477eeb76-83b0-4e29-a2a5-91d228a83571</v>
      </c>
      <c r="D210" s="3">
        <f ca="1"/>
        <v>206</v>
      </c>
      <c r="E210" s="3">
        <f ca="1"/>
        <v>1</v>
      </c>
      <c r="F210" s="3">
        <f ca="1"/>
        <v>1</v>
      </c>
      <c r="G210" s="3">
        <f ca="1"/>
        <v>1</v>
      </c>
      <c r="H210" s="3">
        <f ca="1"/>
        <v>1</v>
      </c>
      <c r="I210" s="3">
        <f ca="1"/>
        <v>5</v>
      </c>
      <c r="J210" s="3" t="str">
        <f ca="1"/>
        <v>1 7 6</v>
      </c>
      <c r="K210" s="3">
        <f ca="1"/>
        <v>10</v>
      </c>
      <c r="L210" s="3" t="str">
        <f ca="1"/>
        <v>2 8</v>
      </c>
      <c r="M210" s="3">
        <f ca="1"/>
        <v>1</v>
      </c>
      <c r="N210" s="3" t="str">
        <f ca="1"/>
        <v>1 8</v>
      </c>
      <c r="O210" s="3">
        <f ca="1"/>
        <v>2</v>
      </c>
      <c r="P210" s="3">
        <f ca="1"/>
        <v>5</v>
      </c>
      <c r="Q210" s="3">
        <f ca="1"/>
        <v>0.17857142857142855</v>
      </c>
      <c r="R210" s="3">
        <f ca="1"/>
        <v>0.33333333333333331</v>
      </c>
      <c r="S210" s="3">
        <f ca="1"/>
        <v>1</v>
      </c>
      <c r="T210" s="3">
        <f ca="1"/>
        <v>1</v>
      </c>
      <c r="U210" s="3">
        <f ca="1"/>
        <v>5</v>
      </c>
      <c r="V210" s="3">
        <f ca="1"/>
        <v>4.5</v>
      </c>
      <c r="W210" s="3">
        <f ca="1"/>
        <v>4</v>
      </c>
      <c r="X210" s="3">
        <f ca="1"/>
        <v>1</v>
      </c>
      <c r="Y210" s="3">
        <f ca="1"/>
        <v>3</v>
      </c>
      <c r="Z210" s="3">
        <f ca="1"/>
        <v>0.31060606060606061</v>
      </c>
      <c r="AA210" s="3">
        <f ca="1"/>
        <v>0.5625</v>
      </c>
      <c r="AB210" s="3">
        <f ca="1"/>
        <v>4</v>
      </c>
      <c r="AC210" s="3">
        <f ca="1"/>
        <v>5</v>
      </c>
      <c r="AD210" s="3">
        <f ca="1"/>
        <v>1</v>
      </c>
      <c r="AE210" s="3">
        <f ca="1"/>
        <v>4</v>
      </c>
      <c r="AF210" s="3">
        <f ca="1"/>
        <v>2</v>
      </c>
      <c r="AG210" s="3" t="str">
        <f ca="1"/>
        <v>477eeb76-83b0-4e29-a2a5-91d228a83571</v>
      </c>
    </row>
    <row r="211" spans="1:33" ht="14.4" customHeight="1" x14ac:dyDescent="0.3">
      <c r="A211" s="11" t="str">
        <f ca="1"/>
        <v>a4a57199-5eae-4a29-9f85-3dbe3ab573c9</v>
      </c>
      <c r="D211" s="3">
        <f ca="1"/>
        <v>207</v>
      </c>
      <c r="E211" s="3">
        <f ca="1"/>
        <v>1</v>
      </c>
      <c r="F211" s="3">
        <f ca="1"/>
        <v>1</v>
      </c>
      <c r="G211" s="3">
        <f ca="1"/>
        <v>1</v>
      </c>
      <c r="H211" s="3">
        <f ca="1"/>
        <v>1</v>
      </c>
      <c r="I211" s="3">
        <f ca="1"/>
        <v>5</v>
      </c>
      <c r="J211" s="3" t="str">
        <f ca="1"/>
        <v>1 4 6</v>
      </c>
      <c r="K211" s="3">
        <f ca="1"/>
        <v>10</v>
      </c>
      <c r="L211" s="3">
        <f ca="1"/>
        <v>8</v>
      </c>
      <c r="M211" s="3">
        <f ca="1"/>
        <v>0</v>
      </c>
      <c r="N211" s="3" t="str">
        <f ca="1"/>
        <v>8 1</v>
      </c>
      <c r="O211" s="3">
        <f ca="1"/>
        <v>2</v>
      </c>
      <c r="P211" s="3">
        <f ca="1"/>
        <v>4</v>
      </c>
      <c r="Q211" s="3">
        <f ca="1"/>
        <v>0.17857142857142855</v>
      </c>
      <c r="R211" s="3">
        <f ca="1"/>
        <v>0.66666666666666663</v>
      </c>
      <c r="S211" s="3">
        <f ca="1"/>
        <v>2</v>
      </c>
      <c r="T211" s="3">
        <f ca="1"/>
        <v>2</v>
      </c>
      <c r="U211" s="3">
        <f ca="1"/>
        <v>4</v>
      </c>
      <c r="V211" s="3">
        <f ca="1"/>
        <v>4</v>
      </c>
      <c r="W211" s="3">
        <f ca="1"/>
        <v>4</v>
      </c>
      <c r="X211" s="3">
        <f ca="1"/>
        <v>1</v>
      </c>
      <c r="Y211" s="3">
        <f ca="1"/>
        <v>2.5</v>
      </c>
      <c r="Z211" s="3">
        <f ca="1"/>
        <v>0.21969696969696967</v>
      </c>
      <c r="AA211" s="3">
        <f ca="1"/>
        <v>0.4375</v>
      </c>
      <c r="AB211" s="3">
        <f ca="1"/>
        <v>4</v>
      </c>
      <c r="AC211" s="3">
        <f ca="1"/>
        <v>4</v>
      </c>
      <c r="AD211" s="3">
        <f ca="1"/>
        <v>1</v>
      </c>
      <c r="AE211" s="3">
        <f ca="1"/>
        <v>4</v>
      </c>
      <c r="AF211" s="3">
        <f ca="1"/>
        <v>4</v>
      </c>
      <c r="AG211" s="3" t="str">
        <f ca="1"/>
        <v>a4a57199-5eae-4a29-9f85-3dbe3ab573c9</v>
      </c>
    </row>
    <row r="212" spans="1:33" ht="14.4" customHeight="1" x14ac:dyDescent="0.3">
      <c r="A212" s="11" t="str">
        <f ca="1"/>
        <v>42dd79c2-9383-4778-93e6-69cb96bec13f</v>
      </c>
      <c r="D212" s="3">
        <f ca="1"/>
        <v>208</v>
      </c>
      <c r="E212" s="3">
        <f ca="1"/>
        <v>1</v>
      </c>
      <c r="F212" s="3">
        <f ca="1"/>
        <v>1</v>
      </c>
      <c r="G212" s="3">
        <f ca="1"/>
        <v>1</v>
      </c>
      <c r="H212" s="3">
        <f ca="1"/>
        <v>1</v>
      </c>
      <c r="I212" s="3">
        <f ca="1"/>
        <v>5</v>
      </c>
      <c r="J212" s="3" t="str">
        <f ca="1"/>
        <v>1 4 6</v>
      </c>
      <c r="K212" s="3">
        <f ca="1"/>
        <v>10</v>
      </c>
      <c r="L212" s="3">
        <f ca="1"/>
        <v>8</v>
      </c>
      <c r="M212" s="3">
        <f ca="1"/>
        <v>0</v>
      </c>
      <c r="N212" s="3" t="str">
        <f ca="1"/>
        <v>8 1</v>
      </c>
      <c r="O212" s="3">
        <f ca="1"/>
        <v>2</v>
      </c>
      <c r="P212" s="3">
        <f ca="1"/>
        <v>4</v>
      </c>
      <c r="Q212" s="3">
        <f ca="1"/>
        <v>0.17857142857142855</v>
      </c>
      <c r="R212" s="3">
        <f ca="1"/>
        <v>0.33333333333333331</v>
      </c>
      <c r="S212" s="3">
        <f ca="1"/>
        <v>2</v>
      </c>
      <c r="T212" s="3">
        <f ca="1"/>
        <v>2</v>
      </c>
      <c r="U212" s="3">
        <f ca="1"/>
        <v>5</v>
      </c>
      <c r="V212" s="3">
        <f ca="1"/>
        <v>4.5</v>
      </c>
      <c r="W212" s="3">
        <f ca="1"/>
        <v>4</v>
      </c>
      <c r="X212" s="3">
        <f ca="1"/>
        <v>1</v>
      </c>
      <c r="Y212" s="3">
        <f ca="1"/>
        <v>2.5</v>
      </c>
      <c r="Z212" s="3">
        <f ca="1"/>
        <v>0.26515151515151514</v>
      </c>
      <c r="AA212" s="3">
        <f ca="1"/>
        <v>0.4375</v>
      </c>
      <c r="AB212" s="3">
        <f ca="1"/>
        <v>3</v>
      </c>
      <c r="AC212" s="3">
        <f ca="1"/>
        <v>5</v>
      </c>
      <c r="AD212" s="3">
        <f ca="1"/>
        <v>2</v>
      </c>
      <c r="AE212" s="3">
        <f ca="1"/>
        <v>5</v>
      </c>
      <c r="AF212" s="3">
        <f ca="1"/>
        <v>4</v>
      </c>
      <c r="AG212" s="3" t="str">
        <f ca="1"/>
        <v>42dd79c2-9383-4778-93e6-69cb96bec13f</v>
      </c>
    </row>
    <row r="213" spans="1:33" ht="14.4" customHeight="1" x14ac:dyDescent="0.3">
      <c r="A213" s="11" t="str">
        <f ca="1"/>
        <v>2a6c9a95-91bf-4b18-9b6f-91dba8aa3395</v>
      </c>
      <c r="D213" s="3">
        <f ca="1"/>
        <v>209</v>
      </c>
      <c r="E213" s="3">
        <f ca="1"/>
        <v>1</v>
      </c>
      <c r="F213" s="3">
        <f ca="1"/>
        <v>1</v>
      </c>
      <c r="G213" s="3">
        <f ca="1"/>
        <v>1</v>
      </c>
      <c r="H213" s="3">
        <f ca="1"/>
        <v>1</v>
      </c>
      <c r="I213" s="3">
        <f ca="1"/>
        <v>5</v>
      </c>
      <c r="J213" s="3" t="str">
        <f ca="1"/>
        <v>1 6 4</v>
      </c>
      <c r="K213" s="3">
        <f ca="1"/>
        <v>10</v>
      </c>
      <c r="L213" s="3" t="str">
        <f ca="1"/>
        <v>8 2</v>
      </c>
      <c r="M213" s="3">
        <f ca="1"/>
        <v>1</v>
      </c>
      <c r="N213" s="3" t="str">
        <f ca="1"/>
        <v>8 2</v>
      </c>
      <c r="O213" s="3">
        <f ca="1"/>
        <v>2</v>
      </c>
      <c r="P213" s="3">
        <f ca="1"/>
        <v>4</v>
      </c>
      <c r="Q213" s="3">
        <f ca="1"/>
        <v>0.14285714285714285</v>
      </c>
      <c r="R213" s="3">
        <f ca="1"/>
        <v>1</v>
      </c>
      <c r="S213" s="3">
        <f ca="1"/>
        <v>1</v>
      </c>
      <c r="T213" s="3">
        <f ca="1"/>
        <v>2</v>
      </c>
      <c r="U213" s="3">
        <f ca="1"/>
        <v>4</v>
      </c>
      <c r="V213" s="3">
        <f ca="1"/>
        <v>4</v>
      </c>
      <c r="W213" s="3">
        <f ca="1"/>
        <v>5</v>
      </c>
      <c r="X213" s="3">
        <f ca="1"/>
        <v>2</v>
      </c>
      <c r="Y213" s="3">
        <f ca="1"/>
        <v>4</v>
      </c>
      <c r="Z213" s="3">
        <f ca="1"/>
        <v>0.26515151515151514</v>
      </c>
      <c r="AA213" s="3">
        <f ca="1"/>
        <v>0.4375</v>
      </c>
      <c r="AB213" s="3">
        <f ca="1"/>
        <v>4</v>
      </c>
      <c r="AC213" s="3">
        <f ca="1"/>
        <v>5</v>
      </c>
      <c r="AD213" s="3">
        <f ca="1"/>
        <v>2</v>
      </c>
      <c r="AE213" s="3">
        <f ca="1"/>
        <v>4</v>
      </c>
      <c r="AF213" s="3">
        <f ca="1"/>
        <v>2</v>
      </c>
      <c r="AG213" s="3" t="str">
        <f ca="1"/>
        <v>2a6c9a95-91bf-4b18-9b6f-91dba8aa3395</v>
      </c>
    </row>
    <row r="214" spans="1:33" ht="14.4" customHeight="1" x14ac:dyDescent="0.3">
      <c r="A214" s="11" t="str">
        <f ca="1"/>
        <v>9514dd70-2e3b-4840-94f8-f37d0e2851ad</v>
      </c>
      <c r="D214" s="3">
        <f ca="1"/>
        <v>210</v>
      </c>
      <c r="E214" s="3">
        <f ca="1"/>
        <v>1</v>
      </c>
      <c r="F214" s="3">
        <f ca="1"/>
        <v>1</v>
      </c>
      <c r="G214" s="3">
        <f ca="1"/>
        <v>1</v>
      </c>
      <c r="H214" s="3">
        <f ca="1"/>
        <v>1</v>
      </c>
      <c r="I214" s="3">
        <f ca="1"/>
        <v>5</v>
      </c>
      <c r="J214" s="3" t="str">
        <f ca="1"/>
        <v>1 6 4 7</v>
      </c>
      <c r="K214" s="3">
        <f ca="1"/>
        <v>10</v>
      </c>
      <c r="L214" s="3">
        <f ca="1"/>
        <v>8</v>
      </c>
      <c r="M214" s="3">
        <f ca="1"/>
        <v>0</v>
      </c>
      <c r="N214" s="3">
        <f ca="1"/>
        <v>8</v>
      </c>
      <c r="O214" s="3">
        <f ca="1"/>
        <v>1</v>
      </c>
      <c r="P214" s="3">
        <f ca="1"/>
        <v>4</v>
      </c>
      <c r="Q214" s="3">
        <f ca="1"/>
        <v>0.17857142857142855</v>
      </c>
      <c r="R214" s="3">
        <f ca="1"/>
        <v>1</v>
      </c>
      <c r="S214" s="3">
        <f ca="1"/>
        <v>1</v>
      </c>
      <c r="T214" s="3">
        <f ca="1"/>
        <v>1</v>
      </c>
      <c r="U214" s="3">
        <f ca="1"/>
        <v>4</v>
      </c>
      <c r="V214" s="3">
        <f ca="1"/>
        <v>4</v>
      </c>
      <c r="W214" s="3">
        <f ca="1"/>
        <v>3</v>
      </c>
      <c r="X214" s="3">
        <f ca="1"/>
        <v>1</v>
      </c>
      <c r="Y214" s="3">
        <f ca="1"/>
        <v>4.5</v>
      </c>
      <c r="Z214" s="3">
        <f ca="1"/>
        <v>0.26515151515151514</v>
      </c>
      <c r="AA214" s="3">
        <f ca="1"/>
        <v>0.4375</v>
      </c>
      <c r="AB214" s="3">
        <f ca="1"/>
        <v>1.5</v>
      </c>
      <c r="AC214" s="3">
        <f ca="1"/>
        <v>4</v>
      </c>
      <c r="AD214" s="3">
        <f ca="1"/>
        <v>1</v>
      </c>
      <c r="AE214" s="3">
        <f ca="1"/>
        <v>3</v>
      </c>
      <c r="AF214" s="3">
        <f ca="1"/>
        <v>1</v>
      </c>
      <c r="AG214" s="3" t="str">
        <f ca="1"/>
        <v>9514dd70-2e3b-4840-94f8-f37d0e2851ad</v>
      </c>
    </row>
    <row r="215" spans="1:33" ht="14.4" customHeight="1" x14ac:dyDescent="0.3">
      <c r="A215" s="11" t="str">
        <f ca="1"/>
        <v>720332cd-add2-4b3c-ae3a-0114f0457815</v>
      </c>
      <c r="D215" s="3">
        <f ca="1"/>
        <v>211</v>
      </c>
      <c r="E215" s="3">
        <f ca="1"/>
        <v>1</v>
      </c>
      <c r="F215" s="3">
        <f ca="1"/>
        <v>1</v>
      </c>
      <c r="G215" s="3">
        <f ca="1"/>
        <v>1</v>
      </c>
      <c r="H215" s="3">
        <f ca="1"/>
        <v>1</v>
      </c>
      <c r="I215" s="3">
        <f ca="1"/>
        <v>5</v>
      </c>
      <c r="J215" s="3" t="str">
        <f ca="1"/>
        <v>1 4 7 8</v>
      </c>
      <c r="K215" s="3">
        <f ca="1"/>
        <v>10</v>
      </c>
      <c r="L215" s="3" t="str">
        <f ca="1"/>
        <v>3 5</v>
      </c>
      <c r="M215" s="3">
        <f ca="1"/>
        <v>1</v>
      </c>
      <c r="N215" s="3" t="str">
        <f ca="1"/>
        <v>1 3</v>
      </c>
      <c r="O215" s="3">
        <f ca="1"/>
        <v>2</v>
      </c>
      <c r="P215" s="3" t="str">
        <f ca="1"/>
        <v/>
      </c>
      <c r="Q215" s="3">
        <f ca="1"/>
        <v>0.26785714285714285</v>
      </c>
      <c r="R215" s="3">
        <f ca="1"/>
        <v>0.66666666666666663</v>
      </c>
      <c r="S215" s="3">
        <f ca="1"/>
        <v>3</v>
      </c>
      <c r="T215" s="3">
        <f ca="1"/>
        <v>1</v>
      </c>
      <c r="U215" s="3">
        <f ca="1"/>
        <v>4</v>
      </c>
      <c r="V215" s="3">
        <f ca="1"/>
        <v>3</v>
      </c>
      <c r="W215" s="3">
        <f ca="1"/>
        <v>4</v>
      </c>
      <c r="X215" s="3">
        <f ca="1"/>
        <v>3</v>
      </c>
      <c r="Y215" s="3">
        <f ca="1"/>
        <v>3.5</v>
      </c>
      <c r="Z215" s="3">
        <f ca="1"/>
        <v>0.43939393939393934</v>
      </c>
      <c r="AA215" s="3">
        <f ca="1"/>
        <v>0.6875</v>
      </c>
      <c r="AB215" s="3">
        <f ca="1"/>
        <v>3.5</v>
      </c>
      <c r="AC215" s="3">
        <f ca="1"/>
        <v>4</v>
      </c>
      <c r="AD215" s="3" t="str">
        <f ca="1"/>
        <v/>
      </c>
      <c r="AE215" s="3">
        <f ca="1"/>
        <v>4</v>
      </c>
      <c r="AF215" s="3">
        <f ca="1"/>
        <v>3</v>
      </c>
      <c r="AG215" s="3" t="str">
        <f ca="1"/>
        <v>720332cd-add2-4b3c-ae3a-0114f0457815</v>
      </c>
    </row>
    <row r="216" spans="1:33" ht="14.4" customHeight="1" x14ac:dyDescent="0.3">
      <c r="A216" s="11" t="str">
        <f ca="1"/>
        <v>8fe23753-ff79-4ee9-bbc3-ec2c89fa76d8</v>
      </c>
      <c r="D216" s="3">
        <f ca="1"/>
        <v>212</v>
      </c>
      <c r="E216" s="3">
        <f ca="1"/>
        <v>1</v>
      </c>
      <c r="F216" s="3">
        <f ca="1"/>
        <v>1</v>
      </c>
      <c r="G216" s="3">
        <f ca="1"/>
        <v>1</v>
      </c>
      <c r="H216" s="3">
        <f ca="1"/>
        <v>1</v>
      </c>
      <c r="I216" s="3">
        <f ca="1"/>
        <v>5</v>
      </c>
      <c r="J216" s="3" t="str">
        <f ca="1"/>
        <v>4 1 7 8</v>
      </c>
      <c r="K216" s="3">
        <f ca="1"/>
        <v>10</v>
      </c>
      <c r="L216" s="3" t="str">
        <f ca="1"/>
        <v>1 2 3 5 8</v>
      </c>
      <c r="M216" s="3">
        <f ca="1"/>
        <v>2</v>
      </c>
      <c r="N216" s="3" t="str">
        <f ca="1"/>
        <v>1 2 3 8</v>
      </c>
      <c r="O216" s="3">
        <f ca="1"/>
        <v>3</v>
      </c>
      <c r="P216" s="3" t="str">
        <f ca="1"/>
        <v/>
      </c>
      <c r="Q216" s="3">
        <f ca="1"/>
        <v>0.23214285714285715</v>
      </c>
      <c r="R216" s="3">
        <f ca="1"/>
        <v>0</v>
      </c>
      <c r="S216" s="3">
        <f ca="1"/>
        <v>1</v>
      </c>
      <c r="T216" s="3">
        <f ca="1"/>
        <v>1</v>
      </c>
      <c r="U216" s="3">
        <f ca="1"/>
        <v>4</v>
      </c>
      <c r="V216" s="3">
        <f ca="1"/>
        <v>3</v>
      </c>
      <c r="W216" s="3">
        <f ca="1"/>
        <v>3</v>
      </c>
      <c r="X216" s="3">
        <f ca="1"/>
        <v>2</v>
      </c>
      <c r="Y216" s="3">
        <f ca="1"/>
        <v>2.5</v>
      </c>
      <c r="Z216" s="3">
        <f ca="1"/>
        <v>0.48106060606060608</v>
      </c>
      <c r="AA216" s="3">
        <f ca="1"/>
        <v>0.6875</v>
      </c>
      <c r="AB216" s="3">
        <f ca="1"/>
        <v>1.5</v>
      </c>
      <c r="AC216" s="3">
        <f ca="1"/>
        <v>4</v>
      </c>
      <c r="AD216" s="3" t="str">
        <f ca="1"/>
        <v/>
      </c>
      <c r="AE216" s="3">
        <f ca="1"/>
        <v>4</v>
      </c>
      <c r="AF216" s="3">
        <f ca="1"/>
        <v>3</v>
      </c>
      <c r="AG216" s="3" t="str">
        <f ca="1"/>
        <v>8fe23753-ff79-4ee9-bbc3-ec2c89fa76d8</v>
      </c>
    </row>
    <row r="217" spans="1:33" ht="14.4" customHeight="1" x14ac:dyDescent="0.3">
      <c r="A217" s="11" t="str">
        <f ca="1"/>
        <v>0ab98eea-261b-478b-818f-b03363c00540</v>
      </c>
      <c r="D217" s="3">
        <f ca="1"/>
        <v>213</v>
      </c>
      <c r="E217" s="3">
        <f ca="1"/>
        <v>1</v>
      </c>
      <c r="F217" s="3">
        <f ca="1"/>
        <v>1</v>
      </c>
      <c r="G217" s="3">
        <f ca="1"/>
        <v>1</v>
      </c>
      <c r="H217" s="3">
        <f ca="1"/>
        <v>1</v>
      </c>
      <c r="I217" s="3">
        <f ca="1"/>
        <v>5</v>
      </c>
      <c r="J217" s="3" t="str">
        <f ca="1"/>
        <v>2 4</v>
      </c>
      <c r="K217" s="3">
        <f ca="1"/>
        <v>5</v>
      </c>
      <c r="L217" s="3" t="str">
        <f ca="1"/>
        <v>2 1 8 5</v>
      </c>
      <c r="M217" s="3">
        <f ca="1"/>
        <v>2</v>
      </c>
      <c r="N217" s="3" t="str">
        <f ca="1"/>
        <v>3 1 8</v>
      </c>
      <c r="O217" s="3">
        <f ca="1"/>
        <v>2</v>
      </c>
      <c r="P217" s="3" t="str">
        <f ca="1"/>
        <v/>
      </c>
      <c r="Q217" s="3">
        <f ca="1"/>
        <v>0.23214285714285715</v>
      </c>
      <c r="R217" s="3">
        <f ca="1"/>
        <v>0.66666666666666663</v>
      </c>
      <c r="S217" s="3">
        <f ca="1"/>
        <v>1</v>
      </c>
      <c r="T217" s="3">
        <f ca="1"/>
        <v>1</v>
      </c>
      <c r="U217" s="3">
        <f ca="1"/>
        <v>4</v>
      </c>
      <c r="V217" s="3">
        <f ca="1"/>
        <v>4</v>
      </c>
      <c r="W217" s="3">
        <f ca="1"/>
        <v>4</v>
      </c>
      <c r="X217" s="3">
        <f ca="1"/>
        <v>2</v>
      </c>
      <c r="Y217" s="3">
        <f ca="1"/>
        <v>3</v>
      </c>
      <c r="Z217" s="3">
        <f ca="1"/>
        <v>0.43560606060606061</v>
      </c>
      <c r="AA217" s="3">
        <f ca="1"/>
        <v>0.5625</v>
      </c>
      <c r="AB217" s="3">
        <f ca="1"/>
        <v>2</v>
      </c>
      <c r="AC217" s="3">
        <f ca="1"/>
        <v>5</v>
      </c>
      <c r="AD217" s="3" t="str">
        <f ca="1"/>
        <v/>
      </c>
      <c r="AE217" s="3">
        <f ca="1"/>
        <v>4</v>
      </c>
      <c r="AF217" s="3">
        <f ca="1"/>
        <v>4</v>
      </c>
      <c r="AG217" s="3" t="str">
        <f ca="1"/>
        <v>0ab98eea-261b-478b-818f-b03363c00540</v>
      </c>
    </row>
    <row r="218" spans="1:33" ht="14.4" customHeight="1" x14ac:dyDescent="0.3">
      <c r="A218" s="11" t="str">
        <f ca="1"/>
        <v>c41e3e0b-2ab7-4fcb-bc25-d55edaaca13d</v>
      </c>
      <c r="D218" s="3">
        <f ca="1"/>
        <v>214</v>
      </c>
      <c r="E218" s="3">
        <f ca="1"/>
        <v>1</v>
      </c>
      <c r="F218" s="3">
        <f ca="1"/>
        <v>1</v>
      </c>
      <c r="G218" s="3">
        <f ca="1"/>
        <v>1</v>
      </c>
      <c r="H218" s="3">
        <f ca="1"/>
        <v>1</v>
      </c>
      <c r="I218" s="3">
        <f ca="1"/>
        <v>5</v>
      </c>
      <c r="J218" s="3" t="str">
        <f ca="1"/>
        <v>1 4 7 10</v>
      </c>
      <c r="K218" s="3">
        <f ca="1"/>
        <v>10</v>
      </c>
      <c r="L218" s="3" t="str">
        <f ca="1"/>
        <v>1 3 8 5</v>
      </c>
      <c r="M218" s="3">
        <f ca="1"/>
        <v>2</v>
      </c>
      <c r="N218" s="3" t="str">
        <f ca="1"/>
        <v>1 3 5 8</v>
      </c>
      <c r="O218" s="3">
        <f ca="1"/>
        <v>3</v>
      </c>
      <c r="P218" s="3" t="str">
        <f ca="1"/>
        <v/>
      </c>
      <c r="Q218" s="3">
        <f ca="1"/>
        <v>0.23214285714285715</v>
      </c>
      <c r="R218" s="3">
        <f ca="1"/>
        <v>0</v>
      </c>
      <c r="S218" s="3">
        <f ca="1"/>
        <v>1</v>
      </c>
      <c r="T218" s="3">
        <f ca="1"/>
        <v>1</v>
      </c>
      <c r="U218" s="3">
        <f ca="1"/>
        <v>1</v>
      </c>
      <c r="V218" s="3">
        <f ca="1"/>
        <v>1</v>
      </c>
      <c r="W218" s="3">
        <f ca="1"/>
        <v>1</v>
      </c>
      <c r="X218" s="3">
        <f ca="1"/>
        <v>4</v>
      </c>
      <c r="Y218" s="3">
        <f ca="1"/>
        <v>2</v>
      </c>
      <c r="Z218" s="3">
        <f ca="1"/>
        <v>0.39393939393939392</v>
      </c>
      <c r="AA218" s="3">
        <f ca="1"/>
        <v>0.5</v>
      </c>
      <c r="AB218" s="3">
        <f ca="1"/>
        <v>1.5</v>
      </c>
      <c r="AC218" s="3">
        <f ca="1"/>
        <v>2</v>
      </c>
      <c r="AD218" s="3" t="str">
        <f ca="1"/>
        <v/>
      </c>
      <c r="AE218" s="3">
        <f ca="1"/>
        <v>4</v>
      </c>
      <c r="AF218" s="3">
        <f ca="1"/>
        <v>4</v>
      </c>
      <c r="AG218" s="3" t="str">
        <f ca="1"/>
        <v>c41e3e0b-2ab7-4fcb-bc25-d55edaaca13d</v>
      </c>
    </row>
    <row r="219" spans="1:33" ht="14.4" customHeight="1" x14ac:dyDescent="0.3">
      <c r="A219" s="11" t="str">
        <f ca="1"/>
        <v>e01f6cf7-b469-4188-a7fe-54e4643557c7</v>
      </c>
      <c r="D219" s="3">
        <f ca="1"/>
        <v>215</v>
      </c>
      <c r="E219" s="3">
        <f ca="1"/>
        <v>1</v>
      </c>
      <c r="F219" s="3">
        <f ca="1"/>
        <v>1</v>
      </c>
      <c r="G219" s="3">
        <f ca="1"/>
        <v>1</v>
      </c>
      <c r="H219" s="3">
        <f ca="1"/>
        <v>1</v>
      </c>
      <c r="I219" s="3">
        <f ca="1"/>
        <v>5</v>
      </c>
      <c r="J219" s="3" t="str">
        <f ca="1"/>
        <v>4 1 2 10 6</v>
      </c>
      <c r="K219" s="3">
        <f ca="1"/>
        <v>15</v>
      </c>
      <c r="L219" s="3" t="str">
        <f ca="1"/>
        <v>1 3 8</v>
      </c>
      <c r="M219" s="3">
        <f ca="1"/>
        <v>1</v>
      </c>
      <c r="N219" s="3" t="str">
        <f ca="1"/>
        <v>1 3 8 5</v>
      </c>
      <c r="O219" s="3">
        <f ca="1"/>
        <v>3</v>
      </c>
      <c r="P219" s="3" t="str">
        <f ca="1"/>
        <v/>
      </c>
      <c r="Q219" s="3">
        <f ca="1"/>
        <v>0.26785714285714285</v>
      </c>
      <c r="R219" s="3">
        <f ca="1"/>
        <v>0</v>
      </c>
      <c r="S219" s="3">
        <f ca="1"/>
        <v>1</v>
      </c>
      <c r="T219" s="3">
        <f ca="1"/>
        <v>1</v>
      </c>
      <c r="U219" s="3">
        <f ca="1"/>
        <v>4</v>
      </c>
      <c r="V219" s="3">
        <f ca="1"/>
        <v>3</v>
      </c>
      <c r="W219" s="3">
        <f ca="1"/>
        <v>3</v>
      </c>
      <c r="X219" s="3">
        <f ca="1"/>
        <v>2</v>
      </c>
      <c r="Y219" s="3">
        <f ca="1"/>
        <v>3</v>
      </c>
      <c r="Z219" s="3">
        <f ca="1"/>
        <v>0.43560606060606061</v>
      </c>
      <c r="AA219" s="3">
        <f ca="1"/>
        <v>0.625</v>
      </c>
      <c r="AB219" s="3">
        <f ca="1"/>
        <v>2</v>
      </c>
      <c r="AC219" s="3">
        <f ca="1"/>
        <v>3</v>
      </c>
      <c r="AD219" s="3" t="str">
        <f ca="1"/>
        <v/>
      </c>
      <c r="AE219" s="3">
        <f ca="1"/>
        <v>4</v>
      </c>
      <c r="AF219" s="3">
        <f ca="1"/>
        <v>4</v>
      </c>
      <c r="AG219" s="3" t="str">
        <f ca="1"/>
        <v>e01f6cf7-b469-4188-a7fe-54e4643557c7</v>
      </c>
    </row>
    <row r="220" spans="1:33" ht="14.4" customHeight="1" x14ac:dyDescent="0.3">
      <c r="A220" s="11" t="str">
        <f ca="1"/>
        <v>7c2b7380-1496-48cb-b3c9-d31a031595d8</v>
      </c>
      <c r="D220" s="3">
        <f ca="1"/>
        <v>216</v>
      </c>
      <c r="E220" s="3">
        <f ca="1"/>
        <v>1</v>
      </c>
      <c r="F220" s="3">
        <f ca="1"/>
        <v>1</v>
      </c>
      <c r="G220" s="3">
        <f ca="1"/>
        <v>1</v>
      </c>
      <c r="H220" s="3">
        <f ca="1"/>
        <v>1</v>
      </c>
      <c r="I220" s="3">
        <f ca="1"/>
        <v>5</v>
      </c>
      <c r="J220" s="3" t="str">
        <f ca="1"/>
        <v>4 2 7 1</v>
      </c>
      <c r="K220" s="3">
        <f ca="1"/>
        <v>10</v>
      </c>
      <c r="L220" s="3" t="str">
        <f ca="1"/>
        <v>1 3 5 8 2</v>
      </c>
      <c r="M220" s="3">
        <f ca="1"/>
        <v>2</v>
      </c>
      <c r="N220" s="3" t="str">
        <f ca="1"/>
        <v>1 3 8 5</v>
      </c>
      <c r="O220" s="3">
        <f ca="1"/>
        <v>3</v>
      </c>
      <c r="P220" s="3" t="str">
        <f ca="1"/>
        <v/>
      </c>
      <c r="Q220" s="3">
        <f ca="1"/>
        <v>0.39285714285714285</v>
      </c>
      <c r="R220" s="3">
        <f ca="1"/>
        <v>0.66666666666666663</v>
      </c>
      <c r="S220" s="3">
        <f ca="1"/>
        <v>1</v>
      </c>
      <c r="T220" s="3">
        <f ca="1"/>
        <v>1</v>
      </c>
      <c r="U220" s="3">
        <f ca="1"/>
        <v>4</v>
      </c>
      <c r="V220" s="3">
        <f ca="1"/>
        <v>4</v>
      </c>
      <c r="W220" s="3">
        <f ca="1"/>
        <v>4</v>
      </c>
      <c r="X220" s="3">
        <f ca="1"/>
        <v>4</v>
      </c>
      <c r="Y220" s="3">
        <f ca="1"/>
        <v>3</v>
      </c>
      <c r="Z220" s="3">
        <f ca="1"/>
        <v>0.43560606060606061</v>
      </c>
      <c r="AA220" s="3">
        <f ca="1"/>
        <v>0.6875</v>
      </c>
      <c r="AB220" s="3">
        <f ca="1"/>
        <v>3</v>
      </c>
      <c r="AC220" s="3">
        <f ca="1"/>
        <v>4</v>
      </c>
      <c r="AD220" s="3" t="str">
        <f ca="1"/>
        <v/>
      </c>
      <c r="AE220" s="3">
        <f ca="1"/>
        <v>4</v>
      </c>
      <c r="AF220" s="3">
        <f ca="1"/>
        <v>4</v>
      </c>
      <c r="AG220" s="3" t="str">
        <f ca="1"/>
        <v>7c2b7380-1496-48cb-b3c9-d31a031595d8</v>
      </c>
    </row>
    <row r="221" spans="1:33" ht="14.4" customHeight="1" x14ac:dyDescent="0.3">
      <c r="A221" s="11" t="str">
        <f ca="1"/>
        <v>ce1f8c7c-405e-46d5-808d-e513744810e4</v>
      </c>
      <c r="D221" s="3">
        <f ca="1"/>
        <v>217</v>
      </c>
      <c r="E221" s="3">
        <f ca="1"/>
        <v>1</v>
      </c>
      <c r="F221" s="3">
        <f ca="1"/>
        <v>1</v>
      </c>
      <c r="G221" s="3">
        <f ca="1"/>
        <v>1</v>
      </c>
      <c r="H221" s="3">
        <f ca="1"/>
        <v>1</v>
      </c>
      <c r="I221" s="3">
        <f ca="1"/>
        <v>5</v>
      </c>
      <c r="J221" s="3" t="str">
        <f ca="1"/>
        <v>1 2 6 7 4</v>
      </c>
      <c r="K221" s="3">
        <f ca="1"/>
        <v>15</v>
      </c>
      <c r="L221" s="3" t="str">
        <f ca="1"/>
        <v>1 3 5 8</v>
      </c>
      <c r="M221" s="3">
        <f ca="1"/>
        <v>2</v>
      </c>
      <c r="N221" s="3" t="str">
        <f ca="1"/>
        <v>1 5 2 8 3</v>
      </c>
      <c r="O221" s="3">
        <f ca="1"/>
        <v>3</v>
      </c>
      <c r="P221" s="3" t="str">
        <f ca="1"/>
        <v/>
      </c>
      <c r="Q221" s="3">
        <f ca="1"/>
        <v>0.23214285714285715</v>
      </c>
      <c r="R221" s="3">
        <f ca="1"/>
        <v>0</v>
      </c>
      <c r="S221" s="3">
        <f ca="1"/>
        <v>1</v>
      </c>
      <c r="T221" s="3">
        <f ca="1"/>
        <v>1</v>
      </c>
      <c r="U221" s="3">
        <f ca="1"/>
        <v>4</v>
      </c>
      <c r="V221" s="3">
        <f ca="1"/>
        <v>4</v>
      </c>
      <c r="W221" s="3">
        <f ca="1"/>
        <v>4</v>
      </c>
      <c r="X221" s="3">
        <f ca="1"/>
        <v>4</v>
      </c>
      <c r="Y221" s="3">
        <f ca="1"/>
        <v>3</v>
      </c>
      <c r="Z221" s="3">
        <f ca="1"/>
        <v>0.43560606060606061</v>
      </c>
      <c r="AA221" s="3">
        <f ca="1"/>
        <v>0.6875</v>
      </c>
      <c r="AB221" s="3">
        <f ca="1"/>
        <v>2.5</v>
      </c>
      <c r="AC221" s="3">
        <f ca="1"/>
        <v>4</v>
      </c>
      <c r="AD221" s="3" t="str">
        <f ca="1"/>
        <v/>
      </c>
      <c r="AE221" s="3">
        <f ca="1"/>
        <v>4</v>
      </c>
      <c r="AF221" s="3">
        <f ca="1"/>
        <v>4</v>
      </c>
      <c r="AG221" s="3" t="str">
        <f ca="1"/>
        <v>ce1f8c7c-405e-46d5-808d-e513744810e4</v>
      </c>
    </row>
    <row r="222" spans="1:33" ht="14.4" customHeight="1" x14ac:dyDescent="0.3">
      <c r="A222" s="11" t="str">
        <f ca="1"/>
        <v>503a58bc-699c-4c65-84cb-cf44b1e0f0d2</v>
      </c>
      <c r="D222" s="3">
        <f ca="1"/>
        <v>218</v>
      </c>
      <c r="E222" s="3">
        <f ca="1"/>
        <v>1</v>
      </c>
      <c r="F222" s="3">
        <f ca="1"/>
        <v>1</v>
      </c>
      <c r="G222" s="3">
        <f ca="1"/>
        <v>1</v>
      </c>
      <c r="H222" s="3">
        <f ca="1"/>
        <v>1</v>
      </c>
      <c r="I222" s="3">
        <f ca="1"/>
        <v>5</v>
      </c>
      <c r="J222" s="3" t="str">
        <f ca="1"/>
        <v>1 4 7 10 6 8</v>
      </c>
      <c r="K222" s="3">
        <f ca="1"/>
        <v>15</v>
      </c>
      <c r="L222" s="3" t="str">
        <f ca="1"/>
        <v>1 3 5 8 2</v>
      </c>
      <c r="M222" s="3">
        <f ca="1"/>
        <v>2</v>
      </c>
      <c r="N222" s="3" t="str">
        <f ca="1"/>
        <v>1 3 2 5 8</v>
      </c>
      <c r="O222" s="3">
        <f ca="1"/>
        <v>3</v>
      </c>
      <c r="P222" s="3" t="str">
        <f ca="1"/>
        <v/>
      </c>
      <c r="Q222" s="3">
        <f ca="1"/>
        <v>0.39285714285714285</v>
      </c>
      <c r="R222" s="3">
        <f ca="1"/>
        <v>0.66666666666666663</v>
      </c>
      <c r="S222" s="3">
        <f ca="1"/>
        <v>1</v>
      </c>
      <c r="T222" s="3">
        <f ca="1"/>
        <v>1</v>
      </c>
      <c r="U222" s="3">
        <f ca="1"/>
        <v>4</v>
      </c>
      <c r="V222" s="3">
        <f ca="1"/>
        <v>4</v>
      </c>
      <c r="W222" s="3">
        <f ca="1"/>
        <v>4</v>
      </c>
      <c r="X222" s="3">
        <f ca="1"/>
        <v>2</v>
      </c>
      <c r="Y222" s="3">
        <f ca="1"/>
        <v>3</v>
      </c>
      <c r="Z222" s="3">
        <f ca="1"/>
        <v>0.43560606060606061</v>
      </c>
      <c r="AA222" s="3">
        <f ca="1"/>
        <v>0.6875</v>
      </c>
      <c r="AB222" s="3">
        <f ca="1"/>
        <v>2</v>
      </c>
      <c r="AC222" s="3">
        <f ca="1"/>
        <v>4</v>
      </c>
      <c r="AD222" s="3" t="str">
        <f ca="1"/>
        <v/>
      </c>
      <c r="AE222" s="3">
        <f ca="1"/>
        <v>4</v>
      </c>
      <c r="AF222" s="3">
        <f ca="1"/>
        <v>4</v>
      </c>
      <c r="AG222" s="3" t="str">
        <f ca="1"/>
        <v>503a58bc-699c-4c65-84cb-cf44b1e0f0d2</v>
      </c>
    </row>
    <row r="223" spans="1:33" ht="14.4" customHeight="1" x14ac:dyDescent="0.3">
      <c r="A223" s="11" t="str">
        <f ca="1"/>
        <v>63a09f8c-fdd5-4224-90fc-2aaaaf92f02b</v>
      </c>
      <c r="D223" s="3">
        <f ca="1"/>
        <v>219</v>
      </c>
      <c r="E223" s="3">
        <f ca="1"/>
        <v>1</v>
      </c>
      <c r="F223" s="3">
        <f ca="1"/>
        <v>1</v>
      </c>
      <c r="G223" s="3">
        <f ca="1"/>
        <v>1</v>
      </c>
      <c r="H223" s="3">
        <f ca="1"/>
        <v>1</v>
      </c>
      <c r="I223" s="3">
        <f ca="1"/>
        <v>5</v>
      </c>
      <c r="J223" s="3" t="str">
        <f ca="1"/>
        <v>1 4 7 10</v>
      </c>
      <c r="K223" s="3">
        <f ca="1"/>
        <v>10</v>
      </c>
      <c r="L223" s="3" t="str">
        <f ca="1"/>
        <v>1 3 5 8 2</v>
      </c>
      <c r="M223" s="3">
        <f ca="1"/>
        <v>2</v>
      </c>
      <c r="N223" s="3" t="str">
        <f ca="1"/>
        <v>1 3 8 5 2</v>
      </c>
      <c r="O223" s="3">
        <f ca="1"/>
        <v>3</v>
      </c>
      <c r="P223" s="3" t="str">
        <f ca="1"/>
        <v/>
      </c>
      <c r="Q223" s="3">
        <f ca="1"/>
        <v>0.26785714285714285</v>
      </c>
      <c r="R223" s="3">
        <f ca="1"/>
        <v>0</v>
      </c>
      <c r="S223" s="3">
        <f ca="1"/>
        <v>1</v>
      </c>
      <c r="T223" s="3">
        <f ca="1"/>
        <v>1</v>
      </c>
      <c r="U223" s="3">
        <f ca="1"/>
        <v>4</v>
      </c>
      <c r="V223" s="3">
        <f ca="1"/>
        <v>4</v>
      </c>
      <c r="W223" s="3">
        <f ca="1"/>
        <v>4</v>
      </c>
      <c r="X223" s="3">
        <f ca="1"/>
        <v>2</v>
      </c>
      <c r="Y223" s="3">
        <f ca="1"/>
        <v>3</v>
      </c>
      <c r="Z223" s="3">
        <f ca="1"/>
        <v>0.43560606060606061</v>
      </c>
      <c r="AA223" s="3">
        <f ca="1"/>
        <v>0.6875</v>
      </c>
      <c r="AB223" s="3">
        <f ca="1"/>
        <v>2</v>
      </c>
      <c r="AC223" s="3">
        <f ca="1"/>
        <v>4</v>
      </c>
      <c r="AD223" s="3" t="str">
        <f ca="1"/>
        <v/>
      </c>
      <c r="AE223" s="3">
        <f ca="1"/>
        <v>4</v>
      </c>
      <c r="AF223" s="3">
        <f ca="1"/>
        <v>4</v>
      </c>
      <c r="AG223" s="3" t="str">
        <f ca="1"/>
        <v>63a09f8c-fdd5-4224-90fc-2aaaaf92f02b</v>
      </c>
    </row>
    <row r="224" spans="1:33" ht="14.4" customHeight="1" x14ac:dyDescent="0.3">
      <c r="A224" s="11" t="str">
        <f ca="1"/>
        <v>a18a7068-223e-42df-a50f-ad071b24a51c</v>
      </c>
      <c r="D224" s="3">
        <f ca="1"/>
        <v>220</v>
      </c>
      <c r="E224" s="3">
        <f ca="1"/>
        <v>1</v>
      </c>
      <c r="F224" s="3">
        <f ca="1"/>
        <v>0</v>
      </c>
      <c r="G224" s="3">
        <f ca="1"/>
        <v>0</v>
      </c>
      <c r="H224" s="3">
        <f ca="1"/>
        <v>1</v>
      </c>
      <c r="I224" s="3">
        <f ca="1"/>
        <v>0</v>
      </c>
      <c r="J224" s="3" t="str">
        <f ca="1"/>
        <v>1 4 6 7</v>
      </c>
      <c r="K224" s="3">
        <f ca="1"/>
        <v>10</v>
      </c>
      <c r="L224" s="3" t="str">
        <f ca="1"/>
        <v>2 8</v>
      </c>
      <c r="M224" s="3">
        <f ca="1"/>
        <v>1</v>
      </c>
      <c r="N224" s="3" t="str">
        <f ca="1"/>
        <v>2 8</v>
      </c>
      <c r="O224" s="3">
        <f ca="1"/>
        <v>2</v>
      </c>
      <c r="P224" s="3" t="str">
        <f ca="1"/>
        <v/>
      </c>
      <c r="Q224" s="3">
        <f ca="1"/>
        <v>0.23214285714285715</v>
      </c>
      <c r="R224" s="3">
        <f ca="1"/>
        <v>0</v>
      </c>
      <c r="S224" s="3">
        <f ca="1"/>
        <v>1</v>
      </c>
      <c r="T224" s="3">
        <f ca="1"/>
        <v>1</v>
      </c>
      <c r="U224" s="3">
        <f ca="1"/>
        <v>3</v>
      </c>
      <c r="V224" s="3">
        <f ca="1"/>
        <v>1</v>
      </c>
      <c r="W224" s="3">
        <f ca="1"/>
        <v>1</v>
      </c>
      <c r="X224" s="3">
        <f ca="1"/>
        <v>4</v>
      </c>
      <c r="Y224" s="3">
        <f ca="1"/>
        <v>1</v>
      </c>
      <c r="Z224" s="3">
        <f ca="1"/>
        <v>0.34848484848484851</v>
      </c>
      <c r="AA224" s="3">
        <f ca="1"/>
        <v>6.25E-2</v>
      </c>
      <c r="AB224" s="3">
        <f ca="1"/>
        <v>2</v>
      </c>
      <c r="AC224" s="3">
        <f ca="1"/>
        <v>1</v>
      </c>
      <c r="AD224" s="3" t="str">
        <f ca="1"/>
        <v/>
      </c>
      <c r="AE224" s="3">
        <f ca="1"/>
        <v>2</v>
      </c>
      <c r="AF224" s="3">
        <f ca="1"/>
        <v>1</v>
      </c>
      <c r="AG224" s="3" t="str">
        <f ca="1"/>
        <v>a18a7068-223e-42df-a50f-ad071b24a51c</v>
      </c>
    </row>
    <row r="225" spans="1:33" ht="14.4" customHeight="1" x14ac:dyDescent="0.3">
      <c r="A225" s="11" t="str">
        <f ca="1"/>
        <v>7299f783-4a03-4bef-87d9-50d67f13c3fa</v>
      </c>
      <c r="D225" s="3">
        <f ca="1"/>
        <v>221</v>
      </c>
      <c r="E225" s="3">
        <f ca="1"/>
        <v>1</v>
      </c>
      <c r="F225" s="3">
        <f ca="1"/>
        <v>1</v>
      </c>
      <c r="G225" s="3">
        <f ca="1"/>
        <v>1</v>
      </c>
      <c r="H225" s="3">
        <f ca="1"/>
        <v>1</v>
      </c>
      <c r="I225" s="3">
        <f ca="1"/>
        <v>5</v>
      </c>
      <c r="J225" s="3" t="str">
        <f ca="1"/>
        <v>1 4 6 7</v>
      </c>
      <c r="K225" s="3">
        <f ca="1"/>
        <v>10</v>
      </c>
      <c r="L225" s="3" t="str">
        <f ca="1"/>
        <v>1 2 5 8</v>
      </c>
      <c r="M225" s="3">
        <f ca="1"/>
        <v>2</v>
      </c>
      <c r="N225" s="3" t="str">
        <f ca="1"/>
        <v>2 1 8</v>
      </c>
      <c r="O225" s="3">
        <f ca="1"/>
        <v>2</v>
      </c>
      <c r="P225" s="3" t="str">
        <f ca="1"/>
        <v/>
      </c>
      <c r="Q225" s="3">
        <f ca="1"/>
        <v>0.3035714285714286</v>
      </c>
      <c r="R225" s="3">
        <f ca="1"/>
        <v>0.66666666666666663</v>
      </c>
      <c r="S225" s="3">
        <f ca="1"/>
        <v>1</v>
      </c>
      <c r="T225" s="3">
        <f ca="1"/>
        <v>1</v>
      </c>
      <c r="U225" s="3">
        <f ca="1"/>
        <v>4</v>
      </c>
      <c r="V225" s="3">
        <f ca="1"/>
        <v>2</v>
      </c>
      <c r="W225" s="3">
        <f ca="1"/>
        <v>5</v>
      </c>
      <c r="X225" s="3">
        <f ca="1"/>
        <v>2</v>
      </c>
      <c r="Y225" s="3">
        <f ca="1"/>
        <v>2.5</v>
      </c>
      <c r="Z225" s="3">
        <f ca="1"/>
        <v>0.43560606060606061</v>
      </c>
      <c r="AA225" s="3">
        <f ca="1"/>
        <v>0.3125</v>
      </c>
      <c r="AB225" s="3">
        <f ca="1"/>
        <v>2</v>
      </c>
      <c r="AC225" s="3">
        <f ca="1"/>
        <v>5</v>
      </c>
      <c r="AD225" s="3" t="str">
        <f ca="1"/>
        <v/>
      </c>
      <c r="AE225" s="3">
        <f ca="1"/>
        <v>4</v>
      </c>
      <c r="AF225" s="3">
        <f ca="1"/>
        <v>1</v>
      </c>
      <c r="AG225" s="3" t="str">
        <f ca="1"/>
        <v>7299f783-4a03-4bef-87d9-50d67f13c3fa</v>
      </c>
    </row>
    <row r="226" spans="1:33" ht="14.4" customHeight="1" x14ac:dyDescent="0.3">
      <c r="A226" s="11" t="str">
        <f ca="1"/>
        <v>efe6c157-7c94-41bf-9238-845980ad4313</v>
      </c>
      <c r="D226" s="3">
        <f ca="1"/>
        <v>222</v>
      </c>
      <c r="E226" s="3">
        <f ca="1"/>
        <v>1</v>
      </c>
      <c r="F226" s="3">
        <f ca="1"/>
        <v>1</v>
      </c>
      <c r="G226" s="3">
        <f ca="1"/>
        <v>1</v>
      </c>
      <c r="H226" s="3">
        <f ca="1"/>
        <v>1</v>
      </c>
      <c r="I226" s="3">
        <f ca="1"/>
        <v>5</v>
      </c>
      <c r="J226" s="3" t="str">
        <f ca="1"/>
        <v>1 2 4 3 5 6 7</v>
      </c>
      <c r="K226" s="3">
        <f ca="1"/>
        <v>20</v>
      </c>
      <c r="L226" s="3" t="str">
        <f ca="1"/>
        <v>2 4 8</v>
      </c>
      <c r="M226" s="3">
        <f ca="1"/>
        <v>1</v>
      </c>
      <c r="N226" s="3" t="str">
        <f ca="1"/>
        <v>2 4 8</v>
      </c>
      <c r="O226" s="3">
        <f ca="1"/>
        <v>2</v>
      </c>
      <c r="P226" s="3" t="str">
        <f ca="1"/>
        <v/>
      </c>
      <c r="Q226" s="3">
        <f ca="1"/>
        <v>0.3035714285714286</v>
      </c>
      <c r="R226" s="3">
        <f ca="1"/>
        <v>0.66666666666666663</v>
      </c>
      <c r="S226" s="3">
        <f ca="1"/>
        <v>1</v>
      </c>
      <c r="T226" s="3">
        <f ca="1"/>
        <v>1</v>
      </c>
      <c r="U226" s="3">
        <f ca="1"/>
        <v>4</v>
      </c>
      <c r="V226" s="3">
        <f ca="1"/>
        <v>4</v>
      </c>
      <c r="W226" s="3">
        <f ca="1"/>
        <v>4</v>
      </c>
      <c r="X226" s="3">
        <f ca="1"/>
        <v>2</v>
      </c>
      <c r="Y226" s="3">
        <f ca="1"/>
        <v>3</v>
      </c>
      <c r="Z226" s="3">
        <f ca="1"/>
        <v>0.39015151515151514</v>
      </c>
      <c r="AA226" s="3">
        <f ca="1"/>
        <v>0.4375</v>
      </c>
      <c r="AB226" s="3">
        <f ca="1"/>
        <v>2.5</v>
      </c>
      <c r="AC226" s="3">
        <f ca="1"/>
        <v>4</v>
      </c>
      <c r="AD226" s="3" t="str">
        <f ca="1"/>
        <v/>
      </c>
      <c r="AE226" s="3">
        <f ca="1"/>
        <v>4</v>
      </c>
      <c r="AF226" s="3">
        <f ca="1"/>
        <v>1</v>
      </c>
      <c r="AG226" s="3" t="str">
        <f ca="1"/>
        <v>efe6c157-7c94-41bf-9238-845980ad4313</v>
      </c>
    </row>
    <row r="227" spans="1:33" ht="14.4" customHeight="1" x14ac:dyDescent="0.3">
      <c r="A227" s="11" t="str">
        <f ca="1"/>
        <v>a6bf3794-346d-41da-8af6-8fdd255e8145</v>
      </c>
      <c r="D227" s="3">
        <f ca="1"/>
        <v>223</v>
      </c>
      <c r="E227" s="3">
        <f ca="1"/>
        <v>1</v>
      </c>
      <c r="F227" s="3">
        <f ca="1"/>
        <v>1</v>
      </c>
      <c r="G227" s="3">
        <f ca="1"/>
        <v>1</v>
      </c>
      <c r="H227" s="3">
        <f ca="1"/>
        <v>1</v>
      </c>
      <c r="I227" s="3">
        <f ca="1"/>
        <v>5</v>
      </c>
      <c r="J227" s="3" t="str">
        <f ca="1"/>
        <v>1 4 6 7</v>
      </c>
      <c r="K227" s="3">
        <f ca="1"/>
        <v>10</v>
      </c>
      <c r="L227" s="3" t="str">
        <f ca="1"/>
        <v>1 2 4 8 5</v>
      </c>
      <c r="M227" s="3">
        <f ca="1"/>
        <v>2</v>
      </c>
      <c r="N227" s="3" t="str">
        <f ca="1"/>
        <v>1 2 8</v>
      </c>
      <c r="O227" s="3">
        <f ca="1"/>
        <v>2</v>
      </c>
      <c r="P227" s="3" t="str">
        <f ca="1"/>
        <v/>
      </c>
      <c r="Q227" s="3">
        <f ca="1"/>
        <v>0.375</v>
      </c>
      <c r="R227" s="3">
        <f ca="1"/>
        <v>1</v>
      </c>
      <c r="S227" s="3">
        <f ca="1"/>
        <v>1</v>
      </c>
      <c r="T227" s="3">
        <f ca="1"/>
        <v>1</v>
      </c>
      <c r="U227" s="3">
        <f ca="1"/>
        <v>3</v>
      </c>
      <c r="V227" s="3">
        <f ca="1"/>
        <v>3</v>
      </c>
      <c r="W227" s="3">
        <f ca="1"/>
        <v>4</v>
      </c>
      <c r="X227" s="3">
        <f ca="1"/>
        <v>2</v>
      </c>
      <c r="Y227" s="3">
        <f ca="1"/>
        <v>2.5</v>
      </c>
      <c r="Z227" s="3">
        <f ca="1"/>
        <v>0.39015151515151514</v>
      </c>
      <c r="AA227" s="3">
        <f ca="1"/>
        <v>0.5</v>
      </c>
      <c r="AB227" s="3">
        <f ca="1"/>
        <v>3</v>
      </c>
      <c r="AC227" s="3">
        <f ca="1"/>
        <v>3</v>
      </c>
      <c r="AD227" s="3" t="str">
        <f ca="1"/>
        <v/>
      </c>
      <c r="AE227" s="3">
        <f ca="1"/>
        <v>3</v>
      </c>
      <c r="AF227" s="3">
        <f ca="1"/>
        <v>1</v>
      </c>
      <c r="AG227" s="3" t="str">
        <f ca="1"/>
        <v>a6bf3794-346d-41da-8af6-8fdd255e8145</v>
      </c>
    </row>
    <row r="228" spans="1:33" ht="14.4" customHeight="1" x14ac:dyDescent="0.3">
      <c r="A228" s="11" t="str">
        <f ca="1"/>
        <v>e71b7bcd-7d6c-4fdc-9af1-4d913384b69b</v>
      </c>
      <c r="D228" s="3">
        <f ca="1"/>
        <v>224</v>
      </c>
      <c r="E228" s="3">
        <f ca="1"/>
        <v>1</v>
      </c>
      <c r="F228" s="3">
        <f ca="1"/>
        <v>1</v>
      </c>
      <c r="G228" s="3">
        <f ca="1"/>
        <v>1</v>
      </c>
      <c r="H228" s="3">
        <f ca="1"/>
        <v>1</v>
      </c>
      <c r="I228" s="3">
        <f ca="1"/>
        <v>5</v>
      </c>
      <c r="J228" s="3" t="str">
        <f ca="1"/>
        <v>1 3 6 10 7</v>
      </c>
      <c r="K228" s="3">
        <f ca="1"/>
        <v>15</v>
      </c>
      <c r="L228" s="3" t="str">
        <f ca="1"/>
        <v>1 5 2 4 8</v>
      </c>
      <c r="M228" s="3">
        <f ca="1"/>
        <v>2</v>
      </c>
      <c r="N228" s="3" t="str">
        <f ca="1"/>
        <v>1 2 8 5</v>
      </c>
      <c r="O228" s="3">
        <f ca="1"/>
        <v>3</v>
      </c>
      <c r="P228" s="3" t="str">
        <f ca="1"/>
        <v/>
      </c>
      <c r="Q228" s="3">
        <f ca="1"/>
        <v>0.26785714285714285</v>
      </c>
      <c r="R228" s="3">
        <f ca="1"/>
        <v>1</v>
      </c>
      <c r="S228" s="3">
        <f ca="1"/>
        <v>1</v>
      </c>
      <c r="T228" s="3">
        <f ca="1"/>
        <v>1</v>
      </c>
      <c r="U228" s="3">
        <f ca="1"/>
        <v>4</v>
      </c>
      <c r="V228" s="3">
        <f ca="1"/>
        <v>3</v>
      </c>
      <c r="W228" s="3">
        <f ca="1"/>
        <v>4</v>
      </c>
      <c r="X228" s="3">
        <f ca="1"/>
        <v>2</v>
      </c>
      <c r="Y228" s="3">
        <f ca="1"/>
        <v>3</v>
      </c>
      <c r="Z228" s="3">
        <f ca="1"/>
        <v>0.39015151515151514</v>
      </c>
      <c r="AA228" s="3">
        <f ca="1"/>
        <v>0.3125</v>
      </c>
      <c r="AB228" s="3">
        <f ca="1"/>
        <v>3.5</v>
      </c>
      <c r="AC228" s="3">
        <f ca="1"/>
        <v>4</v>
      </c>
      <c r="AD228" s="3" t="str">
        <f ca="1"/>
        <v/>
      </c>
      <c r="AE228" s="3">
        <f ca="1"/>
        <v>3</v>
      </c>
      <c r="AF228" s="3">
        <f ca="1"/>
        <v>1</v>
      </c>
      <c r="AG228" s="3" t="str">
        <f ca="1"/>
        <v>e71b7bcd-7d6c-4fdc-9af1-4d913384b69b</v>
      </c>
    </row>
    <row r="229" spans="1:33" ht="14.4" customHeight="1" x14ac:dyDescent="0.3">
      <c r="A229" s="11" t="str">
        <f ca="1"/>
        <v>174957dc-f0fd-4361-a33c-339cfaab9b3c</v>
      </c>
      <c r="D229" s="3">
        <f ca="1"/>
        <v>225</v>
      </c>
      <c r="E229" s="3">
        <f ca="1"/>
        <v>1</v>
      </c>
      <c r="F229" s="3">
        <f ca="1"/>
        <v>1</v>
      </c>
      <c r="G229" s="3">
        <f ca="1"/>
        <v>1</v>
      </c>
      <c r="H229" s="3">
        <f ca="1"/>
        <v>1</v>
      </c>
      <c r="I229" s="3">
        <f ca="1"/>
        <v>5</v>
      </c>
      <c r="J229" s="3" t="str">
        <f ca="1"/>
        <v>7 1 4</v>
      </c>
      <c r="K229" s="3">
        <f ca="1"/>
        <v>10</v>
      </c>
      <c r="L229" s="3" t="str">
        <f ca="1"/>
        <v>2 1 8</v>
      </c>
      <c r="M229" s="3">
        <f ca="1"/>
        <v>1</v>
      </c>
      <c r="N229" s="3" t="str">
        <f ca="1"/>
        <v>2 1 8</v>
      </c>
      <c r="O229" s="3">
        <f ca="1"/>
        <v>2</v>
      </c>
      <c r="P229" s="3" t="str">
        <f ca="1"/>
        <v/>
      </c>
      <c r="Q229" s="3">
        <f ca="1"/>
        <v>0.3392857142857143</v>
      </c>
      <c r="R229" s="3">
        <f ca="1"/>
        <v>1</v>
      </c>
      <c r="S229" s="3">
        <f ca="1"/>
        <v>1</v>
      </c>
      <c r="T229" s="3">
        <f ca="1"/>
        <v>1</v>
      </c>
      <c r="U229" s="3">
        <f ca="1"/>
        <v>4</v>
      </c>
      <c r="V229" s="3">
        <f ca="1"/>
        <v>4</v>
      </c>
      <c r="W229" s="3">
        <f ca="1"/>
        <v>5</v>
      </c>
      <c r="X229" s="3">
        <f ca="1"/>
        <v>1</v>
      </c>
      <c r="Y229" s="3">
        <f ca="1"/>
        <v>3.5</v>
      </c>
      <c r="Z229" s="3">
        <f ca="1"/>
        <v>0.30303030303030298</v>
      </c>
      <c r="AA229" s="3">
        <f ca="1"/>
        <v>0.5625</v>
      </c>
      <c r="AB229" s="3">
        <f ca="1"/>
        <v>5</v>
      </c>
      <c r="AC229" s="3">
        <f ca="1"/>
        <v>5</v>
      </c>
      <c r="AD229" s="3" t="str">
        <f ca="1"/>
        <v/>
      </c>
      <c r="AE229" s="3">
        <f ca="1"/>
        <v>4</v>
      </c>
      <c r="AF229" s="3">
        <f ca="1"/>
        <v>1</v>
      </c>
      <c r="AG229" s="3" t="str">
        <f ca="1"/>
        <v>174957dc-f0fd-4361-a33c-339cfaab9b3c</v>
      </c>
    </row>
    <row r="230" spans="1:33" ht="14.4" customHeight="1" x14ac:dyDescent="0.3">
      <c r="A230" s="11" t="str">
        <f ca="1"/>
        <v>028ce90d-973a-41f7-837d-8b490e0491b5</v>
      </c>
      <c r="D230" s="3">
        <f ca="1"/>
        <v>226</v>
      </c>
      <c r="E230" s="3">
        <f ca="1"/>
        <v>0</v>
      </c>
      <c r="F230" s="3">
        <f ca="1"/>
        <v>0</v>
      </c>
      <c r="G230" s="3">
        <f ca="1"/>
        <v>1</v>
      </c>
      <c r="H230" s="3">
        <f ca="1"/>
        <v>1</v>
      </c>
      <c r="I230" s="3">
        <f ca="1"/>
        <v>0</v>
      </c>
      <c r="J230" s="3" t="str">
        <f ca="1"/>
        <v>1 4 7</v>
      </c>
      <c r="K230" s="3">
        <f ca="1"/>
        <v>10</v>
      </c>
      <c r="L230" s="3">
        <f ca="1"/>
        <v>4</v>
      </c>
      <c r="M230" s="3">
        <f ca="1"/>
        <v>0</v>
      </c>
      <c r="N230" s="3" t="str">
        <f ca="1"/>
        <v>4 2</v>
      </c>
      <c r="O230" s="3">
        <f ca="1"/>
        <v>2</v>
      </c>
      <c r="P230" s="3" t="str">
        <f ca="1"/>
        <v/>
      </c>
      <c r="Q230" s="3">
        <f ca="1"/>
        <v>0.19642857142857142</v>
      </c>
      <c r="R230" s="3">
        <f ca="1"/>
        <v>0</v>
      </c>
      <c r="S230" s="3">
        <f ca="1"/>
        <v>1</v>
      </c>
      <c r="T230" s="3">
        <f ca="1"/>
        <v>1</v>
      </c>
      <c r="U230" s="3">
        <f ca="1"/>
        <v>1</v>
      </c>
      <c r="V230" s="3">
        <f ca="1"/>
        <v>1</v>
      </c>
      <c r="W230" s="3">
        <f ca="1"/>
        <v>1</v>
      </c>
      <c r="X230" s="3">
        <f ca="1"/>
        <v>4</v>
      </c>
      <c r="Y230" s="3">
        <f ca="1"/>
        <v>1</v>
      </c>
      <c r="Z230" s="3">
        <f ca="1"/>
        <v>0.26136363636363635</v>
      </c>
      <c r="AA230" s="3">
        <f ca="1"/>
        <v>6.25E-2</v>
      </c>
      <c r="AB230" s="3">
        <f ca="1"/>
        <v>2</v>
      </c>
      <c r="AC230" s="3">
        <f ca="1"/>
        <v>1</v>
      </c>
      <c r="AD230" s="3" t="str">
        <f ca="1"/>
        <v/>
      </c>
      <c r="AE230" s="3">
        <f ca="1"/>
        <v>4</v>
      </c>
      <c r="AF230" s="3">
        <f ca="1"/>
        <v>1</v>
      </c>
      <c r="AG230" s="3" t="str">
        <f ca="1"/>
        <v>028ce90d-973a-41f7-837d-8b490e0491b5</v>
      </c>
    </row>
    <row r="231" spans="1:33" ht="14.4" customHeight="1" x14ac:dyDescent="0.3">
      <c r="A231" s="11" t="str">
        <f ca="1"/>
        <v>cd1ee8ef-851d-48d6-8f25-97930a486b7d</v>
      </c>
      <c r="D231" s="3">
        <f ca="1"/>
        <v>227</v>
      </c>
      <c r="E231" s="3">
        <f ca="1"/>
        <v>1</v>
      </c>
      <c r="F231" s="3">
        <f ca="1"/>
        <v>1</v>
      </c>
      <c r="G231" s="3">
        <f ca="1"/>
        <v>1</v>
      </c>
      <c r="H231" s="3">
        <f ca="1"/>
        <v>1</v>
      </c>
      <c r="I231" s="3">
        <f ca="1"/>
        <v>5</v>
      </c>
      <c r="J231" s="3" t="str">
        <f ca="1"/>
        <v>7 1</v>
      </c>
      <c r="K231" s="3">
        <f ca="1"/>
        <v>5</v>
      </c>
      <c r="L231" s="3" t="str">
        <f ca="1"/>
        <v>2 1 8</v>
      </c>
      <c r="M231" s="3">
        <f ca="1"/>
        <v>1</v>
      </c>
      <c r="N231" s="3" t="str">
        <f ca="1"/>
        <v>1 99</v>
      </c>
      <c r="O231" s="3">
        <f ca="1"/>
        <v>2</v>
      </c>
      <c r="P231" s="3" t="str">
        <f ca="1"/>
        <v/>
      </c>
      <c r="Q231" s="3">
        <f ca="1"/>
        <v>0.3035714285714286</v>
      </c>
      <c r="R231" s="3">
        <f ca="1"/>
        <v>1</v>
      </c>
      <c r="S231" s="3">
        <f ca="1"/>
        <v>1</v>
      </c>
      <c r="T231" s="3">
        <f ca="1"/>
        <v>2</v>
      </c>
      <c r="U231" s="3">
        <f ca="1"/>
        <v>3</v>
      </c>
      <c r="V231" s="3">
        <f ca="1"/>
        <v>4</v>
      </c>
      <c r="W231" s="3">
        <f ca="1"/>
        <v>5</v>
      </c>
      <c r="X231" s="3">
        <f ca="1"/>
        <v>2</v>
      </c>
      <c r="Y231" s="3">
        <f ca="1"/>
        <v>4</v>
      </c>
      <c r="Z231" s="3">
        <f ca="1"/>
        <v>0.26136363636363635</v>
      </c>
      <c r="AA231" s="3">
        <f ca="1"/>
        <v>0.4375</v>
      </c>
      <c r="AB231" s="3">
        <f ca="1"/>
        <v>3</v>
      </c>
      <c r="AC231" s="3">
        <f ca="1"/>
        <v>5</v>
      </c>
      <c r="AD231" s="3" t="str">
        <f ca="1"/>
        <v/>
      </c>
      <c r="AE231" s="3">
        <f ca="1"/>
        <v>3</v>
      </c>
      <c r="AF231" s="3">
        <f ca="1"/>
        <v>1</v>
      </c>
      <c r="AG231" s="3" t="str">
        <f ca="1"/>
        <v>cd1ee8ef-851d-48d6-8f25-97930a486b7d</v>
      </c>
    </row>
    <row r="232" spans="1:33" ht="14.4" customHeight="1" x14ac:dyDescent="0.3">
      <c r="A232" s="11" t="str">
        <f ca="1"/>
        <v>86ea60be-eaff-4b83-a3f3-10f7080bc46f</v>
      </c>
      <c r="D232" s="3">
        <f ca="1"/>
        <v>228</v>
      </c>
      <c r="E232" s="3">
        <f ca="1"/>
        <v>0</v>
      </c>
      <c r="F232" s="3">
        <f ca="1"/>
        <v>1</v>
      </c>
      <c r="G232" s="3">
        <f ca="1"/>
        <v>0</v>
      </c>
      <c r="H232" s="3">
        <f ca="1"/>
        <v>1</v>
      </c>
      <c r="I232" s="3">
        <f ca="1"/>
        <v>0</v>
      </c>
      <c r="J232" s="3" t="str">
        <f ca="1"/>
        <v>1 4 10 7 6</v>
      </c>
      <c r="K232" s="3">
        <f ca="1"/>
        <v>15</v>
      </c>
      <c r="L232" s="3" t="str">
        <f ca="1"/>
        <v>8 4 1</v>
      </c>
      <c r="M232" s="3">
        <f ca="1"/>
        <v>1</v>
      </c>
      <c r="N232" s="3" t="str">
        <f ca="1"/>
        <v>1 8</v>
      </c>
      <c r="O232" s="3">
        <f ca="1"/>
        <v>2</v>
      </c>
      <c r="P232" s="3" t="str">
        <f ca="1"/>
        <v/>
      </c>
      <c r="Q232" s="3">
        <f ca="1"/>
        <v>0.26785714285714285</v>
      </c>
      <c r="R232" s="3">
        <f ca="1"/>
        <v>0</v>
      </c>
      <c r="S232" s="3">
        <f ca="1"/>
        <v>1</v>
      </c>
      <c r="T232" s="3">
        <f ca="1"/>
        <v>1</v>
      </c>
      <c r="U232" s="3">
        <f ca="1"/>
        <v>1</v>
      </c>
      <c r="V232" s="3">
        <f ca="1"/>
        <v>1</v>
      </c>
      <c r="W232" s="3">
        <f ca="1"/>
        <v>1</v>
      </c>
      <c r="X232" s="3">
        <f ca="1"/>
        <v>4</v>
      </c>
      <c r="Y232" s="3">
        <f ca="1"/>
        <v>1</v>
      </c>
      <c r="Z232" s="3">
        <f ca="1"/>
        <v>0.30681818181818182</v>
      </c>
      <c r="AA232" s="3">
        <f ca="1"/>
        <v>0.25</v>
      </c>
      <c r="AB232" s="3">
        <f ca="1"/>
        <v>2</v>
      </c>
      <c r="AC232" s="3">
        <f ca="1"/>
        <v>1</v>
      </c>
      <c r="AD232" s="3" t="str">
        <f ca="1"/>
        <v/>
      </c>
      <c r="AE232" s="3">
        <f ca="1"/>
        <v>5</v>
      </c>
      <c r="AF232" s="3">
        <f ca="1"/>
        <v>1</v>
      </c>
      <c r="AG232" s="3" t="str">
        <f ca="1"/>
        <v>86ea60be-eaff-4b83-a3f3-10f7080bc46f</v>
      </c>
    </row>
    <row r="233" spans="1:33" ht="14.4" customHeight="1" x14ac:dyDescent="0.3">
      <c r="A233" s="11" t="str">
        <f ca="1"/>
        <v>5708c9f9-73a1-4ba0-aba1-5e59ed989cde</v>
      </c>
      <c r="D233" s="3">
        <f ca="1"/>
        <v>229</v>
      </c>
      <c r="E233" s="3">
        <f ca="1"/>
        <v>1</v>
      </c>
      <c r="F233" s="3">
        <f ca="1"/>
        <v>1</v>
      </c>
      <c r="G233" s="3">
        <f ca="1"/>
        <v>1</v>
      </c>
      <c r="H233" s="3">
        <f ca="1"/>
        <v>1</v>
      </c>
      <c r="I233" s="3">
        <f ca="1"/>
        <v>5</v>
      </c>
      <c r="J233" s="3" t="str">
        <f ca="1"/>
        <v>1 4 6 7</v>
      </c>
      <c r="K233" s="3">
        <f ca="1"/>
        <v>10</v>
      </c>
      <c r="L233" s="3" t="str">
        <f ca="1"/>
        <v>1 2 4 8</v>
      </c>
      <c r="M233" s="3">
        <f ca="1"/>
        <v>2</v>
      </c>
      <c r="N233" s="3" t="str">
        <f ca="1"/>
        <v>1 2 4 8</v>
      </c>
      <c r="O233" s="3">
        <f ca="1"/>
        <v>3</v>
      </c>
      <c r="P233" s="3" t="str">
        <f ca="1"/>
        <v/>
      </c>
      <c r="Q233" s="3">
        <f ca="1"/>
        <v>0.26785714285714285</v>
      </c>
      <c r="R233" s="3">
        <f ca="1"/>
        <v>0.66666666666666663</v>
      </c>
      <c r="S233" s="3">
        <f ca="1"/>
        <v>1</v>
      </c>
      <c r="T233" s="3">
        <f ca="1"/>
        <v>1</v>
      </c>
      <c r="U233" s="3">
        <f ca="1"/>
        <v>3</v>
      </c>
      <c r="V233" s="3">
        <f ca="1"/>
        <v>3</v>
      </c>
      <c r="W233" s="3">
        <f ca="1"/>
        <v>4</v>
      </c>
      <c r="X233" s="3">
        <f ca="1"/>
        <v>2</v>
      </c>
      <c r="Y233" s="3">
        <f ca="1"/>
        <v>3</v>
      </c>
      <c r="Z233" s="3">
        <f ca="1"/>
        <v>0.34848484848484851</v>
      </c>
      <c r="AA233" s="3">
        <f ca="1"/>
        <v>0.5</v>
      </c>
      <c r="AB233" s="3">
        <f ca="1"/>
        <v>4.5</v>
      </c>
      <c r="AC233" s="3">
        <f ca="1"/>
        <v>4</v>
      </c>
      <c r="AD233" s="3" t="str">
        <f ca="1"/>
        <v/>
      </c>
      <c r="AE233" s="3">
        <f ca="1"/>
        <v>4</v>
      </c>
      <c r="AF233" s="3">
        <f ca="1"/>
        <v>1</v>
      </c>
      <c r="AG233" s="3" t="str">
        <f ca="1"/>
        <v>5708c9f9-73a1-4ba0-aba1-5e59ed989cde</v>
      </c>
    </row>
    <row r="234" spans="1:33" ht="14.4" customHeight="1" x14ac:dyDescent="0.3">
      <c r="A234" s="11" t="str">
        <f ca="1"/>
        <v>11f5edcf-e9a8-4166-b900-4fe95d4181db</v>
      </c>
      <c r="D234" s="3">
        <f ca="1"/>
        <v>230</v>
      </c>
      <c r="E234" s="3">
        <f ca="1"/>
        <v>0</v>
      </c>
      <c r="F234" s="3">
        <f ca="1"/>
        <v>0</v>
      </c>
      <c r="G234" s="3">
        <f ca="1"/>
        <v>1</v>
      </c>
      <c r="H234" s="3">
        <f ca="1"/>
        <v>1</v>
      </c>
      <c r="I234" s="3">
        <f ca="1"/>
        <v>0</v>
      </c>
      <c r="J234" s="3">
        <f ca="1"/>
        <v>1</v>
      </c>
      <c r="K234" s="3">
        <f ca="1"/>
        <v>5</v>
      </c>
      <c r="L234" s="3">
        <f ca="1"/>
        <v>1</v>
      </c>
      <c r="M234" s="3">
        <f ca="1"/>
        <v>0</v>
      </c>
      <c r="N234" s="3">
        <f ca="1"/>
        <v>1</v>
      </c>
      <c r="O234" s="3">
        <f ca="1"/>
        <v>1</v>
      </c>
      <c r="P234" s="3" t="str">
        <f ca="1"/>
        <v/>
      </c>
      <c r="Q234" s="3">
        <f ca="1"/>
        <v>0.19642857142857142</v>
      </c>
      <c r="R234" s="3">
        <f ca="1"/>
        <v>0.33333333333333331</v>
      </c>
      <c r="S234" s="3">
        <f ca="1"/>
        <v>1</v>
      </c>
      <c r="T234" s="3">
        <f ca="1"/>
        <v>3</v>
      </c>
      <c r="U234" s="3">
        <f ca="1"/>
        <v>3</v>
      </c>
      <c r="V234" s="3">
        <f ca="1"/>
        <v>3</v>
      </c>
      <c r="W234" s="3">
        <f ca="1"/>
        <v>4</v>
      </c>
      <c r="X234" s="3">
        <f ca="1"/>
        <v>2</v>
      </c>
      <c r="Y234" s="3">
        <f ca="1"/>
        <v>3</v>
      </c>
      <c r="Z234" s="3">
        <f ca="1"/>
        <v>0.17803030303030301</v>
      </c>
      <c r="AA234" s="3">
        <f ca="1"/>
        <v>0.3125</v>
      </c>
      <c r="AB234" s="3">
        <f ca="1"/>
        <v>1.5</v>
      </c>
      <c r="AC234" s="3">
        <f ca="1"/>
        <v>3</v>
      </c>
      <c r="AD234" s="3" t="str">
        <f ca="1"/>
        <v/>
      </c>
      <c r="AE234" s="3">
        <f ca="1"/>
        <v>2</v>
      </c>
      <c r="AF234" s="3">
        <f ca="1"/>
        <v>1</v>
      </c>
      <c r="AG234" s="3" t="str">
        <f ca="1"/>
        <v>11f5edcf-e9a8-4166-b900-4fe95d4181db</v>
      </c>
    </row>
    <row r="235" spans="1:33" ht="14.4" customHeight="1" x14ac:dyDescent="0.3">
      <c r="A235" s="11" t="str">
        <f ca="1"/>
        <v>10d346b0-67ed-48c5-9240-8cc0ce6caede</v>
      </c>
      <c r="D235" s="3">
        <f ca="1"/>
        <v>231</v>
      </c>
      <c r="E235" s="3">
        <f ca="1"/>
        <v>1</v>
      </c>
      <c r="F235" s="3">
        <f ca="1"/>
        <v>1</v>
      </c>
      <c r="G235" s="3">
        <f ca="1"/>
        <v>1</v>
      </c>
      <c r="H235" s="3">
        <f ca="1"/>
        <v>1</v>
      </c>
      <c r="I235" s="3">
        <f ca="1"/>
        <v>5</v>
      </c>
      <c r="J235" s="3" t="str">
        <f ca="1"/>
        <v>1 6 4</v>
      </c>
      <c r="K235" s="3">
        <f ca="1"/>
        <v>10</v>
      </c>
      <c r="L235" s="3" t="str">
        <f ca="1"/>
        <v>1 3</v>
      </c>
      <c r="M235" s="3">
        <f ca="1"/>
        <v>1</v>
      </c>
      <c r="N235" s="3">
        <f ca="1"/>
        <v>1</v>
      </c>
      <c r="O235" s="3">
        <f ca="1"/>
        <v>1</v>
      </c>
      <c r="P235" s="3" t="str">
        <f ca="1"/>
        <v/>
      </c>
      <c r="Q235" s="3">
        <f ca="1"/>
        <v>0.19642857142857142</v>
      </c>
      <c r="R235" s="3">
        <f ca="1"/>
        <v>0.66666666666666663</v>
      </c>
      <c r="S235" s="3">
        <f ca="1"/>
        <v>1</v>
      </c>
      <c r="T235" s="3">
        <f ca="1"/>
        <v>1</v>
      </c>
      <c r="U235" s="3">
        <f ca="1"/>
        <v>3</v>
      </c>
      <c r="V235" s="3">
        <f ca="1"/>
        <v>2</v>
      </c>
      <c r="W235" s="3">
        <f ca="1"/>
        <v>4</v>
      </c>
      <c r="X235" s="3">
        <f ca="1"/>
        <v>2</v>
      </c>
      <c r="Y235" s="3">
        <f ca="1"/>
        <v>3</v>
      </c>
      <c r="Z235" s="3">
        <f ca="1"/>
        <v>0.26136363636363635</v>
      </c>
      <c r="AA235" s="3">
        <f ca="1"/>
        <v>0.375</v>
      </c>
      <c r="AB235" s="3">
        <f ca="1"/>
        <v>2</v>
      </c>
      <c r="AC235" s="3">
        <f ca="1"/>
        <v>4</v>
      </c>
      <c r="AD235" s="3" t="str">
        <f ca="1"/>
        <v/>
      </c>
      <c r="AE235" s="3">
        <f ca="1"/>
        <v>2</v>
      </c>
      <c r="AF235" s="3">
        <f ca="1"/>
        <v>1</v>
      </c>
      <c r="AG235" s="3" t="str">
        <f ca="1"/>
        <v>10d346b0-67ed-48c5-9240-8cc0ce6caede</v>
      </c>
    </row>
    <row r="236" spans="1:33" ht="14.4" customHeight="1" x14ac:dyDescent="0.3">
      <c r="A236" s="11" t="str">
        <f ca="1"/>
        <v>8800f9d2-9468-455b-80c8-4e32a52eac7f</v>
      </c>
      <c r="D236" s="3">
        <f ca="1"/>
        <v>232</v>
      </c>
      <c r="E236" s="3">
        <f ca="1"/>
        <v>1</v>
      </c>
      <c r="F236" s="3">
        <f ca="1"/>
        <v>1</v>
      </c>
      <c r="G236" s="3">
        <f ca="1"/>
        <v>1</v>
      </c>
      <c r="H236" s="3">
        <f ca="1"/>
        <v>1</v>
      </c>
      <c r="I236" s="3">
        <f ca="1"/>
        <v>5</v>
      </c>
      <c r="J236" s="3" t="str">
        <f ca="1"/>
        <v>1 4 6 7 10</v>
      </c>
      <c r="K236" s="3">
        <f ca="1"/>
        <v>15</v>
      </c>
      <c r="L236" s="3" t="str">
        <f ca="1"/>
        <v>1 2 3 5 8</v>
      </c>
      <c r="M236" s="3">
        <f ca="1"/>
        <v>2</v>
      </c>
      <c r="N236" s="3" t="str">
        <f ca="1"/>
        <v>1 2 3 5 8</v>
      </c>
      <c r="O236" s="3">
        <f ca="1"/>
        <v>3</v>
      </c>
      <c r="P236" s="3" t="str">
        <f ca="1"/>
        <v/>
      </c>
      <c r="Q236" s="3">
        <f ca="1"/>
        <v>0.39285714285714285</v>
      </c>
      <c r="R236" s="3">
        <f ca="1"/>
        <v>0</v>
      </c>
      <c r="S236" s="3">
        <f ca="1"/>
        <v>1</v>
      </c>
      <c r="T236" s="3">
        <f ca="1"/>
        <v>1</v>
      </c>
      <c r="U236" s="3">
        <f ca="1"/>
        <v>5</v>
      </c>
      <c r="V236" s="3">
        <f ca="1"/>
        <v>3</v>
      </c>
      <c r="W236" s="3">
        <f ca="1"/>
        <v>5</v>
      </c>
      <c r="X236" s="3">
        <f ca="1"/>
        <v>2</v>
      </c>
      <c r="Y236" s="3">
        <f ca="1"/>
        <v>3</v>
      </c>
      <c r="Z236" s="3">
        <f ca="1"/>
        <v>0.43560606060606061</v>
      </c>
      <c r="AA236" s="3">
        <f ca="1"/>
        <v>0.625</v>
      </c>
      <c r="AB236" s="3">
        <f ca="1"/>
        <v>2</v>
      </c>
      <c r="AC236" s="3">
        <f ca="1"/>
        <v>5</v>
      </c>
      <c r="AD236" s="3" t="str">
        <f ca="1"/>
        <v/>
      </c>
      <c r="AE236" s="3">
        <f ca="1"/>
        <v>4</v>
      </c>
      <c r="AF236" s="3">
        <f ca="1"/>
        <v>3</v>
      </c>
      <c r="AG236" s="3" t="str">
        <f ca="1"/>
        <v>8800f9d2-9468-455b-80c8-4e32a52eac7f</v>
      </c>
    </row>
    <row r="237" spans="1:33" ht="14.4" customHeight="1" x14ac:dyDescent="0.3">
      <c r="A237" s="11" t="str">
        <f ca="1"/>
        <v>9e6db17f-d2f0-4eef-8c0d-bd91bb4c3f96</v>
      </c>
      <c r="D237" s="3">
        <f ca="1"/>
        <v>233</v>
      </c>
      <c r="E237" s="3">
        <f ca="1"/>
        <v>0</v>
      </c>
      <c r="F237" s="3">
        <f ca="1"/>
        <v>0</v>
      </c>
      <c r="G237" s="3">
        <f ca="1"/>
        <v>1</v>
      </c>
      <c r="H237" s="3">
        <f ca="1"/>
        <v>1</v>
      </c>
      <c r="I237" s="3">
        <f ca="1"/>
        <v>0</v>
      </c>
      <c r="J237" s="3" t="str">
        <f ca="1"/>
        <v>1 6 7 4</v>
      </c>
      <c r="K237" s="3">
        <f ca="1"/>
        <v>10</v>
      </c>
      <c r="L237" s="3" t="str">
        <f ca="1"/>
        <v>1 3 4</v>
      </c>
      <c r="M237" s="3">
        <f ca="1"/>
        <v>1</v>
      </c>
      <c r="N237" s="3" t="str">
        <f ca="1"/>
        <v>1 2</v>
      </c>
      <c r="O237" s="3">
        <f ca="1"/>
        <v>2</v>
      </c>
      <c r="P237" s="3" t="str">
        <f ca="1"/>
        <v/>
      </c>
      <c r="Q237" s="3">
        <f ca="1"/>
        <v>0.23214285714285715</v>
      </c>
      <c r="R237" s="3">
        <f ca="1"/>
        <v>1</v>
      </c>
      <c r="S237" s="3">
        <f ca="1"/>
        <v>1</v>
      </c>
      <c r="T237" s="3">
        <f ca="1"/>
        <v>1</v>
      </c>
      <c r="U237" s="3">
        <f ca="1"/>
        <v>4</v>
      </c>
      <c r="V237" s="3">
        <f ca="1"/>
        <v>1</v>
      </c>
      <c r="W237" s="3">
        <f ca="1"/>
        <v>5</v>
      </c>
      <c r="X237" s="3">
        <f ca="1"/>
        <v>1</v>
      </c>
      <c r="Y237" s="3">
        <f ca="1"/>
        <v>4</v>
      </c>
      <c r="Z237" s="3">
        <f ca="1"/>
        <v>0.21969696969696967</v>
      </c>
      <c r="AA237" s="3">
        <f ca="1"/>
        <v>0.5625</v>
      </c>
      <c r="AB237" s="3">
        <f ca="1"/>
        <v>4</v>
      </c>
      <c r="AC237" s="3">
        <f ca="1"/>
        <v>5</v>
      </c>
      <c r="AD237" s="3" t="str">
        <f ca="1"/>
        <v/>
      </c>
      <c r="AE237" s="3">
        <f ca="1"/>
        <v>5</v>
      </c>
      <c r="AF237" s="3">
        <f ca="1"/>
        <v>5</v>
      </c>
      <c r="AG237" s="3" t="str">
        <f ca="1"/>
        <v>9e6db17f-d2f0-4eef-8c0d-bd91bb4c3f96</v>
      </c>
    </row>
    <row r="238" spans="1:33" ht="14.4" customHeight="1" x14ac:dyDescent="0.3">
      <c r="A238" s="11" t="str">
        <f ca="1"/>
        <v>f19cc1ba-d9d6-42ff-9a6f-b1223136b4a0</v>
      </c>
      <c r="D238" s="3">
        <f ca="1"/>
        <v>234</v>
      </c>
      <c r="E238" s="3">
        <f ca="1"/>
        <v>1</v>
      </c>
      <c r="F238" s="3">
        <f ca="1"/>
        <v>1</v>
      </c>
      <c r="G238" s="3">
        <f ca="1"/>
        <v>1</v>
      </c>
      <c r="H238" s="3">
        <f ca="1"/>
        <v>1</v>
      </c>
      <c r="I238" s="3">
        <f ca="1"/>
        <v>5</v>
      </c>
      <c r="J238" s="3" t="str">
        <f ca="1"/>
        <v>1 10 4 6</v>
      </c>
      <c r="K238" s="3">
        <f ca="1"/>
        <v>10</v>
      </c>
      <c r="L238" s="3" t="str">
        <f ca="1"/>
        <v>1 4 5</v>
      </c>
      <c r="M238" s="3">
        <f ca="1"/>
        <v>1</v>
      </c>
      <c r="N238" s="3" t="str">
        <f ca="1"/>
        <v>1 2</v>
      </c>
      <c r="O238" s="3">
        <f ca="1"/>
        <v>2</v>
      </c>
      <c r="P238" s="3" t="str">
        <f ca="1"/>
        <v/>
      </c>
      <c r="Q238" s="3">
        <f ca="1"/>
        <v>0.35714285714285715</v>
      </c>
      <c r="R238" s="3">
        <f ca="1"/>
        <v>0</v>
      </c>
      <c r="S238" s="3">
        <f ca="1"/>
        <v>1</v>
      </c>
      <c r="T238" s="3">
        <f ca="1"/>
        <v>1</v>
      </c>
      <c r="U238" s="3">
        <f ca="1"/>
        <v>3</v>
      </c>
      <c r="V238" s="3">
        <f ca="1"/>
        <v>2</v>
      </c>
      <c r="W238" s="3">
        <f ca="1"/>
        <v>4</v>
      </c>
      <c r="X238" s="3">
        <f ca="1"/>
        <v>5</v>
      </c>
      <c r="Y238" s="3">
        <f ca="1"/>
        <v>2.5</v>
      </c>
      <c r="Z238" s="3">
        <f ca="1"/>
        <v>0.12878787878787878</v>
      </c>
      <c r="AA238" s="3">
        <f ca="1"/>
        <v>0.3125</v>
      </c>
      <c r="AB238" s="3">
        <f ca="1"/>
        <v>3</v>
      </c>
      <c r="AC238" s="3">
        <f ca="1"/>
        <v>4</v>
      </c>
      <c r="AD238" s="3" t="str">
        <f ca="1"/>
        <v/>
      </c>
      <c r="AE238" s="3">
        <f ca="1"/>
        <v>2</v>
      </c>
      <c r="AF238" s="3">
        <f ca="1"/>
        <v>1</v>
      </c>
      <c r="AG238" s="3" t="str">
        <f ca="1"/>
        <v>f19cc1ba-d9d6-42ff-9a6f-b1223136b4a0</v>
      </c>
    </row>
    <row r="239" spans="1:33" ht="14.4" customHeight="1" x14ac:dyDescent="0.3">
      <c r="A239" s="11" t="str">
        <f ca="1"/>
        <v>8c60e83f-1052-4ec3-bcdd-4d63a742ddb7</v>
      </c>
      <c r="D239" s="3">
        <f ca="1"/>
        <v>235</v>
      </c>
      <c r="E239" s="3">
        <f ca="1"/>
        <v>1</v>
      </c>
      <c r="F239" s="3">
        <f ca="1"/>
        <v>1</v>
      </c>
      <c r="G239" s="3">
        <f ca="1"/>
        <v>1</v>
      </c>
      <c r="H239" s="3">
        <f ca="1"/>
        <v>0</v>
      </c>
      <c r="I239" s="3">
        <f ca="1"/>
        <v>2.5</v>
      </c>
      <c r="J239" s="3" t="str">
        <f ca="1"/>
        <v>6 2 1 4</v>
      </c>
      <c r="K239" s="3">
        <f ca="1"/>
        <v>10</v>
      </c>
      <c r="L239" s="3" t="str">
        <f ca="1"/>
        <v>1 2 5</v>
      </c>
      <c r="M239" s="3">
        <f ca="1"/>
        <v>1</v>
      </c>
      <c r="N239" s="3" t="str">
        <f ca="1"/>
        <v>1 2</v>
      </c>
      <c r="O239" s="3">
        <f ca="1"/>
        <v>2</v>
      </c>
      <c r="P239" s="3" t="str">
        <f ca="1"/>
        <v/>
      </c>
      <c r="Q239" s="3">
        <f ca="1"/>
        <v>0.26785714285714285</v>
      </c>
      <c r="R239" s="3">
        <f ca="1"/>
        <v>0.66666666666666663</v>
      </c>
      <c r="S239" s="3">
        <f ca="1"/>
        <v>1</v>
      </c>
      <c r="T239" s="3">
        <f ca="1"/>
        <v>1</v>
      </c>
      <c r="U239" s="3">
        <f ca="1"/>
        <v>5</v>
      </c>
      <c r="V239" s="3">
        <f ca="1"/>
        <v>2</v>
      </c>
      <c r="W239" s="3">
        <f ca="1"/>
        <v>5</v>
      </c>
      <c r="X239" s="3">
        <f ca="1"/>
        <v>3</v>
      </c>
      <c r="Y239" s="3">
        <f ca="1"/>
        <v>4</v>
      </c>
      <c r="Z239" s="3">
        <f ca="1"/>
        <v>0.17803030303030301</v>
      </c>
      <c r="AA239" s="3">
        <f ca="1"/>
        <v>0.625</v>
      </c>
      <c r="AB239" s="3">
        <f ca="1"/>
        <v>3</v>
      </c>
      <c r="AC239" s="3">
        <f ca="1"/>
        <v>5</v>
      </c>
      <c r="AD239" s="3" t="str">
        <f ca="1"/>
        <v/>
      </c>
      <c r="AE239" s="3">
        <f ca="1"/>
        <v>3</v>
      </c>
      <c r="AF239" s="3">
        <f ca="1"/>
        <v>2</v>
      </c>
      <c r="AG239" s="3" t="str">
        <f ca="1"/>
        <v>8c60e83f-1052-4ec3-bcdd-4d63a742ddb7</v>
      </c>
    </row>
    <row r="240" spans="1:33" ht="14.4" customHeight="1" x14ac:dyDescent="0.3">
      <c r="A240" s="11" t="str">
        <f ca="1"/>
        <v>3fec4c25-d4af-43f4-8979-f74fb42aefc7</v>
      </c>
      <c r="D240" s="3">
        <f ca="1"/>
        <v>236</v>
      </c>
      <c r="E240" s="3">
        <f ca="1"/>
        <v>1</v>
      </c>
      <c r="F240" s="3">
        <f ca="1"/>
        <v>1</v>
      </c>
      <c r="G240" s="3">
        <f ca="1"/>
        <v>1</v>
      </c>
      <c r="H240" s="3">
        <f ca="1"/>
        <v>0</v>
      </c>
      <c r="I240" s="3">
        <f ca="1"/>
        <v>2.5</v>
      </c>
      <c r="J240" s="3" t="str">
        <f ca="1"/>
        <v>1 4 6</v>
      </c>
      <c r="K240" s="3">
        <f ca="1"/>
        <v>10</v>
      </c>
      <c r="L240" s="3" t="str">
        <f ca="1"/>
        <v>1 8</v>
      </c>
      <c r="M240" s="3">
        <f ca="1"/>
        <v>1</v>
      </c>
      <c r="N240" s="3" t="str">
        <f ca="1"/>
        <v>8 5</v>
      </c>
      <c r="O240" s="3">
        <f ca="1"/>
        <v>2</v>
      </c>
      <c r="P240" s="3" t="str">
        <f ca="1"/>
        <v/>
      </c>
      <c r="Q240" s="3">
        <f ca="1"/>
        <v>0.19642857142857142</v>
      </c>
      <c r="R240" s="3">
        <f ca="1"/>
        <v>0</v>
      </c>
      <c r="S240" s="3">
        <f ca="1"/>
        <v>1</v>
      </c>
      <c r="T240" s="3">
        <f ca="1"/>
        <v>1</v>
      </c>
      <c r="U240" s="3">
        <f ca="1"/>
        <v>2</v>
      </c>
      <c r="V240" s="3">
        <f ca="1"/>
        <v>1</v>
      </c>
      <c r="W240" s="3">
        <f ca="1"/>
        <v>2</v>
      </c>
      <c r="X240" s="3">
        <f ca="1"/>
        <v>3</v>
      </c>
      <c r="Y240" s="3">
        <f ca="1"/>
        <v>3.5</v>
      </c>
      <c r="Z240" s="3">
        <f ca="1"/>
        <v>0.17045454545454547</v>
      </c>
      <c r="AA240" s="3">
        <f ca="1"/>
        <v>0.1875</v>
      </c>
      <c r="AB240" s="3">
        <f ca="1"/>
        <v>2</v>
      </c>
      <c r="AC240" s="3">
        <f ca="1"/>
        <v>2</v>
      </c>
      <c r="AD240" s="3" t="str">
        <f ca="1"/>
        <v/>
      </c>
      <c r="AE240" s="3">
        <f ca="1"/>
        <v>2</v>
      </c>
      <c r="AF240" s="3">
        <f ca="1"/>
        <v>2</v>
      </c>
      <c r="AG240" s="3" t="str">
        <f ca="1"/>
        <v>3fec4c25-d4af-43f4-8979-f74fb42aefc7</v>
      </c>
    </row>
    <row r="241" spans="1:33" ht="14.4" customHeight="1" x14ac:dyDescent="0.3">
      <c r="A241" s="11" t="str">
        <f ca="1"/>
        <v>557d11d3-7f4f-4427-aab4-6a975fec1530</v>
      </c>
      <c r="D241" s="3">
        <f ca="1"/>
        <v>237</v>
      </c>
      <c r="E241" s="3">
        <f ca="1"/>
        <v>1</v>
      </c>
      <c r="F241" s="3">
        <f ca="1"/>
        <v>1</v>
      </c>
      <c r="G241" s="3">
        <f ca="1"/>
        <v>1</v>
      </c>
      <c r="H241" s="3">
        <f ca="1"/>
        <v>1</v>
      </c>
      <c r="I241" s="3">
        <f ca="1"/>
        <v>5</v>
      </c>
      <c r="J241" s="3" t="str">
        <f ca="1"/>
        <v>1 10 2 4</v>
      </c>
      <c r="K241" s="3">
        <f ca="1"/>
        <v>10</v>
      </c>
      <c r="L241" s="3" t="str">
        <f ca="1"/>
        <v>1 2</v>
      </c>
      <c r="M241" s="3">
        <f ca="1"/>
        <v>1</v>
      </c>
      <c r="N241" s="3" t="str">
        <f ca="1"/>
        <v>1 2</v>
      </c>
      <c r="O241" s="3">
        <f ca="1"/>
        <v>2</v>
      </c>
      <c r="P241" s="3" t="str">
        <f ca="1"/>
        <v/>
      </c>
      <c r="Q241" s="3">
        <f ca="1"/>
        <v>0.19642857142857142</v>
      </c>
      <c r="R241" s="3">
        <f ca="1"/>
        <v>0</v>
      </c>
      <c r="S241" s="3">
        <f ca="1"/>
        <v>1</v>
      </c>
      <c r="T241" s="3">
        <f ca="1"/>
        <v>1</v>
      </c>
      <c r="U241" s="3">
        <f ca="1"/>
        <v>4</v>
      </c>
      <c r="V241" s="3">
        <f ca="1"/>
        <v>1</v>
      </c>
      <c r="W241" s="3">
        <f ca="1"/>
        <v>2</v>
      </c>
      <c r="X241" s="3">
        <f ca="1"/>
        <v>1</v>
      </c>
      <c r="Y241" s="3">
        <f ca="1"/>
        <v>2</v>
      </c>
      <c r="Z241" s="3">
        <f ca="1"/>
        <v>0.31060606060606061</v>
      </c>
      <c r="AA241" s="3">
        <f ca="1"/>
        <v>0.3125</v>
      </c>
      <c r="AB241" s="3">
        <f ca="1"/>
        <v>2.5</v>
      </c>
      <c r="AC241" s="3">
        <f ca="1"/>
        <v>3</v>
      </c>
      <c r="AD241" s="3" t="str">
        <f ca="1"/>
        <v/>
      </c>
      <c r="AE241" s="3">
        <f ca="1"/>
        <v>3</v>
      </c>
      <c r="AF241" s="3">
        <f ca="1"/>
        <v>1</v>
      </c>
      <c r="AG241" s="3" t="str">
        <f ca="1"/>
        <v>557d11d3-7f4f-4427-aab4-6a975fec1530</v>
      </c>
    </row>
    <row r="242" spans="1:33" ht="14.4" customHeight="1" x14ac:dyDescent="0.3">
      <c r="A242" s="11" t="str">
        <f ca="1"/>
        <v>d90223a5-13ee-484b-a1a1-895a7f292b87</v>
      </c>
      <c r="D242" s="3">
        <f ca="1"/>
        <v>238</v>
      </c>
      <c r="E242" s="3">
        <f ca="1"/>
        <v>1</v>
      </c>
      <c r="F242" s="3">
        <f ca="1"/>
        <v>1</v>
      </c>
      <c r="G242" s="3">
        <f ca="1"/>
        <v>1</v>
      </c>
      <c r="H242" s="3">
        <f ca="1"/>
        <v>1</v>
      </c>
      <c r="I242" s="3">
        <f ca="1"/>
        <v>5</v>
      </c>
      <c r="J242" s="3" t="str">
        <f ca="1"/>
        <v>1 4 10</v>
      </c>
      <c r="K242" s="3">
        <f ca="1"/>
        <v>10</v>
      </c>
      <c r="L242" s="3" t="str">
        <f ca="1"/>
        <v>2 5</v>
      </c>
      <c r="M242" s="3">
        <f ca="1"/>
        <v>1</v>
      </c>
      <c r="N242" s="3" t="str">
        <f ca="1"/>
        <v>2 5</v>
      </c>
      <c r="O242" s="3">
        <f ca="1"/>
        <v>2</v>
      </c>
      <c r="P242" s="3" t="str">
        <f ca="1"/>
        <v/>
      </c>
      <c r="Q242" s="3">
        <f ca="1"/>
        <v>0.3035714285714286</v>
      </c>
      <c r="R242" s="3">
        <f ca="1"/>
        <v>0.66666666666666663</v>
      </c>
      <c r="S242" s="3">
        <f ca="1"/>
        <v>1</v>
      </c>
      <c r="T242" s="3">
        <f ca="1"/>
        <v>1</v>
      </c>
      <c r="U242" s="3">
        <f ca="1"/>
        <v>4</v>
      </c>
      <c r="V242" s="3">
        <f ca="1"/>
        <v>1</v>
      </c>
      <c r="W242" s="3">
        <f ca="1"/>
        <v>5</v>
      </c>
      <c r="X242" s="3">
        <f ca="1"/>
        <v>1</v>
      </c>
      <c r="Y242" s="3">
        <f ca="1"/>
        <v>4</v>
      </c>
      <c r="Z242" s="3">
        <f ca="1"/>
        <v>0.43560606060606061</v>
      </c>
      <c r="AA242" s="3">
        <f ca="1"/>
        <v>0.5625</v>
      </c>
      <c r="AB242" s="3">
        <f ca="1"/>
        <v>2.5</v>
      </c>
      <c r="AC242" s="3">
        <f ca="1"/>
        <v>5</v>
      </c>
      <c r="AD242" s="3" t="str">
        <f ca="1"/>
        <v/>
      </c>
      <c r="AE242" s="3">
        <f ca="1"/>
        <v>3</v>
      </c>
      <c r="AF242" s="3">
        <f ca="1"/>
        <v>2</v>
      </c>
      <c r="AG242" s="3" t="str">
        <f ca="1"/>
        <v>d90223a5-13ee-484b-a1a1-895a7f292b87</v>
      </c>
    </row>
    <row r="243" spans="1:33" ht="14.4" customHeight="1" x14ac:dyDescent="0.3">
      <c r="A243" s="11" t="str">
        <f ca="1"/>
        <v>06aae68e-59f9-4ea9-8c07-0983d7b076e9</v>
      </c>
      <c r="D243" s="3">
        <f ca="1"/>
        <v>239</v>
      </c>
      <c r="E243" s="3">
        <f ca="1"/>
        <v>1</v>
      </c>
      <c r="F243" s="3">
        <f ca="1"/>
        <v>0</v>
      </c>
      <c r="G243" s="3">
        <f ca="1"/>
        <v>1</v>
      </c>
      <c r="H243" s="3">
        <f ca="1"/>
        <v>1</v>
      </c>
      <c r="I243" s="3">
        <f ca="1"/>
        <v>2.5</v>
      </c>
      <c r="J243" s="3" t="str">
        <f ca="1"/>
        <v>1 6 7</v>
      </c>
      <c r="K243" s="3">
        <f ca="1"/>
        <v>10</v>
      </c>
      <c r="L243" s="3" t="str">
        <f ca="1"/>
        <v>2 1 5 8</v>
      </c>
      <c r="M243" s="3">
        <f ca="1"/>
        <v>2</v>
      </c>
      <c r="N243" s="3" t="str">
        <f ca="1"/>
        <v>1 5 8</v>
      </c>
      <c r="O243" s="3">
        <f ca="1"/>
        <v>2</v>
      </c>
      <c r="P243" s="3" t="str">
        <f ca="1"/>
        <v/>
      </c>
      <c r="Q243" s="3">
        <f ca="1"/>
        <v>0.3035714285714286</v>
      </c>
      <c r="R243" s="3">
        <f ca="1"/>
        <v>0.66666666666666663</v>
      </c>
      <c r="S243" s="3">
        <f ca="1"/>
        <v>5</v>
      </c>
      <c r="T243" s="3">
        <f ca="1"/>
        <v>5</v>
      </c>
      <c r="U243" s="3">
        <f ca="1"/>
        <v>2</v>
      </c>
      <c r="V243" s="3">
        <f ca="1"/>
        <v>1</v>
      </c>
      <c r="W243" s="3">
        <f ca="1"/>
        <v>2</v>
      </c>
      <c r="X243" s="3">
        <f ca="1"/>
        <v>3</v>
      </c>
      <c r="Y243" s="3">
        <f ca="1"/>
        <v>2.5</v>
      </c>
      <c r="Z243" s="3">
        <f ca="1"/>
        <v>0.34848484848484851</v>
      </c>
      <c r="AA243" s="3">
        <f ca="1"/>
        <v>0.4375</v>
      </c>
      <c r="AB243" s="3">
        <f ca="1"/>
        <v>2.5</v>
      </c>
      <c r="AC243" s="3">
        <f ca="1"/>
        <v>2</v>
      </c>
      <c r="AD243" s="3" t="str">
        <f ca="1"/>
        <v/>
      </c>
      <c r="AE243" s="3">
        <f ca="1"/>
        <v>3</v>
      </c>
      <c r="AF243" s="3">
        <f ca="1"/>
        <v>2</v>
      </c>
      <c r="AG243" s="3" t="str">
        <f ca="1"/>
        <v>06aae68e-59f9-4ea9-8c07-0983d7b076e9</v>
      </c>
    </row>
    <row r="244" spans="1:33" ht="14.4" customHeight="1" x14ac:dyDescent="0.3">
      <c r="A244" s="11" t="str">
        <f ca="1"/>
        <v>f8573d2d-51b6-4e44-8236-b0859d18a746</v>
      </c>
      <c r="D244" s="3">
        <f ca="1"/>
        <v>240</v>
      </c>
      <c r="E244" s="3">
        <f ca="1"/>
        <v>1</v>
      </c>
      <c r="F244" s="3">
        <f ca="1"/>
        <v>1</v>
      </c>
      <c r="G244" s="3">
        <f ca="1"/>
        <v>1</v>
      </c>
      <c r="H244" s="3">
        <f ca="1"/>
        <v>1</v>
      </c>
      <c r="I244" s="3">
        <f ca="1"/>
        <v>5</v>
      </c>
      <c r="J244" s="3" t="str">
        <f ca="1"/>
        <v>2 8 7 6</v>
      </c>
      <c r="K244" s="3">
        <f ca="1"/>
        <v>10</v>
      </c>
      <c r="L244" s="3" t="str">
        <f ca="1"/>
        <v>2 4 5 8</v>
      </c>
      <c r="M244" s="3">
        <f ca="1"/>
        <v>2</v>
      </c>
      <c r="N244" s="3" t="str">
        <f ca="1"/>
        <v>2 5</v>
      </c>
      <c r="O244" s="3">
        <f ca="1"/>
        <v>2</v>
      </c>
      <c r="P244" s="3" t="str">
        <f ca="1"/>
        <v/>
      </c>
      <c r="Q244" s="3">
        <f ca="1"/>
        <v>0.26785714285714285</v>
      </c>
      <c r="R244" s="3">
        <f ca="1"/>
        <v>0</v>
      </c>
      <c r="S244" s="3">
        <f ca="1"/>
        <v>5</v>
      </c>
      <c r="T244" s="3">
        <f ca="1"/>
        <v>5</v>
      </c>
      <c r="U244" s="3">
        <f ca="1"/>
        <v>2</v>
      </c>
      <c r="V244" s="3">
        <f ca="1"/>
        <v>1</v>
      </c>
      <c r="W244" s="3">
        <f ca="1"/>
        <v>2</v>
      </c>
      <c r="X244" s="3">
        <f ca="1"/>
        <v>3</v>
      </c>
      <c r="Y244" s="3">
        <f ca="1"/>
        <v>2.5</v>
      </c>
      <c r="Z244" s="3">
        <f ca="1"/>
        <v>0.26136363636363635</v>
      </c>
      <c r="AA244" s="3">
        <f ca="1"/>
        <v>0.4375</v>
      </c>
      <c r="AB244" s="3">
        <f ca="1"/>
        <v>1.5</v>
      </c>
      <c r="AC244" s="3">
        <f ca="1"/>
        <v>4</v>
      </c>
      <c r="AD244" s="3" t="str">
        <f ca="1"/>
        <v/>
      </c>
      <c r="AE244" s="3">
        <f ca="1"/>
        <v>1</v>
      </c>
      <c r="AF244" s="3">
        <f ca="1"/>
        <v>2</v>
      </c>
      <c r="AG244" s="3" t="str">
        <f ca="1"/>
        <v>f8573d2d-51b6-4e44-8236-b0859d18a746</v>
      </c>
    </row>
    <row r="245" spans="1:33" ht="14.4" customHeight="1" x14ac:dyDescent="0.3">
      <c r="A245" s="11" t="str">
        <f ca="1"/>
        <v>5136c042-8cc2-481f-a546-b771ab1b8f20</v>
      </c>
      <c r="D245" s="3">
        <f ca="1"/>
        <v>241</v>
      </c>
      <c r="E245" s="3">
        <f ca="1"/>
        <v>1</v>
      </c>
      <c r="F245" s="3">
        <f ca="1"/>
        <v>1</v>
      </c>
      <c r="G245" s="3">
        <f ca="1"/>
        <v>1</v>
      </c>
      <c r="H245" s="3">
        <f ca="1"/>
        <v>1</v>
      </c>
      <c r="I245" s="3">
        <f ca="1"/>
        <v>5</v>
      </c>
      <c r="J245" s="3" t="str">
        <f ca="1"/>
        <v>1 4 6 10</v>
      </c>
      <c r="K245" s="3">
        <f ca="1"/>
        <v>10</v>
      </c>
      <c r="L245" s="3">
        <f ca="1"/>
        <v>2</v>
      </c>
      <c r="M245" s="3">
        <f ca="1"/>
        <v>0</v>
      </c>
      <c r="N245" s="3">
        <f ca="1"/>
        <v>2</v>
      </c>
      <c r="O245" s="3">
        <f ca="1"/>
        <v>1</v>
      </c>
      <c r="P245" s="3" t="str">
        <f ca="1"/>
        <v/>
      </c>
      <c r="Q245" s="3">
        <f ca="1"/>
        <v>0.3392857142857143</v>
      </c>
      <c r="R245" s="3">
        <f ca="1"/>
        <v>1</v>
      </c>
      <c r="S245" s="3">
        <f ca="1"/>
        <v>5</v>
      </c>
      <c r="T245" s="3">
        <f ca="1"/>
        <v>5</v>
      </c>
      <c r="U245" s="3">
        <f ca="1"/>
        <v>2</v>
      </c>
      <c r="V245" s="3">
        <f ca="1"/>
        <v>5</v>
      </c>
      <c r="W245" s="3">
        <f ca="1"/>
        <v>5</v>
      </c>
      <c r="X245" s="3">
        <f ca="1"/>
        <v>2</v>
      </c>
      <c r="Y245" s="3">
        <f ca="1"/>
        <v>2</v>
      </c>
      <c r="Z245" s="3">
        <f ca="1"/>
        <v>0.21969696969696967</v>
      </c>
      <c r="AA245" s="3">
        <f ca="1"/>
        <v>0.4375</v>
      </c>
      <c r="AB245" s="3">
        <f ca="1"/>
        <v>2</v>
      </c>
      <c r="AC245" s="3">
        <f ca="1"/>
        <v>5</v>
      </c>
      <c r="AD245" s="3" t="str">
        <f ca="1"/>
        <v/>
      </c>
      <c r="AE245" s="3">
        <f ca="1"/>
        <v>5</v>
      </c>
      <c r="AF245" s="3">
        <f ca="1"/>
        <v>5</v>
      </c>
      <c r="AG245" s="3" t="str">
        <f ca="1"/>
        <v>5136c042-8cc2-481f-a546-b771ab1b8f20</v>
      </c>
    </row>
    <row r="246" spans="1:33" ht="14.4" customHeight="1" x14ac:dyDescent="0.3">
      <c r="A246" s="11" t="str">
        <f ca="1"/>
        <v>0945c4f5-6641-4fe4-9a54-1a292f2267e2</v>
      </c>
      <c r="D246" s="3">
        <f ca="1"/>
        <v>242</v>
      </c>
      <c r="E246" s="3">
        <f ca="1"/>
        <v>1</v>
      </c>
      <c r="F246" s="3">
        <f ca="1"/>
        <v>0</v>
      </c>
      <c r="G246" s="3">
        <f ca="1"/>
        <v>1</v>
      </c>
      <c r="H246" s="3">
        <f ca="1"/>
        <v>1</v>
      </c>
      <c r="I246" s="3">
        <f ca="1"/>
        <v>2.5</v>
      </c>
      <c r="J246" s="3" t="str">
        <f ca="1"/>
        <v>7 6 10</v>
      </c>
      <c r="K246" s="3">
        <f ca="1"/>
        <v>10</v>
      </c>
      <c r="L246" s="3" t="str">
        <f ca="1"/>
        <v>3 1</v>
      </c>
      <c r="M246" s="3">
        <f ca="1"/>
        <v>1</v>
      </c>
      <c r="N246" s="3">
        <f ca="1"/>
        <v>5</v>
      </c>
      <c r="O246" s="3">
        <f ca="1"/>
        <v>1</v>
      </c>
      <c r="P246" s="3" t="str">
        <f ca="1"/>
        <v/>
      </c>
      <c r="Q246" s="3">
        <f ca="1"/>
        <v>0.3035714285714286</v>
      </c>
      <c r="R246" s="3">
        <f ca="1"/>
        <v>0</v>
      </c>
      <c r="S246" s="3">
        <f ca="1"/>
        <v>5</v>
      </c>
      <c r="T246" s="3">
        <f ca="1"/>
        <v>5</v>
      </c>
      <c r="U246" s="3">
        <f ca="1"/>
        <v>2</v>
      </c>
      <c r="V246" s="3">
        <f ca="1"/>
        <v>1</v>
      </c>
      <c r="W246" s="3">
        <f ca="1"/>
        <v>1</v>
      </c>
      <c r="X246" s="3">
        <f ca="1"/>
        <v>2</v>
      </c>
      <c r="Y246" s="3">
        <f ca="1"/>
        <v>1</v>
      </c>
      <c r="Z246" s="3">
        <f ca="1"/>
        <v>0.17803030303030301</v>
      </c>
      <c r="AA246" s="3">
        <f ca="1"/>
        <v>0.3125</v>
      </c>
      <c r="AB246" s="3">
        <f ca="1"/>
        <v>1.5</v>
      </c>
      <c r="AC246" s="3">
        <f ca="1"/>
        <v>1</v>
      </c>
      <c r="AD246" s="3" t="str">
        <f ca="1"/>
        <v/>
      </c>
      <c r="AE246" s="3">
        <f ca="1"/>
        <v>1</v>
      </c>
      <c r="AF246" s="3">
        <f ca="1"/>
        <v>1</v>
      </c>
      <c r="AG246" s="3" t="str">
        <f ca="1"/>
        <v>0945c4f5-6641-4fe4-9a54-1a292f2267e2</v>
      </c>
    </row>
    <row r="247" spans="1:33" ht="14.4" customHeight="1" x14ac:dyDescent="0.3">
      <c r="A247" s="11" t="str">
        <f ca="1"/>
        <v>9ca5ae43-d960-4c17-98cd-94cd938e8802</v>
      </c>
      <c r="D247" s="3">
        <f ca="1"/>
        <v>243</v>
      </c>
      <c r="E247" s="3">
        <f ca="1"/>
        <v>1</v>
      </c>
      <c r="F247" s="3">
        <f ca="1"/>
        <v>1</v>
      </c>
      <c r="G247" s="3">
        <f ca="1"/>
        <v>0</v>
      </c>
      <c r="H247" s="3">
        <f ca="1"/>
        <v>1</v>
      </c>
      <c r="I247" s="3">
        <f ca="1"/>
        <v>2.5</v>
      </c>
      <c r="J247" s="3" t="str">
        <f ca="1"/>
        <v>6 1</v>
      </c>
      <c r="K247" s="3">
        <f ca="1"/>
        <v>5</v>
      </c>
      <c r="L247" s="3" t="str">
        <f ca="1"/>
        <v>1 3 5</v>
      </c>
      <c r="M247" s="3">
        <f ca="1"/>
        <v>1</v>
      </c>
      <c r="N247" s="3" t="str">
        <f ca="1"/>
        <v>5 3 1</v>
      </c>
      <c r="O247" s="3">
        <f ca="1"/>
        <v>2</v>
      </c>
      <c r="P247" s="3" t="str">
        <f ca="1"/>
        <v/>
      </c>
      <c r="Q247" s="3">
        <f ca="1"/>
        <v>0.26785714285714285</v>
      </c>
      <c r="R247" s="3">
        <f ca="1"/>
        <v>0.66666666666666663</v>
      </c>
      <c r="S247" s="3">
        <f ca="1"/>
        <v>4</v>
      </c>
      <c r="T247" s="3">
        <f ca="1"/>
        <v>4</v>
      </c>
      <c r="U247" s="3">
        <f ca="1"/>
        <v>3</v>
      </c>
      <c r="V247" s="3">
        <f ca="1"/>
        <v>3</v>
      </c>
      <c r="W247" s="3">
        <f ca="1"/>
        <v>4</v>
      </c>
      <c r="X247" s="3">
        <f ca="1"/>
        <v>3</v>
      </c>
      <c r="Y247" s="3">
        <f ca="1"/>
        <v>1.5</v>
      </c>
      <c r="Z247" s="3">
        <f ca="1"/>
        <v>0.30681818181818182</v>
      </c>
      <c r="AA247" s="3">
        <f ca="1"/>
        <v>0.25</v>
      </c>
      <c r="AB247" s="3">
        <f ca="1"/>
        <v>2.5</v>
      </c>
      <c r="AC247" s="3">
        <f ca="1"/>
        <v>5</v>
      </c>
      <c r="AD247" s="3" t="str">
        <f ca="1"/>
        <v/>
      </c>
      <c r="AE247" s="3">
        <f ca="1"/>
        <v>3</v>
      </c>
      <c r="AF247" s="3">
        <f ca="1"/>
        <v>3</v>
      </c>
      <c r="AG247" s="3" t="str">
        <f ca="1"/>
        <v>9ca5ae43-d960-4c17-98cd-94cd938e8802</v>
      </c>
    </row>
    <row r="248" spans="1:33" ht="14.4" customHeight="1" x14ac:dyDescent="0.3">
      <c r="A248" s="11" t="str">
        <f ca="1"/>
        <v>6792f75f-2dfc-47ae-acfa-ff47039524a3</v>
      </c>
      <c r="D248" s="3">
        <f ca="1"/>
        <v>244</v>
      </c>
      <c r="E248" s="3">
        <f ca="1"/>
        <v>1</v>
      </c>
      <c r="F248" s="3">
        <f ca="1"/>
        <v>1</v>
      </c>
      <c r="G248" s="3">
        <f ca="1"/>
        <v>1</v>
      </c>
      <c r="H248" s="3">
        <f ca="1"/>
        <v>1</v>
      </c>
      <c r="I248" s="3">
        <f ca="1"/>
        <v>5</v>
      </c>
      <c r="J248" s="3" t="str">
        <f ca="1"/>
        <v>6 1</v>
      </c>
      <c r="K248" s="3">
        <f ca="1"/>
        <v>5</v>
      </c>
      <c r="L248" s="3" t="str">
        <f ca="1"/>
        <v>1 8</v>
      </c>
      <c r="M248" s="3">
        <f ca="1"/>
        <v>1</v>
      </c>
      <c r="N248" s="3" t="str">
        <f ca="1"/>
        <v>2 8</v>
      </c>
      <c r="O248" s="3">
        <f ca="1"/>
        <v>2</v>
      </c>
      <c r="P248" s="3" t="str">
        <f ca="1"/>
        <v/>
      </c>
      <c r="Q248" s="3">
        <f ca="1"/>
        <v>0.23214285714285715</v>
      </c>
      <c r="R248" s="3">
        <f ca="1"/>
        <v>1</v>
      </c>
      <c r="S248" s="3">
        <f ca="1"/>
        <v>3</v>
      </c>
      <c r="T248" s="3">
        <f ca="1"/>
        <v>3</v>
      </c>
      <c r="U248" s="3">
        <f ca="1"/>
        <v>2</v>
      </c>
      <c r="V248" s="3">
        <f ca="1"/>
        <v>3</v>
      </c>
      <c r="W248" s="3">
        <f ca="1"/>
        <v>5</v>
      </c>
      <c r="X248" s="3">
        <f ca="1"/>
        <v>4</v>
      </c>
      <c r="Y248" s="3">
        <f ca="1"/>
        <v>3</v>
      </c>
      <c r="Z248" s="3">
        <f ca="1"/>
        <v>0.21969696969696967</v>
      </c>
      <c r="AA248" s="3">
        <f ca="1"/>
        <v>0.5625</v>
      </c>
      <c r="AB248" s="3">
        <f ca="1"/>
        <v>3</v>
      </c>
      <c r="AC248" s="3">
        <f ca="1"/>
        <v>5</v>
      </c>
      <c r="AD248" s="3" t="str">
        <f ca="1"/>
        <v/>
      </c>
      <c r="AE248" s="3">
        <f ca="1"/>
        <v>4</v>
      </c>
      <c r="AF248" s="3">
        <f ca="1"/>
        <v>3</v>
      </c>
      <c r="AG248" s="3" t="str">
        <f ca="1"/>
        <v>6792f75f-2dfc-47ae-acfa-ff47039524a3</v>
      </c>
    </row>
    <row r="249" spans="1:33" ht="14.4" customHeight="1" x14ac:dyDescent="0.3">
      <c r="A249" s="11" t="str">
        <f ca="1"/>
        <v>45afc520-1bed-4f8c-8cb6-c7c3e1ad1dcc</v>
      </c>
      <c r="D249" s="3">
        <f ca="1"/>
        <v>245</v>
      </c>
      <c r="E249" s="3">
        <f ca="1"/>
        <v>1</v>
      </c>
      <c r="F249" s="3">
        <f ca="1"/>
        <v>0</v>
      </c>
      <c r="G249" s="3">
        <f ca="1"/>
        <v>1</v>
      </c>
      <c r="H249" s="3">
        <f ca="1"/>
        <v>1</v>
      </c>
      <c r="I249" s="3">
        <f ca="1"/>
        <v>2.5</v>
      </c>
      <c r="J249" s="3" t="str">
        <f ca="1"/>
        <v>1 2 6 8</v>
      </c>
      <c r="K249" s="3">
        <f ca="1"/>
        <v>10</v>
      </c>
      <c r="L249" s="3" t="str">
        <f ca="1"/>
        <v>1 2 5 8 4</v>
      </c>
      <c r="M249" s="3">
        <f ca="1"/>
        <v>2</v>
      </c>
      <c r="N249" s="3" t="str">
        <f ca="1"/>
        <v>2 8 5 4</v>
      </c>
      <c r="O249" s="3">
        <f ca="1"/>
        <v>3</v>
      </c>
      <c r="P249" s="3" t="str">
        <f ca="1"/>
        <v/>
      </c>
      <c r="Q249" s="3">
        <f ca="1"/>
        <v>0.19642857142857142</v>
      </c>
      <c r="R249" s="3">
        <f ca="1"/>
        <v>0.33333333333333331</v>
      </c>
      <c r="S249" s="3">
        <f ca="1"/>
        <v>5</v>
      </c>
      <c r="T249" s="3">
        <f ca="1"/>
        <v>5</v>
      </c>
      <c r="U249" s="3">
        <f ca="1"/>
        <v>3</v>
      </c>
      <c r="V249" s="3">
        <f ca="1"/>
        <v>2</v>
      </c>
      <c r="W249" s="3">
        <f ca="1"/>
        <v>2</v>
      </c>
      <c r="X249" s="3">
        <f ca="1"/>
        <v>3</v>
      </c>
      <c r="Y249" s="3">
        <f ca="1"/>
        <v>3.5</v>
      </c>
      <c r="Z249" s="3">
        <f ca="1"/>
        <v>0.39015151515151514</v>
      </c>
      <c r="AA249" s="3">
        <f ca="1"/>
        <v>0.375</v>
      </c>
      <c r="AB249" s="3">
        <f ca="1"/>
        <v>2</v>
      </c>
      <c r="AC249" s="3">
        <f ca="1"/>
        <v>2</v>
      </c>
      <c r="AD249" s="3" t="str">
        <f ca="1"/>
        <v/>
      </c>
      <c r="AE249" s="3">
        <f ca="1"/>
        <v>2</v>
      </c>
      <c r="AF249" s="3">
        <f ca="1"/>
        <v>2</v>
      </c>
      <c r="AG249" s="3" t="str">
        <f ca="1"/>
        <v>45afc520-1bed-4f8c-8cb6-c7c3e1ad1dcc</v>
      </c>
    </row>
    <row r="250" spans="1:33" ht="14.4" customHeight="1" x14ac:dyDescent="0.3">
      <c r="A250" s="11" t="str">
        <f ca="1"/>
        <v>76cc6691-1ead-46bb-a6e5-7a825b16097a</v>
      </c>
      <c r="D250" s="3">
        <f ca="1"/>
        <v>246</v>
      </c>
      <c r="E250" s="3">
        <f ca="1"/>
        <v>1</v>
      </c>
      <c r="F250" s="3">
        <f ca="1"/>
        <v>1</v>
      </c>
      <c r="G250" s="3">
        <f ca="1"/>
        <v>1</v>
      </c>
      <c r="H250" s="3">
        <f ca="1"/>
        <v>0</v>
      </c>
      <c r="I250" s="3">
        <f ca="1"/>
        <v>2.5</v>
      </c>
      <c r="J250" s="3" t="str">
        <f ca="1"/>
        <v>1 2 8</v>
      </c>
      <c r="K250" s="3">
        <f ca="1"/>
        <v>10</v>
      </c>
      <c r="L250" s="3" t="str">
        <f ca="1"/>
        <v>1 2 8</v>
      </c>
      <c r="M250" s="3">
        <f ca="1"/>
        <v>1</v>
      </c>
      <c r="N250" s="3" t="str">
        <f ca="1"/>
        <v>1 8</v>
      </c>
      <c r="O250" s="3">
        <f ca="1"/>
        <v>2</v>
      </c>
      <c r="P250" s="3" t="str">
        <f ca="1"/>
        <v/>
      </c>
      <c r="Q250" s="3">
        <f ca="1"/>
        <v>0.19642857142857142</v>
      </c>
      <c r="R250" s="3">
        <f ca="1"/>
        <v>0.66666666666666663</v>
      </c>
      <c r="S250" s="3">
        <f ca="1"/>
        <v>5</v>
      </c>
      <c r="T250" s="3">
        <f ca="1"/>
        <v>4</v>
      </c>
      <c r="U250" s="3">
        <f ca="1"/>
        <v>4</v>
      </c>
      <c r="V250" s="3">
        <f ca="1"/>
        <v>2</v>
      </c>
      <c r="W250" s="3">
        <f ca="1"/>
        <v>5</v>
      </c>
      <c r="X250" s="3">
        <f ca="1"/>
        <v>3</v>
      </c>
      <c r="Y250" s="3">
        <f ca="1"/>
        <v>2.5</v>
      </c>
      <c r="Z250" s="3">
        <f ca="1"/>
        <v>0.13257575757575757</v>
      </c>
      <c r="AA250" s="3">
        <f ca="1"/>
        <v>0.25</v>
      </c>
      <c r="AB250" s="3">
        <f ca="1"/>
        <v>1.5</v>
      </c>
      <c r="AC250" s="3">
        <f ca="1"/>
        <v>5</v>
      </c>
      <c r="AD250" s="3" t="str">
        <f ca="1"/>
        <v/>
      </c>
      <c r="AE250" s="3">
        <f ca="1"/>
        <v>4</v>
      </c>
      <c r="AF250" s="3">
        <f ca="1"/>
        <v>2</v>
      </c>
      <c r="AG250" s="3" t="str">
        <f ca="1"/>
        <v>76cc6691-1ead-46bb-a6e5-7a825b16097a</v>
      </c>
    </row>
    <row r="251" spans="1:33" ht="14.4" customHeight="1" x14ac:dyDescent="0.3">
      <c r="A251" s="11" t="str">
        <f ca="1"/>
        <v>475d798c-ab12-4d60-9f9f-fbad4623e7a3</v>
      </c>
      <c r="D251" s="3">
        <f ca="1"/>
        <v>247</v>
      </c>
      <c r="E251" s="3">
        <f ca="1"/>
        <v>0</v>
      </c>
      <c r="F251" s="3">
        <f ca="1"/>
        <v>1</v>
      </c>
      <c r="G251" s="3">
        <f ca="1"/>
        <v>1</v>
      </c>
      <c r="H251" s="3">
        <f ca="1"/>
        <v>1</v>
      </c>
      <c r="I251" s="3">
        <f ca="1"/>
        <v>2.5</v>
      </c>
      <c r="J251" s="3" t="str">
        <f ca="1"/>
        <v>1 6</v>
      </c>
      <c r="K251" s="3">
        <f ca="1"/>
        <v>5</v>
      </c>
      <c r="L251" s="3">
        <f ca="1"/>
        <v>8</v>
      </c>
      <c r="M251" s="3">
        <f ca="1"/>
        <v>0</v>
      </c>
      <c r="N251" s="3">
        <f ca="1"/>
        <v>8</v>
      </c>
      <c r="O251" s="3">
        <f ca="1"/>
        <v>1</v>
      </c>
      <c r="P251" s="3" t="str">
        <f ca="1"/>
        <v/>
      </c>
      <c r="Q251" s="3">
        <f ca="1"/>
        <v>0.26785714285714285</v>
      </c>
      <c r="R251" s="3">
        <f ca="1"/>
        <v>0.33333333333333331</v>
      </c>
      <c r="S251" s="3">
        <f ca="1"/>
        <v>5</v>
      </c>
      <c r="T251" s="3">
        <f ca="1"/>
        <v>4</v>
      </c>
      <c r="U251" s="3">
        <f ca="1"/>
        <v>3</v>
      </c>
      <c r="V251" s="3">
        <f ca="1"/>
        <v>3</v>
      </c>
      <c r="W251" s="3">
        <f ca="1"/>
        <v>4</v>
      </c>
      <c r="X251" s="3">
        <f ca="1"/>
        <v>4</v>
      </c>
      <c r="Y251" s="3">
        <f ca="1"/>
        <v>2.5</v>
      </c>
      <c r="Z251" s="3">
        <f ca="1"/>
        <v>0.21590909090909091</v>
      </c>
      <c r="AA251" s="3">
        <f ca="1"/>
        <v>0.6875</v>
      </c>
      <c r="AB251" s="3">
        <f ca="1"/>
        <v>1.5</v>
      </c>
      <c r="AC251" s="3">
        <f ca="1"/>
        <v>4</v>
      </c>
      <c r="AD251" s="3" t="str">
        <f ca="1"/>
        <v/>
      </c>
      <c r="AE251" s="3">
        <f ca="1"/>
        <v>5</v>
      </c>
      <c r="AF251" s="3">
        <f ca="1"/>
        <v>1</v>
      </c>
      <c r="AG251" s="3" t="str">
        <f ca="1"/>
        <v>475d798c-ab12-4d60-9f9f-fbad4623e7a3</v>
      </c>
    </row>
    <row r="252" spans="1:33" ht="14.4" customHeight="1" x14ac:dyDescent="0.3">
      <c r="A252" s="11" t="str">
        <f ca="1"/>
        <v>d69c6b9f-343b-4cc0-a3c6-3e5df5883cf4</v>
      </c>
      <c r="D252" s="3">
        <f ca="1"/>
        <v>248</v>
      </c>
      <c r="E252" s="3">
        <f ca="1"/>
        <v>1</v>
      </c>
      <c r="F252" s="3">
        <f ca="1"/>
        <v>0</v>
      </c>
      <c r="G252" s="3">
        <f ca="1"/>
        <v>1</v>
      </c>
      <c r="H252" s="3">
        <f ca="1"/>
        <v>1</v>
      </c>
      <c r="I252" s="3">
        <f ca="1"/>
        <v>2.5</v>
      </c>
      <c r="J252" s="3" t="str">
        <f ca="1"/>
        <v>6 7 8 10</v>
      </c>
      <c r="K252" s="3">
        <f ca="1"/>
        <v>10</v>
      </c>
      <c r="L252" s="3" t="str">
        <f ca="1"/>
        <v>4 8</v>
      </c>
      <c r="M252" s="3">
        <f ca="1"/>
        <v>1</v>
      </c>
      <c r="N252" s="3" t="str">
        <f ca="1"/>
        <v>5 4 8</v>
      </c>
      <c r="O252" s="3">
        <f ca="1"/>
        <v>2</v>
      </c>
      <c r="P252" s="3" t="str">
        <f ca="1"/>
        <v/>
      </c>
      <c r="Q252" s="3">
        <f ca="1"/>
        <v>0.39285714285714285</v>
      </c>
      <c r="R252" s="3">
        <f ca="1"/>
        <v>1</v>
      </c>
      <c r="S252" s="3">
        <f ca="1"/>
        <v>3</v>
      </c>
      <c r="T252" s="3">
        <f ca="1"/>
        <v>3</v>
      </c>
      <c r="U252" s="3">
        <f ca="1"/>
        <v>2</v>
      </c>
      <c r="V252" s="3">
        <f ca="1"/>
        <v>5</v>
      </c>
      <c r="W252" s="3">
        <f ca="1"/>
        <v>5</v>
      </c>
      <c r="X252" s="3">
        <f ca="1"/>
        <v>3</v>
      </c>
      <c r="Y252" s="3">
        <f ca="1"/>
        <v>2.5</v>
      </c>
      <c r="Z252" s="3">
        <f ca="1"/>
        <v>0.26136363636363635</v>
      </c>
      <c r="AA252" s="3">
        <f ca="1"/>
        <v>0.5625</v>
      </c>
      <c r="AB252" s="3">
        <f ca="1"/>
        <v>2</v>
      </c>
      <c r="AC252" s="3">
        <f ca="1"/>
        <v>3</v>
      </c>
      <c r="AD252" s="3" t="str">
        <f ca="1"/>
        <v/>
      </c>
      <c r="AE252" s="3">
        <f ca="1"/>
        <v>3</v>
      </c>
      <c r="AF252" s="3">
        <f ca="1"/>
        <v>3</v>
      </c>
      <c r="AG252" s="3" t="str">
        <f ca="1"/>
        <v>d69c6b9f-343b-4cc0-a3c6-3e5df5883cf4</v>
      </c>
    </row>
    <row r="253" spans="1:33" ht="14.4" customHeight="1" x14ac:dyDescent="0.3">
      <c r="A253" s="11" t="str">
        <f ca="1"/>
        <v>653b1def-4b18-441f-8809-cd5606c6afcc</v>
      </c>
      <c r="D253" s="3">
        <f ca="1"/>
        <v>249</v>
      </c>
      <c r="E253" s="3">
        <f ca="1"/>
        <v>1</v>
      </c>
      <c r="F253" s="3">
        <f ca="1"/>
        <v>0</v>
      </c>
      <c r="G253" s="3">
        <f ca="1"/>
        <v>1</v>
      </c>
      <c r="H253" s="3">
        <f ca="1"/>
        <v>0</v>
      </c>
      <c r="I253" s="3">
        <f ca="1"/>
        <v>0</v>
      </c>
      <c r="J253" s="3" t="str">
        <f ca="1"/>
        <v>6 7</v>
      </c>
      <c r="K253" s="3">
        <f ca="1"/>
        <v>5</v>
      </c>
      <c r="L253" s="3" t="str">
        <f ca="1"/>
        <v>8 1</v>
      </c>
      <c r="M253" s="3">
        <f ca="1"/>
        <v>1</v>
      </c>
      <c r="N253" s="3" t="str">
        <f ca="1"/>
        <v>3 1</v>
      </c>
      <c r="O253" s="3">
        <f ca="1"/>
        <v>2</v>
      </c>
      <c r="P253" s="3" t="str">
        <f ca="1"/>
        <v/>
      </c>
      <c r="Q253" s="3">
        <f ca="1"/>
        <v>0.19642857142857142</v>
      </c>
      <c r="R253" s="3">
        <f ca="1"/>
        <v>0</v>
      </c>
      <c r="S253" s="3">
        <f ca="1"/>
        <v>5</v>
      </c>
      <c r="T253" s="3">
        <f ca="1"/>
        <v>5</v>
      </c>
      <c r="U253" s="3">
        <f ca="1"/>
        <v>1</v>
      </c>
      <c r="V253" s="3">
        <f ca="1"/>
        <v>1</v>
      </c>
      <c r="W253" s="3">
        <f ca="1"/>
        <v>1</v>
      </c>
      <c r="X253" s="3">
        <f ca="1"/>
        <v>1</v>
      </c>
      <c r="Y253" s="3">
        <f ca="1"/>
        <v>2</v>
      </c>
      <c r="Z253" s="3">
        <f ca="1"/>
        <v>8.7121212121212127E-2</v>
      </c>
      <c r="AA253" s="3">
        <f ca="1"/>
        <v>6.25E-2</v>
      </c>
      <c r="AB253" s="3">
        <f ca="1"/>
        <v>1.5</v>
      </c>
      <c r="AC253" s="3">
        <f ca="1"/>
        <v>1</v>
      </c>
      <c r="AD253" s="3" t="str">
        <f ca="1"/>
        <v/>
      </c>
      <c r="AE253" s="3">
        <f ca="1"/>
        <v>1</v>
      </c>
      <c r="AF253" s="3">
        <f ca="1"/>
        <v>1</v>
      </c>
      <c r="AG253" s="3" t="str">
        <f ca="1"/>
        <v>653b1def-4b18-441f-8809-cd5606c6afcc</v>
      </c>
    </row>
    <row r="254" spans="1:33" ht="14.4" customHeight="1" x14ac:dyDescent="0.3">
      <c r="A254" s="11" t="str">
        <f ca="1"/>
        <v>15fd28cb-1a6c-4ff9-8dbe-332a6330a82a</v>
      </c>
      <c r="D254" s="3">
        <f ca="1"/>
        <v>250</v>
      </c>
      <c r="E254" s="3">
        <f ca="1"/>
        <v>1</v>
      </c>
      <c r="F254" s="3">
        <f ca="1"/>
        <v>0</v>
      </c>
      <c r="G254" s="3">
        <f ca="1"/>
        <v>1</v>
      </c>
      <c r="H254" s="3">
        <f ca="1"/>
        <v>0</v>
      </c>
      <c r="I254" s="3">
        <f ca="1"/>
        <v>0</v>
      </c>
      <c r="J254" s="3" t="str">
        <f ca="1"/>
        <v>1 7 6 10</v>
      </c>
      <c r="K254" s="3">
        <f ca="1"/>
        <v>10</v>
      </c>
      <c r="L254" s="3" t="str">
        <f ca="1"/>
        <v>1 2 4 8</v>
      </c>
      <c r="M254" s="3">
        <f ca="1"/>
        <v>2</v>
      </c>
      <c r="N254" s="3" t="str">
        <f ca="1"/>
        <v>1 2 4 8</v>
      </c>
      <c r="O254" s="3">
        <f ca="1"/>
        <v>3</v>
      </c>
      <c r="P254" s="3" t="str">
        <f ca="1"/>
        <v/>
      </c>
      <c r="Q254" s="3">
        <f ca="1"/>
        <v>0.3035714285714286</v>
      </c>
      <c r="R254" s="3">
        <f ca="1"/>
        <v>1</v>
      </c>
      <c r="S254" s="3">
        <f ca="1"/>
        <v>1</v>
      </c>
      <c r="T254" s="3">
        <f ca="1"/>
        <v>1</v>
      </c>
      <c r="U254" s="3">
        <f ca="1"/>
        <v>4</v>
      </c>
      <c r="V254" s="3">
        <f ca="1"/>
        <v>4</v>
      </c>
      <c r="W254" s="3">
        <f ca="1"/>
        <v>4</v>
      </c>
      <c r="X254" s="3">
        <f ca="1"/>
        <v>4</v>
      </c>
      <c r="Y254" s="3">
        <f ca="1"/>
        <v>4</v>
      </c>
      <c r="Z254" s="3">
        <f ca="1"/>
        <v>0.39393939393939392</v>
      </c>
      <c r="AA254" s="3">
        <f ca="1"/>
        <v>0.375</v>
      </c>
      <c r="AB254" s="3">
        <f ca="1"/>
        <v>3.5</v>
      </c>
      <c r="AC254" s="3">
        <f ca="1"/>
        <v>4</v>
      </c>
      <c r="AD254" s="3" t="str">
        <f ca="1"/>
        <v/>
      </c>
      <c r="AE254" s="3">
        <f ca="1"/>
        <v>4</v>
      </c>
      <c r="AF254" s="3">
        <f ca="1"/>
        <v>4</v>
      </c>
      <c r="AG254" s="3" t="str">
        <f ca="1"/>
        <v>15fd28cb-1a6c-4ff9-8dbe-332a6330a82a</v>
      </c>
    </row>
    <row r="255" spans="1:33" ht="14.4" customHeight="1" x14ac:dyDescent="0.3">
      <c r="A255" s="11" t="str">
        <f ca="1"/>
        <v>d4d56b64-29c5-46bb-b2c0-635bdbd56933</v>
      </c>
      <c r="D255" s="3">
        <f ca="1"/>
        <v>251</v>
      </c>
      <c r="E255" s="3">
        <f ca="1"/>
        <v>1</v>
      </c>
      <c r="F255" s="3">
        <f ca="1"/>
        <v>0</v>
      </c>
      <c r="G255" s="3">
        <f ca="1"/>
        <v>0</v>
      </c>
      <c r="H255" s="3">
        <f ca="1"/>
        <v>1</v>
      </c>
      <c r="I255" s="3">
        <f ca="1"/>
        <v>0</v>
      </c>
      <c r="J255" s="3" t="str">
        <f ca="1"/>
        <v>1 4 6</v>
      </c>
      <c r="K255" s="3">
        <f ca="1"/>
        <v>10</v>
      </c>
      <c r="L255" s="3" t="str">
        <f ca="1"/>
        <v>2 8 1</v>
      </c>
      <c r="M255" s="3">
        <f ca="1"/>
        <v>1</v>
      </c>
      <c r="N255" s="3" t="str">
        <f ca="1"/>
        <v>2 8 1</v>
      </c>
      <c r="O255" s="3">
        <f ca="1"/>
        <v>2</v>
      </c>
      <c r="P255" s="3" t="str">
        <f ca="1"/>
        <v/>
      </c>
      <c r="Q255" s="3">
        <f ca="1"/>
        <v>0.26785714285714285</v>
      </c>
      <c r="R255" s="3">
        <f ca="1"/>
        <v>0.33333333333333331</v>
      </c>
      <c r="S255" s="3">
        <f ca="1"/>
        <v>1</v>
      </c>
      <c r="T255" s="3">
        <f ca="1"/>
        <v>2</v>
      </c>
      <c r="U255" s="3">
        <f ca="1"/>
        <v>4</v>
      </c>
      <c r="V255" s="3">
        <f ca="1"/>
        <v>4</v>
      </c>
      <c r="W255" s="3">
        <f ca="1"/>
        <v>4</v>
      </c>
      <c r="X255" s="3">
        <f ca="1"/>
        <v>2</v>
      </c>
      <c r="Y255" s="3">
        <f ca="1"/>
        <v>4.5</v>
      </c>
      <c r="Z255" s="3">
        <f ca="1"/>
        <v>0.30681818181818182</v>
      </c>
      <c r="AA255" s="3">
        <f ca="1"/>
        <v>0.4375</v>
      </c>
      <c r="AB255" s="3">
        <f ca="1"/>
        <v>3</v>
      </c>
      <c r="AC255" s="3">
        <f ca="1"/>
        <v>5</v>
      </c>
      <c r="AD255" s="3" t="str">
        <f ca="1"/>
        <v/>
      </c>
      <c r="AE255" s="3">
        <f ca="1"/>
        <v>4</v>
      </c>
      <c r="AF255" s="3">
        <f ca="1"/>
        <v>3</v>
      </c>
      <c r="AG255" s="3" t="str">
        <f ca="1"/>
        <v>d4d56b64-29c5-46bb-b2c0-635bdbd56933</v>
      </c>
    </row>
    <row r="256" spans="1:33" ht="14.4" customHeight="1" x14ac:dyDescent="0.3">
      <c r="A256" s="11" t="str">
        <f ca="1"/>
        <v>23a43d88-d668-49c2-873b-23ac5cbbb4db</v>
      </c>
      <c r="D256" s="3">
        <f ca="1"/>
        <v>252</v>
      </c>
      <c r="E256" s="3">
        <f ca="1"/>
        <v>1</v>
      </c>
      <c r="F256" s="3">
        <f ca="1"/>
        <v>0</v>
      </c>
      <c r="G256" s="3">
        <f ca="1"/>
        <v>1</v>
      </c>
      <c r="H256" s="3">
        <f ca="1"/>
        <v>1</v>
      </c>
      <c r="I256" s="3">
        <f ca="1"/>
        <v>2.5</v>
      </c>
      <c r="J256" s="3" t="str">
        <f ca="1"/>
        <v>1 4 3 10 5 6</v>
      </c>
      <c r="K256" s="3">
        <f ca="1"/>
        <v>15</v>
      </c>
      <c r="L256" s="3" t="str">
        <f ca="1"/>
        <v>1 2 3 8</v>
      </c>
      <c r="M256" s="3">
        <f ca="1"/>
        <v>2</v>
      </c>
      <c r="N256" s="3" t="str">
        <f ca="1"/>
        <v>1 2 8 3</v>
      </c>
      <c r="O256" s="3">
        <f ca="1"/>
        <v>3</v>
      </c>
      <c r="P256" s="3" t="str">
        <f ca="1"/>
        <v/>
      </c>
      <c r="Q256" s="3">
        <f ca="1"/>
        <v>0.26785714285714285</v>
      </c>
      <c r="R256" s="3">
        <f ca="1"/>
        <v>0.66666666666666663</v>
      </c>
      <c r="S256" s="3">
        <f ca="1"/>
        <v>2</v>
      </c>
      <c r="T256" s="3">
        <f ca="1"/>
        <v>2</v>
      </c>
      <c r="U256" s="3">
        <f ca="1"/>
        <v>5</v>
      </c>
      <c r="V256" s="3">
        <f ca="1"/>
        <v>4</v>
      </c>
      <c r="W256" s="3">
        <f ca="1"/>
        <v>4</v>
      </c>
      <c r="X256" s="3">
        <f ca="1"/>
        <v>4</v>
      </c>
      <c r="Y256" s="3">
        <f ca="1"/>
        <v>4.5</v>
      </c>
      <c r="Z256" s="3">
        <f ca="1"/>
        <v>0.39393939393939392</v>
      </c>
      <c r="AA256" s="3">
        <f ca="1"/>
        <v>0.4375</v>
      </c>
      <c r="AB256" s="3">
        <f ca="1"/>
        <v>2.5</v>
      </c>
      <c r="AC256" s="3">
        <f ca="1"/>
        <v>5</v>
      </c>
      <c r="AD256" s="3" t="str">
        <f ca="1"/>
        <v/>
      </c>
      <c r="AE256" s="3">
        <f ca="1"/>
        <v>4</v>
      </c>
      <c r="AF256" s="3">
        <f ca="1"/>
        <v>4</v>
      </c>
      <c r="AG256" s="3" t="str">
        <f ca="1"/>
        <v>23a43d88-d668-49c2-873b-23ac5cbbb4db</v>
      </c>
    </row>
    <row r="257" spans="1:33" ht="14.4" customHeight="1" x14ac:dyDescent="0.3">
      <c r="A257" s="11" t="str">
        <f ca="1"/>
        <v>9865a941-75e5-4421-aef3-b6a349785dde</v>
      </c>
      <c r="D257" s="3">
        <f ca="1"/>
        <v>253</v>
      </c>
      <c r="E257" s="3">
        <f ca="1"/>
        <v>1</v>
      </c>
      <c r="F257" s="3">
        <f ca="1"/>
        <v>1</v>
      </c>
      <c r="G257" s="3">
        <f ca="1"/>
        <v>1</v>
      </c>
      <c r="H257" s="3">
        <f ca="1"/>
        <v>1</v>
      </c>
      <c r="I257" s="3">
        <f ca="1"/>
        <v>5</v>
      </c>
      <c r="J257" s="3" t="str">
        <f ca="1"/>
        <v>1 4 99</v>
      </c>
      <c r="K257" s="3">
        <f ca="1"/>
        <v>10</v>
      </c>
      <c r="L257" s="3" t="str">
        <f ca="1"/>
        <v>2 8 3</v>
      </c>
      <c r="M257" s="3">
        <f ca="1"/>
        <v>1</v>
      </c>
      <c r="N257" s="3" t="str">
        <f ca="1"/>
        <v>2 1 8</v>
      </c>
      <c r="O257" s="3">
        <f ca="1"/>
        <v>2</v>
      </c>
      <c r="P257" s="3" t="str">
        <f ca="1"/>
        <v/>
      </c>
      <c r="Q257" s="3">
        <f ca="1"/>
        <v>0.23214285714285715</v>
      </c>
      <c r="R257" s="3">
        <f ca="1"/>
        <v>0</v>
      </c>
      <c r="S257" s="3">
        <f ca="1"/>
        <v>1</v>
      </c>
      <c r="T257" s="3">
        <f ca="1"/>
        <v>1</v>
      </c>
      <c r="U257" s="3">
        <f ca="1"/>
        <v>5</v>
      </c>
      <c r="V257" s="3">
        <f ca="1"/>
        <v>4</v>
      </c>
      <c r="W257" s="3">
        <f ca="1"/>
        <v>4</v>
      </c>
      <c r="X257" s="3">
        <f ca="1"/>
        <v>4</v>
      </c>
      <c r="Y257" s="3">
        <f ca="1"/>
        <v>2.5</v>
      </c>
      <c r="Z257" s="3">
        <f ca="1"/>
        <v>0.26136363636363635</v>
      </c>
      <c r="AA257" s="3">
        <f ca="1"/>
        <v>0.4375</v>
      </c>
      <c r="AB257" s="3">
        <f ca="1"/>
        <v>2</v>
      </c>
      <c r="AC257" s="3">
        <f ca="1"/>
        <v>5</v>
      </c>
      <c r="AD257" s="3" t="str">
        <f ca="1"/>
        <v/>
      </c>
      <c r="AE257" s="3">
        <f ca="1"/>
        <v>4</v>
      </c>
      <c r="AF257" s="3">
        <f ca="1"/>
        <v>1</v>
      </c>
      <c r="AG257" s="3" t="str">
        <f ca="1"/>
        <v>9865a941-75e5-4421-aef3-b6a349785dde</v>
      </c>
    </row>
    <row r="258" spans="1:33" ht="14.4" customHeight="1" x14ac:dyDescent="0.3">
      <c r="A258" s="11" t="str">
        <f ca="1"/>
        <v>6b13527d-dd3c-4a62-bfcd-6324ff02fd82</v>
      </c>
      <c r="D258" s="3">
        <f ca="1"/>
        <v>254</v>
      </c>
      <c r="E258" s="3">
        <f ca="1"/>
        <v>1</v>
      </c>
      <c r="F258" s="3">
        <f ca="1"/>
        <v>1</v>
      </c>
      <c r="G258" s="3">
        <f ca="1"/>
        <v>1</v>
      </c>
      <c r="H258" s="3">
        <f ca="1"/>
        <v>1</v>
      </c>
      <c r="I258" s="3">
        <f ca="1"/>
        <v>5</v>
      </c>
      <c r="J258" s="3" t="str">
        <f ca="1"/>
        <v>1 6 4</v>
      </c>
      <c r="K258" s="3">
        <f ca="1"/>
        <v>10</v>
      </c>
      <c r="L258" s="3" t="str">
        <f ca="1"/>
        <v>8 2 1</v>
      </c>
      <c r="M258" s="3">
        <f ca="1"/>
        <v>1</v>
      </c>
      <c r="N258" s="3" t="str">
        <f ca="1"/>
        <v>1 8</v>
      </c>
      <c r="O258" s="3">
        <f ca="1"/>
        <v>2</v>
      </c>
      <c r="P258" s="3" t="str">
        <f ca="1"/>
        <v/>
      </c>
      <c r="Q258" s="3">
        <f ca="1"/>
        <v>0.23214285714285715</v>
      </c>
      <c r="R258" s="3">
        <f ca="1"/>
        <v>0.33333333333333331</v>
      </c>
      <c r="S258" s="3">
        <f ca="1"/>
        <v>1</v>
      </c>
      <c r="T258" s="3">
        <f ca="1"/>
        <v>1</v>
      </c>
      <c r="U258" s="3">
        <f ca="1"/>
        <v>3</v>
      </c>
      <c r="V258" s="3">
        <f ca="1"/>
        <v>4</v>
      </c>
      <c r="W258" s="3">
        <f ca="1"/>
        <v>5</v>
      </c>
      <c r="X258" s="3">
        <f ca="1"/>
        <v>2</v>
      </c>
      <c r="Y258" s="3">
        <f ca="1"/>
        <v>4</v>
      </c>
      <c r="Z258" s="3">
        <f ca="1"/>
        <v>0.26136363636363635</v>
      </c>
      <c r="AA258" s="3">
        <f ca="1"/>
        <v>0.4375</v>
      </c>
      <c r="AB258" s="3">
        <f ca="1"/>
        <v>2.5</v>
      </c>
      <c r="AC258" s="3">
        <f ca="1"/>
        <v>4</v>
      </c>
      <c r="AD258" s="3" t="str">
        <f ca="1"/>
        <v/>
      </c>
      <c r="AE258" s="3">
        <f ca="1"/>
        <v>4</v>
      </c>
      <c r="AF258" s="3">
        <f ca="1"/>
        <v>3</v>
      </c>
      <c r="AG258" s="3" t="str">
        <f ca="1"/>
        <v>6b13527d-dd3c-4a62-bfcd-6324ff02fd82</v>
      </c>
    </row>
    <row r="259" spans="1:33" ht="14.4" customHeight="1" x14ac:dyDescent="0.3">
      <c r="A259" s="11" t="str">
        <f ca="1"/>
        <v>41800180-9ff8-4c0f-ab01-20e1f5a07787</v>
      </c>
      <c r="D259" s="3">
        <f ca="1"/>
        <v>255</v>
      </c>
      <c r="E259" s="3">
        <f ca="1"/>
        <v>1</v>
      </c>
      <c r="F259" s="3">
        <f ca="1"/>
        <v>1</v>
      </c>
      <c r="G259" s="3">
        <f ca="1"/>
        <v>1</v>
      </c>
      <c r="H259" s="3">
        <f ca="1"/>
        <v>1</v>
      </c>
      <c r="I259" s="3">
        <f ca="1"/>
        <v>5</v>
      </c>
      <c r="J259" s="3" t="str">
        <f ca="1"/>
        <v>1 4 7 6</v>
      </c>
      <c r="K259" s="3">
        <f ca="1"/>
        <v>10</v>
      </c>
      <c r="L259" s="3">
        <f ca="1"/>
        <v>8</v>
      </c>
      <c r="M259" s="3">
        <f ca="1"/>
        <v>0</v>
      </c>
      <c r="N259" s="3" t="str">
        <f ca="1"/>
        <v>8 2</v>
      </c>
      <c r="O259" s="3">
        <f ca="1"/>
        <v>2</v>
      </c>
      <c r="P259" s="3" t="str">
        <f ca="1"/>
        <v/>
      </c>
      <c r="Q259" s="3">
        <f ca="1"/>
        <v>0.26785714285714285</v>
      </c>
      <c r="R259" s="3">
        <f ca="1"/>
        <v>0.33333333333333331</v>
      </c>
      <c r="S259" s="3">
        <f ca="1"/>
        <v>1</v>
      </c>
      <c r="T259" s="3">
        <f ca="1"/>
        <v>1</v>
      </c>
      <c r="U259" s="3">
        <f ca="1"/>
        <v>5</v>
      </c>
      <c r="V259" s="3">
        <f ca="1"/>
        <v>5</v>
      </c>
      <c r="W259" s="3">
        <f ca="1"/>
        <v>5</v>
      </c>
      <c r="X259" s="3">
        <f ca="1"/>
        <v>1</v>
      </c>
      <c r="Y259" s="3">
        <f ca="1"/>
        <v>4</v>
      </c>
      <c r="Z259" s="3">
        <f ca="1"/>
        <v>0.26515151515151514</v>
      </c>
      <c r="AA259" s="3">
        <f ca="1"/>
        <v>0.4375</v>
      </c>
      <c r="AB259" s="3">
        <f ca="1"/>
        <v>2.5</v>
      </c>
      <c r="AC259" s="3">
        <f ca="1"/>
        <v>5</v>
      </c>
      <c r="AD259" s="3" t="str">
        <f ca="1"/>
        <v/>
      </c>
      <c r="AE259" s="3">
        <f ca="1"/>
        <v>5</v>
      </c>
      <c r="AF259" s="3">
        <f ca="1"/>
        <v>1</v>
      </c>
      <c r="AG259" s="3" t="str">
        <f ca="1"/>
        <v>41800180-9ff8-4c0f-ab01-20e1f5a07787</v>
      </c>
    </row>
    <row r="260" spans="1:33" ht="14.4" customHeight="1" x14ac:dyDescent="0.3">
      <c r="A260" s="11" t="str">
        <f ca="1"/>
        <v>56d2c6c2-909f-44bd-b2ec-c15f77acfc9b</v>
      </c>
      <c r="D260" s="3">
        <f ca="1"/>
        <v>256</v>
      </c>
      <c r="E260" s="3">
        <f ca="1"/>
        <v>0</v>
      </c>
      <c r="F260" s="3">
        <f ca="1"/>
        <v>0</v>
      </c>
      <c r="G260" s="3">
        <f ca="1"/>
        <v>1</v>
      </c>
      <c r="H260" s="3">
        <f ca="1"/>
        <v>1</v>
      </c>
      <c r="I260" s="3">
        <f ca="1"/>
        <v>0</v>
      </c>
      <c r="J260" s="3" t="str">
        <f ca="1"/>
        <v>1 4 6</v>
      </c>
      <c r="K260" s="3">
        <f ca="1"/>
        <v>10</v>
      </c>
      <c r="L260" s="3">
        <f ca="1"/>
        <v>8</v>
      </c>
      <c r="M260" s="3">
        <f ca="1"/>
        <v>0</v>
      </c>
      <c r="N260" s="3" t="str">
        <f ca="1"/>
        <v>8 2</v>
      </c>
      <c r="O260" s="3">
        <f ca="1"/>
        <v>2</v>
      </c>
      <c r="P260" s="3" t="str">
        <f ca="1"/>
        <v/>
      </c>
      <c r="Q260" s="3">
        <f ca="1"/>
        <v>0.26785714285714285</v>
      </c>
      <c r="R260" s="3">
        <f ca="1"/>
        <v>0.33333333333333331</v>
      </c>
      <c r="S260" s="3">
        <f ca="1"/>
        <v>2</v>
      </c>
      <c r="T260" s="3">
        <f ca="1"/>
        <v>2</v>
      </c>
      <c r="U260" s="3">
        <f ca="1"/>
        <v>4</v>
      </c>
      <c r="V260" s="3">
        <f ca="1"/>
        <v>4</v>
      </c>
      <c r="W260" s="3">
        <f ca="1"/>
        <v>4</v>
      </c>
      <c r="X260" s="3">
        <f ca="1"/>
        <v>4</v>
      </c>
      <c r="Y260" s="3">
        <f ca="1"/>
        <v>4</v>
      </c>
      <c r="Z260" s="3">
        <f ca="1"/>
        <v>0.31060606060606061</v>
      </c>
      <c r="AA260" s="3">
        <f ca="1"/>
        <v>0.4375</v>
      </c>
      <c r="AB260" s="3">
        <f ca="1"/>
        <v>3.5</v>
      </c>
      <c r="AC260" s="3">
        <f ca="1"/>
        <v>4</v>
      </c>
      <c r="AD260" s="3" t="str">
        <f ca="1"/>
        <v/>
      </c>
      <c r="AE260" s="3">
        <f ca="1"/>
        <v>4</v>
      </c>
      <c r="AF260" s="3">
        <f ca="1"/>
        <v>1</v>
      </c>
      <c r="AG260" s="3" t="str">
        <f ca="1"/>
        <v>56d2c6c2-909f-44bd-b2ec-c15f77acfc9b</v>
      </c>
    </row>
    <row r="261" spans="1:33" ht="14.4" customHeight="1" x14ac:dyDescent="0.3">
      <c r="A261" s="11" t="str">
        <f ca="1"/>
        <v>b7705828-f97b-4337-96d7-42ef56f19cc4</v>
      </c>
      <c r="D261" s="3">
        <f ca="1"/>
        <v>257</v>
      </c>
      <c r="E261" s="3">
        <f ca="1"/>
        <v>0</v>
      </c>
      <c r="F261" s="3">
        <f ca="1"/>
        <v>1</v>
      </c>
      <c r="G261" s="3">
        <f ca="1"/>
        <v>1</v>
      </c>
      <c r="H261" s="3">
        <f ca="1"/>
        <v>0</v>
      </c>
      <c r="I261" s="3">
        <f ca="1"/>
        <v>0</v>
      </c>
      <c r="J261" s="3" t="str">
        <f ca="1"/>
        <v>1 4 6</v>
      </c>
      <c r="K261" s="3">
        <f ca="1"/>
        <v>10</v>
      </c>
      <c r="L261" s="3" t="str">
        <f ca="1"/>
        <v>1 8</v>
      </c>
      <c r="M261" s="3">
        <f ca="1"/>
        <v>1</v>
      </c>
      <c r="N261" s="3" t="str">
        <f ca="1"/>
        <v>1 8</v>
      </c>
      <c r="O261" s="3">
        <f ca="1"/>
        <v>2</v>
      </c>
      <c r="P261" s="3" t="str">
        <f ca="1"/>
        <v/>
      </c>
      <c r="Q261" s="3">
        <f ca="1"/>
        <v>0.26785714285714285</v>
      </c>
      <c r="R261" s="3">
        <f ca="1"/>
        <v>1</v>
      </c>
      <c r="S261" s="3">
        <f ca="1"/>
        <v>1</v>
      </c>
      <c r="T261" s="3">
        <f ca="1"/>
        <v>1</v>
      </c>
      <c r="U261" s="3">
        <f ca="1"/>
        <v>5</v>
      </c>
      <c r="V261" s="3">
        <f ca="1"/>
        <v>4</v>
      </c>
      <c r="W261" s="3">
        <f ca="1"/>
        <v>4</v>
      </c>
      <c r="X261" s="3">
        <f ca="1"/>
        <v>4</v>
      </c>
      <c r="Y261" s="3">
        <f ca="1"/>
        <v>4</v>
      </c>
      <c r="Z261" s="3">
        <f ca="1"/>
        <v>0.30681818181818182</v>
      </c>
      <c r="AA261" s="3">
        <f ca="1"/>
        <v>0.5</v>
      </c>
      <c r="AB261" s="3">
        <f ca="1"/>
        <v>2</v>
      </c>
      <c r="AC261" s="3">
        <f ca="1"/>
        <v>4</v>
      </c>
      <c r="AD261" s="3" t="str">
        <f ca="1"/>
        <v/>
      </c>
      <c r="AE261" s="3">
        <f ca="1"/>
        <v>4</v>
      </c>
      <c r="AF261" s="3">
        <f ca="1"/>
        <v>4</v>
      </c>
      <c r="AG261" s="3" t="str">
        <f ca="1"/>
        <v>b7705828-f97b-4337-96d7-42ef56f19cc4</v>
      </c>
    </row>
    <row r="262" spans="1:33" ht="14.4" customHeight="1" x14ac:dyDescent="0.3">
      <c r="A262" s="11" t="str">
        <f ca="1"/>
        <v>6aa6c922-4b3b-4789-a3ae-8acc32ac8ac2</v>
      </c>
      <c r="D262" s="3">
        <f ca="1"/>
        <v>258</v>
      </c>
      <c r="E262" s="3">
        <f ca="1"/>
        <v>1</v>
      </c>
      <c r="F262" s="3">
        <f ca="1"/>
        <v>1</v>
      </c>
      <c r="G262" s="3">
        <f ca="1"/>
        <v>1</v>
      </c>
      <c r="H262" s="3">
        <f ca="1"/>
        <v>1</v>
      </c>
      <c r="I262" s="3">
        <f ca="1"/>
        <v>5</v>
      </c>
      <c r="J262" s="3" t="str">
        <f ca="1"/>
        <v>1 6</v>
      </c>
      <c r="K262" s="3">
        <f ca="1"/>
        <v>5</v>
      </c>
      <c r="L262" s="3">
        <f ca="1"/>
        <v>8</v>
      </c>
      <c r="M262" s="3">
        <f ca="1"/>
        <v>0</v>
      </c>
      <c r="N262" s="3">
        <f ca="1"/>
        <v>8</v>
      </c>
      <c r="O262" s="3">
        <f ca="1"/>
        <v>1</v>
      </c>
      <c r="P262" s="3" t="str">
        <f ca="1"/>
        <v/>
      </c>
      <c r="Q262" s="3">
        <f ca="1"/>
        <v>0.1607142857142857</v>
      </c>
      <c r="R262" s="3">
        <f ca="1"/>
        <v>0.33333333333333331</v>
      </c>
      <c r="S262" s="3">
        <f ca="1"/>
        <v>1</v>
      </c>
      <c r="T262" s="3">
        <f ca="1"/>
        <v>1</v>
      </c>
      <c r="U262" s="3">
        <f ca="1"/>
        <v>3</v>
      </c>
      <c r="V262" s="3">
        <f ca="1"/>
        <v>2</v>
      </c>
      <c r="W262" s="3">
        <f ca="1"/>
        <v>2</v>
      </c>
      <c r="X262" s="3">
        <f ca="1"/>
        <v>4</v>
      </c>
      <c r="Y262" s="3">
        <f ca="1"/>
        <v>3</v>
      </c>
      <c r="Z262" s="3">
        <f ca="1"/>
        <v>0.21969696969696967</v>
      </c>
      <c r="AA262" s="3">
        <f ca="1"/>
        <v>0.4375</v>
      </c>
      <c r="AB262" s="3">
        <f ca="1"/>
        <v>2</v>
      </c>
      <c r="AC262" s="3">
        <f ca="1"/>
        <v>4</v>
      </c>
      <c r="AD262" s="3" t="str">
        <f ca="1"/>
        <v/>
      </c>
      <c r="AE262" s="3">
        <f ca="1"/>
        <v>4</v>
      </c>
      <c r="AF262" s="3">
        <f ca="1"/>
        <v>1</v>
      </c>
      <c r="AG262" s="3" t="str">
        <f ca="1"/>
        <v>6aa6c922-4b3b-4789-a3ae-8acc32ac8ac2</v>
      </c>
    </row>
    <row r="263" spans="1:33" ht="14.4" customHeight="1" x14ac:dyDescent="0.3">
      <c r="A263" s="11" t="str">
        <f ca="1"/>
        <v/>
      </c>
    </row>
    <row r="264" spans="1:33" ht="14.4" customHeight="1" x14ac:dyDescent="0.3">
      <c r="A264" s="11" t="str">
        <f ca="1"/>
        <v/>
      </c>
    </row>
    <row r="265" spans="1:33" ht="14.4" customHeight="1" x14ac:dyDescent="0.3">
      <c r="A265" s="11" t="str">
        <f ca="1"/>
        <v/>
      </c>
    </row>
    <row r="266" spans="1:33" ht="14.4" customHeight="1" x14ac:dyDescent="0.3">
      <c r="A266" s="11" t="str">
        <f ca="1"/>
        <v/>
      </c>
    </row>
    <row r="267" spans="1:33" ht="14.4" customHeight="1" x14ac:dyDescent="0.3">
      <c r="A267" s="11" t="str">
        <f ca="1"/>
        <v/>
      </c>
    </row>
    <row r="268" spans="1:33" ht="14.4" customHeight="1" x14ac:dyDescent="0.3">
      <c r="A268" s="11" t="str">
        <f ca="1"/>
        <v/>
      </c>
    </row>
    <row r="269" spans="1:33" ht="14.4" customHeight="1" x14ac:dyDescent="0.3">
      <c r="A269" s="11" t="str">
        <f ca="1"/>
        <v/>
      </c>
    </row>
    <row r="270" spans="1:33" ht="14.4" customHeight="1" x14ac:dyDescent="0.3">
      <c r="A270" s="11" t="str">
        <f ca="1"/>
        <v/>
      </c>
    </row>
    <row r="271" spans="1:33" ht="14.4" customHeight="1" x14ac:dyDescent="0.3">
      <c r="A271" s="11" t="str">
        <f ca="1"/>
        <v/>
      </c>
    </row>
    <row r="272" spans="1:33" ht="14.4" customHeight="1" x14ac:dyDescent="0.3">
      <c r="A272" s="11" t="str">
        <f ca="1"/>
        <v/>
      </c>
    </row>
    <row r="273" spans="1:1" ht="14.4" customHeight="1" x14ac:dyDescent="0.3">
      <c r="A273" s="11" t="str">
        <f ca="1"/>
        <v/>
      </c>
    </row>
    <row r="274" spans="1:1" ht="14.4" customHeight="1" x14ac:dyDescent="0.3">
      <c r="A274" s="11" t="str">
        <f ca="1"/>
        <v/>
      </c>
    </row>
    <row r="275" spans="1:1" ht="14.4" customHeight="1" x14ac:dyDescent="0.3">
      <c r="A275" s="11" t="str">
        <f ca="1"/>
        <v/>
      </c>
    </row>
    <row r="276" spans="1:1" ht="14.4" customHeight="1" x14ac:dyDescent="0.3">
      <c r="A276" s="11" t="str">
        <f ca="1"/>
        <v/>
      </c>
    </row>
    <row r="277" spans="1:1" ht="14.4" customHeight="1" x14ac:dyDescent="0.3">
      <c r="A277" s="11" t="str">
        <f ca="1"/>
        <v/>
      </c>
    </row>
    <row r="278" spans="1:1" ht="14.4" customHeight="1" x14ac:dyDescent="0.3">
      <c r="A278" s="11" t="str">
        <f ca="1"/>
        <v/>
      </c>
    </row>
    <row r="279" spans="1:1" ht="14.4" customHeight="1" x14ac:dyDescent="0.3">
      <c r="A279" s="11" t="str">
        <f ca="1"/>
        <v/>
      </c>
    </row>
    <row r="280" spans="1:1" ht="14.4" customHeight="1" x14ac:dyDescent="0.3">
      <c r="A280" s="11" t="str">
        <f ca="1"/>
        <v/>
      </c>
    </row>
    <row r="281" spans="1:1" ht="14.4" customHeight="1" x14ac:dyDescent="0.3">
      <c r="A281" s="11" t="str">
        <f ca="1"/>
        <v/>
      </c>
    </row>
    <row r="282" spans="1:1" ht="14.4" customHeight="1" x14ac:dyDescent="0.3">
      <c r="A282" s="11" t="str">
        <f ca="1"/>
        <v/>
      </c>
    </row>
    <row r="283" spans="1:1" ht="14.4" customHeight="1" x14ac:dyDescent="0.3">
      <c r="A283" s="11" t="str">
        <f ca="1"/>
        <v/>
      </c>
    </row>
    <row r="284" spans="1:1" ht="14.4" customHeight="1" x14ac:dyDescent="0.3">
      <c r="A284" s="11" t="str">
        <f ca="1"/>
        <v/>
      </c>
    </row>
    <row r="285" spans="1:1" ht="14.4" customHeight="1" x14ac:dyDescent="0.3">
      <c r="A285" s="11" t="str">
        <f ca="1"/>
        <v/>
      </c>
    </row>
    <row r="286" spans="1:1" ht="14.4" customHeight="1" x14ac:dyDescent="0.3">
      <c r="A286" s="11" t="str">
        <f ca="1"/>
        <v/>
      </c>
    </row>
    <row r="287" spans="1:1" ht="14.4" customHeight="1" x14ac:dyDescent="0.3">
      <c r="A287" s="11" t="str">
        <f ca="1"/>
        <v/>
      </c>
    </row>
    <row r="288" spans="1:1" ht="14.4" customHeight="1" x14ac:dyDescent="0.3">
      <c r="A288" s="11" t="str">
        <f ca="1"/>
        <v/>
      </c>
    </row>
    <row r="289" spans="1:1" ht="14.4" customHeight="1" x14ac:dyDescent="0.3">
      <c r="A289" s="11" t="str">
        <f ca="1"/>
        <v/>
      </c>
    </row>
    <row r="290" spans="1:1" ht="14.4" customHeight="1" x14ac:dyDescent="0.3">
      <c r="A290" s="11" t="str">
        <f ca="1"/>
        <v/>
      </c>
    </row>
    <row r="291" spans="1:1" ht="14.4" customHeight="1" x14ac:dyDescent="0.3">
      <c r="A291" s="11" t="str">
        <f ca="1"/>
        <v/>
      </c>
    </row>
    <row r="292" spans="1:1" ht="14.4" customHeight="1" x14ac:dyDescent="0.3">
      <c r="A292" s="11" t="str">
        <f ca="1"/>
        <v/>
      </c>
    </row>
    <row r="293" spans="1:1" ht="14.4" customHeight="1" x14ac:dyDescent="0.3">
      <c r="A293" s="11" t="str">
        <f ca="1"/>
        <v/>
      </c>
    </row>
    <row r="294" spans="1:1" ht="14.4" customHeight="1" x14ac:dyDescent="0.3">
      <c r="A294" s="11" t="str">
        <f ca="1"/>
        <v/>
      </c>
    </row>
    <row r="295" spans="1:1" ht="14.4" customHeight="1" x14ac:dyDescent="0.3">
      <c r="A295" s="11" t="str">
        <f ca="1"/>
        <v/>
      </c>
    </row>
    <row r="296" spans="1:1" ht="14.4" customHeight="1" x14ac:dyDescent="0.3">
      <c r="A296" s="11" t="str">
        <f ca="1"/>
        <v/>
      </c>
    </row>
    <row r="297" spans="1:1" ht="14.4" customHeight="1" x14ac:dyDescent="0.3">
      <c r="A297" s="11" t="str">
        <f ca="1"/>
        <v/>
      </c>
    </row>
    <row r="298" spans="1:1" ht="14.4" customHeight="1" x14ac:dyDescent="0.3">
      <c r="A298" s="11" t="str">
        <f ca="1"/>
        <v/>
      </c>
    </row>
    <row r="299" spans="1:1" ht="14.4" customHeight="1" x14ac:dyDescent="0.3">
      <c r="A299" s="11" t="str">
        <f ca="1"/>
        <v/>
      </c>
    </row>
    <row r="300" spans="1:1" ht="14.4" customHeight="1" x14ac:dyDescent="0.3">
      <c r="A300" s="11" t="str">
        <f ca="1"/>
        <v/>
      </c>
    </row>
    <row r="301" spans="1:1" ht="14.4" customHeight="1" x14ac:dyDescent="0.3">
      <c r="A301" s="11" t="str">
        <f ca="1"/>
        <v/>
      </c>
    </row>
    <row r="302" spans="1:1" ht="14.4" customHeight="1" x14ac:dyDescent="0.3">
      <c r="A302" s="11" t="str">
        <f ca="1"/>
        <v/>
      </c>
    </row>
    <row r="303" spans="1:1" ht="14.4" customHeight="1" x14ac:dyDescent="0.3">
      <c r="A303" s="11" t="str">
        <f ca="1"/>
        <v/>
      </c>
    </row>
    <row r="304" spans="1:1" ht="14.4" customHeight="1" x14ac:dyDescent="0.3">
      <c r="A304" s="11" t="str">
        <f ca="1"/>
        <v/>
      </c>
    </row>
    <row r="305" spans="1:1" ht="14.4" customHeight="1" x14ac:dyDescent="0.3">
      <c r="A305" s="11" t="str">
        <f ca="1"/>
        <v/>
      </c>
    </row>
    <row r="306" spans="1:1" ht="14.4" customHeight="1" x14ac:dyDescent="0.3">
      <c r="A306" s="11" t="str">
        <f ca="1"/>
        <v/>
      </c>
    </row>
    <row r="307" spans="1:1" ht="14.4" customHeight="1" x14ac:dyDescent="0.3">
      <c r="A307" s="11" t="str">
        <f ca="1"/>
        <v/>
      </c>
    </row>
    <row r="308" spans="1:1" ht="14.4" customHeight="1" x14ac:dyDescent="0.3">
      <c r="A308" s="11" t="str">
        <f ca="1"/>
        <v/>
      </c>
    </row>
    <row r="309" spans="1:1" ht="14.4" customHeight="1" x14ac:dyDescent="0.3">
      <c r="A309" s="11" t="str">
        <f ca="1"/>
        <v/>
      </c>
    </row>
    <row r="310" spans="1:1" ht="14.4" customHeight="1" x14ac:dyDescent="0.3">
      <c r="A310" s="11" t="str">
        <f ca="1"/>
        <v/>
      </c>
    </row>
    <row r="311" spans="1:1" ht="14.4" customHeight="1" x14ac:dyDescent="0.3">
      <c r="A311" s="11" t="str">
        <f ca="1"/>
        <v/>
      </c>
    </row>
    <row r="312" spans="1:1" ht="14.4" customHeight="1" x14ac:dyDescent="0.3">
      <c r="A312" s="11" t="str">
        <f ca="1"/>
        <v/>
      </c>
    </row>
    <row r="313" spans="1:1" ht="14.4" customHeight="1" x14ac:dyDescent="0.3">
      <c r="A313" s="11" t="str">
        <f ca="1"/>
        <v/>
      </c>
    </row>
    <row r="314" spans="1:1" ht="14.4" customHeight="1" x14ac:dyDescent="0.3">
      <c r="A314" s="11" t="str">
        <f ca="1"/>
        <v/>
      </c>
    </row>
    <row r="315" spans="1:1" ht="14.4" customHeight="1" x14ac:dyDescent="0.3">
      <c r="A315" s="11" t="str">
        <f ca="1"/>
        <v/>
      </c>
    </row>
    <row r="316" spans="1:1" ht="14.4" customHeight="1" x14ac:dyDescent="0.3">
      <c r="A316" s="11" t="str">
        <f ca="1"/>
        <v/>
      </c>
    </row>
    <row r="317" spans="1:1" ht="14.4" customHeight="1" x14ac:dyDescent="0.3">
      <c r="A317" s="11" t="str">
        <f ca="1"/>
        <v/>
      </c>
    </row>
    <row r="318" spans="1:1" ht="14.4" customHeight="1" x14ac:dyDescent="0.3">
      <c r="A318" s="11" t="str">
        <f ca="1"/>
        <v/>
      </c>
    </row>
    <row r="319" spans="1:1" ht="14.4" customHeight="1" x14ac:dyDescent="0.3">
      <c r="A319" s="11" t="str">
        <f ca="1"/>
        <v/>
      </c>
    </row>
    <row r="320" spans="1:1" ht="14.4" customHeight="1" x14ac:dyDescent="0.3">
      <c r="A320" s="11" t="str">
        <f ca="1"/>
        <v/>
      </c>
    </row>
    <row r="321" spans="1:1" ht="14.4" customHeight="1" x14ac:dyDescent="0.3">
      <c r="A321" s="11" t="str">
        <f ca="1"/>
        <v/>
      </c>
    </row>
    <row r="322" spans="1:1" ht="14.4" customHeight="1" x14ac:dyDescent="0.3">
      <c r="A322" s="11" t="str">
        <f ca="1"/>
        <v/>
      </c>
    </row>
    <row r="323" spans="1:1" ht="14.4" customHeight="1" x14ac:dyDescent="0.3">
      <c r="A323" s="11" t="str">
        <f ca="1"/>
        <v/>
      </c>
    </row>
    <row r="324" spans="1:1" ht="14.4" customHeight="1" x14ac:dyDescent="0.3">
      <c r="A324" s="11" t="str">
        <f ca="1"/>
        <v/>
      </c>
    </row>
    <row r="325" spans="1:1" ht="14.4" customHeight="1" x14ac:dyDescent="0.3">
      <c r="A325" s="11" t="str">
        <f ca="1"/>
        <v/>
      </c>
    </row>
    <row r="326" spans="1:1" ht="14.4" customHeight="1" x14ac:dyDescent="0.3">
      <c r="A326" s="11" t="str">
        <f ca="1"/>
        <v/>
      </c>
    </row>
    <row r="327" spans="1:1" ht="14.4" customHeight="1" x14ac:dyDescent="0.3">
      <c r="A327" s="11" t="str">
        <f ca="1"/>
        <v/>
      </c>
    </row>
    <row r="328" spans="1:1" ht="14.4" customHeight="1" x14ac:dyDescent="0.3">
      <c r="A328" s="11" t="str">
        <f ca="1"/>
        <v/>
      </c>
    </row>
    <row r="329" spans="1:1" ht="14.4" customHeight="1" x14ac:dyDescent="0.3">
      <c r="A329" s="11" t="str">
        <f ca="1"/>
        <v/>
      </c>
    </row>
    <row r="330" spans="1:1" ht="14.4" customHeight="1" x14ac:dyDescent="0.3">
      <c r="A330" s="11" t="str">
        <f ca="1"/>
        <v/>
      </c>
    </row>
    <row r="331" spans="1:1" ht="14.4" customHeight="1" x14ac:dyDescent="0.3">
      <c r="A331" s="11" t="str">
        <f ca="1"/>
        <v/>
      </c>
    </row>
    <row r="332" spans="1:1" ht="14.4" customHeight="1" x14ac:dyDescent="0.3">
      <c r="A332" s="11" t="str">
        <f ca="1"/>
        <v/>
      </c>
    </row>
    <row r="333" spans="1:1" ht="14.4" customHeight="1" x14ac:dyDescent="0.3">
      <c r="A333" s="11" t="str">
        <f ca="1"/>
        <v/>
      </c>
    </row>
    <row r="334" spans="1:1" ht="14.4" customHeight="1" x14ac:dyDescent="0.3">
      <c r="A334" s="11" t="str">
        <f ca="1"/>
        <v/>
      </c>
    </row>
    <row r="335" spans="1:1" ht="14.4" customHeight="1" x14ac:dyDescent="0.3">
      <c r="A335" s="11" t="str">
        <f ca="1"/>
        <v/>
      </c>
    </row>
    <row r="336" spans="1:1" ht="14.4" customHeight="1" x14ac:dyDescent="0.3">
      <c r="A336" s="11" t="str">
        <f ca="1"/>
        <v/>
      </c>
    </row>
    <row r="337" spans="1:1" ht="14.4" customHeight="1" x14ac:dyDescent="0.3">
      <c r="A337" s="11" t="str">
        <f ca="1"/>
        <v/>
      </c>
    </row>
    <row r="338" spans="1:1" ht="14.4" customHeight="1" x14ac:dyDescent="0.3">
      <c r="A338" s="11" t="str">
        <f ca="1"/>
        <v/>
      </c>
    </row>
    <row r="339" spans="1:1" ht="14.4" customHeight="1" x14ac:dyDescent="0.3">
      <c r="A339" s="11" t="str">
        <f ca="1"/>
        <v/>
      </c>
    </row>
    <row r="340" spans="1:1" ht="14.4" customHeight="1" x14ac:dyDescent="0.3">
      <c r="A340" s="11" t="str">
        <f ca="1"/>
        <v/>
      </c>
    </row>
    <row r="341" spans="1:1" ht="14.4" customHeight="1" x14ac:dyDescent="0.3">
      <c r="A341" s="11" t="str">
        <f ca="1"/>
        <v/>
      </c>
    </row>
    <row r="342" spans="1:1" ht="14.4" customHeight="1" x14ac:dyDescent="0.3">
      <c r="A342" s="11" t="str">
        <f ca="1"/>
        <v/>
      </c>
    </row>
    <row r="343" spans="1:1" ht="14.4" customHeight="1" x14ac:dyDescent="0.3">
      <c r="A343" s="11" t="str">
        <f ca="1"/>
        <v/>
      </c>
    </row>
    <row r="344" spans="1:1" ht="14.4" customHeight="1" x14ac:dyDescent="0.3">
      <c r="A344" s="11" t="str">
        <f ca="1"/>
        <v/>
      </c>
    </row>
    <row r="345" spans="1:1" ht="14.4" customHeight="1" x14ac:dyDescent="0.3">
      <c r="A345" s="11" t="str">
        <f ca="1"/>
        <v/>
      </c>
    </row>
    <row r="346" spans="1:1" ht="14.4" customHeight="1" x14ac:dyDescent="0.3">
      <c r="A346" s="11" t="str">
        <f ca="1"/>
        <v/>
      </c>
    </row>
    <row r="347" spans="1:1" ht="14.4" customHeight="1" x14ac:dyDescent="0.3">
      <c r="A347" s="11" t="str">
        <f ca="1"/>
        <v/>
      </c>
    </row>
    <row r="348" spans="1:1" ht="14.4" customHeight="1" x14ac:dyDescent="0.3">
      <c r="A348" s="11" t="str">
        <f ca="1"/>
        <v/>
      </c>
    </row>
    <row r="349" spans="1:1" ht="14.4" customHeight="1" x14ac:dyDescent="0.3">
      <c r="A349" s="11" t="str">
        <f ca="1"/>
        <v/>
      </c>
    </row>
    <row r="350" spans="1:1" ht="14.4" customHeight="1" x14ac:dyDescent="0.3">
      <c r="A350" s="11" t="str">
        <f ca="1"/>
        <v/>
      </c>
    </row>
    <row r="351" spans="1:1" ht="14.4" customHeight="1" x14ac:dyDescent="0.3">
      <c r="A351" s="11" t="str">
        <f ca="1"/>
        <v/>
      </c>
    </row>
    <row r="352" spans="1:1" ht="14.4" customHeight="1" x14ac:dyDescent="0.3">
      <c r="A352" s="11" t="str">
        <f ca="1"/>
        <v/>
      </c>
    </row>
    <row r="353" spans="1:1" ht="14.4" customHeight="1" x14ac:dyDescent="0.3">
      <c r="A353" s="11" t="str">
        <f ca="1"/>
        <v/>
      </c>
    </row>
    <row r="354" spans="1:1" ht="14.4" customHeight="1" x14ac:dyDescent="0.3">
      <c r="A354" s="11" t="str">
        <f ca="1"/>
        <v/>
      </c>
    </row>
    <row r="355" spans="1:1" ht="14.4" customHeight="1" x14ac:dyDescent="0.3">
      <c r="A355" s="11" t="str">
        <f ca="1"/>
        <v/>
      </c>
    </row>
    <row r="356" spans="1:1" ht="14.4" customHeight="1" x14ac:dyDescent="0.3">
      <c r="A356" s="11" t="str">
        <f ca="1"/>
        <v/>
      </c>
    </row>
    <row r="357" spans="1:1" ht="14.4" customHeight="1" x14ac:dyDescent="0.3">
      <c r="A357" s="11" t="str">
        <f ca="1"/>
        <v/>
      </c>
    </row>
    <row r="358" spans="1:1" ht="14.4" customHeight="1" x14ac:dyDescent="0.3">
      <c r="A358" s="11" t="str">
        <f ca="1"/>
        <v/>
      </c>
    </row>
    <row r="359" spans="1:1" ht="14.4" customHeight="1" x14ac:dyDescent="0.3">
      <c r="A359" s="11" t="str">
        <f ca="1"/>
        <v/>
      </c>
    </row>
    <row r="360" spans="1:1" ht="14.4" customHeight="1" x14ac:dyDescent="0.3">
      <c r="A360" s="11" t="str">
        <f ca="1"/>
        <v/>
      </c>
    </row>
    <row r="361" spans="1:1" ht="14.4" customHeight="1" x14ac:dyDescent="0.3">
      <c r="A361" s="11" t="str">
        <f ca="1"/>
        <v/>
      </c>
    </row>
    <row r="362" spans="1:1" ht="14.4" customHeight="1" x14ac:dyDescent="0.3">
      <c r="A362" s="11" t="str">
        <f ca="1"/>
        <v/>
      </c>
    </row>
    <row r="363" spans="1:1" ht="14.4" customHeight="1" x14ac:dyDescent="0.3">
      <c r="A363" s="11" t="str">
        <f ca="1"/>
        <v/>
      </c>
    </row>
    <row r="364" spans="1:1" ht="14.4" customHeight="1" x14ac:dyDescent="0.3">
      <c r="A364" s="11" t="str">
        <f ca="1"/>
        <v/>
      </c>
    </row>
    <row r="365" spans="1:1" ht="14.4" customHeight="1" x14ac:dyDescent="0.3">
      <c r="A365" s="11" t="str">
        <f ca="1"/>
        <v/>
      </c>
    </row>
    <row r="366" spans="1:1" ht="14.4" customHeight="1" x14ac:dyDescent="0.3">
      <c r="A366" s="11" t="str">
        <f ca="1"/>
        <v/>
      </c>
    </row>
    <row r="367" spans="1:1" ht="14.4" customHeight="1" x14ac:dyDescent="0.3">
      <c r="A367" s="11" t="str">
        <f ca="1"/>
        <v/>
      </c>
    </row>
    <row r="368" spans="1:1" ht="14.4" customHeight="1" x14ac:dyDescent="0.3">
      <c r="A368" s="11" t="str">
        <f ca="1"/>
        <v/>
      </c>
    </row>
    <row r="369" spans="1:1" ht="14.4" customHeight="1" x14ac:dyDescent="0.3">
      <c r="A369" s="11" t="str">
        <f ca="1"/>
        <v/>
      </c>
    </row>
    <row r="370" spans="1:1" ht="14.4" customHeight="1" x14ac:dyDescent="0.3">
      <c r="A370" s="11" t="str">
        <f ca="1"/>
        <v/>
      </c>
    </row>
    <row r="371" spans="1:1" ht="14.4" customHeight="1" x14ac:dyDescent="0.3">
      <c r="A371" s="11" t="str">
        <f ca="1"/>
        <v/>
      </c>
    </row>
    <row r="372" spans="1:1" ht="14.4" customHeight="1" x14ac:dyDescent="0.3">
      <c r="A372" s="11" t="str">
        <f ca="1"/>
        <v/>
      </c>
    </row>
    <row r="373" spans="1:1" ht="14.4" customHeight="1" x14ac:dyDescent="0.3">
      <c r="A373" s="11" t="str">
        <f ca="1"/>
        <v/>
      </c>
    </row>
    <row r="374" spans="1:1" ht="14.4" customHeight="1" x14ac:dyDescent="0.3">
      <c r="A374" s="11" t="str">
        <f ca="1"/>
        <v/>
      </c>
    </row>
    <row r="375" spans="1:1" ht="14.4" customHeight="1" x14ac:dyDescent="0.3">
      <c r="A375" s="11" t="str">
        <f ca="1"/>
        <v/>
      </c>
    </row>
    <row r="376" spans="1:1" ht="14.4" customHeight="1" x14ac:dyDescent="0.3">
      <c r="A376" s="11" t="str">
        <f ca="1"/>
        <v/>
      </c>
    </row>
    <row r="377" spans="1:1" ht="14.4" customHeight="1" x14ac:dyDescent="0.3">
      <c r="A377" s="11" t="str">
        <f ca="1"/>
        <v/>
      </c>
    </row>
    <row r="378" spans="1:1" ht="14.4" customHeight="1" x14ac:dyDescent="0.3">
      <c r="A378" s="11" t="str">
        <f ca="1"/>
        <v/>
      </c>
    </row>
    <row r="379" spans="1:1" ht="14.4" customHeight="1" x14ac:dyDescent="0.3">
      <c r="A379" s="11" t="str">
        <f ca="1"/>
        <v/>
      </c>
    </row>
    <row r="380" spans="1:1" ht="14.4" customHeight="1" x14ac:dyDescent="0.3">
      <c r="A380" s="11" t="str">
        <f ca="1"/>
        <v/>
      </c>
    </row>
    <row r="381" spans="1:1" ht="14.4" customHeight="1" x14ac:dyDescent="0.3">
      <c r="A381" s="11" t="str">
        <f ca="1"/>
        <v/>
      </c>
    </row>
    <row r="382" spans="1:1" ht="14.4" customHeight="1" x14ac:dyDescent="0.3">
      <c r="A382" s="11" t="str">
        <f ca="1"/>
        <v/>
      </c>
    </row>
    <row r="383" spans="1:1" ht="14.4" customHeight="1" x14ac:dyDescent="0.3">
      <c r="A383" s="11" t="str">
        <f ca="1"/>
        <v/>
      </c>
    </row>
    <row r="384" spans="1:1" ht="14.4" customHeight="1" x14ac:dyDescent="0.3">
      <c r="A384" s="11" t="str">
        <f ca="1"/>
        <v/>
      </c>
    </row>
    <row r="385" spans="1:1" ht="14.4" customHeight="1" x14ac:dyDescent="0.3">
      <c r="A385" s="11" t="str">
        <f ca="1"/>
        <v/>
      </c>
    </row>
    <row r="386" spans="1:1" ht="14.4" customHeight="1" x14ac:dyDescent="0.3">
      <c r="A386" s="11" t="str">
        <f ca="1"/>
        <v/>
      </c>
    </row>
    <row r="387" spans="1:1" ht="14.4" customHeight="1" x14ac:dyDescent="0.3">
      <c r="A387" s="11" t="str">
        <f ca="1"/>
        <v/>
      </c>
    </row>
    <row r="388" spans="1:1" ht="14.4" customHeight="1" x14ac:dyDescent="0.3">
      <c r="A388" s="11" t="str">
        <f ca="1"/>
        <v/>
      </c>
    </row>
    <row r="389" spans="1:1" ht="14.4" customHeight="1" x14ac:dyDescent="0.3">
      <c r="A389" s="11" t="str">
        <f ca="1"/>
        <v/>
      </c>
    </row>
    <row r="390" spans="1:1" ht="14.4" customHeight="1" x14ac:dyDescent="0.3">
      <c r="A390" s="11" t="str">
        <f ca="1"/>
        <v/>
      </c>
    </row>
    <row r="391" spans="1:1" ht="14.4" customHeight="1" x14ac:dyDescent="0.3">
      <c r="A391" s="11" t="str">
        <f ca="1"/>
        <v/>
      </c>
    </row>
    <row r="392" spans="1:1" ht="14.4" customHeight="1" x14ac:dyDescent="0.3">
      <c r="A392" s="11" t="str">
        <f ca="1"/>
        <v/>
      </c>
    </row>
    <row r="393" spans="1:1" ht="14.4" customHeight="1" x14ac:dyDescent="0.3">
      <c r="A393" s="11" t="str">
        <f ca="1"/>
        <v/>
      </c>
    </row>
    <row r="394" spans="1:1" ht="14.4" customHeight="1" x14ac:dyDescent="0.3">
      <c r="A394" s="11" t="str">
        <f ca="1"/>
        <v/>
      </c>
    </row>
    <row r="395" spans="1:1" ht="14.4" customHeight="1" x14ac:dyDescent="0.3">
      <c r="A395" s="11" t="str">
        <f ca="1"/>
        <v/>
      </c>
    </row>
    <row r="396" spans="1:1" ht="14.4" customHeight="1" x14ac:dyDescent="0.3">
      <c r="A396" s="11" t="str">
        <f ca="1"/>
        <v/>
      </c>
    </row>
    <row r="397" spans="1:1" ht="14.4" customHeight="1" x14ac:dyDescent="0.3">
      <c r="A397" s="11" t="str">
        <f ca="1"/>
        <v/>
      </c>
    </row>
    <row r="398" spans="1:1" ht="14.4" customHeight="1" x14ac:dyDescent="0.3">
      <c r="A398" s="11" t="str">
        <f ca="1"/>
        <v/>
      </c>
    </row>
    <row r="399" spans="1:1" ht="14.4" customHeight="1" x14ac:dyDescent="0.3">
      <c r="A399" s="11" t="str">
        <f ca="1"/>
        <v/>
      </c>
    </row>
    <row r="400" spans="1:1" ht="14.4" customHeight="1" x14ac:dyDescent="0.3">
      <c r="A400" s="11" t="str">
        <f ca="1"/>
        <v/>
      </c>
    </row>
    <row r="401" spans="1:1" ht="14.4" customHeight="1" x14ac:dyDescent="0.3">
      <c r="A401" s="11" t="str">
        <f ca="1"/>
        <v/>
      </c>
    </row>
    <row r="402" spans="1:1" ht="14.4" customHeight="1" x14ac:dyDescent="0.3">
      <c r="A402" s="11" t="str">
        <f ca="1"/>
        <v/>
      </c>
    </row>
    <row r="403" spans="1:1" ht="14.4" customHeight="1" x14ac:dyDescent="0.3">
      <c r="A403" s="11" t="str">
        <f ca="1"/>
        <v/>
      </c>
    </row>
    <row r="404" spans="1:1" ht="14.4" customHeight="1" x14ac:dyDescent="0.3">
      <c r="A404" s="11" t="str">
        <f ca="1"/>
        <v/>
      </c>
    </row>
    <row r="405" spans="1:1" ht="14.4" customHeight="1" x14ac:dyDescent="0.3">
      <c r="A405" s="11" t="str">
        <f ca="1"/>
        <v/>
      </c>
    </row>
    <row r="406" spans="1:1" ht="14.4" customHeight="1" x14ac:dyDescent="0.3">
      <c r="A406" s="11" t="str">
        <f ca="1"/>
        <v/>
      </c>
    </row>
    <row r="407" spans="1:1" ht="14.4" customHeight="1" x14ac:dyDescent="0.3">
      <c r="A407" s="11" t="str">
        <f ca="1"/>
        <v/>
      </c>
    </row>
    <row r="408" spans="1:1" ht="14.4" customHeight="1" x14ac:dyDescent="0.3">
      <c r="A408" s="11" t="str">
        <f ca="1"/>
        <v/>
      </c>
    </row>
    <row r="409" spans="1:1" ht="14.4" customHeight="1" x14ac:dyDescent="0.3">
      <c r="A409" s="11" t="str">
        <f ca="1"/>
        <v/>
      </c>
    </row>
    <row r="410" spans="1:1" ht="14.4" customHeight="1" x14ac:dyDescent="0.3">
      <c r="A410" s="11" t="str">
        <f ca="1"/>
        <v/>
      </c>
    </row>
    <row r="411" spans="1:1" ht="14.4" customHeight="1" x14ac:dyDescent="0.3">
      <c r="A411" s="11" t="str">
        <f ca="1"/>
        <v/>
      </c>
    </row>
    <row r="412" spans="1:1" ht="14.4" customHeight="1" x14ac:dyDescent="0.3">
      <c r="A412" s="11" t="str">
        <f ca="1"/>
        <v/>
      </c>
    </row>
    <row r="413" spans="1:1" ht="14.4" customHeight="1" x14ac:dyDescent="0.3">
      <c r="A413" s="11" t="str">
        <f ca="1"/>
        <v/>
      </c>
    </row>
    <row r="414" spans="1:1" ht="14.4" customHeight="1" x14ac:dyDescent="0.3">
      <c r="A414" s="11" t="str">
        <f ca="1"/>
        <v/>
      </c>
    </row>
    <row r="415" spans="1:1" ht="14.4" customHeight="1" x14ac:dyDescent="0.3">
      <c r="A415" s="11" t="str">
        <f ca="1"/>
        <v/>
      </c>
    </row>
    <row r="416" spans="1:1" ht="14.4" customHeight="1" x14ac:dyDescent="0.3">
      <c r="A416" s="11" t="str">
        <f ca="1"/>
        <v/>
      </c>
    </row>
    <row r="417" spans="1:1" ht="14.4" customHeight="1" x14ac:dyDescent="0.3">
      <c r="A417" s="11" t="str">
        <f ca="1"/>
        <v/>
      </c>
    </row>
    <row r="418" spans="1:1" ht="14.4" customHeight="1" x14ac:dyDescent="0.3">
      <c r="A418" s="11" t="str">
        <f ca="1"/>
        <v/>
      </c>
    </row>
    <row r="419" spans="1:1" ht="14.4" customHeight="1" x14ac:dyDescent="0.3">
      <c r="A419" s="11" t="str">
        <f ca="1"/>
        <v/>
      </c>
    </row>
    <row r="420" spans="1:1" ht="14.4" customHeight="1" x14ac:dyDescent="0.3">
      <c r="A420" s="11" t="str">
        <f ca="1"/>
        <v/>
      </c>
    </row>
    <row r="421" spans="1:1" ht="14.4" customHeight="1" x14ac:dyDescent="0.3">
      <c r="A421" s="11" t="str">
        <f ca="1"/>
        <v/>
      </c>
    </row>
    <row r="422" spans="1:1" ht="14.4" customHeight="1" x14ac:dyDescent="0.3">
      <c r="A422" s="11" t="str">
        <f ca="1"/>
        <v/>
      </c>
    </row>
    <row r="423" spans="1:1" ht="14.4" customHeight="1" x14ac:dyDescent="0.3">
      <c r="A423" s="11" t="str">
        <f ca="1"/>
        <v/>
      </c>
    </row>
    <row r="424" spans="1:1" ht="14.4" customHeight="1" x14ac:dyDescent="0.3">
      <c r="A424" s="11" t="str">
        <f ca="1"/>
        <v/>
      </c>
    </row>
    <row r="425" spans="1:1" ht="14.4" customHeight="1" x14ac:dyDescent="0.3">
      <c r="A425" s="11" t="str">
        <f ca="1"/>
        <v/>
      </c>
    </row>
    <row r="426" spans="1:1" ht="14.4" customHeight="1" x14ac:dyDescent="0.3">
      <c r="A426" s="11" t="str">
        <f ca="1"/>
        <v/>
      </c>
    </row>
    <row r="427" spans="1:1" ht="14.4" customHeight="1" x14ac:dyDescent="0.3">
      <c r="A427" s="11" t="str">
        <f ca="1"/>
        <v/>
      </c>
    </row>
    <row r="428" spans="1:1" ht="14.4" customHeight="1" x14ac:dyDescent="0.3">
      <c r="A428" s="11" t="str">
        <f ca="1"/>
        <v/>
      </c>
    </row>
    <row r="429" spans="1:1" ht="14.4" customHeight="1" x14ac:dyDescent="0.3">
      <c r="A429" s="11" t="str">
        <f ca="1"/>
        <v/>
      </c>
    </row>
    <row r="430" spans="1:1" ht="14.4" customHeight="1" x14ac:dyDescent="0.3">
      <c r="A430" s="11" t="str">
        <f ca="1"/>
        <v/>
      </c>
    </row>
    <row r="431" spans="1:1" ht="14.4" customHeight="1" x14ac:dyDescent="0.3">
      <c r="A431" s="11" t="str">
        <f ca="1"/>
        <v/>
      </c>
    </row>
    <row r="432" spans="1:1" ht="14.4" customHeight="1" x14ac:dyDescent="0.3">
      <c r="A432" s="11" t="str">
        <f ca="1"/>
        <v/>
      </c>
    </row>
    <row r="433" spans="1:1" ht="14.4" customHeight="1" x14ac:dyDescent="0.3">
      <c r="A433" s="11" t="str">
        <f ca="1"/>
        <v/>
      </c>
    </row>
    <row r="434" spans="1:1" ht="14.4" customHeight="1" x14ac:dyDescent="0.3">
      <c r="A434" s="11" t="str">
        <f ca="1"/>
        <v/>
      </c>
    </row>
    <row r="435" spans="1:1" ht="14.4" customHeight="1" x14ac:dyDescent="0.3">
      <c r="A435" s="11" t="str">
        <f ca="1"/>
        <v/>
      </c>
    </row>
    <row r="436" spans="1:1" ht="14.4" customHeight="1" x14ac:dyDescent="0.3">
      <c r="A436" s="11" t="str">
        <f ca="1"/>
        <v/>
      </c>
    </row>
    <row r="437" spans="1:1" ht="14.4" customHeight="1" x14ac:dyDescent="0.3">
      <c r="A437" s="11" t="str">
        <f ca="1"/>
        <v/>
      </c>
    </row>
    <row r="438" spans="1:1" ht="14.4" customHeight="1" x14ac:dyDescent="0.3">
      <c r="A438" s="11" t="str">
        <f ca="1"/>
        <v/>
      </c>
    </row>
    <row r="439" spans="1:1" ht="14.4" customHeight="1" x14ac:dyDescent="0.3">
      <c r="A439" s="11" t="str">
        <f ca="1"/>
        <v/>
      </c>
    </row>
    <row r="440" spans="1:1" ht="14.4" customHeight="1" x14ac:dyDescent="0.3">
      <c r="A440" s="11" t="str">
        <f ca="1"/>
        <v/>
      </c>
    </row>
    <row r="441" spans="1:1" ht="14.4" customHeight="1" x14ac:dyDescent="0.3">
      <c r="A441" s="11" t="str">
        <f ca="1"/>
        <v/>
      </c>
    </row>
    <row r="442" spans="1:1" ht="14.4" customHeight="1" x14ac:dyDescent="0.3">
      <c r="A442" s="11" t="str">
        <f ca="1"/>
        <v/>
      </c>
    </row>
    <row r="443" spans="1:1" ht="14.4" customHeight="1" x14ac:dyDescent="0.3">
      <c r="A443" s="11" t="str">
        <f ca="1"/>
        <v/>
      </c>
    </row>
    <row r="444" spans="1:1" ht="14.4" customHeight="1" x14ac:dyDescent="0.3">
      <c r="A444" s="11" t="str">
        <f ca="1"/>
        <v/>
      </c>
    </row>
    <row r="445" spans="1:1" ht="14.4" customHeight="1" x14ac:dyDescent="0.3">
      <c r="A445" s="11" t="str">
        <f ca="1"/>
        <v/>
      </c>
    </row>
    <row r="446" spans="1:1" ht="14.4" customHeight="1" x14ac:dyDescent="0.3">
      <c r="A446" s="11" t="str">
        <f ca="1"/>
        <v/>
      </c>
    </row>
    <row r="447" spans="1:1" ht="14.4" customHeight="1" x14ac:dyDescent="0.3">
      <c r="A447" s="11" t="str">
        <f ca="1"/>
        <v/>
      </c>
    </row>
    <row r="448" spans="1:1" ht="14.4" customHeight="1" x14ac:dyDescent="0.3">
      <c r="A448" s="11" t="str">
        <f ca="1"/>
        <v/>
      </c>
    </row>
    <row r="449" spans="1:1" ht="14.4" customHeight="1" x14ac:dyDescent="0.3">
      <c r="A449" s="11" t="str">
        <f ca="1"/>
        <v/>
      </c>
    </row>
    <row r="450" spans="1:1" ht="14.4" customHeight="1" x14ac:dyDescent="0.3">
      <c r="A450" s="11" t="str">
        <f ca="1"/>
        <v/>
      </c>
    </row>
    <row r="451" spans="1:1" ht="14.4" customHeight="1" x14ac:dyDescent="0.3">
      <c r="A451" s="11" t="str">
        <f ca="1"/>
        <v/>
      </c>
    </row>
    <row r="452" spans="1:1" ht="14.4" customHeight="1" x14ac:dyDescent="0.3">
      <c r="A452" s="11" t="str">
        <f ca="1"/>
        <v/>
      </c>
    </row>
    <row r="453" spans="1:1" ht="14.4" customHeight="1" x14ac:dyDescent="0.3">
      <c r="A453" s="11" t="str">
        <f ca="1"/>
        <v/>
      </c>
    </row>
    <row r="454" spans="1:1" ht="14.4" customHeight="1" x14ac:dyDescent="0.3">
      <c r="A454" s="11" t="str">
        <f ca="1"/>
        <v/>
      </c>
    </row>
    <row r="455" spans="1:1" ht="14.4" customHeight="1" x14ac:dyDescent="0.3">
      <c r="A455" s="11" t="str">
        <f ca="1"/>
        <v/>
      </c>
    </row>
    <row r="456" spans="1:1" ht="14.4" customHeight="1" x14ac:dyDescent="0.3">
      <c r="A456" s="11" t="str">
        <f ca="1"/>
        <v/>
      </c>
    </row>
    <row r="457" spans="1:1" ht="14.4" customHeight="1" x14ac:dyDescent="0.3">
      <c r="A457" s="11" t="str">
        <f ca="1"/>
        <v/>
      </c>
    </row>
    <row r="458" spans="1:1" ht="14.4" customHeight="1" x14ac:dyDescent="0.3">
      <c r="A458" s="11" t="str">
        <f ca="1"/>
        <v/>
      </c>
    </row>
    <row r="459" spans="1:1" ht="14.4" customHeight="1" x14ac:dyDescent="0.3">
      <c r="A459" s="11" t="str">
        <f ca="1"/>
        <v/>
      </c>
    </row>
    <row r="460" spans="1:1" ht="14.4" customHeight="1" x14ac:dyDescent="0.3">
      <c r="A460" s="11" t="str">
        <f ca="1"/>
        <v/>
      </c>
    </row>
    <row r="461" spans="1:1" ht="14.4" customHeight="1" x14ac:dyDescent="0.3">
      <c r="A461" s="11" t="str">
        <f ca="1"/>
        <v/>
      </c>
    </row>
    <row r="462" spans="1:1" ht="14.4" customHeight="1" x14ac:dyDescent="0.3">
      <c r="A462" s="11" t="str">
        <f ca="1"/>
        <v/>
      </c>
    </row>
    <row r="463" spans="1:1" ht="14.4" customHeight="1" x14ac:dyDescent="0.3">
      <c r="A463" s="11" t="str">
        <f ca="1"/>
        <v/>
      </c>
    </row>
    <row r="464" spans="1:1" ht="14.4" customHeight="1" x14ac:dyDescent="0.3">
      <c r="A464" s="11" t="str">
        <f ca="1"/>
        <v/>
      </c>
    </row>
    <row r="465" spans="1:1" ht="14.4" customHeight="1" x14ac:dyDescent="0.3">
      <c r="A465" s="11" t="str">
        <f ca="1"/>
        <v/>
      </c>
    </row>
    <row r="466" spans="1:1" ht="14.4" customHeight="1" x14ac:dyDescent="0.3">
      <c r="A466" s="11" t="str">
        <f ca="1"/>
        <v/>
      </c>
    </row>
    <row r="467" spans="1:1" ht="14.4" customHeight="1" x14ac:dyDescent="0.3">
      <c r="A467" s="11" t="str">
        <f ca="1"/>
        <v/>
      </c>
    </row>
    <row r="468" spans="1:1" ht="14.4" customHeight="1" x14ac:dyDescent="0.3">
      <c r="A468" s="11" t="str">
        <f ca="1"/>
        <v/>
      </c>
    </row>
    <row r="469" spans="1:1" ht="14.4" customHeight="1" x14ac:dyDescent="0.3">
      <c r="A469" s="11" t="str">
        <f ca="1"/>
        <v/>
      </c>
    </row>
    <row r="470" spans="1:1" ht="14.4" customHeight="1" x14ac:dyDescent="0.3">
      <c r="A470" s="11" t="str">
        <f ca="1"/>
        <v/>
      </c>
    </row>
    <row r="471" spans="1:1" ht="14.4" customHeight="1" x14ac:dyDescent="0.3">
      <c r="A471" s="11" t="str">
        <f ca="1"/>
        <v/>
      </c>
    </row>
    <row r="472" spans="1:1" ht="14.4" customHeight="1" x14ac:dyDescent="0.3">
      <c r="A472" s="11" t="str">
        <f ca="1"/>
        <v/>
      </c>
    </row>
    <row r="473" spans="1:1" ht="14.4" customHeight="1" x14ac:dyDescent="0.3">
      <c r="A473" s="11" t="str">
        <f ca="1"/>
        <v/>
      </c>
    </row>
    <row r="474" spans="1:1" ht="14.4" customHeight="1" x14ac:dyDescent="0.3">
      <c r="A474" s="11" t="str">
        <f ca="1"/>
        <v/>
      </c>
    </row>
    <row r="475" spans="1:1" ht="14.4" customHeight="1" x14ac:dyDescent="0.3">
      <c r="A475" s="11" t="str">
        <f ca="1"/>
        <v/>
      </c>
    </row>
    <row r="476" spans="1:1" ht="14.4" customHeight="1" x14ac:dyDescent="0.3">
      <c r="A476" s="11" t="str">
        <f ca="1"/>
        <v/>
      </c>
    </row>
    <row r="477" spans="1:1" ht="14.4" customHeight="1" x14ac:dyDescent="0.3">
      <c r="A477" s="11" t="str">
        <f ca="1"/>
        <v/>
      </c>
    </row>
    <row r="478" spans="1:1" ht="14.4" customHeight="1" x14ac:dyDescent="0.3">
      <c r="A478" s="11" t="str">
        <f ca="1"/>
        <v/>
      </c>
    </row>
    <row r="479" spans="1:1" ht="14.4" customHeight="1" x14ac:dyDescent="0.3">
      <c r="A479" s="11" t="str">
        <f ca="1"/>
        <v/>
      </c>
    </row>
    <row r="480" spans="1:1" ht="14.4" customHeight="1" x14ac:dyDescent="0.3">
      <c r="A480" s="11" t="str">
        <f ca="1"/>
        <v/>
      </c>
    </row>
    <row r="481" spans="1:1" ht="14.4" customHeight="1" x14ac:dyDescent="0.3">
      <c r="A481" s="11" t="str">
        <f ca="1"/>
        <v/>
      </c>
    </row>
    <row r="482" spans="1:1" ht="14.4" customHeight="1" x14ac:dyDescent="0.3">
      <c r="A482" s="11" t="str">
        <f ca="1"/>
        <v/>
      </c>
    </row>
    <row r="483" spans="1:1" ht="14.4" customHeight="1" x14ac:dyDescent="0.3">
      <c r="A483" s="11" t="str">
        <f ca="1"/>
        <v/>
      </c>
    </row>
    <row r="484" spans="1:1" ht="14.4" customHeight="1" x14ac:dyDescent="0.3">
      <c r="A484" s="11" t="str">
        <f ca="1"/>
        <v/>
      </c>
    </row>
    <row r="485" spans="1:1" ht="14.4" customHeight="1" x14ac:dyDescent="0.3">
      <c r="A485" s="11" t="str">
        <f ca="1"/>
        <v/>
      </c>
    </row>
    <row r="486" spans="1:1" ht="14.4" customHeight="1" x14ac:dyDescent="0.3">
      <c r="A486" s="11" t="str">
        <f ca="1"/>
        <v/>
      </c>
    </row>
    <row r="487" spans="1:1" ht="14.4" customHeight="1" x14ac:dyDescent="0.3">
      <c r="A487" s="11" t="str">
        <f ca="1"/>
        <v/>
      </c>
    </row>
    <row r="488" spans="1:1" ht="14.4" customHeight="1" x14ac:dyDescent="0.3">
      <c r="A488" s="11" t="str">
        <f ca="1"/>
        <v/>
      </c>
    </row>
    <row r="489" spans="1:1" ht="14.4" customHeight="1" x14ac:dyDescent="0.3">
      <c r="A489" s="11" t="str">
        <f ca="1"/>
        <v/>
      </c>
    </row>
    <row r="490" spans="1:1" ht="14.4" customHeight="1" x14ac:dyDescent="0.3">
      <c r="A490" s="11" t="str">
        <f ca="1"/>
        <v/>
      </c>
    </row>
    <row r="491" spans="1:1" ht="14.4" customHeight="1" x14ac:dyDescent="0.3">
      <c r="A491" s="11" t="str">
        <f ca="1"/>
        <v/>
      </c>
    </row>
    <row r="492" spans="1:1" ht="14.4" customHeight="1" x14ac:dyDescent="0.3">
      <c r="A492" s="11" t="str">
        <f ca="1"/>
        <v/>
      </c>
    </row>
    <row r="493" spans="1:1" ht="14.4" customHeight="1" x14ac:dyDescent="0.3">
      <c r="A493" s="11" t="str">
        <f ca="1"/>
        <v/>
      </c>
    </row>
    <row r="494" spans="1:1" ht="14.4" customHeight="1" x14ac:dyDescent="0.3">
      <c r="A494" s="11" t="str">
        <f ca="1"/>
        <v/>
      </c>
    </row>
    <row r="495" spans="1:1" ht="14.4" customHeight="1" x14ac:dyDescent="0.3">
      <c r="A495" s="11" t="str">
        <f ca="1"/>
        <v/>
      </c>
    </row>
    <row r="496" spans="1:1" ht="14.4" customHeight="1" x14ac:dyDescent="0.3">
      <c r="A496" s="11" t="str">
        <f ca="1"/>
        <v/>
      </c>
    </row>
    <row r="497" spans="1:1" ht="14.4" customHeight="1" x14ac:dyDescent="0.3">
      <c r="A497" s="11" t="str">
        <f ca="1"/>
        <v/>
      </c>
    </row>
    <row r="498" spans="1:1" ht="14.4" customHeight="1" x14ac:dyDescent="0.3">
      <c r="A498" s="11" t="str">
        <f ca="1"/>
        <v/>
      </c>
    </row>
    <row r="499" spans="1:1" ht="14.4" customHeight="1" x14ac:dyDescent="0.3">
      <c r="A499" s="11" t="str">
        <f ca="1"/>
        <v/>
      </c>
    </row>
    <row r="500" spans="1:1" ht="14.4" customHeight="1" x14ac:dyDescent="0.3">
      <c r="A500" s="11" t="str">
        <f ca="1"/>
        <v/>
      </c>
    </row>
    <row r="501" spans="1:1" ht="14.4" customHeight="1" x14ac:dyDescent="0.3">
      <c r="A501" s="11" t="str">
        <f ca="1"/>
        <v/>
      </c>
    </row>
    <row r="502" spans="1:1" ht="14.4" customHeight="1" x14ac:dyDescent="0.3">
      <c r="A502" s="11" t="str">
        <f ca="1"/>
        <v/>
      </c>
    </row>
    <row r="503" spans="1:1" ht="14.4" customHeight="1" x14ac:dyDescent="0.3">
      <c r="A503" s="11" t="str">
        <f ca="1"/>
        <v/>
      </c>
    </row>
    <row r="504" spans="1:1" ht="14.4" customHeight="1" x14ac:dyDescent="0.3">
      <c r="A504" s="11" t="str">
        <f ca="1"/>
        <v/>
      </c>
    </row>
    <row r="505" spans="1:1" ht="14.4" customHeight="1" x14ac:dyDescent="0.3">
      <c r="A505" s="11" t="str">
        <f ca="1"/>
        <v/>
      </c>
    </row>
    <row r="506" spans="1:1" ht="14.4" customHeight="1" x14ac:dyDescent="0.3">
      <c r="A506" s="11" t="str">
        <f ca="1"/>
        <v/>
      </c>
    </row>
    <row r="507" spans="1:1" ht="14.4" customHeight="1" x14ac:dyDescent="0.3">
      <c r="A507" s="11" t="str">
        <f ca="1"/>
        <v/>
      </c>
    </row>
    <row r="508" spans="1:1" ht="14.4" customHeight="1" x14ac:dyDescent="0.3">
      <c r="A508" s="11" t="str">
        <f ca="1"/>
        <v/>
      </c>
    </row>
    <row r="509" spans="1:1" ht="14.4" customHeight="1" x14ac:dyDescent="0.3">
      <c r="A509" s="11" t="str">
        <f ca="1"/>
        <v/>
      </c>
    </row>
    <row r="510" spans="1:1" ht="14.4" customHeight="1" x14ac:dyDescent="0.3">
      <c r="A510" s="11" t="str">
        <f ca="1"/>
        <v/>
      </c>
    </row>
    <row r="511" spans="1:1" ht="14.4" customHeight="1" x14ac:dyDescent="0.3">
      <c r="A511" s="11" t="str">
        <f ca="1"/>
        <v/>
      </c>
    </row>
    <row r="512" spans="1:1" ht="14.4" customHeight="1" x14ac:dyDescent="0.3">
      <c r="A512" s="11" t="str">
        <f ca="1"/>
        <v/>
      </c>
    </row>
    <row r="513" spans="1:1" ht="14.4" customHeight="1" x14ac:dyDescent="0.3">
      <c r="A513" s="11" t="str">
        <f ca="1"/>
        <v/>
      </c>
    </row>
    <row r="514" spans="1:1" ht="14.4" customHeight="1" x14ac:dyDescent="0.3">
      <c r="A514" s="11" t="str">
        <f ca="1"/>
        <v/>
      </c>
    </row>
    <row r="515" spans="1:1" ht="14.4" customHeight="1" x14ac:dyDescent="0.3">
      <c r="A515" s="11" t="str">
        <f ca="1"/>
        <v/>
      </c>
    </row>
    <row r="516" spans="1:1" ht="14.4" customHeight="1" x14ac:dyDescent="0.3">
      <c r="A516" s="11" t="str">
        <f ca="1"/>
        <v/>
      </c>
    </row>
    <row r="517" spans="1:1" ht="14.4" customHeight="1" x14ac:dyDescent="0.3">
      <c r="A517" s="11" t="str">
        <f ca="1"/>
        <v/>
      </c>
    </row>
    <row r="518" spans="1:1" ht="14.4" customHeight="1" x14ac:dyDescent="0.3">
      <c r="A518" s="11" t="str">
        <f ca="1"/>
        <v/>
      </c>
    </row>
    <row r="519" spans="1:1" ht="14.4" customHeight="1" x14ac:dyDescent="0.3">
      <c r="A519" s="11" t="str">
        <f ca="1"/>
        <v/>
      </c>
    </row>
    <row r="520" spans="1:1" ht="14.4" customHeight="1" x14ac:dyDescent="0.3">
      <c r="A520" s="11" t="str">
        <f ca="1"/>
        <v/>
      </c>
    </row>
    <row r="521" spans="1:1" ht="14.4" customHeight="1" x14ac:dyDescent="0.3">
      <c r="A521" s="11" t="str">
        <f ca="1"/>
        <v/>
      </c>
    </row>
    <row r="522" spans="1:1" ht="14.4" customHeight="1" x14ac:dyDescent="0.3">
      <c r="A522" s="11" t="str">
        <f ca="1"/>
        <v/>
      </c>
    </row>
    <row r="523" spans="1:1" ht="14.4" customHeight="1" x14ac:dyDescent="0.3">
      <c r="A523" s="11" t="str">
        <f ca="1"/>
        <v/>
      </c>
    </row>
    <row r="524" spans="1:1" ht="14.4" customHeight="1" x14ac:dyDescent="0.3">
      <c r="A524" s="11" t="str">
        <f ca="1"/>
        <v/>
      </c>
    </row>
    <row r="525" spans="1:1" ht="14.4" customHeight="1" x14ac:dyDescent="0.3">
      <c r="A525" s="11" t="str">
        <f ca="1"/>
        <v/>
      </c>
    </row>
    <row r="526" spans="1:1" ht="14.4" customHeight="1" x14ac:dyDescent="0.3">
      <c r="A526" s="11" t="str">
        <f ca="1"/>
        <v/>
      </c>
    </row>
    <row r="527" spans="1:1" ht="14.4" customHeight="1" x14ac:dyDescent="0.3">
      <c r="A527" s="11" t="str">
        <f ca="1"/>
        <v/>
      </c>
    </row>
    <row r="528" spans="1:1" ht="14.4" customHeight="1" x14ac:dyDescent="0.3">
      <c r="A528" s="11" t="str">
        <f ca="1"/>
        <v/>
      </c>
    </row>
    <row r="529" spans="1:1" ht="14.4" customHeight="1" x14ac:dyDescent="0.3">
      <c r="A529" s="11" t="str">
        <f ca="1"/>
        <v/>
      </c>
    </row>
    <row r="530" spans="1:1" ht="14.4" customHeight="1" x14ac:dyDescent="0.3">
      <c r="A530" s="11" t="str">
        <f ca="1"/>
        <v/>
      </c>
    </row>
    <row r="531" spans="1:1" ht="14.4" customHeight="1" x14ac:dyDescent="0.3">
      <c r="A531" s="11" t="str">
        <f ca="1"/>
        <v/>
      </c>
    </row>
    <row r="532" spans="1:1" ht="14.4" customHeight="1" x14ac:dyDescent="0.3">
      <c r="A532" s="11" t="str">
        <f ca="1"/>
        <v/>
      </c>
    </row>
    <row r="533" spans="1:1" ht="14.4" customHeight="1" x14ac:dyDescent="0.3">
      <c r="A533" s="11" t="str">
        <f ca="1"/>
        <v/>
      </c>
    </row>
    <row r="534" spans="1:1" ht="14.4" customHeight="1" x14ac:dyDescent="0.3">
      <c r="A534" s="11" t="str">
        <f ca="1"/>
        <v/>
      </c>
    </row>
    <row r="535" spans="1:1" ht="14.4" customHeight="1" x14ac:dyDescent="0.3">
      <c r="A535" s="11" t="str">
        <f ca="1"/>
        <v/>
      </c>
    </row>
    <row r="536" spans="1:1" ht="14.4" customHeight="1" x14ac:dyDescent="0.3">
      <c r="A536" s="11" t="str">
        <f ca="1"/>
        <v/>
      </c>
    </row>
    <row r="537" spans="1:1" ht="14.4" customHeight="1" x14ac:dyDescent="0.3">
      <c r="A537" s="11" t="str">
        <f ca="1"/>
        <v/>
      </c>
    </row>
    <row r="538" spans="1:1" ht="14.4" customHeight="1" x14ac:dyDescent="0.3">
      <c r="A538" s="11" t="str">
        <f ca="1"/>
        <v/>
      </c>
    </row>
    <row r="539" spans="1:1" ht="14.4" customHeight="1" x14ac:dyDescent="0.3">
      <c r="A539" s="11" t="str">
        <f ca="1"/>
        <v/>
      </c>
    </row>
    <row r="540" spans="1:1" ht="14.4" customHeight="1" x14ac:dyDescent="0.3">
      <c r="A540" s="11" t="str">
        <f ca="1"/>
        <v/>
      </c>
    </row>
    <row r="541" spans="1:1" ht="14.4" customHeight="1" x14ac:dyDescent="0.3">
      <c r="A541" s="11" t="str">
        <f ca="1"/>
        <v/>
      </c>
    </row>
    <row r="542" spans="1:1" ht="14.4" customHeight="1" x14ac:dyDescent="0.3">
      <c r="A542" s="11" t="str">
        <f ca="1"/>
        <v/>
      </c>
    </row>
    <row r="543" spans="1:1" ht="14.4" customHeight="1" x14ac:dyDescent="0.3">
      <c r="A543" s="11" t="str">
        <f ca="1"/>
        <v/>
      </c>
    </row>
    <row r="544" spans="1:1" ht="14.4" customHeight="1" x14ac:dyDescent="0.3">
      <c r="A544" s="11" t="str">
        <f ca="1"/>
        <v/>
      </c>
    </row>
    <row r="545" spans="1:1" ht="14.4" customHeight="1" x14ac:dyDescent="0.3">
      <c r="A545" s="11" t="str">
        <f ca="1"/>
        <v/>
      </c>
    </row>
    <row r="546" spans="1:1" ht="14.4" customHeight="1" x14ac:dyDescent="0.3">
      <c r="A546" s="11" t="str">
        <f ca="1"/>
        <v/>
      </c>
    </row>
    <row r="547" spans="1:1" ht="14.4" customHeight="1" x14ac:dyDescent="0.3">
      <c r="A547" s="11" t="str">
        <f ca="1"/>
        <v/>
      </c>
    </row>
    <row r="548" spans="1:1" ht="14.4" customHeight="1" x14ac:dyDescent="0.3">
      <c r="A548" s="11" t="str">
        <f ca="1"/>
        <v/>
      </c>
    </row>
    <row r="549" spans="1:1" ht="14.4" customHeight="1" x14ac:dyDescent="0.3">
      <c r="A549" s="11" t="str">
        <f ca="1"/>
        <v/>
      </c>
    </row>
    <row r="550" spans="1:1" ht="14.4" customHeight="1" x14ac:dyDescent="0.3">
      <c r="A550" s="11" t="str">
        <f ca="1"/>
        <v/>
      </c>
    </row>
    <row r="551" spans="1:1" ht="14.4" customHeight="1" x14ac:dyDescent="0.3">
      <c r="A551" s="11" t="str">
        <f ca="1"/>
        <v/>
      </c>
    </row>
    <row r="552" spans="1:1" ht="14.4" customHeight="1" x14ac:dyDescent="0.3">
      <c r="A552" s="11" t="str">
        <f ca="1"/>
        <v/>
      </c>
    </row>
    <row r="553" spans="1:1" ht="14.4" customHeight="1" x14ac:dyDescent="0.3">
      <c r="A553" s="11" t="str">
        <f ca="1"/>
        <v/>
      </c>
    </row>
    <row r="554" spans="1:1" ht="14.4" customHeight="1" x14ac:dyDescent="0.3">
      <c r="A554" s="11" t="str">
        <f ca="1"/>
        <v/>
      </c>
    </row>
    <row r="555" spans="1:1" ht="14.4" customHeight="1" x14ac:dyDescent="0.3">
      <c r="A555" s="11" t="str">
        <f ca="1"/>
        <v/>
      </c>
    </row>
    <row r="556" spans="1:1" ht="14.4" customHeight="1" x14ac:dyDescent="0.3">
      <c r="A556" s="11" t="str">
        <f ca="1"/>
        <v/>
      </c>
    </row>
    <row r="557" spans="1:1" ht="14.4" customHeight="1" x14ac:dyDescent="0.3">
      <c r="A557" s="11" t="str">
        <f ca="1"/>
        <v/>
      </c>
    </row>
    <row r="558" spans="1:1" ht="14.4" customHeight="1" x14ac:dyDescent="0.3">
      <c r="A558" s="11" t="str">
        <f ca="1"/>
        <v/>
      </c>
    </row>
    <row r="559" spans="1:1" ht="14.4" customHeight="1" x14ac:dyDescent="0.3">
      <c r="A559" s="11" t="str">
        <f ca="1"/>
        <v/>
      </c>
    </row>
    <row r="560" spans="1:1" ht="14.4" customHeight="1" x14ac:dyDescent="0.3">
      <c r="A560" s="11" t="str">
        <f ca="1"/>
        <v/>
      </c>
    </row>
    <row r="561" spans="1:1" ht="14.4" customHeight="1" x14ac:dyDescent="0.3">
      <c r="A561" s="11" t="str">
        <f ca="1"/>
        <v/>
      </c>
    </row>
    <row r="562" spans="1:1" ht="14.4" customHeight="1" x14ac:dyDescent="0.3">
      <c r="A562" s="11" t="str">
        <f ca="1"/>
        <v/>
      </c>
    </row>
    <row r="563" spans="1:1" ht="14.4" customHeight="1" x14ac:dyDescent="0.3">
      <c r="A563" s="11" t="str">
        <f ca="1"/>
        <v/>
      </c>
    </row>
    <row r="564" spans="1:1" ht="14.4" customHeight="1" x14ac:dyDescent="0.3">
      <c r="A564" s="11" t="str">
        <f ca="1"/>
        <v/>
      </c>
    </row>
    <row r="565" spans="1:1" ht="14.4" customHeight="1" x14ac:dyDescent="0.3">
      <c r="A565" s="11" t="str">
        <f ca="1"/>
        <v/>
      </c>
    </row>
    <row r="566" spans="1:1" ht="14.4" customHeight="1" x14ac:dyDescent="0.3">
      <c r="A566" s="11" t="str">
        <f ca="1"/>
        <v/>
      </c>
    </row>
    <row r="567" spans="1:1" ht="14.4" customHeight="1" x14ac:dyDescent="0.3">
      <c r="A567" s="11" t="str">
        <f ca="1"/>
        <v/>
      </c>
    </row>
    <row r="568" spans="1:1" ht="14.4" customHeight="1" x14ac:dyDescent="0.3">
      <c r="A568" s="11" t="str">
        <f ca="1"/>
        <v/>
      </c>
    </row>
    <row r="569" spans="1:1" ht="14.4" customHeight="1" x14ac:dyDescent="0.3">
      <c r="A569" s="11" t="str">
        <f ca="1"/>
        <v/>
      </c>
    </row>
    <row r="570" spans="1:1" ht="14.4" customHeight="1" x14ac:dyDescent="0.3">
      <c r="A570" s="11" t="str">
        <f ca="1"/>
        <v/>
      </c>
    </row>
    <row r="571" spans="1:1" ht="14.4" customHeight="1" x14ac:dyDescent="0.3">
      <c r="A571" s="11" t="str">
        <f ca="1"/>
        <v/>
      </c>
    </row>
    <row r="572" spans="1:1" ht="14.4" customHeight="1" x14ac:dyDescent="0.3">
      <c r="A572" s="11" t="str">
        <f ca="1"/>
        <v/>
      </c>
    </row>
    <row r="573" spans="1:1" ht="14.4" customHeight="1" x14ac:dyDescent="0.3">
      <c r="A573" s="11" t="str">
        <f ca="1"/>
        <v/>
      </c>
    </row>
    <row r="574" spans="1:1" ht="14.4" customHeight="1" x14ac:dyDescent="0.3">
      <c r="A574" s="11" t="str">
        <f ca="1"/>
        <v/>
      </c>
    </row>
    <row r="575" spans="1:1" ht="14.4" customHeight="1" x14ac:dyDescent="0.3">
      <c r="A575" s="11" t="str">
        <f ca="1"/>
        <v/>
      </c>
    </row>
    <row r="576" spans="1:1" ht="14.4" customHeight="1" x14ac:dyDescent="0.3">
      <c r="A576" s="11" t="str">
        <f ca="1"/>
        <v/>
      </c>
    </row>
    <row r="577" spans="1:1" ht="14.4" customHeight="1" x14ac:dyDescent="0.3">
      <c r="A577" s="11" t="str">
        <f ca="1"/>
        <v/>
      </c>
    </row>
    <row r="578" spans="1:1" ht="14.4" customHeight="1" x14ac:dyDescent="0.3">
      <c r="A578" s="11" t="str">
        <f ca="1"/>
        <v/>
      </c>
    </row>
    <row r="579" spans="1:1" ht="14.4" customHeight="1" x14ac:dyDescent="0.3">
      <c r="A579" s="11" t="str">
        <f ca="1"/>
        <v/>
      </c>
    </row>
    <row r="580" spans="1:1" ht="14.4" customHeight="1" x14ac:dyDescent="0.3">
      <c r="A580" s="11" t="str">
        <f ca="1"/>
        <v/>
      </c>
    </row>
    <row r="581" spans="1:1" ht="14.4" customHeight="1" x14ac:dyDescent="0.3">
      <c r="A581" s="11" t="str">
        <f ca="1"/>
        <v/>
      </c>
    </row>
    <row r="582" spans="1:1" ht="14.4" customHeight="1" x14ac:dyDescent="0.3">
      <c r="A582" s="11" t="str">
        <f ca="1"/>
        <v/>
      </c>
    </row>
    <row r="583" spans="1:1" ht="14.4" customHeight="1" x14ac:dyDescent="0.3">
      <c r="A583" s="11" t="str">
        <f ca="1"/>
        <v/>
      </c>
    </row>
    <row r="584" spans="1:1" ht="14.4" customHeight="1" x14ac:dyDescent="0.3">
      <c r="A584" s="11" t="str">
        <f ca="1"/>
        <v/>
      </c>
    </row>
    <row r="585" spans="1:1" ht="14.4" customHeight="1" x14ac:dyDescent="0.3">
      <c r="A585" s="11" t="str">
        <f ca="1"/>
        <v/>
      </c>
    </row>
    <row r="586" spans="1:1" ht="14.4" customHeight="1" x14ac:dyDescent="0.3">
      <c r="A586" s="11" t="str">
        <f ca="1"/>
        <v/>
      </c>
    </row>
    <row r="587" spans="1:1" ht="14.4" customHeight="1" x14ac:dyDescent="0.3">
      <c r="A587" s="11" t="str">
        <f ca="1"/>
        <v/>
      </c>
    </row>
    <row r="588" spans="1:1" ht="14.4" customHeight="1" x14ac:dyDescent="0.3">
      <c r="A588" s="11" t="str">
        <f ca="1"/>
        <v/>
      </c>
    </row>
    <row r="589" spans="1:1" ht="14.4" customHeight="1" x14ac:dyDescent="0.3">
      <c r="A589" s="11" t="str">
        <f ca="1"/>
        <v/>
      </c>
    </row>
    <row r="590" spans="1:1" ht="14.4" customHeight="1" x14ac:dyDescent="0.3">
      <c r="A590" s="11" t="str">
        <f ca="1"/>
        <v/>
      </c>
    </row>
    <row r="591" spans="1:1" ht="14.4" customHeight="1" x14ac:dyDescent="0.3">
      <c r="A591" s="11" t="str">
        <f ca="1"/>
        <v/>
      </c>
    </row>
    <row r="592" spans="1:1" ht="14.4" customHeight="1" x14ac:dyDescent="0.3">
      <c r="A592" s="11" t="str">
        <f ca="1"/>
        <v/>
      </c>
    </row>
    <row r="593" spans="1:1" ht="14.4" customHeight="1" x14ac:dyDescent="0.3">
      <c r="A593" s="11" t="str">
        <f ca="1"/>
        <v/>
      </c>
    </row>
    <row r="594" spans="1:1" ht="14.4" customHeight="1" x14ac:dyDescent="0.3">
      <c r="A594" s="11" t="str">
        <f ca="1"/>
        <v/>
      </c>
    </row>
    <row r="595" spans="1:1" ht="14.4" customHeight="1" x14ac:dyDescent="0.3">
      <c r="A595" s="11" t="str">
        <f ca="1"/>
        <v/>
      </c>
    </row>
    <row r="596" spans="1:1" ht="14.4" customHeight="1" x14ac:dyDescent="0.3">
      <c r="A596" s="11" t="str">
        <f ca="1"/>
        <v/>
      </c>
    </row>
    <row r="597" spans="1:1" ht="14.4" customHeight="1" x14ac:dyDescent="0.3">
      <c r="A597" s="11" t="str">
        <f ca="1"/>
        <v/>
      </c>
    </row>
    <row r="598" spans="1:1" ht="14.4" customHeight="1" x14ac:dyDescent="0.3">
      <c r="A598" s="11" t="str">
        <f ca="1"/>
        <v/>
      </c>
    </row>
    <row r="599" spans="1:1" ht="14.4" customHeight="1" x14ac:dyDescent="0.3">
      <c r="A599" s="11" t="str">
        <f ca="1"/>
        <v/>
      </c>
    </row>
    <row r="600" spans="1:1" ht="14.4" customHeight="1" x14ac:dyDescent="0.3">
      <c r="A600" s="11" t="str">
        <f ca="1"/>
        <v/>
      </c>
    </row>
    <row r="601" spans="1:1" ht="14.4" customHeight="1" x14ac:dyDescent="0.3">
      <c r="A601" s="11" t="str">
        <f ca="1"/>
        <v/>
      </c>
    </row>
    <row r="602" spans="1:1" ht="14.4" customHeight="1" x14ac:dyDescent="0.3">
      <c r="A602" s="11" t="str">
        <f ca="1"/>
        <v/>
      </c>
    </row>
    <row r="603" spans="1:1" ht="14.4" customHeight="1" x14ac:dyDescent="0.3">
      <c r="A603" s="11" t="str">
        <f ca="1"/>
        <v/>
      </c>
    </row>
    <row r="604" spans="1:1" ht="14.4" customHeight="1" x14ac:dyDescent="0.3">
      <c r="A604" s="11" t="str">
        <f ca="1"/>
        <v/>
      </c>
    </row>
    <row r="605" spans="1:1" ht="14.4" customHeight="1" x14ac:dyDescent="0.3">
      <c r="A605" s="11" t="str">
        <f ca="1"/>
        <v/>
      </c>
    </row>
    <row r="606" spans="1:1" ht="14.4" customHeight="1" x14ac:dyDescent="0.3">
      <c r="A606" s="11" t="str">
        <f ca="1"/>
        <v/>
      </c>
    </row>
    <row r="607" spans="1:1" ht="14.4" customHeight="1" x14ac:dyDescent="0.3">
      <c r="A607" s="11" t="str">
        <f ca="1"/>
        <v/>
      </c>
    </row>
    <row r="608" spans="1:1" ht="14.4" customHeight="1" x14ac:dyDescent="0.3">
      <c r="A608" s="11" t="str">
        <f ca="1"/>
        <v/>
      </c>
    </row>
    <row r="609" spans="1:1" ht="14.4" customHeight="1" x14ac:dyDescent="0.3">
      <c r="A609" s="11" t="str">
        <f ca="1"/>
        <v/>
      </c>
    </row>
    <row r="610" spans="1:1" ht="14.4" customHeight="1" x14ac:dyDescent="0.3">
      <c r="A610" s="11" t="str">
        <f ca="1"/>
        <v/>
      </c>
    </row>
    <row r="611" spans="1:1" ht="14.4" customHeight="1" x14ac:dyDescent="0.3">
      <c r="A611" s="11" t="str">
        <f ca="1"/>
        <v/>
      </c>
    </row>
    <row r="612" spans="1:1" ht="14.4" customHeight="1" x14ac:dyDescent="0.3">
      <c r="A612" s="11" t="str">
        <f ca="1"/>
        <v/>
      </c>
    </row>
    <row r="613" spans="1:1" ht="14.4" customHeight="1" x14ac:dyDescent="0.3">
      <c r="A613" s="11" t="str">
        <f ca="1"/>
        <v/>
      </c>
    </row>
    <row r="614" spans="1:1" ht="14.4" customHeight="1" x14ac:dyDescent="0.3">
      <c r="A614" s="11" t="str">
        <f ca="1"/>
        <v/>
      </c>
    </row>
    <row r="615" spans="1:1" ht="14.4" customHeight="1" x14ac:dyDescent="0.3">
      <c r="A615" s="11" t="str">
        <f ca="1"/>
        <v/>
      </c>
    </row>
    <row r="616" spans="1:1" ht="14.4" customHeight="1" x14ac:dyDescent="0.3">
      <c r="A616" s="11" t="str">
        <f ca="1"/>
        <v/>
      </c>
    </row>
    <row r="617" spans="1:1" ht="14.4" customHeight="1" x14ac:dyDescent="0.3">
      <c r="A617" s="11" t="str">
        <f ca="1"/>
        <v/>
      </c>
    </row>
    <row r="618" spans="1:1" ht="14.4" customHeight="1" x14ac:dyDescent="0.3">
      <c r="A618" s="11" t="str">
        <f ca="1"/>
        <v/>
      </c>
    </row>
    <row r="619" spans="1:1" ht="14.4" customHeight="1" x14ac:dyDescent="0.3">
      <c r="A619" s="11" t="str">
        <f ca="1"/>
        <v/>
      </c>
    </row>
    <row r="620" spans="1:1" ht="14.4" customHeight="1" x14ac:dyDescent="0.3">
      <c r="A620" s="11" t="str">
        <f ca="1"/>
        <v/>
      </c>
    </row>
    <row r="621" spans="1:1" ht="14.4" customHeight="1" x14ac:dyDescent="0.3">
      <c r="A621" s="11" t="str">
        <f ca="1"/>
        <v/>
      </c>
    </row>
    <row r="622" spans="1:1" ht="14.4" customHeight="1" x14ac:dyDescent="0.3">
      <c r="A622" s="11" t="str">
        <f ca="1"/>
        <v/>
      </c>
    </row>
    <row r="623" spans="1:1" ht="14.4" customHeight="1" x14ac:dyDescent="0.3">
      <c r="A623" s="11" t="str">
        <f ca="1"/>
        <v/>
      </c>
    </row>
    <row r="624" spans="1:1" ht="14.4" customHeight="1" x14ac:dyDescent="0.3">
      <c r="A624" s="11" t="str">
        <f ca="1"/>
        <v/>
      </c>
    </row>
    <row r="625" spans="1:1" ht="14.4" customHeight="1" x14ac:dyDescent="0.3">
      <c r="A625" s="11" t="str">
        <f ca="1"/>
        <v/>
      </c>
    </row>
    <row r="626" spans="1:1" ht="14.4" customHeight="1" x14ac:dyDescent="0.3">
      <c r="A626" s="11" t="str">
        <f ca="1"/>
        <v/>
      </c>
    </row>
    <row r="627" spans="1:1" ht="14.4" customHeight="1" x14ac:dyDescent="0.3">
      <c r="A627" s="11" t="str">
        <f ca="1"/>
        <v/>
      </c>
    </row>
    <row r="628" spans="1:1" ht="14.4" customHeight="1" x14ac:dyDescent="0.3">
      <c r="A628" s="11" t="str">
        <f ca="1"/>
        <v/>
      </c>
    </row>
    <row r="629" spans="1:1" ht="14.4" customHeight="1" x14ac:dyDescent="0.3">
      <c r="A629" s="11" t="str">
        <f ca="1"/>
        <v/>
      </c>
    </row>
    <row r="630" spans="1:1" ht="14.4" customHeight="1" x14ac:dyDescent="0.3">
      <c r="A630" s="11" t="str">
        <f ca="1"/>
        <v/>
      </c>
    </row>
    <row r="631" spans="1:1" ht="14.4" customHeight="1" x14ac:dyDescent="0.3">
      <c r="A631" s="11" t="str">
        <f ca="1"/>
        <v/>
      </c>
    </row>
    <row r="632" spans="1:1" ht="14.4" customHeight="1" x14ac:dyDescent="0.3">
      <c r="A632" s="11" t="str">
        <f ca="1"/>
        <v/>
      </c>
    </row>
    <row r="633" spans="1:1" ht="14.4" customHeight="1" x14ac:dyDescent="0.3">
      <c r="A633" s="11" t="str">
        <f ca="1"/>
        <v/>
      </c>
    </row>
    <row r="634" spans="1:1" ht="14.4" customHeight="1" x14ac:dyDescent="0.3">
      <c r="A634" s="11" t="str">
        <f ca="1"/>
        <v/>
      </c>
    </row>
    <row r="635" spans="1:1" ht="14.4" customHeight="1" x14ac:dyDescent="0.3">
      <c r="A635" s="11" t="str">
        <f ca="1"/>
        <v/>
      </c>
    </row>
    <row r="636" spans="1:1" ht="14.4" customHeight="1" x14ac:dyDescent="0.3">
      <c r="A636" s="11" t="str">
        <f ca="1"/>
        <v/>
      </c>
    </row>
    <row r="637" spans="1:1" ht="14.4" customHeight="1" x14ac:dyDescent="0.3">
      <c r="A637" s="11" t="str">
        <f ca="1"/>
        <v/>
      </c>
    </row>
    <row r="638" spans="1:1" ht="14.4" customHeight="1" x14ac:dyDescent="0.3">
      <c r="A638" s="11" t="str">
        <f ca="1"/>
        <v/>
      </c>
    </row>
    <row r="639" spans="1:1" ht="14.4" customHeight="1" x14ac:dyDescent="0.3">
      <c r="A639" s="11" t="str">
        <f ca="1"/>
        <v/>
      </c>
    </row>
    <row r="640" spans="1:1" ht="14.4" customHeight="1" x14ac:dyDescent="0.3">
      <c r="A640" s="11" t="str">
        <f ca="1"/>
        <v/>
      </c>
    </row>
    <row r="641" spans="1:1" ht="14.4" customHeight="1" x14ac:dyDescent="0.3">
      <c r="A641" s="11" t="str">
        <f ca="1"/>
        <v/>
      </c>
    </row>
    <row r="642" spans="1:1" ht="14.4" customHeight="1" x14ac:dyDescent="0.3">
      <c r="A642" s="11" t="str">
        <f ca="1"/>
        <v/>
      </c>
    </row>
    <row r="643" spans="1:1" ht="14.4" customHeight="1" x14ac:dyDescent="0.3">
      <c r="A643" s="11" t="str">
        <f ca="1"/>
        <v/>
      </c>
    </row>
    <row r="644" spans="1:1" ht="14.4" customHeight="1" x14ac:dyDescent="0.3">
      <c r="A644" s="11" t="str">
        <f ca="1"/>
        <v/>
      </c>
    </row>
    <row r="645" spans="1:1" ht="14.4" customHeight="1" x14ac:dyDescent="0.3">
      <c r="A645" s="11" t="str">
        <f ca="1"/>
        <v/>
      </c>
    </row>
    <row r="646" spans="1:1" ht="14.4" customHeight="1" x14ac:dyDescent="0.3">
      <c r="A646" s="11" t="str">
        <f ca="1"/>
        <v/>
      </c>
    </row>
    <row r="647" spans="1:1" ht="14.4" customHeight="1" x14ac:dyDescent="0.3">
      <c r="A647" s="11" t="str">
        <f ca="1"/>
        <v/>
      </c>
    </row>
    <row r="648" spans="1:1" ht="14.4" customHeight="1" x14ac:dyDescent="0.3">
      <c r="A648" s="11" t="str">
        <f ca="1"/>
        <v/>
      </c>
    </row>
    <row r="649" spans="1:1" ht="14.4" customHeight="1" x14ac:dyDescent="0.3">
      <c r="A649" s="11" t="str">
        <f ca="1"/>
        <v/>
      </c>
    </row>
    <row r="650" spans="1:1" ht="14.4" customHeight="1" x14ac:dyDescent="0.3">
      <c r="A650" s="11" t="str">
        <f ca="1"/>
        <v/>
      </c>
    </row>
    <row r="651" spans="1:1" ht="14.4" customHeight="1" x14ac:dyDescent="0.3">
      <c r="A651" s="11" t="str">
        <f ca="1"/>
        <v/>
      </c>
    </row>
    <row r="652" spans="1:1" ht="14.4" customHeight="1" x14ac:dyDescent="0.3">
      <c r="A652" s="11" t="str">
        <f ca="1"/>
        <v/>
      </c>
    </row>
    <row r="653" spans="1:1" ht="14.4" customHeight="1" x14ac:dyDescent="0.3">
      <c r="A653" s="11" t="str">
        <f ca="1"/>
        <v/>
      </c>
    </row>
    <row r="654" spans="1:1" ht="14.4" customHeight="1" x14ac:dyDescent="0.3">
      <c r="A654" s="11" t="str">
        <f ca="1"/>
        <v/>
      </c>
    </row>
    <row r="655" spans="1:1" ht="14.4" customHeight="1" x14ac:dyDescent="0.3">
      <c r="A655" s="11" t="str">
        <f ca="1"/>
        <v/>
      </c>
    </row>
    <row r="656" spans="1:1" ht="14.4" customHeight="1" x14ac:dyDescent="0.3">
      <c r="A656" s="11" t="str">
        <f ca="1"/>
        <v/>
      </c>
    </row>
    <row r="657" spans="1:1" ht="14.4" customHeight="1" x14ac:dyDescent="0.3">
      <c r="A657" s="11" t="str">
        <f ca="1"/>
        <v/>
      </c>
    </row>
    <row r="658" spans="1:1" ht="14.4" customHeight="1" x14ac:dyDescent="0.3">
      <c r="A658" s="11" t="str">
        <f ca="1"/>
        <v/>
      </c>
    </row>
    <row r="659" spans="1:1" ht="14.4" customHeight="1" x14ac:dyDescent="0.3">
      <c r="A659" s="11" t="str">
        <f ca="1"/>
        <v/>
      </c>
    </row>
    <row r="660" spans="1:1" ht="14.4" customHeight="1" x14ac:dyDescent="0.3">
      <c r="A660" s="11" t="str">
        <f ca="1"/>
        <v/>
      </c>
    </row>
    <row r="661" spans="1:1" ht="14.4" customHeight="1" x14ac:dyDescent="0.3">
      <c r="A661" s="11" t="str">
        <f ca="1"/>
        <v/>
      </c>
    </row>
    <row r="662" spans="1:1" ht="14.4" customHeight="1" x14ac:dyDescent="0.3">
      <c r="A662" s="11" t="str">
        <f ca="1"/>
        <v/>
      </c>
    </row>
    <row r="663" spans="1:1" ht="14.4" customHeight="1" x14ac:dyDescent="0.3">
      <c r="A663" s="11" t="str">
        <f ca="1"/>
        <v/>
      </c>
    </row>
    <row r="664" spans="1:1" ht="14.4" customHeight="1" x14ac:dyDescent="0.3">
      <c r="A664" s="11" t="str">
        <f ca="1"/>
        <v/>
      </c>
    </row>
    <row r="665" spans="1:1" ht="14.4" customHeight="1" x14ac:dyDescent="0.3">
      <c r="A665" s="11" t="str">
        <f ca="1"/>
        <v/>
      </c>
    </row>
    <row r="666" spans="1:1" ht="14.4" customHeight="1" x14ac:dyDescent="0.3">
      <c r="A666" s="11" t="str">
        <f ca="1"/>
        <v/>
      </c>
    </row>
    <row r="667" spans="1:1" ht="14.4" customHeight="1" x14ac:dyDescent="0.3">
      <c r="A667" s="11" t="str">
        <f ca="1"/>
        <v/>
      </c>
    </row>
    <row r="668" spans="1:1" ht="14.4" customHeight="1" x14ac:dyDescent="0.3">
      <c r="A668" s="11" t="str">
        <f ca="1"/>
        <v/>
      </c>
    </row>
    <row r="669" spans="1:1" ht="14.4" customHeight="1" x14ac:dyDescent="0.3">
      <c r="A669" s="11" t="str">
        <f ca="1"/>
        <v/>
      </c>
    </row>
    <row r="670" spans="1:1" ht="14.4" customHeight="1" x14ac:dyDescent="0.3">
      <c r="A670" s="11" t="str">
        <f ca="1"/>
        <v/>
      </c>
    </row>
    <row r="671" spans="1:1" ht="14.4" customHeight="1" x14ac:dyDescent="0.3">
      <c r="A671" s="11" t="str">
        <f ca="1"/>
        <v/>
      </c>
    </row>
    <row r="672" spans="1:1" ht="14.4" customHeight="1" x14ac:dyDescent="0.3">
      <c r="A672" s="11" t="str">
        <f ca="1"/>
        <v/>
      </c>
    </row>
    <row r="673" spans="1:1" ht="14.4" customHeight="1" x14ac:dyDescent="0.3">
      <c r="A673" s="11" t="str">
        <f ca="1"/>
        <v/>
      </c>
    </row>
    <row r="674" spans="1:1" ht="14.4" customHeight="1" x14ac:dyDescent="0.3">
      <c r="A674" s="11" t="str">
        <f ca="1"/>
        <v/>
      </c>
    </row>
    <row r="675" spans="1:1" ht="14.4" customHeight="1" x14ac:dyDescent="0.3">
      <c r="A675" s="11" t="str">
        <f ca="1"/>
        <v/>
      </c>
    </row>
    <row r="676" spans="1:1" ht="14.4" customHeight="1" x14ac:dyDescent="0.3">
      <c r="A676" s="11" t="str">
        <f ca="1"/>
        <v/>
      </c>
    </row>
    <row r="677" spans="1:1" ht="14.4" customHeight="1" x14ac:dyDescent="0.3">
      <c r="A677" s="11" t="str">
        <f ca="1"/>
        <v/>
      </c>
    </row>
    <row r="678" spans="1:1" ht="14.4" customHeight="1" x14ac:dyDescent="0.3">
      <c r="A678" s="11" t="str">
        <f ca="1"/>
        <v/>
      </c>
    </row>
    <row r="679" spans="1:1" ht="14.4" customHeight="1" x14ac:dyDescent="0.3">
      <c r="A679" s="11" t="str">
        <f ca="1"/>
        <v/>
      </c>
    </row>
    <row r="680" spans="1:1" ht="14.4" customHeight="1" x14ac:dyDescent="0.3">
      <c r="A680" s="11" t="str">
        <f ca="1"/>
        <v/>
      </c>
    </row>
    <row r="681" spans="1:1" ht="14.4" customHeight="1" x14ac:dyDescent="0.3">
      <c r="A681" s="11" t="str">
        <f ca="1"/>
        <v/>
      </c>
    </row>
    <row r="682" spans="1:1" ht="14.4" customHeight="1" x14ac:dyDescent="0.3">
      <c r="A682" s="11" t="str">
        <f ca="1"/>
        <v/>
      </c>
    </row>
    <row r="683" spans="1:1" ht="14.4" customHeight="1" x14ac:dyDescent="0.3">
      <c r="A683" s="11" t="str">
        <f ca="1"/>
        <v/>
      </c>
    </row>
    <row r="684" spans="1:1" ht="14.4" customHeight="1" x14ac:dyDescent="0.3">
      <c r="A684" s="11" t="str">
        <f ca="1"/>
        <v/>
      </c>
    </row>
    <row r="685" spans="1:1" ht="14.4" customHeight="1" x14ac:dyDescent="0.3">
      <c r="A685" s="11" t="str">
        <f ca="1"/>
        <v/>
      </c>
    </row>
    <row r="686" spans="1:1" ht="14.4" customHeight="1" x14ac:dyDescent="0.3">
      <c r="A686" s="11" t="str">
        <f ca="1"/>
        <v/>
      </c>
    </row>
    <row r="687" spans="1:1" ht="14.4" customHeight="1" x14ac:dyDescent="0.3">
      <c r="A687" s="11" t="str">
        <f ca="1"/>
        <v/>
      </c>
    </row>
    <row r="688" spans="1:1" ht="14.4" customHeight="1" x14ac:dyDescent="0.3">
      <c r="A688" s="11" t="str">
        <f ca="1"/>
        <v/>
      </c>
    </row>
    <row r="689" spans="1:1" ht="14.4" customHeight="1" x14ac:dyDescent="0.3">
      <c r="A689" s="11" t="str">
        <f ca="1"/>
        <v/>
      </c>
    </row>
    <row r="690" spans="1:1" ht="14.4" customHeight="1" x14ac:dyDescent="0.3">
      <c r="A690" s="11" t="str">
        <f ca="1"/>
        <v/>
      </c>
    </row>
    <row r="691" spans="1:1" ht="14.4" customHeight="1" x14ac:dyDescent="0.3">
      <c r="A691" s="11" t="str">
        <f ca="1"/>
        <v/>
      </c>
    </row>
    <row r="692" spans="1:1" ht="14.4" customHeight="1" x14ac:dyDescent="0.3">
      <c r="A692" s="11" t="str">
        <f ca="1"/>
        <v/>
      </c>
    </row>
    <row r="693" spans="1:1" ht="14.4" customHeight="1" x14ac:dyDescent="0.3">
      <c r="A693" s="11" t="str">
        <f ca="1"/>
        <v/>
      </c>
    </row>
    <row r="694" spans="1:1" ht="14.4" customHeight="1" x14ac:dyDescent="0.3">
      <c r="A694" s="11" t="str">
        <f ca="1"/>
        <v/>
      </c>
    </row>
    <row r="695" spans="1:1" ht="14.4" customHeight="1" x14ac:dyDescent="0.3">
      <c r="A695" s="11" t="str">
        <f ca="1"/>
        <v/>
      </c>
    </row>
    <row r="696" spans="1:1" ht="14.4" customHeight="1" x14ac:dyDescent="0.3">
      <c r="A696" s="11" t="str">
        <f ca="1"/>
        <v/>
      </c>
    </row>
    <row r="697" spans="1:1" ht="14.4" customHeight="1" x14ac:dyDescent="0.3">
      <c r="A697" s="11" t="str">
        <f ca="1"/>
        <v/>
      </c>
    </row>
    <row r="698" spans="1:1" ht="14.4" customHeight="1" x14ac:dyDescent="0.3">
      <c r="A698" s="11" t="str">
        <f ca="1"/>
        <v/>
      </c>
    </row>
    <row r="699" spans="1:1" ht="14.4" customHeight="1" x14ac:dyDescent="0.3">
      <c r="A699" s="11" t="str">
        <f ca="1"/>
        <v/>
      </c>
    </row>
    <row r="700" spans="1:1" ht="14.4" customHeight="1" x14ac:dyDescent="0.3">
      <c r="A700" s="11" t="str">
        <f ca="1"/>
        <v/>
      </c>
    </row>
    <row r="701" spans="1:1" ht="14.4" customHeight="1" x14ac:dyDescent="0.3">
      <c r="A701" s="11" t="str">
        <f ca="1"/>
        <v/>
      </c>
    </row>
    <row r="702" spans="1:1" ht="14.4" customHeight="1" x14ac:dyDescent="0.3">
      <c r="A702" s="11" t="str">
        <f ca="1"/>
        <v/>
      </c>
    </row>
    <row r="703" spans="1:1" ht="14.4" customHeight="1" x14ac:dyDescent="0.3">
      <c r="A703" s="11" t="str">
        <f ca="1"/>
        <v/>
      </c>
    </row>
    <row r="704" spans="1:1" ht="14.4" customHeight="1" x14ac:dyDescent="0.3">
      <c r="A704" s="11" t="str">
        <f ca="1"/>
        <v/>
      </c>
    </row>
    <row r="705" spans="1:1" ht="14.4" customHeight="1" x14ac:dyDescent="0.3">
      <c r="A705" s="11" t="str">
        <f ca="1"/>
        <v/>
      </c>
    </row>
    <row r="706" spans="1:1" ht="14.4" customHeight="1" x14ac:dyDescent="0.3">
      <c r="A706" s="11" t="str">
        <f ca="1"/>
        <v/>
      </c>
    </row>
    <row r="707" spans="1:1" ht="14.4" customHeight="1" x14ac:dyDescent="0.3">
      <c r="A707" s="11" t="str">
        <f ca="1"/>
        <v/>
      </c>
    </row>
    <row r="708" spans="1:1" ht="14.4" customHeight="1" x14ac:dyDescent="0.3">
      <c r="A708" s="11" t="str">
        <f ca="1"/>
        <v/>
      </c>
    </row>
    <row r="709" spans="1:1" ht="14.4" customHeight="1" x14ac:dyDescent="0.3">
      <c r="A709" s="11" t="str">
        <f ca="1"/>
        <v/>
      </c>
    </row>
    <row r="710" spans="1:1" ht="14.4" customHeight="1" x14ac:dyDescent="0.3">
      <c r="A710" s="11" t="str">
        <f ca="1"/>
        <v/>
      </c>
    </row>
    <row r="711" spans="1:1" ht="14.4" customHeight="1" x14ac:dyDescent="0.3">
      <c r="A711" s="11" t="str">
        <f ca="1"/>
        <v/>
      </c>
    </row>
    <row r="712" spans="1:1" ht="14.4" customHeight="1" x14ac:dyDescent="0.3">
      <c r="A712" s="11" t="str">
        <f ca="1"/>
        <v/>
      </c>
    </row>
    <row r="713" spans="1:1" ht="14.4" customHeight="1" x14ac:dyDescent="0.3">
      <c r="A713" s="11" t="str">
        <f ca="1"/>
        <v/>
      </c>
    </row>
    <row r="714" spans="1:1" ht="14.4" customHeight="1" x14ac:dyDescent="0.3">
      <c r="A714" s="11" t="str">
        <f ca="1"/>
        <v/>
      </c>
    </row>
    <row r="715" spans="1:1" ht="14.4" customHeight="1" x14ac:dyDescent="0.3">
      <c r="A715" s="11" t="str">
        <f ca="1"/>
        <v/>
      </c>
    </row>
    <row r="716" spans="1:1" ht="14.4" customHeight="1" x14ac:dyDescent="0.3">
      <c r="A716" s="11" t="str">
        <f ca="1"/>
        <v/>
      </c>
    </row>
    <row r="717" spans="1:1" ht="14.4" customHeight="1" x14ac:dyDescent="0.3">
      <c r="A717" s="11" t="str">
        <f ca="1"/>
        <v/>
      </c>
    </row>
    <row r="718" spans="1:1" ht="14.4" customHeight="1" x14ac:dyDescent="0.3">
      <c r="A718" s="11" t="str">
        <f ca="1"/>
        <v/>
      </c>
    </row>
    <row r="719" spans="1:1" ht="14.4" customHeight="1" x14ac:dyDescent="0.3">
      <c r="A719" s="11" t="str">
        <f ca="1"/>
        <v/>
      </c>
    </row>
    <row r="720" spans="1:1" ht="14.4" customHeight="1" x14ac:dyDescent="0.3">
      <c r="A720" s="11" t="str">
        <f ca="1"/>
        <v/>
      </c>
    </row>
    <row r="721" spans="1:1" ht="14.4" customHeight="1" x14ac:dyDescent="0.3">
      <c r="A721" s="11" t="str">
        <f ca="1"/>
        <v/>
      </c>
    </row>
    <row r="722" spans="1:1" ht="14.4" customHeight="1" x14ac:dyDescent="0.3">
      <c r="A722" s="11" t="str">
        <f ca="1"/>
        <v/>
      </c>
    </row>
    <row r="723" spans="1:1" ht="14.4" customHeight="1" x14ac:dyDescent="0.3">
      <c r="A723" s="11" t="str">
        <f ca="1"/>
        <v/>
      </c>
    </row>
    <row r="724" spans="1:1" ht="14.4" customHeight="1" x14ac:dyDescent="0.3">
      <c r="A724" s="11" t="str">
        <f ca="1"/>
        <v/>
      </c>
    </row>
    <row r="725" spans="1:1" ht="14.4" customHeight="1" x14ac:dyDescent="0.3">
      <c r="A725" s="11" t="str">
        <f ca="1"/>
        <v/>
      </c>
    </row>
    <row r="726" spans="1:1" ht="14.4" customHeight="1" x14ac:dyDescent="0.3">
      <c r="A726" s="11" t="str">
        <f ca="1"/>
        <v/>
      </c>
    </row>
    <row r="727" spans="1:1" ht="14.4" customHeight="1" x14ac:dyDescent="0.3">
      <c r="A727" s="11" t="str">
        <f ca="1"/>
        <v/>
      </c>
    </row>
    <row r="728" spans="1:1" ht="14.4" customHeight="1" x14ac:dyDescent="0.3">
      <c r="A728" s="11" t="str">
        <f ca="1"/>
        <v/>
      </c>
    </row>
    <row r="729" spans="1:1" ht="14.4" customHeight="1" x14ac:dyDescent="0.3">
      <c r="A729" s="11" t="str">
        <f ca="1"/>
        <v/>
      </c>
    </row>
    <row r="730" spans="1:1" ht="14.4" customHeight="1" x14ac:dyDescent="0.3">
      <c r="A730" s="11" t="str">
        <f ca="1"/>
        <v/>
      </c>
    </row>
    <row r="731" spans="1:1" ht="14.4" customHeight="1" x14ac:dyDescent="0.3">
      <c r="A731" s="11" t="str">
        <f ca="1"/>
        <v/>
      </c>
    </row>
    <row r="732" spans="1:1" ht="14.4" customHeight="1" x14ac:dyDescent="0.3">
      <c r="A732" s="11" t="str">
        <f ca="1"/>
        <v/>
      </c>
    </row>
    <row r="733" spans="1:1" ht="14.4" customHeight="1" x14ac:dyDescent="0.3">
      <c r="A733" s="11" t="str">
        <f ca="1"/>
        <v/>
      </c>
    </row>
    <row r="734" spans="1:1" ht="14.4" customHeight="1" x14ac:dyDescent="0.3">
      <c r="A734" s="11" t="str">
        <f ca="1"/>
        <v/>
      </c>
    </row>
    <row r="735" spans="1:1" ht="14.4" customHeight="1" x14ac:dyDescent="0.3">
      <c r="A735" s="11" t="str">
        <f ca="1"/>
        <v/>
      </c>
    </row>
    <row r="736" spans="1:1" ht="14.4" customHeight="1" x14ac:dyDescent="0.3">
      <c r="A736" s="11" t="str">
        <f ca="1"/>
        <v/>
      </c>
    </row>
    <row r="737" spans="1:1" ht="14.4" customHeight="1" x14ac:dyDescent="0.3">
      <c r="A737" s="11" t="str">
        <f ca="1"/>
        <v/>
      </c>
    </row>
    <row r="738" spans="1:1" ht="14.4" customHeight="1" x14ac:dyDescent="0.3">
      <c r="A738" s="11" t="str">
        <f ca="1"/>
        <v/>
      </c>
    </row>
    <row r="739" spans="1:1" ht="14.4" customHeight="1" x14ac:dyDescent="0.3">
      <c r="A739" s="11" t="str">
        <f ca="1"/>
        <v/>
      </c>
    </row>
    <row r="740" spans="1:1" ht="14.4" customHeight="1" x14ac:dyDescent="0.3">
      <c r="A740" s="11" t="str">
        <f ca="1"/>
        <v/>
      </c>
    </row>
    <row r="741" spans="1:1" ht="14.4" customHeight="1" x14ac:dyDescent="0.3">
      <c r="A741" s="11" t="str">
        <f ca="1"/>
        <v/>
      </c>
    </row>
    <row r="742" spans="1:1" ht="14.4" customHeight="1" x14ac:dyDescent="0.3">
      <c r="A742" s="11" t="str">
        <f ca="1"/>
        <v/>
      </c>
    </row>
    <row r="743" spans="1:1" ht="14.4" customHeight="1" x14ac:dyDescent="0.3">
      <c r="A743" s="11" t="str">
        <f ca="1"/>
        <v/>
      </c>
    </row>
    <row r="744" spans="1:1" ht="14.4" customHeight="1" x14ac:dyDescent="0.3">
      <c r="A744" s="11" t="str">
        <f ca="1"/>
        <v/>
      </c>
    </row>
    <row r="745" spans="1:1" ht="14.4" customHeight="1" x14ac:dyDescent="0.3">
      <c r="A745" s="11" t="str">
        <f ca="1"/>
        <v/>
      </c>
    </row>
    <row r="746" spans="1:1" ht="14.4" customHeight="1" x14ac:dyDescent="0.3">
      <c r="A746" s="11" t="str">
        <f ca="1"/>
        <v/>
      </c>
    </row>
    <row r="747" spans="1:1" ht="14.4" customHeight="1" x14ac:dyDescent="0.3">
      <c r="A747" s="11" t="str">
        <f ca="1"/>
        <v/>
      </c>
    </row>
    <row r="748" spans="1:1" ht="14.4" customHeight="1" x14ac:dyDescent="0.3">
      <c r="A748" s="11" t="str">
        <f ca="1"/>
        <v/>
      </c>
    </row>
    <row r="749" spans="1:1" ht="14.4" customHeight="1" x14ac:dyDescent="0.3">
      <c r="A749" s="11" t="str">
        <f ca="1"/>
        <v/>
      </c>
    </row>
    <row r="750" spans="1:1" ht="14.4" customHeight="1" x14ac:dyDescent="0.3">
      <c r="A750" s="11" t="str">
        <f ca="1"/>
        <v/>
      </c>
    </row>
    <row r="751" spans="1:1" ht="14.4" customHeight="1" x14ac:dyDescent="0.3">
      <c r="A751" s="11" t="str">
        <f ca="1"/>
        <v/>
      </c>
    </row>
    <row r="752" spans="1:1" ht="14.4" customHeight="1" x14ac:dyDescent="0.3">
      <c r="A752" s="11" t="str">
        <f ca="1"/>
        <v/>
      </c>
    </row>
    <row r="753" spans="1:1" ht="14.4" customHeight="1" x14ac:dyDescent="0.3">
      <c r="A753" s="11" t="str">
        <f ca="1"/>
        <v/>
      </c>
    </row>
    <row r="754" spans="1:1" ht="14.4" customHeight="1" x14ac:dyDescent="0.3">
      <c r="A754" s="11" t="str">
        <f ca="1"/>
        <v/>
      </c>
    </row>
    <row r="755" spans="1:1" ht="14.4" customHeight="1" x14ac:dyDescent="0.3">
      <c r="A755" s="11" t="str">
        <f ca="1"/>
        <v/>
      </c>
    </row>
    <row r="756" spans="1:1" ht="14.4" customHeight="1" x14ac:dyDescent="0.3">
      <c r="A756" s="11" t="str">
        <f ca="1"/>
        <v/>
      </c>
    </row>
    <row r="757" spans="1:1" ht="14.4" customHeight="1" x14ac:dyDescent="0.3">
      <c r="A757" s="11" t="str">
        <f ca="1"/>
        <v/>
      </c>
    </row>
    <row r="758" spans="1:1" ht="14.4" customHeight="1" x14ac:dyDescent="0.3">
      <c r="A758" s="11" t="str">
        <f ca="1"/>
        <v/>
      </c>
    </row>
    <row r="759" spans="1:1" ht="14.4" customHeight="1" x14ac:dyDescent="0.3">
      <c r="A759" s="11" t="str">
        <f ca="1"/>
        <v/>
      </c>
    </row>
    <row r="760" spans="1:1" ht="14.4" customHeight="1" x14ac:dyDescent="0.3">
      <c r="A760" s="11" t="str">
        <f ca="1"/>
        <v/>
      </c>
    </row>
    <row r="761" spans="1:1" ht="14.4" customHeight="1" x14ac:dyDescent="0.3">
      <c r="A761" s="11" t="str">
        <f ca="1"/>
        <v/>
      </c>
    </row>
    <row r="762" spans="1:1" ht="14.4" customHeight="1" x14ac:dyDescent="0.3">
      <c r="A762" s="11" t="str">
        <f ca="1"/>
        <v/>
      </c>
    </row>
    <row r="763" spans="1:1" ht="14.4" customHeight="1" x14ac:dyDescent="0.3">
      <c r="A763" s="11" t="str">
        <f ca="1"/>
        <v/>
      </c>
    </row>
    <row r="764" spans="1:1" ht="14.4" customHeight="1" x14ac:dyDescent="0.3">
      <c r="A764" s="11" t="str">
        <f ca="1"/>
        <v/>
      </c>
    </row>
    <row r="765" spans="1:1" ht="14.4" customHeight="1" x14ac:dyDescent="0.3">
      <c r="A765" s="11" t="str">
        <f ca="1"/>
        <v/>
      </c>
    </row>
    <row r="766" spans="1:1" ht="14.4" customHeight="1" x14ac:dyDescent="0.3">
      <c r="A766" s="11" t="str">
        <f ca="1"/>
        <v/>
      </c>
    </row>
    <row r="767" spans="1:1" ht="14.4" customHeight="1" x14ac:dyDescent="0.3">
      <c r="A767" s="11" t="str">
        <f ca="1"/>
        <v/>
      </c>
    </row>
    <row r="768" spans="1:1" ht="14.4" customHeight="1" x14ac:dyDescent="0.3">
      <c r="A768" s="11" t="str">
        <f ca="1"/>
        <v/>
      </c>
    </row>
    <row r="769" spans="1:1" ht="14.4" customHeight="1" x14ac:dyDescent="0.3">
      <c r="A769" s="11" t="str">
        <f ca="1"/>
        <v/>
      </c>
    </row>
    <row r="770" spans="1:1" ht="14.4" customHeight="1" x14ac:dyDescent="0.3">
      <c r="A770" s="11" t="str">
        <f ca="1"/>
        <v/>
      </c>
    </row>
    <row r="771" spans="1:1" ht="14.4" customHeight="1" x14ac:dyDescent="0.3">
      <c r="A771" s="11" t="str">
        <f ca="1"/>
        <v/>
      </c>
    </row>
    <row r="772" spans="1:1" ht="14.4" customHeight="1" x14ac:dyDescent="0.3">
      <c r="A772" s="11" t="str">
        <f ca="1"/>
        <v/>
      </c>
    </row>
    <row r="773" spans="1:1" ht="14.4" customHeight="1" x14ac:dyDescent="0.3">
      <c r="A773" s="11" t="str">
        <f ca="1"/>
        <v/>
      </c>
    </row>
    <row r="774" spans="1:1" ht="14.4" customHeight="1" x14ac:dyDescent="0.3">
      <c r="A774" s="11" t="str">
        <f ca="1"/>
        <v/>
      </c>
    </row>
    <row r="775" spans="1:1" ht="14.4" customHeight="1" x14ac:dyDescent="0.3">
      <c r="A775" s="11" t="str">
        <f ca="1"/>
        <v/>
      </c>
    </row>
    <row r="776" spans="1:1" ht="14.4" customHeight="1" x14ac:dyDescent="0.3">
      <c r="A776" s="11" t="str">
        <f ca="1"/>
        <v/>
      </c>
    </row>
    <row r="777" spans="1:1" ht="14.4" customHeight="1" x14ac:dyDescent="0.3">
      <c r="A777" s="11" t="str">
        <f ca="1"/>
        <v/>
      </c>
    </row>
    <row r="778" spans="1:1" ht="14.4" customHeight="1" x14ac:dyDescent="0.3">
      <c r="A778" s="11" t="str">
        <f ca="1"/>
        <v/>
      </c>
    </row>
    <row r="779" spans="1:1" ht="14.4" customHeight="1" x14ac:dyDescent="0.3">
      <c r="A779" s="11" t="str">
        <f ca="1"/>
        <v/>
      </c>
    </row>
    <row r="780" spans="1:1" ht="14.4" customHeight="1" x14ac:dyDescent="0.3">
      <c r="A780" s="11" t="str">
        <f ca="1"/>
        <v/>
      </c>
    </row>
    <row r="781" spans="1:1" ht="14.4" customHeight="1" x14ac:dyDescent="0.3">
      <c r="A781" s="11" t="str">
        <f ca="1"/>
        <v/>
      </c>
    </row>
    <row r="782" spans="1:1" ht="14.4" customHeight="1" x14ac:dyDescent="0.3">
      <c r="A782" s="11" t="str">
        <f ca="1"/>
        <v/>
      </c>
    </row>
    <row r="783" spans="1:1" ht="14.4" customHeight="1" x14ac:dyDescent="0.3">
      <c r="A783" s="11" t="str">
        <f ca="1"/>
        <v/>
      </c>
    </row>
    <row r="784" spans="1:1" ht="14.4" customHeight="1" x14ac:dyDescent="0.3">
      <c r="A784" s="11" t="str">
        <f ca="1"/>
        <v/>
      </c>
    </row>
    <row r="785" spans="1:1" ht="14.4" customHeight="1" x14ac:dyDescent="0.3">
      <c r="A785" s="11" t="str">
        <f ca="1"/>
        <v/>
      </c>
    </row>
    <row r="786" spans="1:1" ht="14.4" customHeight="1" x14ac:dyDescent="0.3">
      <c r="A786" s="11" t="str">
        <f ca="1"/>
        <v/>
      </c>
    </row>
    <row r="787" spans="1:1" ht="14.4" customHeight="1" x14ac:dyDescent="0.3">
      <c r="A787" s="11" t="str">
        <f ca="1"/>
        <v/>
      </c>
    </row>
    <row r="788" spans="1:1" ht="14.4" customHeight="1" x14ac:dyDescent="0.3">
      <c r="A788" s="11" t="str">
        <f ca="1"/>
        <v/>
      </c>
    </row>
    <row r="789" spans="1:1" ht="14.4" customHeight="1" x14ac:dyDescent="0.3">
      <c r="A789" s="11" t="str">
        <f ca="1"/>
        <v/>
      </c>
    </row>
    <row r="790" spans="1:1" ht="14.4" customHeight="1" x14ac:dyDescent="0.3">
      <c r="A790" s="11" t="str">
        <f ca="1"/>
        <v/>
      </c>
    </row>
    <row r="791" spans="1:1" ht="14.4" customHeight="1" x14ac:dyDescent="0.3">
      <c r="A791" s="11" t="str">
        <f ca="1"/>
        <v/>
      </c>
    </row>
    <row r="792" spans="1:1" ht="14.4" customHeight="1" x14ac:dyDescent="0.3">
      <c r="A792" s="11" t="str">
        <f ca="1"/>
        <v/>
      </c>
    </row>
    <row r="793" spans="1:1" ht="14.4" customHeight="1" x14ac:dyDescent="0.3">
      <c r="A793" s="11" t="str">
        <f ca="1"/>
        <v/>
      </c>
    </row>
    <row r="794" spans="1:1" ht="14.4" customHeight="1" x14ac:dyDescent="0.3">
      <c r="A794" s="11" t="str">
        <f ca="1"/>
        <v/>
      </c>
    </row>
    <row r="795" spans="1:1" ht="14.4" customHeight="1" x14ac:dyDescent="0.3">
      <c r="A795" s="11" t="str">
        <f ca="1"/>
        <v/>
      </c>
    </row>
    <row r="796" spans="1:1" ht="14.4" customHeight="1" x14ac:dyDescent="0.3">
      <c r="A796" s="11" t="str">
        <f ca="1"/>
        <v/>
      </c>
    </row>
    <row r="797" spans="1:1" ht="14.4" customHeight="1" x14ac:dyDescent="0.3">
      <c r="A797" s="11" t="str">
        <f ca="1"/>
        <v/>
      </c>
    </row>
    <row r="798" spans="1:1" ht="14.4" customHeight="1" x14ac:dyDescent="0.3">
      <c r="A798" s="11" t="str">
        <f ca="1"/>
        <v/>
      </c>
    </row>
    <row r="799" spans="1:1" ht="14.4" customHeight="1" x14ac:dyDescent="0.3">
      <c r="A799" s="11" t="str">
        <f ca="1"/>
        <v/>
      </c>
    </row>
    <row r="800" spans="1:1" ht="14.4" customHeight="1" x14ac:dyDescent="0.3">
      <c r="A800" s="11" t="str">
        <f ca="1"/>
        <v/>
      </c>
    </row>
    <row r="801" spans="1:1" ht="14.4" customHeight="1" x14ac:dyDescent="0.3">
      <c r="A801" s="11" t="str">
        <f ca="1"/>
        <v/>
      </c>
    </row>
    <row r="802" spans="1:1" ht="14.4" customHeight="1" x14ac:dyDescent="0.3">
      <c r="A802" s="11" t="str">
        <f ca="1"/>
        <v/>
      </c>
    </row>
    <row r="803" spans="1:1" ht="14.4" customHeight="1" x14ac:dyDescent="0.3">
      <c r="A803" s="11" t="str">
        <f ca="1"/>
        <v/>
      </c>
    </row>
    <row r="804" spans="1:1" ht="14.4" customHeight="1" x14ac:dyDescent="0.3">
      <c r="A804" s="11" t="str">
        <f ca="1"/>
        <v/>
      </c>
    </row>
    <row r="805" spans="1:1" ht="14.4" customHeight="1" x14ac:dyDescent="0.3">
      <c r="A805" s="11" t="str">
        <f ca="1"/>
        <v/>
      </c>
    </row>
    <row r="806" spans="1:1" ht="14.4" customHeight="1" x14ac:dyDescent="0.3">
      <c r="A806" s="11" t="str">
        <f ca="1"/>
        <v/>
      </c>
    </row>
    <row r="807" spans="1:1" ht="14.4" customHeight="1" x14ac:dyDescent="0.3">
      <c r="A807" s="11" t="str">
        <f ca="1"/>
        <v/>
      </c>
    </row>
    <row r="808" spans="1:1" ht="14.4" customHeight="1" x14ac:dyDescent="0.3">
      <c r="A808" s="11" t="str">
        <f ca="1"/>
        <v/>
      </c>
    </row>
    <row r="809" spans="1:1" ht="14.4" customHeight="1" x14ac:dyDescent="0.3">
      <c r="A809" s="11" t="str">
        <f ca="1"/>
        <v/>
      </c>
    </row>
    <row r="810" spans="1:1" ht="14.4" customHeight="1" x14ac:dyDescent="0.3">
      <c r="A810" s="11" t="str">
        <f ca="1"/>
        <v/>
      </c>
    </row>
    <row r="811" spans="1:1" ht="14.4" customHeight="1" x14ac:dyDescent="0.3">
      <c r="A811" s="11" t="str">
        <f ca="1"/>
        <v/>
      </c>
    </row>
    <row r="812" spans="1:1" ht="14.4" customHeight="1" x14ac:dyDescent="0.3">
      <c r="A812" s="11" t="str">
        <f ca="1"/>
        <v/>
      </c>
    </row>
    <row r="813" spans="1:1" ht="14.4" customHeight="1" x14ac:dyDescent="0.3">
      <c r="A813" s="11" t="str">
        <f ca="1"/>
        <v/>
      </c>
    </row>
    <row r="814" spans="1:1" ht="14.4" customHeight="1" x14ac:dyDescent="0.3">
      <c r="A814" s="11" t="str">
        <f ca="1"/>
        <v/>
      </c>
    </row>
    <row r="815" spans="1:1" ht="14.4" customHeight="1" x14ac:dyDescent="0.3">
      <c r="A815" s="11" t="str">
        <f ca="1"/>
        <v/>
      </c>
    </row>
    <row r="816" spans="1:1" ht="14.4" customHeight="1" x14ac:dyDescent="0.3">
      <c r="A816" s="11" t="str">
        <f ca="1"/>
        <v/>
      </c>
    </row>
    <row r="817" spans="1:1" ht="14.4" customHeight="1" x14ac:dyDescent="0.3">
      <c r="A817" s="11" t="str">
        <f ca="1"/>
        <v/>
      </c>
    </row>
    <row r="818" spans="1:1" ht="14.4" customHeight="1" x14ac:dyDescent="0.3">
      <c r="A818" s="11" t="str">
        <f ca="1"/>
        <v/>
      </c>
    </row>
    <row r="819" spans="1:1" ht="14.4" customHeight="1" x14ac:dyDescent="0.3">
      <c r="A819" s="11" t="str">
        <f ca="1"/>
        <v/>
      </c>
    </row>
    <row r="820" spans="1:1" ht="14.4" customHeight="1" x14ac:dyDescent="0.3">
      <c r="A820" s="11" t="str">
        <f ca="1"/>
        <v/>
      </c>
    </row>
    <row r="821" spans="1:1" ht="14.4" customHeight="1" x14ac:dyDescent="0.3">
      <c r="A821" s="11" t="str">
        <f ca="1"/>
        <v/>
      </c>
    </row>
    <row r="822" spans="1:1" ht="14.4" customHeight="1" x14ac:dyDescent="0.3">
      <c r="A822" s="11" t="str">
        <f ca="1"/>
        <v/>
      </c>
    </row>
    <row r="823" spans="1:1" ht="14.4" customHeight="1" x14ac:dyDescent="0.3">
      <c r="A823" s="11" t="str">
        <f ca="1"/>
        <v/>
      </c>
    </row>
    <row r="824" spans="1:1" ht="14.4" customHeight="1" x14ac:dyDescent="0.3">
      <c r="A824" s="11" t="str">
        <f ca="1"/>
        <v/>
      </c>
    </row>
    <row r="825" spans="1:1" ht="14.4" customHeight="1" x14ac:dyDescent="0.3">
      <c r="A825" s="11" t="str">
        <f ca="1"/>
        <v/>
      </c>
    </row>
    <row r="826" spans="1:1" ht="14.4" customHeight="1" x14ac:dyDescent="0.3">
      <c r="A826" s="11" t="str">
        <f ca="1"/>
        <v/>
      </c>
    </row>
    <row r="827" spans="1:1" ht="14.4" customHeight="1" x14ac:dyDescent="0.3">
      <c r="A827" s="11" t="str">
        <f ca="1"/>
        <v/>
      </c>
    </row>
    <row r="828" spans="1:1" ht="14.4" customHeight="1" x14ac:dyDescent="0.3">
      <c r="A828" s="11" t="str">
        <f ca="1"/>
        <v/>
      </c>
    </row>
    <row r="829" spans="1:1" ht="14.4" customHeight="1" x14ac:dyDescent="0.3">
      <c r="A829" s="11" t="str">
        <f ca="1"/>
        <v/>
      </c>
    </row>
    <row r="830" spans="1:1" ht="14.4" customHeight="1" x14ac:dyDescent="0.3">
      <c r="A830" s="11" t="str">
        <f ca="1"/>
        <v/>
      </c>
    </row>
    <row r="831" spans="1:1" ht="14.4" customHeight="1" x14ac:dyDescent="0.3">
      <c r="A831" s="11" t="str">
        <f ca="1"/>
        <v/>
      </c>
    </row>
    <row r="832" spans="1:1" ht="14.4" customHeight="1" x14ac:dyDescent="0.3">
      <c r="A832" s="11" t="str">
        <f ca="1"/>
        <v/>
      </c>
    </row>
    <row r="833" spans="1:1" ht="14.4" customHeight="1" x14ac:dyDescent="0.3">
      <c r="A833" s="11" t="str">
        <f ca="1"/>
        <v/>
      </c>
    </row>
    <row r="834" spans="1:1" ht="14.4" customHeight="1" x14ac:dyDescent="0.3">
      <c r="A834" s="11" t="str">
        <f ca="1"/>
        <v/>
      </c>
    </row>
    <row r="835" spans="1:1" ht="14.4" customHeight="1" x14ac:dyDescent="0.3">
      <c r="A835" s="11" t="str">
        <f ca="1"/>
        <v/>
      </c>
    </row>
    <row r="836" spans="1:1" ht="14.4" customHeight="1" x14ac:dyDescent="0.3">
      <c r="A836" s="11" t="str">
        <f ca="1"/>
        <v/>
      </c>
    </row>
    <row r="837" spans="1:1" ht="14.4" customHeight="1" x14ac:dyDescent="0.3">
      <c r="A837" s="11" t="str">
        <f ca="1"/>
        <v/>
      </c>
    </row>
    <row r="838" spans="1:1" ht="14.4" customHeight="1" x14ac:dyDescent="0.3">
      <c r="A838" s="11" t="str">
        <f ca="1"/>
        <v/>
      </c>
    </row>
    <row r="839" spans="1:1" ht="14.4" customHeight="1" x14ac:dyDescent="0.3">
      <c r="A839" s="11" t="str">
        <f ca="1"/>
        <v/>
      </c>
    </row>
    <row r="840" spans="1:1" ht="14.4" customHeight="1" x14ac:dyDescent="0.3">
      <c r="A840" s="11" t="str">
        <f ca="1"/>
        <v/>
      </c>
    </row>
    <row r="841" spans="1:1" ht="14.4" customHeight="1" x14ac:dyDescent="0.3">
      <c r="A841" s="11" t="str">
        <f ca="1"/>
        <v/>
      </c>
    </row>
    <row r="842" spans="1:1" ht="14.4" customHeight="1" x14ac:dyDescent="0.3">
      <c r="A842" s="11" t="str">
        <f ca="1"/>
        <v/>
      </c>
    </row>
    <row r="843" spans="1:1" ht="14.4" customHeight="1" x14ac:dyDescent="0.3">
      <c r="A843" s="11" t="str">
        <f ca="1"/>
        <v/>
      </c>
    </row>
    <row r="844" spans="1:1" ht="14.4" customHeight="1" x14ac:dyDescent="0.3">
      <c r="A844" s="11" t="str">
        <f ca="1"/>
        <v/>
      </c>
    </row>
    <row r="845" spans="1:1" ht="14.4" customHeight="1" x14ac:dyDescent="0.3">
      <c r="A845" s="11" t="str">
        <f ca="1"/>
        <v/>
      </c>
    </row>
    <row r="846" spans="1:1" ht="14.4" customHeight="1" x14ac:dyDescent="0.3">
      <c r="A846" s="11" t="str">
        <f ca="1"/>
        <v/>
      </c>
    </row>
    <row r="847" spans="1:1" ht="14.4" customHeight="1" x14ac:dyDescent="0.3">
      <c r="A847" s="11" t="str">
        <f ca="1"/>
        <v/>
      </c>
    </row>
    <row r="848" spans="1:1" ht="14.4" customHeight="1" x14ac:dyDescent="0.3">
      <c r="A848" s="11" t="str">
        <f ca="1"/>
        <v/>
      </c>
    </row>
    <row r="849" spans="1:1" ht="14.4" customHeight="1" x14ac:dyDescent="0.3">
      <c r="A849" s="11" t="str">
        <f ca="1"/>
        <v/>
      </c>
    </row>
    <row r="850" spans="1:1" ht="14.4" customHeight="1" x14ac:dyDescent="0.3">
      <c r="A850" s="11" t="str">
        <f ca="1"/>
        <v/>
      </c>
    </row>
    <row r="851" spans="1:1" ht="14.4" customHeight="1" x14ac:dyDescent="0.3">
      <c r="A851" s="11" t="str">
        <f ca="1"/>
        <v/>
      </c>
    </row>
    <row r="852" spans="1:1" ht="14.4" customHeight="1" x14ac:dyDescent="0.3">
      <c r="A852" s="11" t="str">
        <f ca="1"/>
        <v/>
      </c>
    </row>
    <row r="853" spans="1:1" ht="14.4" customHeight="1" x14ac:dyDescent="0.3">
      <c r="A853" s="11" t="str">
        <f ca="1"/>
        <v/>
      </c>
    </row>
    <row r="854" spans="1:1" ht="14.4" customHeight="1" x14ac:dyDescent="0.3">
      <c r="A854" s="11" t="str">
        <f ca="1"/>
        <v/>
      </c>
    </row>
    <row r="855" spans="1:1" ht="14.4" customHeight="1" x14ac:dyDescent="0.3">
      <c r="A855" s="11" t="str">
        <f ca="1"/>
        <v/>
      </c>
    </row>
    <row r="856" spans="1:1" ht="14.4" customHeight="1" x14ac:dyDescent="0.3">
      <c r="A856" s="11" t="str">
        <f ca="1"/>
        <v/>
      </c>
    </row>
    <row r="857" spans="1:1" ht="14.4" customHeight="1" x14ac:dyDescent="0.3">
      <c r="A857" s="11" t="str">
        <f ca="1"/>
        <v/>
      </c>
    </row>
    <row r="858" spans="1:1" ht="14.4" customHeight="1" x14ac:dyDescent="0.3">
      <c r="A858" s="11" t="str">
        <f ca="1"/>
        <v/>
      </c>
    </row>
    <row r="859" spans="1:1" ht="14.4" customHeight="1" x14ac:dyDescent="0.3">
      <c r="A859" s="11" t="str">
        <f ca="1"/>
        <v/>
      </c>
    </row>
    <row r="860" spans="1:1" ht="14.4" customHeight="1" x14ac:dyDescent="0.3">
      <c r="A860" s="11" t="str">
        <f ca="1"/>
        <v/>
      </c>
    </row>
    <row r="861" spans="1:1" ht="14.4" customHeight="1" x14ac:dyDescent="0.3">
      <c r="A861" s="11" t="str">
        <f ca="1"/>
        <v/>
      </c>
    </row>
    <row r="862" spans="1:1" ht="14.4" customHeight="1" x14ac:dyDescent="0.3">
      <c r="A862" s="11" t="str">
        <f ca="1"/>
        <v/>
      </c>
    </row>
    <row r="863" spans="1:1" ht="14.4" customHeight="1" x14ac:dyDescent="0.3">
      <c r="A863" s="11" t="str">
        <f ca="1"/>
        <v/>
      </c>
    </row>
    <row r="864" spans="1:1" ht="14.4" customHeight="1" x14ac:dyDescent="0.3">
      <c r="A864" s="11" t="str">
        <f ca="1"/>
        <v/>
      </c>
    </row>
    <row r="865" spans="1:1" ht="14.4" customHeight="1" x14ac:dyDescent="0.3">
      <c r="A865" s="11" t="str">
        <f ca="1"/>
        <v/>
      </c>
    </row>
    <row r="866" spans="1:1" ht="14.4" customHeight="1" x14ac:dyDescent="0.3">
      <c r="A866" s="11" t="str">
        <f ca="1"/>
        <v/>
      </c>
    </row>
    <row r="867" spans="1:1" ht="14.4" customHeight="1" x14ac:dyDescent="0.3">
      <c r="A867" s="11" t="str">
        <f ca="1"/>
        <v/>
      </c>
    </row>
    <row r="868" spans="1:1" ht="14.4" customHeight="1" x14ac:dyDescent="0.3">
      <c r="A868" s="11" t="str">
        <f ca="1"/>
        <v/>
      </c>
    </row>
    <row r="869" spans="1:1" ht="14.4" customHeight="1" x14ac:dyDescent="0.3">
      <c r="A869" s="11" t="str">
        <f ca="1"/>
        <v/>
      </c>
    </row>
    <row r="870" spans="1:1" ht="14.4" customHeight="1" x14ac:dyDescent="0.3">
      <c r="A870" s="11" t="str">
        <f ca="1"/>
        <v/>
      </c>
    </row>
    <row r="871" spans="1:1" ht="14.4" customHeight="1" x14ac:dyDescent="0.3">
      <c r="A871" s="11" t="str">
        <f ca="1"/>
        <v/>
      </c>
    </row>
    <row r="872" spans="1:1" ht="14.4" customHeight="1" x14ac:dyDescent="0.3">
      <c r="A872" s="11" t="str">
        <f ca="1"/>
        <v/>
      </c>
    </row>
    <row r="873" spans="1:1" ht="14.4" customHeight="1" x14ac:dyDescent="0.3">
      <c r="A873" s="11" t="str">
        <f ca="1"/>
        <v/>
      </c>
    </row>
    <row r="874" spans="1:1" ht="14.4" customHeight="1" x14ac:dyDescent="0.3">
      <c r="A874" s="11" t="str">
        <f ca="1"/>
        <v/>
      </c>
    </row>
    <row r="875" spans="1:1" ht="14.4" customHeight="1" x14ac:dyDescent="0.3">
      <c r="A875" s="11" t="str">
        <f ca="1"/>
        <v/>
      </c>
    </row>
    <row r="876" spans="1:1" ht="14.4" customHeight="1" x14ac:dyDescent="0.3">
      <c r="A876" s="11" t="str">
        <f ca="1"/>
        <v/>
      </c>
    </row>
    <row r="877" spans="1:1" ht="14.4" customHeight="1" x14ac:dyDescent="0.3">
      <c r="A877" s="11" t="str">
        <f ca="1"/>
        <v/>
      </c>
    </row>
    <row r="878" spans="1:1" ht="14.4" customHeight="1" x14ac:dyDescent="0.3">
      <c r="A878" s="11" t="str">
        <f ca="1"/>
        <v/>
      </c>
    </row>
    <row r="879" spans="1:1" ht="14.4" customHeight="1" x14ac:dyDescent="0.3">
      <c r="A879" s="11" t="str">
        <f ca="1"/>
        <v/>
      </c>
    </row>
    <row r="880" spans="1:1" ht="14.4" customHeight="1" x14ac:dyDescent="0.3">
      <c r="A880" s="11" t="str">
        <f ca="1"/>
        <v/>
      </c>
    </row>
    <row r="881" spans="1:1" ht="14.4" customHeight="1" x14ac:dyDescent="0.3">
      <c r="A881" s="11" t="str">
        <f ca="1"/>
        <v/>
      </c>
    </row>
    <row r="882" spans="1:1" ht="14.4" customHeight="1" x14ac:dyDescent="0.3">
      <c r="A882" s="11" t="str">
        <f ca="1"/>
        <v/>
      </c>
    </row>
    <row r="883" spans="1:1" ht="14.4" customHeight="1" x14ac:dyDescent="0.3">
      <c r="A883" s="11" t="str">
        <f ca="1"/>
        <v/>
      </c>
    </row>
    <row r="884" spans="1:1" ht="14.4" customHeight="1" x14ac:dyDescent="0.3">
      <c r="A884" s="11" t="str">
        <f ca="1"/>
        <v/>
      </c>
    </row>
    <row r="885" spans="1:1" ht="14.4" customHeight="1" x14ac:dyDescent="0.3">
      <c r="A885" s="11" t="str">
        <f ca="1"/>
        <v/>
      </c>
    </row>
    <row r="886" spans="1:1" ht="14.4" customHeight="1" x14ac:dyDescent="0.3">
      <c r="A886" s="11" t="str">
        <f ca="1"/>
        <v/>
      </c>
    </row>
    <row r="887" spans="1:1" ht="14.4" customHeight="1" x14ac:dyDescent="0.3">
      <c r="A887" s="11" t="str">
        <f ca="1"/>
        <v/>
      </c>
    </row>
    <row r="888" spans="1:1" ht="14.4" customHeight="1" x14ac:dyDescent="0.3">
      <c r="A888" s="11" t="str">
        <f ca="1"/>
        <v/>
      </c>
    </row>
    <row r="889" spans="1:1" ht="14.4" customHeight="1" x14ac:dyDescent="0.3">
      <c r="A889" s="11" t="str">
        <f ca="1"/>
        <v/>
      </c>
    </row>
    <row r="890" spans="1:1" ht="14.4" customHeight="1" x14ac:dyDescent="0.3">
      <c r="A890" s="11" t="str">
        <f ca="1"/>
        <v/>
      </c>
    </row>
    <row r="891" spans="1:1" ht="14.4" customHeight="1" x14ac:dyDescent="0.3">
      <c r="A891" s="11" t="str">
        <f ca="1"/>
        <v/>
      </c>
    </row>
    <row r="892" spans="1:1" ht="14.4" customHeight="1" x14ac:dyDescent="0.3">
      <c r="A892" s="11" t="str">
        <f ca="1"/>
        <v/>
      </c>
    </row>
    <row r="893" spans="1:1" ht="14.4" customHeight="1" x14ac:dyDescent="0.3">
      <c r="A893" s="11" t="str">
        <f ca="1"/>
        <v/>
      </c>
    </row>
    <row r="894" spans="1:1" ht="14.4" customHeight="1" x14ac:dyDescent="0.3">
      <c r="A894" s="11" t="str">
        <f ca="1"/>
        <v/>
      </c>
    </row>
    <row r="895" spans="1:1" ht="14.4" customHeight="1" x14ac:dyDescent="0.3">
      <c r="A895" s="11" t="str">
        <f ca="1"/>
        <v/>
      </c>
    </row>
    <row r="896" spans="1:1" ht="14.4" customHeight="1" x14ac:dyDescent="0.3">
      <c r="A896" s="11" t="str">
        <f ca="1"/>
        <v/>
      </c>
    </row>
    <row r="897" spans="1:1" ht="14.4" customHeight="1" x14ac:dyDescent="0.3">
      <c r="A897" s="11" t="str">
        <f ca="1"/>
        <v/>
      </c>
    </row>
    <row r="898" spans="1:1" ht="14.4" customHeight="1" x14ac:dyDescent="0.3">
      <c r="A898" s="11" t="str">
        <f ca="1"/>
        <v/>
      </c>
    </row>
    <row r="899" spans="1:1" ht="14.4" customHeight="1" x14ac:dyDescent="0.3">
      <c r="A899" s="11" t="str">
        <f ca="1"/>
        <v/>
      </c>
    </row>
    <row r="900" spans="1:1" ht="14.4" customHeight="1" x14ac:dyDescent="0.3">
      <c r="A900" s="11" t="str">
        <f ca="1"/>
        <v/>
      </c>
    </row>
    <row r="901" spans="1:1" ht="14.4" customHeight="1" x14ac:dyDescent="0.3">
      <c r="A901" s="11" t="str">
        <f ca="1"/>
        <v/>
      </c>
    </row>
    <row r="902" spans="1:1" ht="14.4" customHeight="1" x14ac:dyDescent="0.3">
      <c r="A902" s="11" t="str">
        <f ca="1"/>
        <v/>
      </c>
    </row>
    <row r="903" spans="1:1" ht="14.4" customHeight="1" x14ac:dyDescent="0.3">
      <c r="A903" s="11" t="str">
        <f ca="1"/>
        <v/>
      </c>
    </row>
    <row r="904" spans="1:1" ht="14.4" customHeight="1" x14ac:dyDescent="0.3">
      <c r="A904" s="11" t="str">
        <f ca="1"/>
        <v/>
      </c>
    </row>
    <row r="905" spans="1:1" ht="14.4" customHeight="1" x14ac:dyDescent="0.3">
      <c r="A905" s="11" t="str">
        <f ca="1"/>
        <v/>
      </c>
    </row>
    <row r="906" spans="1:1" ht="14.4" customHeight="1" x14ac:dyDescent="0.3">
      <c r="A906" s="11" t="str">
        <f ca="1"/>
        <v/>
      </c>
    </row>
    <row r="907" spans="1:1" ht="14.4" customHeight="1" x14ac:dyDescent="0.3">
      <c r="A907" s="11" t="str">
        <f ca="1"/>
        <v/>
      </c>
    </row>
    <row r="908" spans="1:1" ht="14.4" customHeight="1" x14ac:dyDescent="0.3">
      <c r="A908" s="11" t="str">
        <f ca="1"/>
        <v/>
      </c>
    </row>
    <row r="909" spans="1:1" ht="14.4" customHeight="1" x14ac:dyDescent="0.3">
      <c r="A909" s="11" t="str">
        <f ca="1"/>
        <v/>
      </c>
    </row>
    <row r="910" spans="1:1" ht="14.4" customHeight="1" x14ac:dyDescent="0.3">
      <c r="A910" s="11" t="str">
        <f ca="1"/>
        <v/>
      </c>
    </row>
    <row r="911" spans="1:1" ht="14.4" customHeight="1" x14ac:dyDescent="0.3">
      <c r="A911" s="11" t="str">
        <f ca="1"/>
        <v/>
      </c>
    </row>
    <row r="912" spans="1:1" ht="14.4" customHeight="1" x14ac:dyDescent="0.3">
      <c r="A912" s="11" t="str">
        <f ca="1"/>
        <v/>
      </c>
    </row>
    <row r="913" spans="1:1" ht="14.4" customHeight="1" x14ac:dyDescent="0.3">
      <c r="A913" s="11" t="str">
        <f ca="1"/>
        <v/>
      </c>
    </row>
    <row r="914" spans="1:1" ht="14.4" customHeight="1" x14ac:dyDescent="0.3">
      <c r="A914" s="11" t="str">
        <f ca="1"/>
        <v/>
      </c>
    </row>
    <row r="915" spans="1:1" ht="14.4" customHeight="1" x14ac:dyDescent="0.3">
      <c r="A915" s="11" t="str">
        <f ca="1"/>
        <v/>
      </c>
    </row>
    <row r="916" spans="1:1" ht="14.4" customHeight="1" x14ac:dyDescent="0.3">
      <c r="A916" s="11" t="str">
        <f ca="1"/>
        <v/>
      </c>
    </row>
    <row r="917" spans="1:1" ht="14.4" customHeight="1" x14ac:dyDescent="0.3">
      <c r="A917" s="11" t="str">
        <f ca="1"/>
        <v/>
      </c>
    </row>
    <row r="918" spans="1:1" ht="14.4" customHeight="1" x14ac:dyDescent="0.3">
      <c r="A918" s="11" t="str">
        <f ca="1"/>
        <v/>
      </c>
    </row>
    <row r="919" spans="1:1" ht="14.4" customHeight="1" x14ac:dyDescent="0.3">
      <c r="A919" s="11" t="str">
        <f ca="1"/>
        <v/>
      </c>
    </row>
    <row r="920" spans="1:1" ht="14.4" customHeight="1" x14ac:dyDescent="0.3">
      <c r="A920" s="11" t="str">
        <f ca="1"/>
        <v/>
      </c>
    </row>
    <row r="921" spans="1:1" ht="14.4" customHeight="1" x14ac:dyDescent="0.3">
      <c r="A921" s="11" t="str">
        <f ca="1"/>
        <v/>
      </c>
    </row>
    <row r="922" spans="1:1" ht="14.4" customHeight="1" x14ac:dyDescent="0.3">
      <c r="A922" s="11" t="str">
        <f ca="1"/>
        <v/>
      </c>
    </row>
    <row r="923" spans="1:1" ht="14.4" customHeight="1" x14ac:dyDescent="0.3">
      <c r="A923" s="11" t="str">
        <f ca="1"/>
        <v/>
      </c>
    </row>
    <row r="924" spans="1:1" ht="14.4" customHeight="1" x14ac:dyDescent="0.3">
      <c r="A924" s="11" t="str">
        <f ca="1"/>
        <v/>
      </c>
    </row>
    <row r="925" spans="1:1" ht="14.4" customHeight="1" x14ac:dyDescent="0.3">
      <c r="A925" s="11" t="str">
        <f ca="1"/>
        <v/>
      </c>
    </row>
    <row r="926" spans="1:1" ht="14.4" customHeight="1" x14ac:dyDescent="0.3">
      <c r="A926" s="11" t="str">
        <f ca="1"/>
        <v/>
      </c>
    </row>
    <row r="927" spans="1:1" ht="14.4" customHeight="1" x14ac:dyDescent="0.3">
      <c r="A927" s="11" t="str">
        <f ca="1"/>
        <v/>
      </c>
    </row>
    <row r="928" spans="1:1" ht="14.4" customHeight="1" x14ac:dyDescent="0.3">
      <c r="A928" s="11" t="str">
        <f ca="1"/>
        <v/>
      </c>
    </row>
    <row r="929" spans="1:1" ht="14.4" customHeight="1" x14ac:dyDescent="0.3">
      <c r="A929" s="11" t="str">
        <f ca="1"/>
        <v/>
      </c>
    </row>
    <row r="930" spans="1:1" ht="14.4" customHeight="1" x14ac:dyDescent="0.3">
      <c r="A930" s="11" t="str">
        <f ca="1"/>
        <v/>
      </c>
    </row>
    <row r="931" spans="1:1" ht="14.4" customHeight="1" x14ac:dyDescent="0.3">
      <c r="A931" s="11" t="str">
        <f ca="1"/>
        <v/>
      </c>
    </row>
    <row r="932" spans="1:1" ht="14.4" customHeight="1" x14ac:dyDescent="0.3">
      <c r="A932" s="11" t="str">
        <f ca="1"/>
        <v/>
      </c>
    </row>
    <row r="933" spans="1:1" ht="14.4" customHeight="1" x14ac:dyDescent="0.3">
      <c r="A933" s="11" t="str">
        <f ca="1"/>
        <v/>
      </c>
    </row>
    <row r="934" spans="1:1" ht="14.4" customHeight="1" x14ac:dyDescent="0.3">
      <c r="A934" s="11" t="str">
        <f ca="1"/>
        <v/>
      </c>
    </row>
    <row r="935" spans="1:1" ht="14.4" customHeight="1" x14ac:dyDescent="0.3">
      <c r="A935" s="11" t="str">
        <f ca="1"/>
        <v/>
      </c>
    </row>
    <row r="936" spans="1:1" ht="14.4" customHeight="1" x14ac:dyDescent="0.3">
      <c r="A936" s="11" t="str">
        <f ca="1"/>
        <v/>
      </c>
    </row>
    <row r="937" spans="1:1" ht="14.4" customHeight="1" x14ac:dyDescent="0.3">
      <c r="A937" s="11" t="str">
        <f ca="1"/>
        <v/>
      </c>
    </row>
    <row r="938" spans="1:1" ht="14.4" customHeight="1" x14ac:dyDescent="0.3">
      <c r="A938" s="11" t="str">
        <f ca="1"/>
        <v/>
      </c>
    </row>
    <row r="939" spans="1:1" ht="14.4" customHeight="1" x14ac:dyDescent="0.3">
      <c r="A939" s="11" t="str">
        <f ca="1"/>
        <v/>
      </c>
    </row>
    <row r="940" spans="1:1" ht="14.4" customHeight="1" x14ac:dyDescent="0.3">
      <c r="A940" s="11" t="str">
        <f ca="1"/>
        <v/>
      </c>
    </row>
    <row r="941" spans="1:1" ht="14.4" customHeight="1" x14ac:dyDescent="0.3">
      <c r="A941" s="11" t="str">
        <f ca="1"/>
        <v/>
      </c>
    </row>
    <row r="942" spans="1:1" ht="14.4" customHeight="1" x14ac:dyDescent="0.3">
      <c r="A942" s="11" t="str">
        <f ca="1"/>
        <v/>
      </c>
    </row>
    <row r="943" spans="1:1" ht="14.4" customHeight="1" x14ac:dyDescent="0.3">
      <c r="A943" s="11" t="str">
        <f ca="1"/>
        <v/>
      </c>
    </row>
    <row r="944" spans="1:1" ht="14.4" customHeight="1" x14ac:dyDescent="0.3">
      <c r="A944" s="11" t="str">
        <f ca="1"/>
        <v/>
      </c>
    </row>
    <row r="945" spans="1:1" ht="14.4" customHeight="1" x14ac:dyDescent="0.3">
      <c r="A945" s="11" t="str">
        <f ca="1"/>
        <v/>
      </c>
    </row>
    <row r="946" spans="1:1" ht="14.4" customHeight="1" x14ac:dyDescent="0.3">
      <c r="A946" s="11" t="str">
        <f ca="1"/>
        <v/>
      </c>
    </row>
    <row r="947" spans="1:1" ht="14.4" customHeight="1" x14ac:dyDescent="0.3">
      <c r="A947" s="11" t="str">
        <f ca="1"/>
        <v/>
      </c>
    </row>
    <row r="948" spans="1:1" ht="14.4" customHeight="1" x14ac:dyDescent="0.3">
      <c r="A948" s="11" t="str">
        <f ca="1"/>
        <v/>
      </c>
    </row>
    <row r="949" spans="1:1" ht="14.4" customHeight="1" x14ac:dyDescent="0.3">
      <c r="A949" s="11" t="str">
        <f ca="1"/>
        <v/>
      </c>
    </row>
    <row r="950" spans="1:1" ht="14.4" customHeight="1" x14ac:dyDescent="0.3">
      <c r="A950" s="11" t="str">
        <f ca="1"/>
        <v/>
      </c>
    </row>
    <row r="951" spans="1:1" ht="14.4" customHeight="1" x14ac:dyDescent="0.3">
      <c r="A951" s="11" t="str">
        <f ca="1"/>
        <v/>
      </c>
    </row>
    <row r="952" spans="1:1" ht="14.4" customHeight="1" x14ac:dyDescent="0.3">
      <c r="A952" s="11" t="str">
        <f ca="1"/>
        <v/>
      </c>
    </row>
    <row r="953" spans="1:1" ht="14.4" customHeight="1" x14ac:dyDescent="0.3">
      <c r="A953" s="11" t="str">
        <f ca="1"/>
        <v/>
      </c>
    </row>
    <row r="954" spans="1:1" ht="14.4" customHeight="1" x14ac:dyDescent="0.3">
      <c r="A954" s="11" t="str">
        <f ca="1"/>
        <v/>
      </c>
    </row>
    <row r="955" spans="1:1" ht="14.4" customHeight="1" x14ac:dyDescent="0.3">
      <c r="A955" s="11" t="str">
        <f ca="1"/>
        <v/>
      </c>
    </row>
    <row r="956" spans="1:1" ht="14.4" customHeight="1" x14ac:dyDescent="0.3">
      <c r="A956" s="11" t="str">
        <f ca="1"/>
        <v/>
      </c>
    </row>
    <row r="957" spans="1:1" ht="14.4" customHeight="1" x14ac:dyDescent="0.3">
      <c r="A957" s="11" t="str">
        <f ca="1"/>
        <v/>
      </c>
    </row>
    <row r="958" spans="1:1" ht="14.4" customHeight="1" x14ac:dyDescent="0.3">
      <c r="A958" s="11" t="str">
        <f ca="1"/>
        <v/>
      </c>
    </row>
    <row r="959" spans="1:1" ht="14.4" customHeight="1" x14ac:dyDescent="0.3">
      <c r="A959" s="11" t="str">
        <f ca="1"/>
        <v/>
      </c>
    </row>
    <row r="960" spans="1:1" ht="14.4" customHeight="1" x14ac:dyDescent="0.3">
      <c r="A960" s="11" t="str">
        <f ca="1"/>
        <v/>
      </c>
    </row>
    <row r="961" spans="1:1" ht="14.4" customHeight="1" x14ac:dyDescent="0.3">
      <c r="A961" s="11" t="str">
        <f ca="1"/>
        <v/>
      </c>
    </row>
    <row r="962" spans="1:1" ht="14.4" customHeight="1" x14ac:dyDescent="0.3">
      <c r="A962" s="11" t="str">
        <f ca="1"/>
        <v/>
      </c>
    </row>
    <row r="963" spans="1:1" ht="14.4" customHeight="1" x14ac:dyDescent="0.3">
      <c r="A963" s="11" t="str">
        <f ca="1"/>
        <v/>
      </c>
    </row>
    <row r="964" spans="1:1" ht="14.4" customHeight="1" x14ac:dyDescent="0.3">
      <c r="A964" s="11" t="str">
        <f ca="1"/>
        <v/>
      </c>
    </row>
    <row r="965" spans="1:1" ht="14.4" customHeight="1" x14ac:dyDescent="0.3">
      <c r="A965" s="11" t="str">
        <f ca="1"/>
        <v/>
      </c>
    </row>
    <row r="966" spans="1:1" ht="14.4" customHeight="1" x14ac:dyDescent="0.3">
      <c r="A966" s="11" t="str">
        <f ca="1"/>
        <v/>
      </c>
    </row>
    <row r="967" spans="1:1" ht="14.4" customHeight="1" x14ac:dyDescent="0.3">
      <c r="A967" s="11" t="str">
        <f ca="1"/>
        <v/>
      </c>
    </row>
    <row r="968" spans="1:1" ht="14.4" customHeight="1" x14ac:dyDescent="0.3">
      <c r="A968" s="11" t="str">
        <f ca="1"/>
        <v/>
      </c>
    </row>
    <row r="969" spans="1:1" ht="14.4" customHeight="1" x14ac:dyDescent="0.3">
      <c r="A969" s="11" t="str">
        <f ca="1"/>
        <v/>
      </c>
    </row>
    <row r="970" spans="1:1" ht="14.4" customHeight="1" x14ac:dyDescent="0.3">
      <c r="A970" s="11" t="str">
        <f ca="1"/>
        <v/>
      </c>
    </row>
    <row r="971" spans="1:1" ht="14.4" customHeight="1" x14ac:dyDescent="0.3">
      <c r="A971" s="11" t="str">
        <f ca="1"/>
        <v/>
      </c>
    </row>
    <row r="972" spans="1:1" ht="14.4" customHeight="1" x14ac:dyDescent="0.3">
      <c r="A972" s="11" t="str">
        <f ca="1"/>
        <v/>
      </c>
    </row>
    <row r="973" spans="1:1" ht="14.4" customHeight="1" x14ac:dyDescent="0.3">
      <c r="A973" s="11" t="str">
        <f ca="1"/>
        <v/>
      </c>
    </row>
    <row r="974" spans="1:1" ht="14.4" customHeight="1" x14ac:dyDescent="0.3">
      <c r="A974" s="11" t="str">
        <f ca="1"/>
        <v/>
      </c>
    </row>
    <row r="975" spans="1:1" ht="14.4" customHeight="1" x14ac:dyDescent="0.3">
      <c r="A975" s="11" t="str">
        <f ca="1"/>
        <v/>
      </c>
    </row>
    <row r="976" spans="1:1" ht="14.4" customHeight="1" x14ac:dyDescent="0.3">
      <c r="A976" s="11" t="str">
        <f ca="1"/>
        <v/>
      </c>
    </row>
    <row r="977" spans="1:1" ht="14.4" customHeight="1" x14ac:dyDescent="0.3">
      <c r="A977" s="11" t="str">
        <f ca="1"/>
        <v/>
      </c>
    </row>
    <row r="978" spans="1:1" ht="14.4" customHeight="1" x14ac:dyDescent="0.3">
      <c r="A978" s="11" t="str">
        <f ca="1"/>
        <v/>
      </c>
    </row>
    <row r="979" spans="1:1" ht="14.4" customHeight="1" x14ac:dyDescent="0.3">
      <c r="A979" s="11" t="str">
        <f ca="1"/>
        <v/>
      </c>
    </row>
    <row r="980" spans="1:1" ht="14.4" customHeight="1" x14ac:dyDescent="0.3">
      <c r="A980" s="11" t="str">
        <f ca="1"/>
        <v/>
      </c>
    </row>
    <row r="981" spans="1:1" ht="14.4" customHeight="1" x14ac:dyDescent="0.3">
      <c r="A981" s="11" t="str">
        <f ca="1"/>
        <v/>
      </c>
    </row>
    <row r="982" spans="1:1" ht="14.4" customHeight="1" x14ac:dyDescent="0.3">
      <c r="A982" s="11" t="str">
        <f ca="1"/>
        <v/>
      </c>
    </row>
    <row r="983" spans="1:1" ht="14.4" customHeight="1" x14ac:dyDescent="0.3">
      <c r="A983" s="11" t="str">
        <f ca="1"/>
        <v/>
      </c>
    </row>
    <row r="984" spans="1:1" ht="14.4" customHeight="1" x14ac:dyDescent="0.3">
      <c r="A984" s="11" t="str">
        <f ca="1"/>
        <v/>
      </c>
    </row>
    <row r="985" spans="1:1" ht="14.4" customHeight="1" x14ac:dyDescent="0.3">
      <c r="A985" s="11" t="str">
        <f ca="1"/>
        <v/>
      </c>
    </row>
    <row r="986" spans="1:1" ht="14.4" customHeight="1" x14ac:dyDescent="0.3">
      <c r="A986" s="11" t="str">
        <f ca="1"/>
        <v/>
      </c>
    </row>
    <row r="987" spans="1:1" ht="14.4" customHeight="1" x14ac:dyDescent="0.3">
      <c r="A987" s="11" t="str">
        <f ca="1"/>
        <v/>
      </c>
    </row>
    <row r="988" spans="1:1" ht="14.4" customHeight="1" x14ac:dyDescent="0.3">
      <c r="A988" s="11" t="str">
        <f ca="1"/>
        <v/>
      </c>
    </row>
    <row r="989" spans="1:1" ht="14.4" customHeight="1" x14ac:dyDescent="0.3">
      <c r="A989" s="11" t="str">
        <f ca="1"/>
        <v/>
      </c>
    </row>
    <row r="990" spans="1:1" ht="14.4" customHeight="1" x14ac:dyDescent="0.3">
      <c r="A990" s="11" t="str">
        <f ca="1"/>
        <v/>
      </c>
    </row>
    <row r="991" spans="1:1" ht="14.4" customHeight="1" x14ac:dyDescent="0.3">
      <c r="A991" s="11" t="str">
        <f ca="1"/>
        <v/>
      </c>
    </row>
    <row r="992" spans="1:1" ht="14.4" customHeight="1" x14ac:dyDescent="0.3">
      <c r="A992" s="11" t="str">
        <f ca="1"/>
        <v/>
      </c>
    </row>
    <row r="993" spans="1:1" ht="14.4" customHeight="1" x14ac:dyDescent="0.3">
      <c r="A993" s="11" t="str">
        <f ca="1"/>
        <v/>
      </c>
    </row>
    <row r="994" spans="1:1" ht="14.4" customHeight="1" x14ac:dyDescent="0.3">
      <c r="A994" s="11" t="str">
        <f ca="1"/>
        <v/>
      </c>
    </row>
    <row r="995" spans="1:1" ht="14.4" customHeight="1" x14ac:dyDescent="0.3">
      <c r="A995" s="11" t="str">
        <f ca="1"/>
        <v/>
      </c>
    </row>
    <row r="996" spans="1:1" ht="14.4" customHeight="1" x14ac:dyDescent="0.3">
      <c r="A996" s="11" t="str">
        <f ca="1"/>
        <v/>
      </c>
    </row>
    <row r="997" spans="1:1" ht="14.4" customHeight="1" x14ac:dyDescent="0.3">
      <c r="A997" s="11" t="str">
        <f ca="1"/>
        <v/>
      </c>
    </row>
    <row r="998" spans="1:1" ht="14.4" customHeight="1" x14ac:dyDescent="0.3">
      <c r="A998" s="11" t="str">
        <f ca="1"/>
        <v/>
      </c>
    </row>
    <row r="999" spans="1:1" ht="14.4" customHeight="1" x14ac:dyDescent="0.3">
      <c r="A999" s="11" t="str">
        <f ca="1"/>
        <v/>
      </c>
    </row>
    <row r="1000" spans="1:1" ht="14.4" customHeight="1" x14ac:dyDescent="0.3">
      <c r="A1000" s="11" t="str">
        <f ca="1"/>
        <v/>
      </c>
    </row>
    <row r="1001" spans="1:1" ht="14.4" customHeight="1" x14ac:dyDescent="0.3">
      <c r="A1001" s="11" t="str">
        <f ca="1"/>
        <v/>
      </c>
    </row>
    <row r="1002" spans="1:1" ht="14.4" customHeight="1" x14ac:dyDescent="0.3">
      <c r="A1002" s="11" t="str">
        <f ca="1"/>
        <v/>
      </c>
    </row>
    <row r="1003" spans="1:1" ht="14.4" customHeight="1" x14ac:dyDescent="0.3">
      <c r="A1003" s="11" t="str">
        <f ca="1"/>
        <v/>
      </c>
    </row>
  </sheetData>
  <sheetProtection algorithmName="SHA-512" hashValue="fKP9rAYExLv9B074cZ2XlO1HxvA5yd6bLjrPs3nViZjbQm979zyy7asewnLdj/P6pPIquzkeSoLdUfiFR575Mg==" saltValue="kVDBMbsm+rUnoU+sLQul1g==" spinCount="100000" sheet="1" objects="1" scenarios="1"/>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A74B6-D5C9-48EE-ADA9-AE5AA25D6B3E}">
  <sheetPr codeName="Sheet1">
    <pageSetUpPr autoPageBreaks="0"/>
  </sheetPr>
  <dimension ref="E1:DV261"/>
  <sheetViews>
    <sheetView topLeftCell="A33" zoomScaleNormal="100" workbookViewId="0">
      <selection activeCell="J24" sqref="J24"/>
    </sheetView>
  </sheetViews>
  <sheetFormatPr defaultRowHeight="14.4" customHeight="1" x14ac:dyDescent="0.3"/>
  <cols>
    <col min="1" max="4" width="20.6640625" style="3" customWidth="1"/>
    <col min="5" max="5" width="8.5546875" style="3" customWidth="1"/>
    <col min="6" max="8" width="20.6640625" style="3" customWidth="1"/>
    <col min="9" max="10" width="8.88671875" style="3"/>
    <col min="11" max="11" width="27.33203125" style="3" bestFit="1" customWidth="1"/>
    <col min="12" max="12" width="11.109375" style="3" customWidth="1"/>
    <col min="13" max="14" width="20.88671875" style="3" customWidth="1"/>
    <col min="15" max="15" width="14.33203125" style="3" customWidth="1"/>
    <col min="16" max="17" width="14.6640625" style="3" customWidth="1"/>
    <col min="18" max="19" width="8.88671875" style="3"/>
    <col min="20" max="20" width="25" style="3" bestFit="1" customWidth="1"/>
    <col min="21" max="21" width="30.77734375" style="3" customWidth="1"/>
    <col min="22" max="23" width="8.88671875" style="3"/>
    <col min="24" max="24" width="21" style="3" bestFit="1" customWidth="1"/>
    <col min="25" max="25" width="31.88671875" style="3" bestFit="1" customWidth="1"/>
    <col min="26" max="26" width="25.6640625" style="3" customWidth="1"/>
    <col min="27" max="27" width="19.21875" style="3" customWidth="1"/>
    <col min="28" max="28" width="16.21875" style="3" customWidth="1"/>
    <col min="29" max="30" width="8.88671875" style="3"/>
    <col min="31" max="31" width="17.6640625" style="3" bestFit="1" customWidth="1"/>
    <col min="32" max="32" width="10.88671875" style="3" bestFit="1" customWidth="1"/>
    <col min="33" max="33" width="13.88671875" style="3" bestFit="1" customWidth="1"/>
    <col min="34" max="34" width="13.6640625" style="3" bestFit="1" customWidth="1"/>
    <col min="35" max="37" width="8.88671875" style="3"/>
    <col min="38" max="38" width="8.33203125" style="3" customWidth="1"/>
    <col min="39" max="40" width="8.88671875" style="3"/>
    <col min="41" max="41" width="12.5546875" style="3" bestFit="1" customWidth="1"/>
    <col min="42" max="42" width="27.109375" style="3" bestFit="1" customWidth="1"/>
    <col min="43" max="43" width="17.44140625" style="3" customWidth="1"/>
    <col min="44" max="46" width="8.88671875" style="3"/>
    <col min="47" max="47" width="14.109375" style="3" customWidth="1"/>
    <col min="48" max="48" width="8.88671875" style="3" customWidth="1"/>
    <col min="49" max="49" width="14.109375" style="3" customWidth="1"/>
    <col min="50" max="51" width="8.88671875" style="3"/>
    <col min="52" max="52" width="17.44140625" style="3" customWidth="1"/>
    <col min="53" max="53" width="14.6640625" style="3" bestFit="1" customWidth="1"/>
    <col min="54" max="54" width="9.88671875" style="3" customWidth="1"/>
    <col min="55" max="55" width="18.33203125" style="3" customWidth="1"/>
    <col min="56" max="59" width="11.6640625" style="3" customWidth="1"/>
    <col min="60" max="60" width="16.88671875" style="3" bestFit="1" customWidth="1"/>
    <col min="61" max="61" width="17.21875" style="3" bestFit="1" customWidth="1"/>
    <col min="62" max="62" width="16" style="3" bestFit="1" customWidth="1"/>
    <col min="63" max="63" width="12.5546875" style="3" bestFit="1" customWidth="1"/>
    <col min="64" max="64" width="8.88671875" style="3"/>
    <col min="65" max="69" width="14.77734375" style="3" customWidth="1"/>
    <col min="70" max="70" width="24.33203125" style="3" bestFit="1" customWidth="1"/>
    <col min="71" max="71" width="26.33203125" style="3" bestFit="1" customWidth="1"/>
    <col min="72" max="72" width="14.5546875" style="3" bestFit="1" customWidth="1"/>
    <col min="73" max="75" width="8.88671875" style="3"/>
    <col min="76" max="76" width="12.88671875" style="3" customWidth="1"/>
    <col min="77" max="77" width="8.88671875" style="3"/>
    <col min="78" max="78" width="16" style="3" bestFit="1" customWidth="1"/>
    <col min="79" max="79" width="18.33203125" style="3" bestFit="1" customWidth="1"/>
    <col min="80" max="80" width="14.6640625" style="3" bestFit="1" customWidth="1"/>
    <col min="81" max="82" width="8.88671875" style="3"/>
    <col min="83" max="83" width="12.6640625" style="3" customWidth="1"/>
    <col min="84" max="84" width="15.33203125" style="3" customWidth="1"/>
    <col min="85" max="86" width="8.88671875" style="3"/>
    <col min="87" max="87" width="19.33203125" style="3" customWidth="1"/>
    <col min="88" max="88" width="14.44140625" style="3" bestFit="1" customWidth="1"/>
    <col min="89" max="89" width="11.6640625" style="3" bestFit="1" customWidth="1"/>
    <col min="90" max="90" width="8.88671875" style="3"/>
    <col min="91" max="91" width="8.6640625" style="3" customWidth="1"/>
    <col min="92" max="92" width="16.6640625" style="3" bestFit="1" customWidth="1"/>
    <col min="93" max="93" width="15" style="3" bestFit="1" customWidth="1"/>
    <col min="94" max="94" width="11.109375" style="3" bestFit="1" customWidth="1"/>
    <col min="95" max="95" width="11.88671875" style="3" bestFit="1" customWidth="1"/>
    <col min="96" max="97" width="11.88671875" style="3" customWidth="1"/>
    <col min="98" max="98" width="16.88671875" style="3" bestFit="1" customWidth="1"/>
    <col min="99" max="99" width="17.21875" style="3" bestFit="1" customWidth="1"/>
    <col min="100" max="100" width="15.6640625" style="3" bestFit="1" customWidth="1"/>
    <col min="101" max="102" width="12" style="3" bestFit="1" customWidth="1"/>
    <col min="103" max="103" width="12.6640625" style="3" bestFit="1" customWidth="1"/>
    <col min="104" max="104" width="14.5546875" style="3" bestFit="1" customWidth="1"/>
    <col min="105" max="105" width="12.6640625" style="3" bestFit="1" customWidth="1"/>
    <col min="106" max="106" width="14.5546875" style="3" bestFit="1" customWidth="1"/>
    <col min="107" max="107" width="13.88671875" style="3" customWidth="1"/>
    <col min="108" max="108" width="14.5546875" style="3" bestFit="1" customWidth="1"/>
    <col min="109" max="110" width="13.88671875" style="3" customWidth="1"/>
    <col min="111" max="111" width="13.77734375" style="3" bestFit="1" customWidth="1"/>
    <col min="112" max="112" width="12.5546875" style="3" bestFit="1" customWidth="1"/>
    <col min="113" max="114" width="13.33203125" style="3" bestFit="1" customWidth="1"/>
    <col min="115" max="115" width="14.33203125" style="3" bestFit="1" customWidth="1"/>
    <col min="116" max="116" width="13.33203125" style="3" bestFit="1" customWidth="1"/>
    <col min="117" max="117" width="13.21875" style="3" bestFit="1" customWidth="1"/>
    <col min="118" max="118" width="16.33203125" style="3" customWidth="1"/>
    <col min="119" max="119" width="17.33203125" style="3" customWidth="1"/>
    <col min="120" max="120" width="12.6640625" style="3" customWidth="1"/>
    <col min="121" max="121" width="21.88671875" style="3" bestFit="1" customWidth="1"/>
    <col min="122" max="122" width="12.33203125" style="3" customWidth="1"/>
    <col min="123" max="123" width="17" style="3" bestFit="1" customWidth="1"/>
    <col min="124" max="124" width="17.33203125" style="3" bestFit="1" customWidth="1"/>
    <col min="125" max="125" width="13.33203125" style="3" bestFit="1" customWidth="1"/>
    <col min="126" max="126" width="17.33203125" style="3" bestFit="1" customWidth="1"/>
    <col min="127" max="127" width="8.88671875" style="3" customWidth="1"/>
    <col min="128" max="128" width="8.88671875" style="3"/>
    <col min="129" max="133" width="8.88671875" style="3" customWidth="1"/>
    <col min="134" max="134" width="8.88671875" style="3"/>
    <col min="135" max="135" width="8.88671875" style="3" customWidth="1"/>
    <col min="136" max="16384" width="8.88671875" style="3"/>
  </cols>
  <sheetData>
    <row r="1" spans="5:126" ht="14.4" customHeight="1" x14ac:dyDescent="0.3">
      <c r="E1" s="3" t="s">
        <v>606</v>
      </c>
      <c r="J1" s="3" t="s">
        <v>777</v>
      </c>
      <c r="O1" s="172" t="s">
        <v>1089</v>
      </c>
      <c r="P1" s="172" t="s">
        <v>1208</v>
      </c>
      <c r="S1" s="3" t="s">
        <v>1306</v>
      </c>
      <c r="W1" s="3" t="s">
        <v>1057</v>
      </c>
      <c r="AD1" s="14" t="s">
        <v>619</v>
      </c>
      <c r="AE1" s="14"/>
      <c r="AF1" s="14"/>
      <c r="AH1" s="14"/>
      <c r="AJ1" s="3" t="s">
        <v>715</v>
      </c>
      <c r="AN1" s="3" t="s">
        <v>721</v>
      </c>
      <c r="AS1" s="3" t="s">
        <v>737</v>
      </c>
      <c r="AW1" s="14" t="s">
        <v>786</v>
      </c>
      <c r="AY1" s="3" t="s">
        <v>668</v>
      </c>
      <c r="BM1" s="3" t="s">
        <v>1312</v>
      </c>
      <c r="BW1" s="3" t="s">
        <v>674</v>
      </c>
      <c r="CD1" s="3" t="s">
        <v>1128</v>
      </c>
      <c r="CH1" s="3" t="s">
        <v>597</v>
      </c>
      <c r="CM1" s="3" t="s">
        <v>667</v>
      </c>
      <c r="CQ1" s="182"/>
      <c r="CR1" s="182"/>
      <c r="CS1" s="182"/>
      <c r="CT1" s="182"/>
      <c r="CU1" s="182"/>
      <c r="CV1" s="182"/>
      <c r="CX1" s="14"/>
      <c r="DE1" s="14"/>
      <c r="DF1" s="14"/>
      <c r="DG1" s="14"/>
      <c r="DH1" s="14"/>
      <c r="DI1" s="14"/>
      <c r="DJ1" s="14"/>
    </row>
    <row r="2" spans="5:126" ht="14.4" customHeight="1" x14ac:dyDescent="0.3">
      <c r="E2" s="3" t="s">
        <v>563</v>
      </c>
      <c r="F2" s="3" t="s">
        <v>577</v>
      </c>
      <c r="G2" s="3" t="s">
        <v>565</v>
      </c>
      <c r="H2" s="3" t="s">
        <v>569</v>
      </c>
      <c r="J2" s="3" t="s">
        <v>563</v>
      </c>
      <c r="K2" s="3" t="s">
        <v>0</v>
      </c>
      <c r="L2" s="3" t="s">
        <v>778</v>
      </c>
      <c r="M2" s="3" t="s">
        <v>565</v>
      </c>
      <c r="N2" s="3" t="s">
        <v>569</v>
      </c>
      <c r="O2" s="3" t="s">
        <v>747</v>
      </c>
      <c r="P2" s="3" t="s">
        <v>779</v>
      </c>
      <c r="Q2" s="183" t="s">
        <v>1055</v>
      </c>
      <c r="S2" s="3" t="s">
        <v>563</v>
      </c>
      <c r="T2" s="3" t="s">
        <v>0</v>
      </c>
      <c r="U2" s="3" t="s">
        <v>594</v>
      </c>
      <c r="W2" s="3" t="s">
        <v>563</v>
      </c>
      <c r="X2" s="3" t="s">
        <v>1044</v>
      </c>
      <c r="Y2" s="3" t="s">
        <v>0</v>
      </c>
      <c r="Z2" s="3" t="s">
        <v>594</v>
      </c>
      <c r="AA2" s="3" t="s">
        <v>1036</v>
      </c>
      <c r="AB2" s="184" t="s">
        <v>1045</v>
      </c>
      <c r="AD2" s="14" t="s">
        <v>563</v>
      </c>
      <c r="AE2" s="14" t="s">
        <v>613</v>
      </c>
      <c r="AF2" s="14" t="s">
        <v>748</v>
      </c>
      <c r="AG2" s="14" t="s">
        <v>747</v>
      </c>
      <c r="AH2" s="14" t="s">
        <v>612</v>
      </c>
      <c r="AJ2" s="3" t="s">
        <v>563</v>
      </c>
      <c r="AK2" s="3" t="s">
        <v>577</v>
      </c>
      <c r="AL2" s="3" t="s">
        <v>675</v>
      </c>
      <c r="AN2" s="3" t="s">
        <v>563</v>
      </c>
      <c r="AO2" s="3" t="s">
        <v>577</v>
      </c>
      <c r="AP2" s="3" t="s">
        <v>675</v>
      </c>
      <c r="AQ2" s="3" t="s">
        <v>585</v>
      </c>
      <c r="AS2" s="3" t="s">
        <v>563</v>
      </c>
      <c r="AT2" s="3" t="s">
        <v>577</v>
      </c>
      <c r="AU2" s="3" t="s">
        <v>675</v>
      </c>
      <c r="AW2" s="13" t="s">
        <v>775</v>
      </c>
      <c r="AY2" s="3" t="s">
        <v>563</v>
      </c>
      <c r="AZ2" s="3" t="s">
        <v>638</v>
      </c>
      <c r="BA2" s="3" t="s">
        <v>745</v>
      </c>
      <c r="BB2" s="3" t="s">
        <v>744</v>
      </c>
      <c r="BC2" s="3" t="s">
        <v>669</v>
      </c>
      <c r="BD2" s="3" t="s">
        <v>639</v>
      </c>
      <c r="BE2" s="3" t="s">
        <v>640</v>
      </c>
      <c r="BF2" s="3" t="s">
        <v>911</v>
      </c>
      <c r="BG2" s="3" t="s">
        <v>912</v>
      </c>
      <c r="BH2" s="3" t="s">
        <v>1095</v>
      </c>
      <c r="BI2" s="3" t="s">
        <v>1096</v>
      </c>
      <c r="BJ2" s="3" t="s">
        <v>604</v>
      </c>
      <c r="BK2" s="3" t="s">
        <v>652</v>
      </c>
      <c r="BM2" s="172" t="s">
        <v>1316</v>
      </c>
      <c r="BN2" s="172" t="s">
        <v>1317</v>
      </c>
      <c r="BO2" s="172" t="s">
        <v>1318</v>
      </c>
      <c r="BP2" s="172" t="s">
        <v>1319</v>
      </c>
      <c r="BQ2" s="172" t="s">
        <v>1320</v>
      </c>
      <c r="BW2" s="3" t="s">
        <v>563</v>
      </c>
      <c r="BX2" s="3" t="s">
        <v>608</v>
      </c>
      <c r="BY2" s="3" t="s">
        <v>675</v>
      </c>
      <c r="BZ2" s="3" t="s">
        <v>604</v>
      </c>
      <c r="CA2" s="3" t="s">
        <v>913</v>
      </c>
      <c r="CB2" s="3" t="s">
        <v>914</v>
      </c>
      <c r="CD2" s="3" t="s">
        <v>563</v>
      </c>
      <c r="CE2" s="3" t="s">
        <v>608</v>
      </c>
      <c r="CF2" s="3" t="s">
        <v>676</v>
      </c>
      <c r="CH2" s="3" t="s">
        <v>563</v>
      </c>
      <c r="CI2" s="3" t="s">
        <v>688</v>
      </c>
      <c r="CJ2" s="3" t="s">
        <v>689</v>
      </c>
      <c r="CK2" s="3" t="s">
        <v>591</v>
      </c>
      <c r="CM2" s="3" t="s">
        <v>563</v>
      </c>
      <c r="CN2" s="3" t="s">
        <v>627</v>
      </c>
      <c r="CO2" s="3" t="s">
        <v>629</v>
      </c>
      <c r="CP2" s="3" t="s">
        <v>639</v>
      </c>
      <c r="CQ2" s="3" t="s">
        <v>640</v>
      </c>
      <c r="CR2" s="3" t="s">
        <v>911</v>
      </c>
      <c r="CS2" s="3" t="s">
        <v>912</v>
      </c>
      <c r="CT2" s="3" t="s">
        <v>1095</v>
      </c>
      <c r="CU2" s="3" t="s">
        <v>1096</v>
      </c>
      <c r="CV2" s="3" t="s">
        <v>593</v>
      </c>
      <c r="CW2" s="3" t="s">
        <v>592</v>
      </c>
      <c r="CX2" s="3" t="s">
        <v>598</v>
      </c>
      <c r="CY2" s="3" t="s">
        <v>590</v>
      </c>
      <c r="CZ2" s="3" t="s">
        <v>589</v>
      </c>
      <c r="DA2" s="3" t="s">
        <v>591</v>
      </c>
      <c r="DB2" s="3" t="s">
        <v>785</v>
      </c>
      <c r="DC2" s="3" t="s">
        <v>746</v>
      </c>
      <c r="DD2" s="3" t="s">
        <v>747</v>
      </c>
      <c r="DE2" s="3" t="s">
        <v>739</v>
      </c>
      <c r="DF2" s="3" t="s">
        <v>676</v>
      </c>
      <c r="DG2" s="3" t="s">
        <v>773</v>
      </c>
      <c r="DH2" s="3" t="s">
        <v>767</v>
      </c>
      <c r="DI2" s="3" t="s">
        <v>768</v>
      </c>
      <c r="DJ2" s="3" t="s">
        <v>769</v>
      </c>
      <c r="DK2" s="3" t="s">
        <v>917</v>
      </c>
      <c r="DL2" s="3" t="s">
        <v>918</v>
      </c>
      <c r="DM2" s="3" t="s">
        <v>749</v>
      </c>
      <c r="DN2" s="3" t="s">
        <v>750</v>
      </c>
      <c r="DO2" s="3" t="s">
        <v>751</v>
      </c>
      <c r="DP2" s="3" t="s">
        <v>766</v>
      </c>
      <c r="DQ2" s="3" t="s">
        <v>755</v>
      </c>
      <c r="DR2" s="3" t="s">
        <v>584</v>
      </c>
      <c r="DS2" s="3" t="s">
        <v>762</v>
      </c>
      <c r="DT2" s="3" t="s">
        <v>763</v>
      </c>
      <c r="DU2" s="3" t="s">
        <v>764</v>
      </c>
      <c r="DV2" s="3" t="s">
        <v>765</v>
      </c>
    </row>
    <row r="3" spans="5:126" ht="14.4" customHeight="1" x14ac:dyDescent="0.3">
      <c r="E3" s="11" cm="1">
        <f t="array" ref="E3">ROW()-ROW(UITranslationTable[#Headers])</f>
        <v>1</v>
      </c>
      <c r="F3" s="11" t="s">
        <v>586</v>
      </c>
      <c r="G3" s="185" t="s">
        <v>587</v>
      </c>
      <c r="H3" s="185" t="s">
        <v>588</v>
      </c>
      <c r="J3" s="3" cm="1">
        <f t="array" ref="J3">ROW()-ROW(errorMessagesTable[#Headers])</f>
        <v>1</v>
      </c>
      <c r="K3" s="3" t="s">
        <v>1066</v>
      </c>
      <c r="L3" s="3" t="b" cm="1">
        <f t="array" ref="L3">errorUILanguage</f>
        <v>0</v>
      </c>
      <c r="M3" s="11" t="str" cm="1">
        <f t="array" aca="1" ref="M3" ca="1">"(ENGLISH) The value of the ""Interface language"" parameter in the """ &amp; sheetNameIntroduction &amp; """ sheet is invalid (red cell). Please select a value from the drop-down menu for this cell." &amp; CHAR(10) &amp; CHAR(10)
&amp; "(FRANÇAIS) La valeur du paramètre «Langue de l'interface» sur la feuille «" &amp; sheetNameIntroduction &amp; "» n'est pas valable (cellule rouge). Veuillez sélectionner une valeur dans le menu déroulant pour cette cellule."</f>
        <v>(ENGLISH) The value of the "Interface language" parameter in the "Introduction" sheet is invalid (red cell). Please select a value from the drop-down menu for this cell.
(FRANÇAIS) La valeur du paramètre «Langue de l'interface» sur la feuille «Introduction» n'est pas valable (cellule rouge). Veuillez sélectionner une valeur dans le menu déroulant pour cette cellule.</v>
      </c>
      <c r="N3" s="11" t="str" cm="1">
        <f t="array" aca="1" ref="N3" ca="1">"(ENGLISH) The value of the ""Interface language"" parameter in the """ &amp; sheetNameIntroduction &amp; """ sheet is invalid (red cell). Please select a value from the drop-down menu for this cell." &amp; CHAR(10) &amp; CHAR(10)
&amp; "(FRANÇAIS) La valeur du paramètre «Langue de l'interface» sur la feuille «" &amp; sheetNameIntroduction &amp; "» n'est pas valable (cellule rouge). Veuillez sélectionner une valeur dans le menu déroulant pour cette cellule."</f>
        <v>(ENGLISH) The value of the "Interface language" parameter in the "Introduction" sheet is invalid (red cell). Please select a value from the drop-down menu for this cell.
(FRANÇAIS) La valeur du paramètre «Langue de l'interface» sur la feuille «Introduction» n'est pas valable (cellule rouge). Veuillez sélectionner une valeur dans le menu déroulant pour cette cellule.</v>
      </c>
      <c r="O3" s="3" t="str" cm="1">
        <f t="array" aca="1" ref="O3" ca="1">FilterTrueColumn(errorMessagesTable[[#This Row],[index]], errorMessagesTable[index], errorMessagesTable[filteredIndex], errorMessagesTable[condition])</f>
        <v/>
      </c>
      <c r="P3" s="11" t="str" cm="1">
        <f t="array" aca="1" ref="P3"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3" s="11" t="str" cm="1">
        <f t="array" aca="1" ref="Q3" ca="1">IF(
    errorMessagesTable[[#This Row],[filteredIndex]] = "",
    "",
    IF(
      errorMessagesTable[[#This Row],[index]] = 1,
      "",
      INDEX(errorMessagesTable[concatErrors], errorMessagesTable[[#This Row],[index]]-1)
      &amp; CHAR(10) &amp; CHAR(10)
    )
    &amp; INDEX(errorMessagesTable[langSpecError], errorMessagesTable[[#This Row],[index]])
  )</f>
        <v/>
      </c>
      <c r="S3" s="186" cm="1">
        <f t="array" ref="S3">ROW()-ROW(manualEntryVariablesTable[#Headers])</f>
        <v>1</v>
      </c>
      <c r="T3" s="3" t="s">
        <v>892</v>
      </c>
      <c r="U3" s="185" t="s">
        <v>893</v>
      </c>
      <c r="W3" s="186" cm="1">
        <f t="array" ref="W3">ROW()-ROW(structuredFormulaeTable[#Headers])</f>
        <v>1</v>
      </c>
      <c r="X3" s="3" t="s">
        <v>1061</v>
      </c>
      <c r="Y3" s="3" t="s">
        <v>1111</v>
      </c>
      <c r="AA3" s="187" t="s">
        <v>1315</v>
      </c>
      <c r="AB3" s="187" t="s">
        <v>1322</v>
      </c>
      <c r="AD3" s="14" cm="1">
        <f t="array" ref="AD3">ROW()-ROW(languageTable[#Headers])</f>
        <v>1</v>
      </c>
      <c r="AE3" s="14" t="str" cm="1">
        <f t="array" ref="AE3">KeepBlanksFunction(INDEX(languageHeadersList, languageTable[[#This Row],[index]]))</f>
        <v>English</v>
      </c>
      <c r="AF3" s="14" t="b">
        <f>languageTable[[#This Row],[languageHeaders]] &lt;&gt; ""</f>
        <v>1</v>
      </c>
      <c r="AG3" s="14" cm="1">
        <f t="array" ref="AG3">FilterTrueColumn(languageTable[[#This Row],[index]], languageTable[index], languageTable[filteredIndex], languageTable[hasValue])</f>
        <v>1</v>
      </c>
      <c r="AH3" s="14" t="str" cm="1">
        <f t="array" ref="AH3">IFERROR(
    INDEX(languageTable[languageHeaders], languageTable[[#This Row],[filteredIndex]]),
    ""
  )</f>
        <v>English</v>
      </c>
      <c r="AJ3" s="3" cm="1">
        <f t="array" ref="AJ3">ROW()-ROW(yesNoTable[#Headers])</f>
        <v>1</v>
      </c>
      <c r="AK3" s="3" t="s">
        <v>716</v>
      </c>
      <c r="AL3" s="188" t="s">
        <v>718</v>
      </c>
      <c r="AN3" s="3" cm="1">
        <f t="array" ref="AN3">ROW()-ROW(RANASBlocksTable[#Headers])</f>
        <v>1</v>
      </c>
      <c r="AO3" s="3" t="s">
        <v>724</v>
      </c>
      <c r="AP3" s="3" t="str">
        <f>_xlfn.XLOOKUP(RANASBlocksTable[[#This Row],[tag]], chartTranslationTable[tag], chartTranslationTable[lang1])
 &amp; " / "
 &amp; _xlfn.XLOOKUP(RANASBlocksTable[[#This Row],[tag]], chartTranslationTable[tag], chartTranslationTable[lang2])</f>
        <v>Risks / Risques</v>
      </c>
      <c r="AQ3" s="3" t="str">
        <f>_xlfn.XLOOKUP(RANASBlocksTable[[#This Row],[tag]], chartTranslationTable[tag], chartTranslationTable[displayedText])</f>
        <v>Riesgo</v>
      </c>
      <c r="AS3" s="3" cm="1">
        <f t="array" ref="AS3">ROW()-ROW(sortMenuTable[#Headers])</f>
        <v>1</v>
      </c>
      <c r="AT3" s="3" t="s">
        <v>738</v>
      </c>
      <c r="AU3" s="189" t="s">
        <v>740</v>
      </c>
      <c r="AV3" s="189"/>
      <c r="AW3" s="14" cm="1">
        <f t="array" aca="1" ref="AW3" ca="1">MIN(
    MIN(
      IFERROR(analysisChartTable[sortedDifference], 0)
    ),
    0
  )</f>
        <v>-0.19900953778429936</v>
      </c>
      <c r="AY3" s="3" cm="1">
        <f t="array" ref="AY3">ROW()-ROW(behaviourTable[#Headers])</f>
        <v>1</v>
      </c>
      <c r="AZ3" s="3" t="str" cm="1">
        <f t="array" ref="AZ3">KeepBlanksFunction(
    _xlfn.XLOOKUP(
      behaviourTable[[#This Row],[index]],
      behaviourConfigTable[index],
      behaviourConfigTable[behaviourHeader],#REF!,
      0
    )
  )</f>
        <v>behaviour1</v>
      </c>
      <c r="BA3" s="3" t="str">
        <f>IF(
    behaviourTable[[#This Row],[behaviourHeader]] = "",
    "",
    _xlfn.XLOOKUP(
      _xlfn.XLOOKUP(
        behaviourTable[[#This Row],[index]],
        behaviourConfigTable[index],
        behaviourConfigTable[includeConfig],#REF!,
        0
      ),
      yesNoTable[label],
      yesNoTable[tag],
      "",
      0
    )
  )</f>
        <v>yes</v>
      </c>
      <c r="BB3" s="3" t="b">
        <f>IF(
    behaviourTable[[#This Row],[behaviourHeader]] = "",
    FALSE,
    IF(
      behaviourTable[[#This Row],[includeConfig]] = "yes",
      TRUE,
      IF(
        behaviourTable[[#This Row],[includeConfig]] = "no",
        FALSE,
        NA()
      )
    )
  )</f>
        <v>1</v>
      </c>
      <c r="BC3" s="3">
        <f ca="1">IF(
    behaviourTable[[#This Row],[behaviourHeader]] = "",
    "",
    _xlfn.IFNA(
      MATCH(behaviourTable[[#This Row],[behaviourHeader]], dataHeaders, 0),
      _xlfn.IFNA(
        MATCH("*/" &amp; behaviourTable[[#This Row],[behaviourHeader]], dataHeaders, 0),
        MATCH("*-" &amp; behaviourTable[[#This Row],[behaviourHeader]], dataHeaders, 0)
      )
    )
  )</f>
        <v>6</v>
      </c>
      <c r="BD3" s="3">
        <f>IF(
    behaviourTable[[#This Row],[behaviourHeader]] = "",
    "",
    _xlfn.LET(
      _xlpm.tableValue,
      _xlfn.XLOOKUP(
        behaviourTable[[#This Row],[index]],
        behaviourConfigTable[index],
        behaviourConfigTable[minScore],#REF!,
        0
      ),
      _xlpm.storedValue,
      IF(
        _xlpm.tableValue = "",
        NA(),
        _xlpm.tableValue
      ),
      _xlpm.storedValue
    )
  )</f>
        <v>-5</v>
      </c>
      <c r="BE3" s="3">
        <f>IF(
    behaviourTable[[#This Row],[behaviourHeader]] = "",
    "",
    _xlfn.LET(
      _xlpm.tableValue,
      _xlfn.XLOOKUP(
        behaviourTable[[#This Row],[index]],
        behaviourConfigTable[index],
        behaviourConfigTable[maxScore],#REF!,
        0
      ),
      _xlpm.storedValue,
      IF(
        _xlpm.tableValue = "",
        NA(),
        _xlpm.tableValue
      ),
      _xlpm.storedValue
    )
  )</f>
        <v>5</v>
      </c>
      <c r="BF3" s="3">
        <f ca="1">IF(
    behaviourTable[[#This Row],[behaviourHeader]] = "",
    "",
    MIN(behaviourDataForIndex(behaviourTable[[#This Row],[index]]))
  )</f>
        <v>-2.5</v>
      </c>
      <c r="BG3" s="3">
        <f ca="1">IF(
    behaviourTable[[#This Row],[behaviourHeader]] = "",
    "",
    MAX(behaviourDataForIndex(behaviourTable[[#This Row],[index]]))
  )</f>
        <v>5</v>
      </c>
      <c r="BH3" s="187" t="b" cm="1">
        <f t="array" aca="1" ref="BH3" ca="1">AND(
    NOT(errorNoDataSheet),
    behaviourTable[[#This Row],[behaviourHeader]] &lt;&gt; "",
    NOT(ISERROR(behaviourTable[[#This Row],[behaviourColNum]])),
    IFERROR(behaviourTable[[#This Row],[include]], FALSE),
    IFERROR(behaviourTable[[#This Row],[minValue]] &lt; behaviourTable[[#This Row],[minScore]], FALSE)
  )</f>
        <v>0</v>
      </c>
      <c r="BI3" s="3" t="b" cm="1">
        <f t="array" aca="1" ref="BI3" ca="1">AND(
    NOT(errorNoDataSheet),
    behaviourTable[[#This Row],[behaviourHeader]] &lt;&gt; "",
    NOT(ISERROR(behaviourTable[[#This Row],[behaviourColNum]])),
    IFERROR(behaviourTable[[#This Row],[include]], FALSE),
    IFERROR(behaviourTable[[#This Row],[maxValue]] &gt; behaviourTable[[#This Row],[maxScore]], FALSE)
  )</f>
        <v>0</v>
      </c>
      <c r="BJ3" s="3" cm="1">
        <f t="array" aca="1" ref="BJ3" ca="1">IF(
    behaviourTable[[#This Row],[behaviourHeader]] = "",
    "",
    IF(
      ISERROR(behaviourTable[[#This Row],[behaviourColNum]]),
      UITranslateForValueTable("dataNotFound", UITranslationTable[tag], UITranslationTable[], UITranslationTable[#Headers]),
      SUMPRODUCT(--(behaviourDataForIndex(behaviourTable[[#This Row],[index]]) &lt;&gt; ""))
    )
  )</f>
        <v>258</v>
      </c>
      <c r="BK3" s="3" cm="1">
        <f t="array" aca="1" ref="BK3" ca="1">IF(
    behaviourTable[[#This Row],[behaviourHeader]] = "",
    "",
    IF(
      ISERROR(behaviourTable[[#This Row],[behaviourColNum]]),
      UITranslateForValueTable("dataNotFound", UITranslationTable[tag], UITranslationTable[], UITranslationTable[#Headers]),
      numEntries - behaviourTable[[#This Row],[numResponses]]
    )
  )</f>
        <v>0</v>
      </c>
      <c r="BM3" s="65" t="s">
        <v>1106</v>
      </c>
      <c r="BN3" s="65" t="s">
        <v>1107</v>
      </c>
      <c r="BO3" s="65" t="s">
        <v>1108</v>
      </c>
      <c r="BP3" s="65" t="s">
        <v>1109</v>
      </c>
      <c r="BQ3" s="65" t="s">
        <v>1110</v>
      </c>
      <c r="BR3" s="65" t="s">
        <v>1104</v>
      </c>
      <c r="BS3" s="65" t="s">
        <v>1105</v>
      </c>
      <c r="BT3" s="65" t="s">
        <v>681</v>
      </c>
      <c r="BU3" s="65" t="s">
        <v>690</v>
      </c>
      <c r="BW3" s="190" cm="1">
        <f t="array" ref="BW3">ROW()-ROW(cutoffTable[#Headers])</f>
        <v>1</v>
      </c>
      <c r="BX3" s="191">
        <v>0.1</v>
      </c>
      <c r="BY3" s="3" t="s">
        <v>901</v>
      </c>
      <c r="BZ3" s="3" cm="1">
        <f t="array" aca="1" ref="BZ3" ca="1">SUMPRODUCT(
    (behaviourScore &lt;&gt; "")
  * (behaviourScore &gt;= IF(cutoffTable[[#This Row],[index]] = 1, 0, INDEX(cutoffTable[cutoffLevel], cutoffTable[[#This Row],[index]]-1)))
  * IF(
      cutoffTable[[#This Row],[cutoffLevel]] = 1,
      behaviourScore &lt;= 1,
      behaviourScore &lt; cutoffTable[[#This Row],[cutoffLevel]]
    )
  )</f>
        <v>2</v>
      </c>
      <c r="CA3" s="3" cm="1">
        <f t="array" aca="1" ref="CA3" ca="1">SUMPRODUCT(
    (behaviourScore &lt;&gt; "")
  * (behaviourScore &gt;= IF(cutoffTable[[#This Row],[index]] = 1, 0, INDEX(cutoffTable[cutoffLevel], cutoffTable[[#This Row],[index]]-1)))
  * IF(
      cutoffTable[[#This Row],[cutoffLevel]] = 1,
      behaviourScore &lt;= 1,
      behaviourScore &lt; cutoffTable[[#This Row],[cutoffLevel]]
    )
  * (behaviourScore &lt; cutoffLevel)
  )</f>
        <v>2</v>
      </c>
      <c r="CB3" s="3" cm="1">
        <f t="array" aca="1" ref="CB3" ca="1">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3" s="3" cm="1">
        <f t="array" ref="CD3">ROW()-ROW(recommendedCutoffTable[#Headers])</f>
        <v>1</v>
      </c>
      <c r="CE3" s="192">
        <f>(recommendedCutoffTable[[#This Row],[index]] - 1) / 100</f>
        <v>0</v>
      </c>
      <c r="CF3" s="3" cm="1">
        <f t="array" aca="1" ref="CF3" ca="1">ABS(
    numScores
  - 2 * SUMPRODUCT((behaviourScore &lt;&gt; "") * (behaviourScore &lt; recommendedCutoffTable[[#This Row],[cutoffLevel]]))
  )</f>
        <v>258</v>
      </c>
      <c r="CH3" s="190" cm="1">
        <f t="array" ref="CH3">ROW()-ROW(doersNondoersTable[#Headers])</f>
        <v>1</v>
      </c>
      <c r="CI3" s="193">
        <f ca="1">SUM(cutoffTable[numNondoersBin]) / SUM(cutoffTable[numResponses])</f>
        <v>0.56976744186046513</v>
      </c>
      <c r="CJ3" s="193">
        <f ca="1">SUM(cutoffTable[numDoersBin]) / SUM(cutoffTable[numResponses])</f>
        <v>0.43023255813953487</v>
      </c>
      <c r="CK3" s="193">
        <f ca="1">doersNondoersTable[[#This Row],[percentDoers]] - doersNondoersTable[[#This Row],[percentNondoers]]</f>
        <v>-0.13953488372093026</v>
      </c>
      <c r="CM3" s="3" cm="1">
        <f t="array" ref="CM3">ROW()-ROW(factorsTable[#Headers])</f>
        <v>1</v>
      </c>
      <c r="CN3" s="3" t="str" cm="1">
        <f t="array" ref="CN3">KeepBlanksFunction(
    _xlfn.XLOOKUP(
      factorsTable[[#This Row],[index]],
      factorsConfigTable[index],
      factorsConfigTable[factorHeader],#REF!,
      0
    )
  )</f>
        <v>action_control</v>
      </c>
      <c r="CO3" s="14">
        <f ca="1">IF(
    factorsTable[[#This Row],[factorHeader]] = "",
    "",
    _xlfn.IFNA(
      MATCH(factorsTable[[#This Row],[factorHeader]], dataHeaders, 0),
      _xlfn.IFNA(
        MATCH("*/" &amp; factorsTable[[#This Row],[factorHeader]], dataHeaders, 0),
        MATCH("*-" &amp; factorsTable[[#This Row],[factorHeader]], dataHeaders, 0)
      )
    )
  )</f>
        <v>13</v>
      </c>
      <c r="CP3" s="3">
        <f>IF(
    factorsTable[[#This Row],[factorHeader]] = "",
    "",
    _xlfn.LET(
      _xlpm.tableValue,
      _xlfn.XLOOKUP(
        factorsTable[[#This Row],[index]],
        factorsConfigTable[index],
        factorsConfigTable[minScore],#REF!,
        0
      ),
      _xlpm.storedValue,
      IF(
        _xlpm.tableValue = "",
        NA(),
        _xlpm.tableValue
      ),
      _xlpm.storedValue
    )
  )</f>
        <v>1</v>
      </c>
      <c r="CQ3" s="3">
        <f>IF(
    factorsTable[[#This Row],[factorHeader]] = "",
    "",
    _xlfn.LET(
      _xlpm.tableValue,
      _xlfn.XLOOKUP(
        factorsTable[[#This Row],[index]],
        factorsConfigTable[index],
        factorsConfigTable[maxScore],#REF!,
        0
      ),
      _xlpm.storedValue,
      IF(
        _xlpm.tableValue = "",
        NA(),
        _xlpm.tableValue
      ),
      _xlpm.storedValue
    )
  )</f>
        <v>5</v>
      </c>
      <c r="CR3" s="3">
        <f ca="1">IF(
    factorsTable[[#This Row],[factorHeader]] = "",
    "",
    IF(
      ISERROR(factorsTable[[#This Row],[factorColNum]]),
      NA(),
      IF(
        ISNA(INDEX(dataRange,1,1)),
        NA(),
        MIN(INDEX(dataRange, , factorsTable[[#This Row],[factorColNum]]))
      )
    )
  )</f>
        <v>1</v>
      </c>
      <c r="CS3" s="3">
        <f ca="1">IF(
    factorsTable[[#This Row],[factorHeader]] = "",
    "",
    IF(
      ISERROR(factorsTable[[#This Row],[factorColNum]]),
      NA(),
      IF(
        ISNA(INDEX(dataRange,1,1)),
        NA(),
        MAX(INDEX(dataRange, , factorsTable[[#This Row],[factorColNum]]))
      )
    )
  )</f>
        <v>5</v>
      </c>
      <c r="CT3" s="3" t="b" cm="1">
        <f t="array" aca="1" ref="CT3" ca="1">AND(
    NOT(errorNoDataSheet),
    factorsTable[[#This Row],[factorHeader]] &lt;&gt; "",
    NOT(ISERROR(factorsTable[[#This Row],[factorColNum]])),
    IFERROR(factorsTable[[#This Row],[display]], FALSE),
    IFERROR(factorsTable[[#This Row],[minValue]] &lt; factorsTable[[#This Row],[minScore]], FALSE)
  )</f>
        <v>0</v>
      </c>
      <c r="CU3" s="3" t="b" cm="1">
        <f t="array" aca="1" ref="CU3" ca="1">AND(
    NOT(errorNoDataSheet),
    factorsTable[[#This Row],[factorHeader]] &lt;&gt; "",
    NOT(ISERROR(factorsTable[[#This Row],[factorColNum]])),
    IFERROR(factorsTable[[#This Row],[display]], FALSE),
    IFERROR(factorsTable[[#This Row],[maxValue]] &gt; factorsTable[[#This Row],[maxScore]], FALSE)
  )</f>
        <v>0</v>
      </c>
      <c r="CV3" s="3" cm="1">
        <f t="array" aca="1" ref="CV3" ca="1">IF(
    factorsTable[[#This Row],[factorHeader]] = "",
    "",
    IF(
      ISNA(INDEX(dataRange,1,1)),
      NA(),
      SUMPRODUCT(
          IF(isDoer = "", 0, NOT(isDoer))
        * (INDEX(dataRange, , factorsTable[[#This Row],[factorColNum]]) &lt;&gt; "")
      )
    )
  )</f>
        <v>116</v>
      </c>
      <c r="CW3" s="3" cm="1">
        <f t="array" aca="1" ref="CW3" ca="1">IF(
    factorsTable[[#This Row],[factorHeader]] = "",
    "",
    IF(
      ISNA(INDEX(dataRange,1,1)),
      NA(),
      SUMPRODUCT(
          IF(isDoer = "", 0, isDoer)
        * (INDEX(dataRange, , factorsTable[[#This Row],[factorColNum]]) &lt;&gt; "")
      )
    )
  )</f>
        <v>94</v>
      </c>
      <c r="CX3" s="3" cm="1">
        <f t="array" aca="1" ref="CX3" ca="1">IF(
    factorsTable[[#This Row],[factorHeader]] = "",
    "",
    IF(
      ISERROR(factorsTable[[#This Row],[factorColNum]]),
      UITranslateForValueTable("dataNotFound", UITranslationTable[tag], UITranslationTable[], UITranslationTable[#Headers]),
      factorsTable[[#This Row],[numDoers]] + factorsTable[[#This Row],[numNondoers]]
    )
  )</f>
        <v>210</v>
      </c>
      <c r="CY3" s="3" cm="1">
        <f t="array" aca="1" ref="CY3"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0.71336206896551724</v>
      </c>
      <c r="CZ3" s="3" cm="1">
        <f t="array" aca="1" ref="CZ3"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0.80053191489361697</v>
      </c>
      <c r="DA3" s="3">
        <f ca="1">IF(
    factorsTable[[#This Row],[factorHeader]] = "",
    "",
    factorsTable[[#This Row],[doers]] - factorsTable[[#This Row],[nondoers]]
  )</f>
        <v>8.7169845928099732E-2</v>
      </c>
      <c r="DB3" s="3" t="str">
        <f>IF(
    factorsTable[[#This Row],[factorHeader]] = "",
    "",
    _xlfn.XLOOKUP(
      _xlfn.XLOOKUP(
        factorsTable[[#This Row],[index]],
        factorsConfigTable[index],
        factorsConfigTable[displayConfig],#REF!,
        0
      ),
      yesNoTable[label],
      yesNoTable[tag],
      "",
      0
    )
  )</f>
        <v>yes</v>
      </c>
      <c r="DC3" s="186" t="b">
        <f>IF(
    factorsTable[[#This Row],[factorHeader]] = "",
    FALSE,
    IF(
      factorsTable[[#This Row],[displayConfig]] = "yes",
      TRUE,
      IF(
        factorsTable[[#This Row],[displayConfig]] = "no",
        FALSE,
        NA()
      )
    )
  )</f>
        <v>1</v>
      </c>
      <c r="DD3" s="194" cm="1">
        <f t="array" ref="DD3">FilterTrueColumn(factorsTable[[#This Row],[index]], factorsTable[index], factorsTable[filteredIndex], factorsTable[display])</f>
        <v>1</v>
      </c>
      <c r="DE3" s="186">
        <f ca="1">IF(
    factorsTable[[#This Row],[filteredIndex]] = "",
    "",
    _xlfn.IFNA(
      _xlfn.XLOOKUP(factorsTable[[#This Row],[filteredIndex]], factorsTable[index], factorsTable[difference]),
      -99
    )
  )</f>
        <v>8.7169845928099732E-2</v>
      </c>
      <c r="DF3" s="186">
        <f ca="1">IF(
    factorsTable[[#This Row],[filteredIndex]] = "",
    "",
    IF(
      factorsTable[[#This Row],[relDiff]] = -99,
      -99,
      ABS(factorsTable[[#This Row],[relDiff]])
    )
  )</f>
        <v>8.7169845928099732E-2</v>
      </c>
      <c r="DG3" s="186">
        <f>IF(
    factorsTable[[#This Row],[filteredIndex]] = "",
    "",
    _xlfn.XLOOKUP(
      _xlfn.XLOOKUP(
        factorsTable[[#This Row],[filteredIndex]],
        factorsConfigTable[index],
        factorsConfigTable[RANASBlock],#REF!,
        0
      ),
      RANASBlocksTable[label],
      RANASBlocksTable[index],
      6,
      0
    )
  )</f>
        <v>1</v>
      </c>
      <c r="DH3" s="186">
        <f ca="1">IF(
    factorsTable[[#This Row],[filteredIndex]] = "",
    "",
    _xlfn.RANK.EQ(factorsTable[[#This Row],[relDiff]], factorsTable[relDiff], 0)
  )</f>
        <v>8</v>
      </c>
      <c r="DI3" s="186">
        <f ca="1">IF(
    factorsTable[[#This Row],[filteredIndex]] = "",
    "",
    _xlfn.RANK.EQ(factorsTable[[#This Row],[absDiff]], factorsTable[absDiff], 0)
  )</f>
        <v>9</v>
      </c>
      <c r="DJ3" s="186">
        <f>IF(
    factorsTable[[#This Row],[filteredIndex]] = "",
    "",
    _xlfn.RANK.EQ(factorsTable[[#This Row],[RANASIndex]], factorsTable[RANASIndex], 1)
  )</f>
        <v>1</v>
      </c>
      <c r="DK3" s="186" cm="1">
        <f t="array" aca="1" ref="DK3" ca="1">_xlfn.SWITCH(
    sortingMethodTag,
    "none", factorsTable[[#This Row],[filteredIndex]],
    "relDiff", factorsTable[[#This Row],[relDiffRank]],
    "absDiff", factorsTable[[#This Row],[absDiffRank]],
    "RANAS", factorsTable[[#This Row],[RANASRank]],
    factorsTable[[#This Row],[filteredIndex]]
  )</f>
        <v>9</v>
      </c>
      <c r="DL3" s="186">
        <f ca="1">IF(
    factorsTable[[#This Row],[filteredIndex]] = "",
    "",
    factorsTable[[#This Row],[selectedRank]]
      + COUNTIF(INDEX(factorsTable[selectedRank], 1):INDEX(factorsTable[selectedRank], factorsTable[[#This Row],[index]]), factorsTable[[#This Row],[selectedRank]])
      - 1
  )</f>
        <v>9</v>
      </c>
      <c r="DM3" s="186">
        <f ca="1">IF(
    factorsTable[[#This Row],[filteredIndex]] = "",
    "",
    _xlfn.XLOOKUP(
      factorsTable[[#This Row],[index]],
      factorsTable[uniqueRank],
      factorsTable[filteredIndex],#REF!,
      0
    )
  )</f>
        <v>15</v>
      </c>
      <c r="DN3" s="186" t="str" cm="1">
        <f t="array" aca="1" ref="DN3" ca="1">IF(
    factorsTable[[#This Row],[sortedIndex]] = "",
    "",
    KeepBlanksFunction(
      _xlfn.XLOOKUP(
        factorsTable[[#This Row],[sortedIndex]],
        factorsConfigTable[index],
        INDEX(
          factorsConfigTable[],
          0,
          MATCH(
            chartLanguage,
            languageHeadersList,
            0
          )
          + MATCH(factorsConfigTable[[#Headers],[lang1]], factorsConfigTable[#Headers], 0)
          - 1
        ),#REF!,
        0
      )
    )
  )</f>
        <v>Recordar</v>
      </c>
      <c r="DO3" s="186" t="str" cm="1">
        <f t="array" aca="1" ref="DO3" ca="1">IF(
    factorsTable[[#This Row],[sortedIndex]] = "",
    "",
    IF(
      factorsTable[[#This Row],[langSpecFactor]] = "",
      UITranslateForValueTable("noTranslation", UITranslationTable[tag], UITranslationTable[], UITranslationTable[#Headers]),
      factorsTable[[#This Row],[langSpecFactor]]
    )
  )</f>
        <v>Recordar</v>
      </c>
      <c r="DP3" s="186" t="str">
        <f ca="1">IF(
    factorsTable[[#This Row],[sortedIndex]] = "",
    "",
    _xlfn.XLOOKUP(
      _xlfn.XLOOKUP(
        factorsTable[[#This Row],[sortedIndex]],
        factorsConfigTable[index],
        factorsConfigTable[RANASBlock],#REF!,
        0
      ),
      RANASBlocksTable[label],
      RANASBlocksTable[tag],
      NA(),
      0
    )
  )</f>
        <v>selfRegulation</v>
      </c>
      <c r="DQ3" s="186" t="str" cm="1">
        <f t="array" aca="1" ref="DQ3" ca="1">IF(
    factorsTable[[#This Row],[sortedIndex]] = "",
    "",
    _xlfn.IFNA(
      _xlfn.XLOOKUP(factorsTable[[#This Row],[RANASTag]], RANASBlocksTable[tag], RANASBlocksTable[langSpecLabel]),
      UITranslateForValueTable("noRANASBlock", UITranslationTable[tag], UITranslationTable[], UITranslationTable[#Headers])
    )
  )</f>
        <v>Auto‐regulación</v>
      </c>
      <c r="DR3" s="186" t="str">
        <f ca="1">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Recordar
[Auto‐regulación]</v>
      </c>
      <c r="DS3" s="186">
        <f ca="1">IF(
    factorsTable[[#This Row],[sortedIndex]] = "",
    "",
    _xlfn.XLOOKUP(factorsTable[[#This Row],[sortedIndex]], factorsTable[index], factorsTable[numTotal])
  )</f>
        <v>210</v>
      </c>
      <c r="DT3" s="186">
        <f ca="1">IF(
    factorsTable[[#This Row],[sortedIndex]] = "",
    "",
    _xlfn.XLOOKUP(factorsTable[[#This Row],[sortedIndex]], factorsTable[index], factorsTable[nondoers])
  )</f>
        <v>0.29741379310344829</v>
      </c>
      <c r="DU3" s="186">
        <f ca="1">IF(
    factorsTable[[#This Row],[sortedIndex]] = "",
    "",
    _xlfn.XLOOKUP(factorsTable[[#This Row],[sortedIndex]], factorsTable[index], factorsTable[doers])
  )</f>
        <v>9.8404255319148939E-2</v>
      </c>
      <c r="DV3" s="186">
        <f ca="1">IF(
    factorsTable[[#This Row],[sortedIndex]] = "",
    "",
    _xlfn.XLOOKUP(factorsTable[[#This Row],[sortedIndex]], factorsTable[index], factorsTable[difference])
  )</f>
        <v>-0.19900953778429936</v>
      </c>
    </row>
    <row r="4" spans="5:126" ht="14.4" customHeight="1" x14ac:dyDescent="0.3">
      <c r="E4" s="11" cm="1">
        <f t="array" ref="E4">ROW()-ROW(UITranslationTable[#Headers])</f>
        <v>2</v>
      </c>
      <c r="F4" s="11" t="s">
        <v>752</v>
      </c>
      <c r="G4" s="185" t="s">
        <v>753</v>
      </c>
      <c r="H4" s="185" t="s">
        <v>754</v>
      </c>
      <c r="J4" s="3" cm="1">
        <f t="array" ref="J4">ROW()-ROW(errorMessagesTable[#Headers])</f>
        <v>2</v>
      </c>
      <c r="K4" s="3" t="s">
        <v>1065</v>
      </c>
      <c r="L4" s="3" t="b" cm="1">
        <f t="array" aca="1" ref="L4" ca="1">errorNoDataSheet</f>
        <v>0</v>
      </c>
      <c r="M4" s="11" t="str" cm="1">
        <f t="array" ref="M4">"The """ &amp; sheetNameData &amp; """ sheet cannot be found. Make sure you have imported your data file as a new spreadsheet in this Excel workbook and renamed that sheet """ &amp; sheetNameData &amp; """ (without quotes)."</f>
        <v>The "data" sheet cannot be found. Make sure you have imported your data file as a new spreadsheet in this Excel workbook and renamed that sheet "data" (without quotes).</v>
      </c>
      <c r="N4" s="11" t="str" cm="1">
        <f t="array" ref="N4">"La feuille «" &amp; sheetNameData &amp; "» est introuvable. Veuillez importer votre fichier de données comme nouvelle feuille dans ce fichier Excel et renommer cette feuille «" &amp; sheetNameData &amp; "» (sans les guillemets)."</f>
        <v>La feuille «data» est introuvable. Veuillez importer votre fichier de données comme nouvelle feuille dans ce fichier Excel et renommer cette feuille «data» (sans les guillemets).</v>
      </c>
      <c r="O4" s="3" t="str" cm="1">
        <f t="array" aca="1" ref="O4" ca="1">FilterTrueColumn(errorMessagesTable[[#This Row],[index]], errorMessagesTable[index], errorMessagesTable[filteredIndex], errorMessagesTable[condition])</f>
        <v/>
      </c>
      <c r="P4" s="11" t="str" cm="1">
        <f t="array" aca="1" ref="P4"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4" s="11" t="str" cm="1">
        <f t="array" aca="1" ref="Q4" ca="1">IF(
    errorMessagesTable[[#This Row],[filteredIndex]] = "",
    "",
    IF(
      errorMessagesTable[[#This Row],[index]] = 1,
      "",
      INDEX(errorMessagesTable[concatErrors], errorMessagesTable[[#This Row],[index]]-1)
      &amp; CHAR(10) &amp; CHAR(10)
    )
    &amp; INDEX(errorMessagesTable[langSpecError], errorMessagesTable[[#This Row],[index]])
  )</f>
        <v/>
      </c>
      <c r="S4" s="186" cm="1">
        <f t="array" ref="S4">ROW()-ROW(manualEntryVariablesTable[#Headers])</f>
        <v>2</v>
      </c>
      <c r="T4" s="3" t="s">
        <v>919</v>
      </c>
      <c r="U4" s="195" t="s">
        <v>1035</v>
      </c>
      <c r="W4" s="186" cm="1">
        <f t="array" ref="W4">ROW()-ROW(structuredFormulaeTable[#Headers])</f>
        <v>2</v>
      </c>
      <c r="X4" s="3" t="s">
        <v>1061</v>
      </c>
      <c r="Y4" s="3" t="s">
        <v>1113</v>
      </c>
      <c r="AA4" s="187" t="s">
        <v>1116</v>
      </c>
      <c r="AB4" s="187" t="s">
        <v>1117</v>
      </c>
      <c r="AD4" s="14" cm="1">
        <f t="array" ref="AD4">ROW()-ROW(languageTable[#Headers])</f>
        <v>2</v>
      </c>
      <c r="AE4" s="14" t="str" cm="1">
        <f t="array" ref="AE4">KeepBlanksFunction(INDEX(languageHeadersList, languageTable[[#This Row],[index]]))</f>
        <v>Français</v>
      </c>
      <c r="AF4" s="14" t="b">
        <f>languageTable[[#This Row],[languageHeaders]] &lt;&gt; ""</f>
        <v>1</v>
      </c>
      <c r="AG4" s="14" cm="1">
        <f t="array" ref="AG4">FilterTrueColumn(languageTable[[#This Row],[index]], languageTable[index], languageTable[filteredIndex], languageTable[hasValue])</f>
        <v>2</v>
      </c>
      <c r="AH4" s="14" t="str" cm="1">
        <f t="array" ref="AH4">IFERROR(
    INDEX(languageTable[languageHeaders], languageTable[[#This Row],[filteredIndex]]),
    ""
  )</f>
        <v>Français</v>
      </c>
      <c r="AJ4" s="3" cm="1">
        <f t="array" ref="AJ4">ROW()-ROW(yesNoTable[#Headers])</f>
        <v>2</v>
      </c>
      <c r="AK4" s="3" t="s">
        <v>717</v>
      </c>
      <c r="AL4" s="3" t="s">
        <v>719</v>
      </c>
      <c r="AN4" s="3" cm="1">
        <f t="array" ref="AN4">ROW()-ROW(RANASBlocksTable[#Headers])</f>
        <v>2</v>
      </c>
      <c r="AO4" s="3" t="s">
        <v>726</v>
      </c>
      <c r="AP4" s="3" t="str">
        <f>_xlfn.XLOOKUP(RANASBlocksTable[[#This Row],[tag]], chartTranslationTable[tag], chartTranslationTable[lang1])
 &amp; " / "
 &amp; _xlfn.XLOOKUP(RANASBlocksTable[[#This Row],[tag]], chartTranslationTable[tag], chartTranslationTable[lang2])</f>
        <v>Attitudes / Attitudes</v>
      </c>
      <c r="AQ4" s="3" t="str">
        <f>_xlfn.XLOOKUP(RANASBlocksTable[[#This Row],[tag]], chartTranslationTable[tag], chartTranslationTable[displayedText])</f>
        <v>Actitud</v>
      </c>
      <c r="AS4" s="3" cm="1">
        <f t="array" ref="AS4">ROW()-ROW(sortMenuTable[#Headers])</f>
        <v>2</v>
      </c>
      <c r="AT4" s="3" t="s">
        <v>739</v>
      </c>
      <c r="AU4" s="3" t="s">
        <v>741</v>
      </c>
      <c r="AW4" s="14">
        <v>1</v>
      </c>
      <c r="AY4" s="3" cm="1">
        <f t="array" ref="AY4">ROW()-ROW(behaviourTable[#Headers])</f>
        <v>2</v>
      </c>
      <c r="AZ4" s="3" t="str" cm="1">
        <f t="array" ref="AZ4">KeepBlanksFunction(
    _xlfn.XLOOKUP(
      behaviourTable[[#This Row],[index]],
      behaviourConfigTable[index],
      behaviourConfigTable[behaviourHeader],#REF!,
      0
    )
  )</f>
        <v>behaviour2</v>
      </c>
      <c r="BA4" s="3" t="str">
        <f>IF(
    behaviourTable[[#This Row],[behaviourHeader]] = "",
    "",
    _xlfn.XLOOKUP(
      _xlfn.XLOOKUP(
        behaviourTable[[#This Row],[index]],
        behaviourConfigTable[index],
        behaviourConfigTable[includeConfig],#REF!,
        0
      ),
      yesNoTable[label],
      yesNoTable[tag],
      "",
      0
    )
  )</f>
        <v>yes</v>
      </c>
      <c r="BB4" s="3" t="b">
        <f>IF(
    behaviourTable[[#This Row],[behaviourHeader]] = "",
    FALSE,
    IF(
      behaviourTable[[#This Row],[includeConfig]] = "yes",
      TRUE,
      IF(
        behaviourTable[[#This Row],[includeConfig]] = "no",
        FALSE,
        NA()
      )
    )
  )</f>
        <v>1</v>
      </c>
      <c r="BC4" s="3">
        <f ca="1">IF(
    behaviourTable[[#This Row],[behaviourHeader]] = "",
    "",
    _xlfn.IFNA(
      MATCH(behaviourTable[[#This Row],[behaviourHeader]], dataHeaders, 0),
      _xlfn.IFNA(
        MATCH("*/" &amp; behaviourTable[[#This Row],[behaviourHeader]], dataHeaders, 0),
        MATCH("*-" &amp; behaviourTable[[#This Row],[behaviourHeader]], dataHeaders, 0)
      )
    )
  )</f>
        <v>8</v>
      </c>
      <c r="BD4" s="3">
        <f>IF(
    behaviourTable[[#This Row],[behaviourHeader]] = "",
    "",
    _xlfn.LET(
      _xlpm.tableValue,
      _xlfn.XLOOKUP(
        behaviourTable[[#This Row],[index]],
        behaviourConfigTable[index],
        behaviourConfigTable[minScore],#REF!,
        0
      ),
      _xlpm.storedValue,
      IF(
        _xlpm.tableValue = "",
        NA(),
        _xlpm.tableValue
      ),
      _xlpm.storedValue
    )
  )</f>
        <v>5</v>
      </c>
      <c r="BE4" s="3">
        <f>IF(
    behaviourTable[[#This Row],[behaviourHeader]] = "",
    "",
    _xlfn.LET(
      _xlpm.tableValue,
      _xlfn.XLOOKUP(
        behaviourTable[[#This Row],[index]],
        behaviourConfigTable[index],
        behaviourConfigTable[maxScore],#REF!,
        0
      ),
      _xlpm.storedValue,
      IF(
        _xlpm.tableValue = "",
        NA(),
        _xlpm.tableValue
      ),
      _xlpm.storedValue
    )
  )</f>
        <v>20</v>
      </c>
      <c r="BF4" s="3">
        <f ca="1">IF(
    behaviourTable[[#This Row],[behaviourHeader]] = "",
    "",
    MIN(behaviourDataForIndex(behaviourTable[[#This Row],[index]]))
  )</f>
        <v>5</v>
      </c>
      <c r="BG4" s="3">
        <f ca="1">IF(
    behaviourTable[[#This Row],[behaviourHeader]] = "",
    "",
    MAX(behaviourDataForIndex(behaviourTable[[#This Row],[index]]))
  )</f>
        <v>20</v>
      </c>
      <c r="BH4" s="3" t="b" cm="1">
        <f t="array" aca="1" ref="BH4" ca="1">AND(
    NOT(errorNoDataSheet),
    behaviourTable[[#This Row],[behaviourHeader]] &lt;&gt; "",
    NOT(ISERROR(behaviourTable[[#This Row],[behaviourColNum]])),
    IFERROR(behaviourTable[[#This Row],[include]], FALSE),
    IFERROR(behaviourTable[[#This Row],[minValue]] &lt; behaviourTable[[#This Row],[minScore]], FALSE)
  )</f>
        <v>0</v>
      </c>
      <c r="BI4" s="3" t="b" cm="1">
        <f t="array" aca="1" ref="BI4" ca="1">AND(
    NOT(errorNoDataSheet),
    behaviourTable[[#This Row],[behaviourHeader]] &lt;&gt; "",
    NOT(ISERROR(behaviourTable[[#This Row],[behaviourColNum]])),
    IFERROR(behaviourTable[[#This Row],[include]], FALSE),
    IFERROR(behaviourTable[[#This Row],[maxValue]] &gt; behaviourTable[[#This Row],[maxScore]], FALSE)
  )</f>
        <v>0</v>
      </c>
      <c r="BJ4" s="3" cm="1">
        <f t="array" aca="1" ref="BJ4" ca="1">IF(
    behaviourTable[[#This Row],[behaviourHeader]] = "",
    "",
    IF(
      ISERROR(behaviourTable[[#This Row],[behaviourColNum]]),
      UITranslateForValueTable("dataNotFound", UITranslationTable[tag], UITranslationTable[], UITranslationTable[#Headers]),
      SUMPRODUCT(--(behaviourDataForIndex(behaviourTable[[#This Row],[index]]) &lt;&gt; ""))
    )
  )</f>
        <v>258</v>
      </c>
      <c r="BK4" s="3" cm="1">
        <f t="array" aca="1" ref="BK4" ca="1">IF(
    behaviourTable[[#This Row],[behaviourHeader]] = "",
    "",
    IF(
      ISERROR(behaviourTable[[#This Row],[behaviourColNum]]),
      UITranslateForValueTable("dataNotFound", UITranslationTable[tag], UITranslationTable[], UITranslationTable[#Headers]),
      numEntries - behaviourTable[[#This Row],[numResponses]]
    )
  )</f>
        <v>0</v>
      </c>
      <c r="BM4" s="187" cm="1">
        <f t="array" aca="1" ref="BM4:BM261" ca="1">behaviourDataForIndex(1)</f>
        <v>5</v>
      </c>
      <c r="BN4" s="3" cm="1">
        <f t="array" aca="1" ref="BN4:BN261" ca="1">behaviourDataForIndex(2)</f>
        <v>20</v>
      </c>
      <c r="BO4" s="3" cm="1">
        <f t="array" aca="1" ref="BO4:BO261" ca="1">behaviourDataForIndex(3)</f>
        <v>2</v>
      </c>
      <c r="BP4" s="3" cm="1">
        <f t="array" aca="1" ref="BP4:BP261" ca="1">behaviourDataForIndex(4)</f>
        <v>3</v>
      </c>
      <c r="BQ4" s="3" t="str" cm="1">
        <f t="array" aca="1" ref="BQ4" ca="1">behaviourDataForIndex(5)</f>
        <v/>
      </c>
      <c r="BR4" s="3" cm="1">
        <f t="array" aca="1" ref="BR4:BR261" ca="1">IF(behaviourInclude1,
    IF(behaviourData1 &lt;&gt; "",
      (behaviourData1 - behaviourMinScore1) / (behaviourMaxScore1 - behaviourMinScore1),
      0),
    0)
+ IF(behaviourInclude2,
    IF(behaviourData2 &lt;&gt; "",
      (behaviourData2 - behaviourMinScore2) / (behaviourMaxScore2 - behaviourMinScore2),
      0),
    0)
+ IF(behaviourInclude3,
    IF(behaviourData3 &lt;&gt; "",
      (behaviourData3 - behaviourMinScore3) / (behaviourMaxScore3 - behaviourMinScore3),
      0),
    0)
+ IF(behaviourInclude4,
    IF(behaviourData4 &lt;&gt; "",
      (behaviourData4 - behaviourMinScore4) / (behaviourMaxScore4 - behaviourMinScore4),
      0),
    0)
+ IF(behaviourInclude5,
    IF(behaviourData5 &lt;&gt; "",
      (behaviourData5 - behaviourMinScore5) / (behaviourMaxScore5 - behaviourMinScore5),
      0),
    0)</f>
        <v>2.6666666666666665</v>
      </c>
      <c r="BS4" s="3" cm="1">
        <f t="array" aca="1" ref="BS4:BS261" ca="1">IF(behaviourInclude1, --(behaviourData1 &lt;&gt; ""), 0)
+ IF(behaviourInclude2, --(behaviourData2 &lt;&gt; ""), 0)
+ IF(behaviourInclude3, --(behaviourData3 &lt;&gt; ""), 0)
+ IF(behaviourInclude4, --(behaviourData4 &lt;&gt; ""), 0)
+ IF(behaviourInclude5, --(behaviourData5 &lt;&gt; ""), 0)</f>
        <v>3</v>
      </c>
      <c r="BT4" s="3" cm="1">
        <f t="array" aca="1" ref="BT4:BT261" ca="1">IF(
    behaviourScoreDenominator = 0,
    "",
    behaviourScoreNumerator / behaviourScoreDenominator
  )</f>
        <v>0.88888888888888884</v>
      </c>
      <c r="BU4" s="3" t="b" cm="1">
        <f t="array" aca="1" ref="BU4:BU261" ca="1">IF(
    behaviourScore = "",
    "",
    behaviourScore &gt;= cutoffLevel
  )</f>
        <v>1</v>
      </c>
      <c r="BW4" s="190" cm="1">
        <f t="array" ref="BW4">ROW()-ROW(cutoffTable[#Headers])</f>
        <v>2</v>
      </c>
      <c r="BX4" s="191">
        <v>0.2</v>
      </c>
      <c r="BY4" s="3" t="s">
        <v>902</v>
      </c>
      <c r="BZ4" s="3" cm="1">
        <f t="array" aca="1" ref="BZ4" ca="1">SUMPRODUCT(
    (behaviourScore &lt;&gt; "")
  * (behaviourScore &gt;= IF(cutoffTable[[#This Row],[index]] = 1, 0, INDEX(cutoffTable[cutoffLevel], cutoffTable[[#This Row],[index]]-1)))
  * IF(
      cutoffTable[[#This Row],[cutoffLevel]] = 1,
      behaviourScore &lt;= 1,
      behaviourScore &lt; cutoffTable[[#This Row],[cutoffLevel]]
    )
  )</f>
        <v>9</v>
      </c>
      <c r="CA4" s="3" cm="1">
        <f t="array" aca="1" ref="CA4" ca="1">SUMPRODUCT(
    (behaviourScore &lt;&gt; "")
  * (behaviourScore &gt;= IF(cutoffTable[[#This Row],[index]] = 1, 0, INDEX(cutoffTable[cutoffLevel], cutoffTable[[#This Row],[index]]-1)))
  * IF(
      cutoffTable[[#This Row],[cutoffLevel]] = 1,
      behaviourScore &lt;= 1,
      behaviourScore &lt; cutoffTable[[#This Row],[cutoffLevel]]
    )
  * (behaviourScore &lt; cutoffLevel)
  )</f>
        <v>9</v>
      </c>
      <c r="CB4" s="3" cm="1">
        <f t="array" aca="1" ref="CB4" ca="1">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4" s="3" cm="1">
        <f t="array" ref="CD4">ROW()-ROW(recommendedCutoffTable[#Headers])</f>
        <v>2</v>
      </c>
      <c r="CE4" s="192">
        <f>(recommendedCutoffTable[[#This Row],[index]] - 1) / 100</f>
        <v>0.01</v>
      </c>
      <c r="CF4" s="3" cm="1">
        <f t="array" aca="1" ref="CF4" ca="1">ABS(
    numScores
  - 2 * SUMPRODUCT((behaviourScore &lt;&gt; "") * (behaviourScore &lt; recommendedCutoffTable[[#This Row],[cutoffLevel]]))
  )</f>
        <v>258</v>
      </c>
      <c r="CM4" s="3" cm="1">
        <f t="array" ref="CM4">ROW()-ROW(factorsTable[#Headers])</f>
        <v>2</v>
      </c>
      <c r="CN4" s="3" t="str" cm="1">
        <f t="array" ref="CN4">KeepBlanksFunction(
    _xlfn.XLOOKUP(
      factorsTable[[#This Row],[index]],
      factorsConfigTable[index],
      factorsConfigTable[factorHeader],#REF!,
      0
    )
  )</f>
        <v>action_knowledge</v>
      </c>
      <c r="CO4" s="3">
        <f ca="1">IF(
    factorsTable[[#This Row],[factorHeader]] = "",
    "",
    _xlfn.IFNA(
      MATCH(factorsTable[[#This Row],[factorHeader]], dataHeaders, 0),
      _xlfn.IFNA(
        MATCH("*/" &amp; factorsTable[[#This Row],[factorHeader]], dataHeaders, 0),
        MATCH("*-" &amp; factorsTable[[#This Row],[factorHeader]], dataHeaders, 0)
      )
    )
  )</f>
        <v>14</v>
      </c>
      <c r="CP4" s="3">
        <f>IF(
    factorsTable[[#This Row],[factorHeader]] = "",
    "",
    _xlfn.LET(
      _xlpm.tableValue,
      _xlfn.XLOOKUP(
        factorsTable[[#This Row],[index]],
        factorsConfigTable[index],
        factorsConfigTable[minScore],#REF!,
        0
      ),
      _xlpm.storedValue,
      IF(
        _xlpm.tableValue = "",
        NA(),
        _xlpm.tableValue
      ),
      _xlpm.storedValue
    )
  )</f>
        <v>0</v>
      </c>
      <c r="CQ4" s="3">
        <f>IF(
    factorsTable[[#This Row],[factorHeader]] = "",
    "",
    _xlfn.LET(
      _xlpm.tableValue,
      _xlfn.XLOOKUP(
        factorsTable[[#This Row],[index]],
        factorsConfigTable[index],
        factorsConfigTable[maxScore],#REF!,
        0
      ),
      _xlpm.storedValue,
      IF(
        _xlpm.tableValue = "",
        NA(),
        _xlpm.tableValue
      ),
      _xlpm.storedValue
    )
  )</f>
        <v>1</v>
      </c>
      <c r="CR4" s="3">
        <f ca="1">IF(
    factorsTable[[#This Row],[factorHeader]] = "",
    "",
    IF(
      ISERROR(factorsTable[[#This Row],[factorColNum]]),
      NA(),
      IF(
        ISNA(INDEX(dataRange,1,1)),
        NA(),
        MIN(INDEX(dataRange, , factorsTable[[#This Row],[factorColNum]]))
      )
    )
  )</f>
        <v>9.1269841269841265E-2</v>
      </c>
      <c r="CS4" s="3">
        <f ca="1">IF(
    factorsTable[[#This Row],[factorHeader]] = "",
    "",
    IF(
      ISERROR(factorsTable[[#This Row],[factorColNum]]),
      NA(),
      IF(
        ISNA(INDEX(dataRange,1,1)),
        NA(),
        MAX(INDEX(dataRange, , factorsTable[[#This Row],[factorColNum]]))
      )
    )
  )</f>
        <v>0.66878306878306881</v>
      </c>
      <c r="CT4" s="3" t="b" cm="1">
        <f t="array" aca="1" ref="CT4" ca="1">AND(
    NOT(errorNoDataSheet),
    factorsTable[[#This Row],[factorHeader]] &lt;&gt; "",
    NOT(ISERROR(factorsTable[[#This Row],[factorColNum]])),
    IFERROR(factorsTable[[#This Row],[display]], FALSE),
    IFERROR(factorsTable[[#This Row],[minValue]] &lt; factorsTable[[#This Row],[minScore]], FALSE)
  )</f>
        <v>0</v>
      </c>
      <c r="CU4" s="3" t="b" cm="1">
        <f t="array" aca="1" ref="CU4" ca="1">AND(
    NOT(errorNoDataSheet),
    factorsTable[[#This Row],[factorHeader]] &lt;&gt; "",
    NOT(ISERROR(factorsTable[[#This Row],[factorColNum]])),
    IFERROR(factorsTable[[#This Row],[display]], FALSE),
    IFERROR(factorsTable[[#This Row],[maxValue]] &gt; factorsTable[[#This Row],[maxScore]], FALSE)
  )</f>
        <v>0</v>
      </c>
      <c r="CV4" s="3" cm="1">
        <f t="array" aca="1" ref="CV4" ca="1">IF(
    factorsTable[[#This Row],[factorHeader]] = "",
    "",
    IF(
      ISNA(INDEX(dataRange,1,1)),
      NA(),
      SUMPRODUCT(
          IF(isDoer = "", 0, NOT(isDoer))
        * (INDEX(dataRange, , factorsTable[[#This Row],[factorColNum]]) &lt;&gt; "")
      )
    )
  )</f>
        <v>147</v>
      </c>
      <c r="CW4" s="3" cm="1">
        <f t="array" aca="1" ref="CW4" ca="1">IF(
    factorsTable[[#This Row],[factorHeader]] = "",
    "",
    IF(
      ISNA(INDEX(dataRange,1,1)),
      NA(),
      SUMPRODUCT(
          IF(isDoer = "", 0, isDoer)
        * (INDEX(dataRange, , factorsTable[[#This Row],[factorColNum]]) &lt;&gt; "")
      )
    )
  )</f>
        <v>111</v>
      </c>
      <c r="CX4" s="3" cm="1">
        <f t="array" aca="1" ref="CX4" ca="1">IF(
    factorsTable[[#This Row],[factorHeader]] = "",
    "",
    IF(
      ISERROR(factorsTable[[#This Row],[factorColNum]]),
      UITranslateForValueTable("dataNotFound", UITranslationTable[tag], UITranslationTable[], UITranslationTable[#Headers]),
      factorsTable[[#This Row],[numDoers]] + factorsTable[[#This Row],[numNondoers]]
    )
  )</f>
        <v>258</v>
      </c>
      <c r="CY4" s="3" cm="1">
        <f t="array" aca="1" ref="CY4"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0.24529822029822035</v>
      </c>
      <c r="CZ4" s="3" cm="1">
        <f t="array" aca="1" ref="CZ4"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0.34076089076089089</v>
      </c>
      <c r="DA4" s="3">
        <f ca="1">IF(
    factorsTable[[#This Row],[factorHeader]] = "",
    "",
    factorsTable[[#This Row],[doers]] - factorsTable[[#This Row],[nondoers]]
  )</f>
        <v>9.546267046267054E-2</v>
      </c>
      <c r="DB4" s="3" t="str">
        <f>IF(
    factorsTable[[#This Row],[factorHeader]] = "",
    "",
    _xlfn.XLOOKUP(
      _xlfn.XLOOKUP(
        factorsTable[[#This Row],[index]],
        factorsConfigTable[index],
        factorsConfigTable[displayConfig],#REF!,
        0
      ),
      yesNoTable[label],
      yesNoTable[tag],
      "",
      0
    )
  )</f>
        <v>yes</v>
      </c>
      <c r="DC4" s="186" t="b">
        <f>IF(
    factorsTable[[#This Row],[factorHeader]] = "",
    FALSE,
    IF(
      factorsTable[[#This Row],[displayConfig]] = "yes",
      TRUE,
      IF(
        factorsTable[[#This Row],[displayConfig]] = "no",
        FALSE,
        NA()
      )
    )
  )</f>
        <v>1</v>
      </c>
      <c r="DD4" s="186" cm="1">
        <f t="array" ref="DD4">FilterTrueColumn(factorsTable[[#This Row],[index]], factorsTable[index], factorsTable[filteredIndex], factorsTable[display])</f>
        <v>2</v>
      </c>
      <c r="DE4" s="186">
        <f ca="1">IF(
    factorsTable[[#This Row],[filteredIndex]] = "",
    "",
    _xlfn.IFNA(
      _xlfn.XLOOKUP(factorsTable[[#This Row],[filteredIndex]], factorsTable[index], factorsTable[difference]),
      -99
    )
  )</f>
        <v>9.546267046267054E-2</v>
      </c>
      <c r="DF4" s="186">
        <f ca="1">IF(
    factorsTable[[#This Row],[filteredIndex]] = "",
    "",
    IF(
      factorsTable[[#This Row],[relDiff]] = -99,
      -99,
      ABS(factorsTable[[#This Row],[relDiff]])
    )
  )</f>
        <v>9.546267046267054E-2</v>
      </c>
      <c r="DG4" s="186">
        <f>IF(
    factorsTable[[#This Row],[filteredIndex]] = "",
    "",
    _xlfn.XLOOKUP(
      _xlfn.XLOOKUP(
        factorsTable[[#This Row],[filteredIndex]],
        factorsConfigTable[index],
        factorsConfigTable[RANASBlock],#REF!,
        0
      ),
      RANASBlocksTable[label],
      RANASBlocksTable[index],
      6,
      0
    )
  )</f>
        <v>4</v>
      </c>
      <c r="DH4" s="186">
        <f ca="1">IF(
    factorsTable[[#This Row],[filteredIndex]] = "",
    "",
    _xlfn.RANK.EQ(factorsTable[[#This Row],[relDiff]], factorsTable[relDiff], 0)
  )</f>
        <v>7</v>
      </c>
      <c r="DI4" s="186">
        <f ca="1">IF(
    factorsTable[[#This Row],[filteredIndex]] = "",
    "",
    _xlfn.RANK.EQ(factorsTable[[#This Row],[absDiff]], factorsTable[absDiff], 0)
  )</f>
        <v>8</v>
      </c>
      <c r="DJ4" s="186">
        <f>IF(
    factorsTable[[#This Row],[filteredIndex]] = "",
    "",
    _xlfn.RANK.EQ(factorsTable[[#This Row],[RANASIndex]], factorsTable[RANASIndex], 1)
  )</f>
        <v>11</v>
      </c>
      <c r="DK4" s="186" cm="1">
        <f t="array" aca="1" ref="DK4" ca="1">_xlfn.SWITCH(
    sortingMethodTag,
    "none", factorsTable[[#This Row],[filteredIndex]],
    "relDiff", factorsTable[[#This Row],[relDiffRank]],
    "absDiff", factorsTable[[#This Row],[absDiffRank]],
    "RANAS", factorsTable[[#This Row],[RANASRank]],
    factorsTable[[#This Row],[filteredIndex]]
  )</f>
        <v>8</v>
      </c>
      <c r="DL4" s="186">
        <f ca="1">IF(
    factorsTable[[#This Row],[filteredIndex]] = "",
    "",
    factorsTable[[#This Row],[selectedRank]]
      + COUNTIF(INDEX(factorsTable[selectedRank], 1):INDEX(factorsTable[selectedRank], factorsTable[[#This Row],[index]]), factorsTable[[#This Row],[selectedRank]])
      - 1
  )</f>
        <v>8</v>
      </c>
      <c r="DM4" s="186">
        <f ca="1">IF(
    factorsTable[[#This Row],[filteredIndex]] = "",
    "",
    _xlfn.XLOOKUP(
      factorsTable[[#This Row],[index]],
      factorsTable[uniqueRank],
      factorsTable[filteredIndex],#REF!,
      0
    )
  )</f>
        <v>17</v>
      </c>
      <c r="DN4" s="186" t="str" cm="1">
        <f t="array" aca="1" ref="DN4" ca="1">IF(
    factorsTable[[#This Row],[sortedIndex]] = "",
    "",
    KeepBlanksFunction(
      _xlfn.XLOOKUP(
        factorsTable[[#This Row],[sortedIndex]],
        factorsConfigTable[index],
        INDEX(
          factorsConfigTable[],
          0,
          MATCH(
            chartLanguage,
            languageHeadersList,
            0
          )
          + MATCH(factorsConfigTable[[#Headers],[lang1]], factorsConfigTable[#Headers], 0)
          - 1
        ),#REF!,
        0
      )
    )
  )</f>
        <v>Vulnerabilidad</v>
      </c>
      <c r="DO4" s="186" t="str" cm="1">
        <f t="array" aca="1" ref="DO4" ca="1">IF(
    factorsTable[[#This Row],[sortedIndex]] = "",
    "",
    IF(
      factorsTable[[#This Row],[langSpecFactor]] = "",
      UITranslateForValueTable("noTranslation", UITranslationTable[tag], UITranslationTable[], UITranslationTable[#Headers]),
      factorsTable[[#This Row],[langSpecFactor]]
    )
  )</f>
        <v>Vulnerabilidad</v>
      </c>
      <c r="DP4" s="186" t="str">
        <f ca="1">IF(
    factorsTable[[#This Row],[sortedIndex]] = "",
    "",
    _xlfn.XLOOKUP(
      _xlfn.XLOOKUP(
        factorsTable[[#This Row],[sortedIndex]],
        factorsConfigTable[index],
        factorsConfigTable[RANASBlock],#REF!,
        0
      ),
      RANASBlocksTable[label],
      RANASBlocksTable[tag],
      NA(),
      0
    )
  )</f>
        <v>risks</v>
      </c>
      <c r="DQ4" s="186" t="str" cm="1">
        <f t="array" aca="1" ref="DQ4" ca="1">IF(
    factorsTable[[#This Row],[sortedIndex]] = "",
    "",
    _xlfn.IFNA(
      _xlfn.XLOOKUP(factorsTable[[#This Row],[RANASTag]], RANASBlocksTable[tag], RANASBlocksTable[langSpecLabel]),
      UITranslateForValueTable("noRANASBlock", UITranslationTable[tag], UITranslationTable[], UITranslationTable[#Headers])
    )
  )</f>
        <v>Riesgo</v>
      </c>
      <c r="DR4" s="186" t="str">
        <f ca="1">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Vulnerabilidad
[Riesgo]</v>
      </c>
      <c r="DS4" s="186">
        <f ca="1">IF(
    factorsTable[[#This Row],[sortedIndex]] = "",
    "",
    _xlfn.XLOOKUP(factorsTable[[#This Row],[sortedIndex]], factorsTable[index], factorsTable[numTotal])
  )</f>
        <v>258</v>
      </c>
      <c r="DT4" s="186">
        <f ca="1">IF(
    factorsTable[[#This Row],[sortedIndex]] = "",
    "",
    _xlfn.XLOOKUP(factorsTable[[#This Row],[sortedIndex]], factorsTable[index], factorsTable[nondoers])
  )</f>
        <v>0.25</v>
      </c>
      <c r="DU4" s="186">
        <f ca="1">IF(
    factorsTable[[#This Row],[sortedIndex]] = "",
    "",
    _xlfn.XLOOKUP(factorsTable[[#This Row],[sortedIndex]], factorsTable[index], factorsTable[doers])
  )</f>
        <v>0.44144144144144143</v>
      </c>
      <c r="DV4" s="186">
        <f ca="1">IF(
    factorsTable[[#This Row],[sortedIndex]] = "",
    "",
    _xlfn.XLOOKUP(factorsTable[[#This Row],[sortedIndex]], factorsTable[index], factorsTable[difference])
  )</f>
        <v>0.19144144144144143</v>
      </c>
    </row>
    <row r="5" spans="5:126" ht="14.4" customHeight="1" x14ac:dyDescent="0.3">
      <c r="E5" s="11" cm="1">
        <f t="array" ref="E5">ROW()-ROW(UITranslationTable[#Headers])</f>
        <v>3</v>
      </c>
      <c r="F5" s="11" t="s">
        <v>780</v>
      </c>
      <c r="G5" s="185" t="s">
        <v>781</v>
      </c>
      <c r="H5" s="185" t="s">
        <v>782</v>
      </c>
      <c r="J5" s="3" cm="1">
        <f t="array" ref="J5">ROW()-ROW(errorMessagesTable[#Headers])</f>
        <v>3</v>
      </c>
      <c r="K5" s="3" t="s">
        <v>1067</v>
      </c>
      <c r="L5" s="3" t="b" cm="1">
        <f t="array" aca="1" ref="L5" ca="1">errorNoDataRefCol</f>
        <v>0</v>
      </c>
      <c r="M5" s="11" t="str" cm="1">
        <f t="array" ref="M5">"No reference column can be found in the """ &amp; sheetNameData &amp; """ sheet to identify the data entries. The header of this column must be ""_uuid"" for KoboToolbox files or ""instanceID"" (or ""meta" &amp; CHAR(173) &amp; "instanceID"") for ODK files. Try reexporting your data from your survey management platform and reimporting it in the RANAS Analyser." &amp; " Alternatively, you could manually create a column in the """ &amp; sheetNameData &amp; """ sheet with the header ""_uuid"" or ""instanceID"" (without quotes) and fill this column with any value for" &amp; " EXACTLY EACH ENTRY of your database, no more, no less. (This column is used as a reference to count the number of entries in your database.)"</f>
        <v>No reference column can be found in the "data" sheet to identify the data entries. The header of this column must be "_uuid" for KoboToolbox files or "instanceID" (or "meta­instanceID") for ODK files. Try reexporting your data from your survey management platform and reimporting it in the RANAS Analyser. Alternatively, you could manually create a column in the "data" sheet with the header "_uuid" or "instanceID" (without quotes) and fill this column with any value for EXACTLY EACH ENTRY of your database, no more, no less. (This column is used as a reference to count the number of entries in your database.)</v>
      </c>
      <c r="N5" s="11" t="str" cm="1">
        <f t="array" ref="N5">"Aucune colonne de référence ne peut être trouvée sur la feuille «" &amp; sheetNameData &amp; "» pour identifier les entrées de votre base de données. L'en-tête de cette colonne doit être «_uuid» pour les fichiers KoboToolbox ou «instanceID» (ou «meta" &amp; CHAR(173) &amp; "instanceID») pour les fichiers ODK. Essayez de ré-exporter vos données depuis votre plateforme de gestion d'enquêtes et de les réimporter dans le RANAS Analyser." &amp; " Ou alors, vous pouvez créer manuellement une colonne sur la feuille «" &amp; sheetNameData &amp; "» avec l'en-tête «_uuid» ou «instanceID» (sans les guillemets) et remplir cette colonne avec n'importe quelle valeur pour" &amp; " EXACTEMENT CHAQUE ENTRÉE de votre base de données, ni plus ni moins. (Cette colonne sert de référence pour compter le nombre d'entrées dans votre base de données.)"</f>
        <v>Aucune colonne de référence ne peut être trouvée sur la feuille «data» pour identifier les entrées de votre base de données. L'en-tête de cette colonne doit être «_uuid» pour les fichiers KoboToolbox ou «instanceID» (ou «meta­instanceID») pour les fichiers ODK. Essayez de ré-exporter vos données depuis votre plateforme de gestion d'enquêtes et de les réimporter dans le RANAS Analyser. Ou alors, vous pouvez créer manuellement une colonne sur la feuille «data» avec l'en-tête «_uuid» ou «instanceID» (sans les guillemets) et remplir cette colonne avec n'importe quelle valeur pour EXACTEMENT CHAQUE ENTRÉE de votre base de données, ni plus ni moins. (Cette colonne sert de référence pour compter le nombre d'entrées dans votre base de données.)</v>
      </c>
      <c r="O5" s="3" t="str" cm="1">
        <f t="array" aca="1" ref="O5" ca="1">FilterTrueColumn(errorMessagesTable[[#This Row],[index]], errorMessagesTable[index], errorMessagesTable[filteredIndex], errorMessagesTable[condition])</f>
        <v/>
      </c>
      <c r="P5" s="11" t="str" cm="1">
        <f t="array" aca="1" ref="P5"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5" s="11" t="str" cm="1">
        <f t="array" aca="1" ref="Q5" ca="1">IF(
    errorMessagesTable[[#This Row],[filteredIndex]] = "",
    "",
    IF(
      errorMessagesTable[[#This Row],[index]] = 1,
      "",
      INDEX(errorMessagesTable[concatErrors], errorMessagesTable[[#This Row],[index]]-1)
      &amp; CHAR(10) &amp; CHAR(10)
    )
    &amp; INDEX(errorMessagesTable[langSpecError], errorMessagesTable[[#This Row],[index]])
  )</f>
        <v/>
      </c>
      <c r="S5" s="186" cm="1">
        <f t="array" ref="S5">ROW()-ROW(manualEntryVariablesTable[#Headers])</f>
        <v>3</v>
      </c>
      <c r="T5" s="3" t="s">
        <v>938</v>
      </c>
      <c r="U5" s="195" t="s">
        <v>1127</v>
      </c>
      <c r="W5" s="186" cm="1">
        <f t="array" ref="W5">ROW()-ROW(structuredFormulaeTable[#Headers])</f>
        <v>3</v>
      </c>
      <c r="X5" s="3" t="s">
        <v>1061</v>
      </c>
      <c r="Y5" s="3" t="s">
        <v>1115</v>
      </c>
      <c r="AA5" s="187" t="s">
        <v>1119</v>
      </c>
      <c r="AB5" s="187" t="s">
        <v>1183</v>
      </c>
      <c r="AD5" s="14" cm="1">
        <f t="array" ref="AD5">ROW()-ROW(languageTable[#Headers])</f>
        <v>3</v>
      </c>
      <c r="AE5" s="14" t="str" cm="1">
        <f t="array" ref="AE5">KeepBlanksFunction(INDEX(languageHeadersList, languageTable[[#This Row],[index]]))</f>
        <v>Español</v>
      </c>
      <c r="AF5" s="14" t="b">
        <f>languageTable[[#This Row],[languageHeaders]] &lt;&gt; ""</f>
        <v>1</v>
      </c>
      <c r="AG5" s="14" cm="1">
        <f t="array" ref="AG5">FilterTrueColumn(languageTable[[#This Row],[index]], languageTable[index], languageTable[filteredIndex], languageTable[hasValue])</f>
        <v>3</v>
      </c>
      <c r="AH5" s="14" t="str" cm="1">
        <f t="array" ref="AH5">IFERROR(
    INDEX(languageTable[languageHeaders], languageTable[[#This Row],[filteredIndex]]),
    ""
  )</f>
        <v>Español</v>
      </c>
      <c r="AN5" s="3" cm="1">
        <f t="array" ref="AN5">ROW()-ROW(RANASBlocksTable[#Headers])</f>
        <v>3</v>
      </c>
      <c r="AO5" s="3" t="s">
        <v>727</v>
      </c>
      <c r="AP5" s="3" t="str">
        <f>_xlfn.XLOOKUP(RANASBlocksTable[[#This Row],[tag]], chartTranslationTable[tag], chartTranslationTable[lang1])
 &amp; " / "
 &amp; _xlfn.XLOOKUP(RANASBlocksTable[[#This Row],[tag]], chartTranslationTable[tag], chartTranslationTable[lang2])</f>
        <v>Norms / Normes</v>
      </c>
      <c r="AQ5" s="3" t="str">
        <f>_xlfn.XLOOKUP(RANASBlocksTable[[#This Row],[tag]], chartTranslationTable[tag], chartTranslationTable[displayedText])</f>
        <v>Normas</v>
      </c>
      <c r="AS5" s="3" cm="1">
        <f t="array" ref="AS5">ROW()-ROW(sortMenuTable[#Headers])</f>
        <v>3</v>
      </c>
      <c r="AT5" s="3" t="s">
        <v>676</v>
      </c>
      <c r="AU5" s="3" t="s">
        <v>720</v>
      </c>
      <c r="AY5" s="3" cm="1">
        <f t="array" ref="AY5">ROW()-ROW(behaviourTable[#Headers])</f>
        <v>3</v>
      </c>
      <c r="AZ5" s="3" t="str" cm="1">
        <f t="array" ref="AZ5">KeepBlanksFunction(
    _xlfn.XLOOKUP(
      behaviourTable[[#This Row],[index]],
      behaviourConfigTable[index],
      behaviourConfigTable[behaviourHeader],#REF!,
      0
    )
  )</f>
        <v>behaviour3</v>
      </c>
      <c r="BA5" s="3" t="str">
        <f>IF(
    behaviourTable[[#This Row],[behaviourHeader]] = "",
    "",
    _xlfn.XLOOKUP(
      _xlfn.XLOOKUP(
        behaviourTable[[#This Row],[index]],
        behaviourConfigTable[index],
        behaviourConfigTable[includeConfig],#REF!,
        0
      ),
      yesNoTable[label],
      yesNoTable[tag],
      "",
      0
    )
  )</f>
        <v>yes</v>
      </c>
      <c r="BB5" s="3" t="b">
        <f>IF(
    behaviourTable[[#This Row],[behaviourHeader]] = "",
    FALSE,
    IF(
      behaviourTable[[#This Row],[includeConfig]] = "yes",
      TRUE,
      IF(
        behaviourTable[[#This Row],[includeConfig]] = "no",
        FALSE,
        NA()
      )
    )
  )</f>
        <v>1</v>
      </c>
      <c r="BC5" s="3">
        <f ca="1">IF(
    behaviourTable[[#This Row],[behaviourHeader]] = "",
    "",
    _xlfn.IFNA(
      MATCH(behaviourTable[[#This Row],[behaviourHeader]], dataHeaders, 0),
      _xlfn.IFNA(
        MATCH("*/" &amp; behaviourTable[[#This Row],[behaviourHeader]], dataHeaders, 0),
        MATCH("*-" &amp; behaviourTable[[#This Row],[behaviourHeader]], dataHeaders, 0)
      )
    )
  )</f>
        <v>10</v>
      </c>
      <c r="BD5" s="3">
        <f>IF(
    behaviourTable[[#This Row],[behaviourHeader]] = "",
    "",
    _xlfn.LET(
      _xlpm.tableValue,
      _xlfn.XLOOKUP(
        behaviourTable[[#This Row],[index]],
        behaviourConfigTable[index],
        behaviourConfigTable[minScore],#REF!,
        0
      ),
      _xlpm.storedValue,
      IF(
        _xlpm.tableValue = "",
        NA(),
        _xlpm.tableValue
      ),
      _xlpm.storedValue
    )
  )</f>
        <v>0</v>
      </c>
      <c r="BE5" s="3">
        <f>IF(
    behaviourTable[[#This Row],[behaviourHeader]] = "",
    "",
    _xlfn.LET(
      _xlpm.tableValue,
      _xlfn.XLOOKUP(
        behaviourTable[[#This Row],[index]],
        behaviourConfigTable[index],
        behaviourConfigTable[maxScore],#REF!,
        0
      ),
      _xlpm.storedValue,
      IF(
        _xlpm.tableValue = "",
        NA(),
        _xlpm.tableValue
      ),
      _xlpm.storedValue
    )
  )</f>
        <v>3</v>
      </c>
      <c r="BF5" s="3">
        <f ca="1">IF(
    behaviourTable[[#This Row],[behaviourHeader]] = "",
    "",
    MIN(behaviourDataForIndex(behaviourTable[[#This Row],[index]]))
  )</f>
        <v>0</v>
      </c>
      <c r="BG5" s="3">
        <f ca="1">IF(
    behaviourTable[[#This Row],[behaviourHeader]] = "",
    "",
    MAX(behaviourDataForIndex(behaviourTable[[#This Row],[index]]))
  )</f>
        <v>3</v>
      </c>
      <c r="BH5" s="3" t="b" cm="1">
        <f t="array" aca="1" ref="BH5" ca="1">AND(
    NOT(errorNoDataSheet),
    behaviourTable[[#This Row],[behaviourHeader]] &lt;&gt; "",
    NOT(ISERROR(behaviourTable[[#This Row],[behaviourColNum]])),
    IFERROR(behaviourTable[[#This Row],[include]], FALSE),
    IFERROR(behaviourTable[[#This Row],[minValue]] &lt; behaviourTable[[#This Row],[minScore]], FALSE)
  )</f>
        <v>0</v>
      </c>
      <c r="BI5" s="3" t="b" cm="1">
        <f t="array" aca="1" ref="BI5" ca="1">AND(
    NOT(errorNoDataSheet),
    behaviourTable[[#This Row],[behaviourHeader]] &lt;&gt; "",
    NOT(ISERROR(behaviourTable[[#This Row],[behaviourColNum]])),
    IFERROR(behaviourTable[[#This Row],[include]], FALSE),
    IFERROR(behaviourTable[[#This Row],[maxValue]] &gt; behaviourTable[[#This Row],[maxScore]], FALSE)
  )</f>
        <v>0</v>
      </c>
      <c r="BJ5" s="3" cm="1">
        <f t="array" aca="1" ref="BJ5" ca="1">IF(
    behaviourTable[[#This Row],[behaviourHeader]] = "",
    "",
    IF(
      ISERROR(behaviourTable[[#This Row],[behaviourColNum]]),
      UITranslateForValueTable("dataNotFound", UITranslationTable[tag], UITranslationTable[], UITranslationTable[#Headers]),
      SUMPRODUCT(--(behaviourDataForIndex(behaviourTable[[#This Row],[index]]) &lt;&gt; ""))
    )
  )</f>
        <v>258</v>
      </c>
      <c r="BK5" s="3" cm="1">
        <f t="array" aca="1" ref="BK5" ca="1">IF(
    behaviourTable[[#This Row],[behaviourHeader]] = "",
    "",
    IF(
      ISERROR(behaviourTable[[#This Row],[behaviourColNum]]),
      UITranslateForValueTable("dataNotFound", UITranslationTable[tag], UITranslationTable[], UITranslationTable[#Headers]),
      numEntries - behaviourTable[[#This Row],[numResponses]]
    )
  )</f>
        <v>0</v>
      </c>
      <c r="BM5" s="3">
        <f ca="1"/>
        <v>5</v>
      </c>
      <c r="BN5" s="3">
        <f ca="1"/>
        <v>20</v>
      </c>
      <c r="BO5" s="3">
        <f ca="1"/>
        <v>2</v>
      </c>
      <c r="BP5" s="3">
        <f ca="1"/>
        <v>1</v>
      </c>
      <c r="BR5" s="3">
        <f ca="1"/>
        <v>2.6666666666666665</v>
      </c>
      <c r="BS5" s="3">
        <f ca="1"/>
        <v>3</v>
      </c>
      <c r="BT5" s="3">
        <f ca="1"/>
        <v>0.88888888888888884</v>
      </c>
      <c r="BU5" s="3" t="b">
        <f ca="1"/>
        <v>1</v>
      </c>
      <c r="BW5" s="190" cm="1">
        <f t="array" ref="BW5">ROW()-ROW(cutoffTable[#Headers])</f>
        <v>3</v>
      </c>
      <c r="BX5" s="191">
        <v>0.3</v>
      </c>
      <c r="BY5" s="3" t="s">
        <v>903</v>
      </c>
      <c r="BZ5" s="3" cm="1">
        <f t="array" aca="1" ref="BZ5" ca="1">SUMPRODUCT(
    (behaviourScore &lt;&gt; "")
  * (behaviourScore &gt;= IF(cutoffTable[[#This Row],[index]] = 1, 0, INDEX(cutoffTable[cutoffLevel], cutoffTable[[#This Row],[index]]-1)))
  * IF(
      cutoffTable[[#This Row],[cutoffLevel]] = 1,
      behaviourScore &lt;= 1,
      behaviourScore &lt; cutoffTable[[#This Row],[cutoffLevel]]
    )
  )</f>
        <v>15</v>
      </c>
      <c r="CA5" s="3" cm="1">
        <f t="array" aca="1" ref="CA5" ca="1">SUMPRODUCT(
    (behaviourScore &lt;&gt; "")
  * (behaviourScore &gt;= IF(cutoffTable[[#This Row],[index]] = 1, 0, INDEX(cutoffTable[cutoffLevel], cutoffTable[[#This Row],[index]]-1)))
  * IF(
      cutoffTable[[#This Row],[cutoffLevel]] = 1,
      behaviourScore &lt;= 1,
      behaviourScore &lt; cutoffTable[[#This Row],[cutoffLevel]]
    )
  * (behaviourScore &lt; cutoffLevel)
  )</f>
        <v>15</v>
      </c>
      <c r="CB5" s="3" cm="1">
        <f t="array" aca="1" ref="CB5" ca="1">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5" s="3" cm="1">
        <f t="array" ref="CD5">ROW()-ROW(recommendedCutoffTable[#Headers])</f>
        <v>3</v>
      </c>
      <c r="CE5" s="192">
        <f>(recommendedCutoffTable[[#This Row],[index]] - 1) / 100</f>
        <v>0.02</v>
      </c>
      <c r="CF5" s="3" cm="1">
        <f t="array" aca="1" ref="CF5" ca="1">ABS(
    numScores
  - 2 * SUMPRODUCT((behaviourScore &lt;&gt; "") * (behaviourScore &lt; recommendedCutoffTable[[#This Row],[cutoffLevel]]))
  )</f>
        <v>258</v>
      </c>
      <c r="CM5" s="3" cm="1">
        <f t="array" ref="CM5">ROW()-ROW(factorsTable[#Headers])</f>
        <v>3</v>
      </c>
      <c r="CN5" s="3" t="str" cm="1">
        <f t="array" ref="CN5">KeepBlanksFunction(
    _xlfn.XLOOKUP(
      factorsTable[[#This Row],[index]],
      factorsConfigTable[index],
      factorsConfigTable[factorHeader],#REF!,
      0
    )
  )</f>
        <v>action_planning</v>
      </c>
      <c r="CO5" s="3">
        <f ca="1">IF(
    factorsTable[[#This Row],[factorHeader]] = "",
    "",
    _xlfn.IFNA(
      MATCH(factorsTable[[#This Row],[factorHeader]], dataHeaders, 0),
      _xlfn.IFNA(
        MATCH("*/" &amp; factorsTable[[#This Row],[factorHeader]], dataHeaders, 0),
        MATCH("*-" &amp; factorsTable[[#This Row],[factorHeader]], dataHeaders, 0)
      )
    )
  )</f>
        <v>15</v>
      </c>
      <c r="CP5" s="3">
        <f>IF(
    factorsTable[[#This Row],[factorHeader]] = "",
    "",
    _xlfn.LET(
      _xlpm.tableValue,
      _xlfn.XLOOKUP(
        factorsTable[[#This Row],[index]],
        factorsConfigTable[index],
        factorsConfigTable[minScore],#REF!,
        0
      ),
      _xlpm.storedValue,
      IF(
        _xlpm.tableValue = "",
        NA(),
        _xlpm.tableValue
      ),
      _xlpm.storedValue
    )
  )</f>
        <v>0</v>
      </c>
      <c r="CQ5" s="3">
        <f>IF(
    factorsTable[[#This Row],[factorHeader]] = "",
    "",
    _xlfn.LET(
      _xlpm.tableValue,
      _xlfn.XLOOKUP(
        factorsTable[[#This Row],[index]],
        factorsConfigTable[index],
        factorsConfigTable[maxScore],#REF!,
        0
      ),
      _xlpm.storedValue,
      IF(
        _xlpm.tableValue = "",
        NA(),
        _xlpm.tableValue
      ),
      _xlpm.storedValue
    )
  )</f>
        <v>1</v>
      </c>
      <c r="CR5" s="3">
        <f ca="1">IF(
    factorsTable[[#This Row],[factorHeader]] = "",
    "",
    IF(
      ISERROR(factorsTable[[#This Row],[factorColNum]]),
      NA(),
      IF(
        ISNA(INDEX(dataRange,1,1)),
        NA(),
        MIN(INDEX(dataRange, , factorsTable[[#This Row],[factorColNum]]))
      )
    )
  )</f>
        <v>0</v>
      </c>
      <c r="CS5" s="3">
        <f ca="1">IF(
    factorsTable[[#This Row],[factorHeader]] = "",
    "",
    IF(
      ISERROR(factorsTable[[#This Row],[factorColNum]]),
      NA(),
      IF(
        ISNA(INDEX(dataRange,1,1)),
        NA(),
        MAX(INDEX(dataRange, , factorsTable[[#This Row],[factorColNum]]))
      )
    )
  )</f>
        <v>1</v>
      </c>
      <c r="CT5" s="3" t="b" cm="1">
        <f t="array" aca="1" ref="CT5" ca="1">AND(
    NOT(errorNoDataSheet),
    factorsTable[[#This Row],[factorHeader]] &lt;&gt; "",
    NOT(ISERROR(factorsTable[[#This Row],[factorColNum]])),
    IFERROR(factorsTable[[#This Row],[display]], FALSE),
    IFERROR(factorsTable[[#This Row],[minValue]] &lt; factorsTable[[#This Row],[minScore]], FALSE)
  )</f>
        <v>0</v>
      </c>
      <c r="CU5" s="3" t="b" cm="1">
        <f t="array" aca="1" ref="CU5" ca="1">AND(
    NOT(errorNoDataSheet),
    factorsTable[[#This Row],[factorHeader]] &lt;&gt; "",
    NOT(ISERROR(factorsTable[[#This Row],[factorColNum]])),
    IFERROR(factorsTable[[#This Row],[display]], FALSE),
    IFERROR(factorsTable[[#This Row],[maxValue]] &gt; factorsTable[[#This Row],[maxScore]], FALSE)
  )</f>
        <v>0</v>
      </c>
      <c r="CV5" s="3" cm="1">
        <f t="array" aca="1" ref="CV5" ca="1">IF(
    factorsTable[[#This Row],[factorHeader]] = "",
    "",
    IF(
      ISNA(INDEX(dataRange,1,1)),
      NA(),
      SUMPRODUCT(
          IF(isDoer = "", 0, NOT(isDoer))
        * (INDEX(dataRange, , factorsTable[[#This Row],[factorColNum]]) &lt;&gt; "")
      )
    )
  )</f>
        <v>147</v>
      </c>
      <c r="CW5" s="3" cm="1">
        <f t="array" aca="1" ref="CW5" ca="1">IF(
    factorsTable[[#This Row],[factorHeader]] = "",
    "",
    IF(
      ISNA(INDEX(dataRange,1,1)),
      NA(),
      SUMPRODUCT(
          IF(isDoer = "", 0, isDoer)
        * (INDEX(dataRange, , factorsTable[[#This Row],[factorColNum]]) &lt;&gt; "")
      )
    )
  )</f>
        <v>111</v>
      </c>
      <c r="CX5" s="3" cm="1">
        <f t="array" aca="1" ref="CX5" ca="1">IF(
    factorsTable[[#This Row],[factorHeader]] = "",
    "",
    IF(
      ISERROR(factorsTable[[#This Row],[factorColNum]]),
      UITranslateForValueTable("dataNotFound", UITranslationTable[tag], UITranslationTable[], UITranslationTable[#Headers]),
      factorsTable[[#This Row],[numDoers]] + factorsTable[[#This Row],[numNondoers]]
    )
  )</f>
        <v>258</v>
      </c>
      <c r="CY5" s="3" cm="1">
        <f t="array" aca="1" ref="CY5"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0.69387755102040805</v>
      </c>
      <c r="CZ5" s="3" cm="1">
        <f t="array" aca="1" ref="CZ5"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0.85885885885885915</v>
      </c>
      <c r="DA5" s="3">
        <f ca="1">IF(
    factorsTable[[#This Row],[factorHeader]] = "",
    "",
    factorsTable[[#This Row],[doers]] - factorsTable[[#This Row],[nondoers]]
  )</f>
        <v>0.16498130783845111</v>
      </c>
      <c r="DB5" s="3" t="str">
        <f>IF(
    factorsTable[[#This Row],[factorHeader]] = "",
    "",
    _xlfn.XLOOKUP(
      _xlfn.XLOOKUP(
        factorsTable[[#This Row],[index]],
        factorsConfigTable[index],
        factorsConfigTable[displayConfig],#REF!,
        0
      ),
      yesNoTable[label],
      yesNoTable[tag],
      "",
      0
    )
  )</f>
        <v>yes</v>
      </c>
      <c r="DC5" s="186" t="b">
        <f>IF(
    factorsTable[[#This Row],[factorHeader]] = "",
    FALSE,
    IF(
      factorsTable[[#This Row],[displayConfig]] = "yes",
      TRUE,
      IF(
        factorsTable[[#This Row],[displayConfig]] = "no",
        FALSE,
        NA()
      )
    )
  )</f>
        <v>1</v>
      </c>
      <c r="DD5" s="186" cm="1">
        <f t="array" ref="DD5">FilterTrueColumn(factorsTable[[#This Row],[index]], factorsTable[index], factorsTable[filteredIndex], factorsTable[display])</f>
        <v>3</v>
      </c>
      <c r="DE5" s="186">
        <f ca="1">IF(
    factorsTable[[#This Row],[filteredIndex]] = "",
    "",
    _xlfn.IFNA(
      _xlfn.XLOOKUP(factorsTable[[#This Row],[filteredIndex]], factorsTable[index], factorsTable[difference]),
      -99
    )
  )</f>
        <v>0.16498130783845111</v>
      </c>
      <c r="DF5" s="186">
        <f ca="1">IF(
    factorsTable[[#This Row],[filteredIndex]] = "",
    "",
    IF(
      factorsTable[[#This Row],[relDiff]] = -99,
      -99,
      ABS(factorsTable[[#This Row],[relDiff]])
    )
  )</f>
        <v>0.16498130783845111</v>
      </c>
      <c r="DG5" s="186">
        <f>IF(
    factorsTable[[#This Row],[filteredIndex]] = "",
    "",
    _xlfn.XLOOKUP(
      _xlfn.XLOOKUP(
        factorsTable[[#This Row],[filteredIndex]],
        factorsConfigTable[index],
        factorsConfigTable[RANASBlock],#REF!,
        0
      ),
      RANASBlocksTable[label],
      RANASBlocksTable[index],
      6,
      0
    )
  )</f>
        <v>5</v>
      </c>
      <c r="DH5" s="186">
        <f ca="1">IF(
    factorsTable[[#This Row],[filteredIndex]] = "",
    "",
    _xlfn.RANK.EQ(factorsTable[[#This Row],[relDiff]], factorsTable[relDiff], 0)
  )</f>
        <v>2</v>
      </c>
      <c r="DI5" s="186">
        <f ca="1">IF(
    factorsTable[[#This Row],[filteredIndex]] = "",
    "",
    _xlfn.RANK.EQ(factorsTable[[#This Row],[absDiff]], factorsTable[absDiff], 0)
  )</f>
        <v>3</v>
      </c>
      <c r="DJ5" s="186">
        <f>IF(
    factorsTable[[#This Row],[filteredIndex]] = "",
    "",
    _xlfn.RANK.EQ(factorsTable[[#This Row],[RANASIndex]], factorsTable[RANASIndex], 1)
  )</f>
        <v>14</v>
      </c>
      <c r="DK5" s="186" cm="1">
        <f t="array" aca="1" ref="DK5" ca="1">_xlfn.SWITCH(
    sortingMethodTag,
    "none", factorsTable[[#This Row],[filteredIndex]],
    "relDiff", factorsTable[[#This Row],[relDiffRank]],
    "absDiff", factorsTable[[#This Row],[absDiffRank]],
    "RANAS", factorsTable[[#This Row],[RANASRank]],
    factorsTable[[#This Row],[filteredIndex]]
  )</f>
        <v>3</v>
      </c>
      <c r="DL5" s="186">
        <f ca="1">IF(
    factorsTable[[#This Row],[filteredIndex]] = "",
    "",
    factorsTable[[#This Row],[selectedRank]]
      + COUNTIF(INDEX(factorsTable[selectedRank], 1):INDEX(factorsTable[selectedRank], factorsTable[[#This Row],[index]]), factorsTable[[#This Row],[selectedRank]])
      - 1
  )</f>
        <v>3</v>
      </c>
      <c r="DM5" s="186">
        <f ca="1">IF(
    factorsTable[[#This Row],[filteredIndex]] = "",
    "",
    _xlfn.XLOOKUP(
      factorsTable[[#This Row],[index]],
      factorsTable[uniqueRank],
      factorsTable[filteredIndex],#REF!,
      0
    )
  )</f>
        <v>3</v>
      </c>
      <c r="DN5" s="186" t="str" cm="1">
        <f t="array" aca="1" ref="DN5" ca="1">IF(
    factorsTable[[#This Row],[sortedIndex]] = "",
    "",
    KeepBlanksFunction(
      _xlfn.XLOOKUP(
        factorsTable[[#This Row],[sortedIndex]],
        factorsConfigTable[index],
        INDEX(
          factorsConfigTable[],
          0,
          MATCH(
            chartLanguage,
            languageHeadersList,
            0
          )
          + MATCH(factorsConfigTable[[#Headers],[lang1]], factorsConfigTable[#Headers], 0)
          - 1
        ),#REF!,
        0
      )
    )
  )</f>
        <v>Planificación de acciones</v>
      </c>
      <c r="DO5" s="186" t="str" cm="1">
        <f t="array" aca="1" ref="DO5" ca="1">IF(
    factorsTable[[#This Row],[sortedIndex]] = "",
    "",
    IF(
      factorsTable[[#This Row],[langSpecFactor]] = "",
      UITranslateForValueTable("noTranslation", UITranslationTable[tag], UITranslationTable[], UITranslationTable[#Headers]),
      factorsTable[[#This Row],[langSpecFactor]]
    )
  )</f>
        <v>Planificación de acciones</v>
      </c>
      <c r="DP5" s="186" t="str">
        <f ca="1">IF(
    factorsTable[[#This Row],[sortedIndex]] = "",
    "",
    _xlfn.XLOOKUP(
      _xlfn.XLOOKUP(
        factorsTable[[#This Row],[sortedIndex]],
        factorsConfigTable[index],
        factorsConfigTable[RANASBlock],#REF!,
        0
      ),
      RANASBlocksTable[label],
      RANASBlocksTable[tag],
      NA(),
      0
    )
  )</f>
        <v>selfRegulation</v>
      </c>
      <c r="DQ5" s="186" t="str" cm="1">
        <f t="array" aca="1" ref="DQ5" ca="1">IF(
    factorsTable[[#This Row],[sortedIndex]] = "",
    "",
    _xlfn.IFNA(
      _xlfn.XLOOKUP(factorsTable[[#This Row],[RANASTag]], RANASBlocksTable[tag], RANASBlocksTable[langSpecLabel]),
      UITranslateForValueTable("noRANASBlock", UITranslationTable[tag], UITranslationTable[], UITranslationTable[#Headers])
    )
  )</f>
        <v>Auto‐regulación</v>
      </c>
      <c r="DR5" s="186" t="str">
        <f ca="1">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Planificación de acciones
[Auto‐regulación]</v>
      </c>
      <c r="DS5" s="186">
        <f ca="1">IF(
    factorsTable[[#This Row],[sortedIndex]] = "",
    "",
    _xlfn.XLOOKUP(factorsTable[[#This Row],[sortedIndex]], factorsTable[index], factorsTable[numTotal])
  )</f>
        <v>258</v>
      </c>
      <c r="DT5" s="186">
        <f ca="1">IF(
    factorsTable[[#This Row],[sortedIndex]] = "",
    "",
    _xlfn.XLOOKUP(factorsTable[[#This Row],[sortedIndex]], factorsTable[index], factorsTable[nondoers])
  )</f>
        <v>0.69387755102040805</v>
      </c>
      <c r="DU5" s="186">
        <f ca="1">IF(
    factorsTable[[#This Row],[sortedIndex]] = "",
    "",
    _xlfn.XLOOKUP(factorsTable[[#This Row],[sortedIndex]], factorsTable[index], factorsTable[doers])
  )</f>
        <v>0.85885885885885915</v>
      </c>
      <c r="DV5" s="186">
        <f ca="1">IF(
    factorsTable[[#This Row],[sortedIndex]] = "",
    "",
    _xlfn.XLOOKUP(factorsTable[[#This Row],[sortedIndex]], factorsTable[index], factorsTable[difference])
  )</f>
        <v>0.16498130783845111</v>
      </c>
    </row>
    <row r="6" spans="5:126" ht="14.4" customHeight="1" x14ac:dyDescent="0.3">
      <c r="E6" s="196" cm="1">
        <f t="array" ref="E6">ROW()-ROW(UITranslationTable[#Headers])</f>
        <v>4</v>
      </c>
      <c r="F6" s="11"/>
      <c r="G6" s="185"/>
      <c r="H6" s="185"/>
      <c r="J6" s="3" cm="1">
        <f t="array" ref="J6">ROW()-ROW(errorMessagesTable[#Headers])</f>
        <v>4</v>
      </c>
      <c r="K6" s="3" t="s">
        <v>1068</v>
      </c>
      <c r="L6" s="14" t="b" cm="1">
        <f t="array" aca="1" ref="L6" ca="1">errorDataHeaderSpace</f>
        <v>0</v>
      </c>
      <c r="M6" s="11" t="str" cm="1">
        <f t="array" ref="M6">"Spaces were detected in the headers of your """ &amp; sheetNameData &amp; """ sheet. In case of problems, if you exported your data from KoboToolbox, make sure that you selected the option ""XML values and headers"" before exporting."</f>
        <v>Spaces were detected in the headers of your "data" sheet. In case of problems, if you exported your data from KoboToolbox, make sure that you selected the option "XML values and headers" before exporting.</v>
      </c>
      <c r="N6" s="11" t="str" cm="1">
        <f t="array" ref="N6">"Des espaces ont été détectées dans les en-têtes de votre feuille «" &amp; sheetNameData &amp; "». En cas de problèmes, si vous avez exporté vos données depuis KoboToolbox, assurez-vous d'avoir sélectionné l'option «Valeurs et en-tête XML» avant d'exporter."</f>
        <v>Des espaces ont été détectées dans les en-têtes de votre feuille «data». En cas de problèmes, si vous avez exporté vos données depuis KoboToolbox, assurez-vous d'avoir sélectionné l'option «Valeurs et en-tête XML» avant d'exporter.</v>
      </c>
      <c r="O6" s="3" t="str" cm="1">
        <f t="array" aca="1" ref="O6" ca="1">FilterTrueColumn(errorMessagesTable[[#This Row],[index]], errorMessagesTable[index], errorMessagesTable[filteredIndex], errorMessagesTable[condition])</f>
        <v/>
      </c>
      <c r="P6" s="11" t="str" cm="1">
        <f t="array" aca="1" ref="P6"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6" s="11" t="str" cm="1">
        <f t="array" aca="1" ref="Q6" ca="1">IF(
    errorMessagesTable[[#This Row],[filteredIndex]] = "",
    "",
    IF(
      errorMessagesTable[[#This Row],[index]] = 1,
      "",
      INDEX(errorMessagesTable[concatErrors], errorMessagesTable[[#This Row],[index]]-1)
      &amp; CHAR(10) &amp; CHAR(10)
    )
    &amp; INDEX(errorMessagesTable[langSpecError], errorMessagesTable[[#This Row],[index]])
  )</f>
        <v/>
      </c>
      <c r="S6" s="186" cm="1">
        <f t="array" ref="S6">ROW()-ROW(manualEntryVariablesTable[#Headers])</f>
        <v>4</v>
      </c>
      <c r="T6" s="3" t="s">
        <v>944</v>
      </c>
      <c r="U6" s="195" t="s">
        <v>945</v>
      </c>
      <c r="W6" s="186" cm="1">
        <f t="array" ref="W6">ROW()-ROW(structuredFormulaeTable[#Headers])</f>
        <v>4</v>
      </c>
      <c r="X6" s="3" t="s">
        <v>1061</v>
      </c>
      <c r="Y6" s="3" t="s">
        <v>1114</v>
      </c>
      <c r="AA6" s="187" t="s">
        <v>1118</v>
      </c>
      <c r="AB6" s="187" t="s">
        <v>1120</v>
      </c>
      <c r="AD6" s="14" cm="1">
        <f t="array" ref="AD6">ROW()-ROW(languageTable[#Headers])</f>
        <v>4</v>
      </c>
      <c r="AE6" s="14" t="str" cm="1">
        <f t="array" ref="AE6">KeepBlanksFunction(INDEX(languageHeadersList, languageTable[[#This Row],[index]]))</f>
        <v/>
      </c>
      <c r="AF6" s="14" t="b">
        <f>languageTable[[#This Row],[languageHeaders]] &lt;&gt; ""</f>
        <v>0</v>
      </c>
      <c r="AG6" s="14" t="str" cm="1">
        <f t="array" ref="AG6">FilterTrueColumn(languageTable[[#This Row],[index]], languageTable[index], languageTable[filteredIndex], languageTable[hasValue])</f>
        <v/>
      </c>
      <c r="AH6" s="14" t="str" cm="1">
        <f t="array" ref="AH6">IFERROR(
    INDEX(languageTable[languageHeaders], languageTable[[#This Row],[filteredIndex]]),
    ""
  )</f>
        <v/>
      </c>
      <c r="AN6" s="3" cm="1">
        <f t="array" ref="AN6">ROW()-ROW(RANASBlocksTable[#Headers])</f>
        <v>4</v>
      </c>
      <c r="AO6" s="3" t="s">
        <v>729</v>
      </c>
      <c r="AP6" s="3" t="str">
        <f>_xlfn.XLOOKUP(RANASBlocksTable[[#This Row],[tag]], chartTranslationTable[tag], chartTranslationTable[lang1])
 &amp; " / "
 &amp; _xlfn.XLOOKUP(RANASBlocksTable[[#This Row],[tag]], chartTranslationTable[tag], chartTranslationTable[lang2])</f>
        <v>Abilities / Capacités</v>
      </c>
      <c r="AQ6" s="3" t="str">
        <f>_xlfn.XLOOKUP(RANASBlocksTable[[#This Row],[tag]], chartTranslationTable[tag], chartTranslationTable[displayedText])</f>
        <v>Habilidad</v>
      </c>
      <c r="AS6" s="3" cm="1">
        <f t="array" ref="AS6">ROW()-ROW(sortMenuTable[#Headers])</f>
        <v>4</v>
      </c>
      <c r="AT6" s="3" t="s">
        <v>710</v>
      </c>
      <c r="AU6" s="3" t="s">
        <v>710</v>
      </c>
      <c r="AY6" s="3" cm="1">
        <f t="array" ref="AY6">ROW()-ROW(behaviourTable[#Headers])</f>
        <v>4</v>
      </c>
      <c r="AZ6" s="3" t="str" cm="1">
        <f t="array" ref="AZ6">KeepBlanksFunction(
    _xlfn.XLOOKUP(
      behaviourTable[[#This Row],[index]],
      behaviourConfigTable[index],
      behaviourConfigTable[behaviourHeader],#REF!,
      0
    )
  )</f>
        <v>behaviour4</v>
      </c>
      <c r="BA6" s="3" t="str">
        <f>IF(
    behaviourTable[[#This Row],[behaviourHeader]] = "",
    "",
    _xlfn.XLOOKUP(
      _xlfn.XLOOKUP(
        behaviourTable[[#This Row],[index]],
        behaviourConfigTable[index],
        behaviourConfigTable[includeConfig],#REF!,
        0
      ),
      yesNoTable[label],
      yesNoTable[tag],
      "",
      0
    )
  )</f>
        <v>no</v>
      </c>
      <c r="BB6" s="3" t="b">
        <f>IF(
    behaviourTable[[#This Row],[behaviourHeader]] = "",
    FALSE,
    IF(
      behaviourTable[[#This Row],[includeConfig]] = "yes",
      TRUE,
      IF(
        behaviourTable[[#This Row],[includeConfig]] = "no",
        FALSE,
        NA()
      )
    )
  )</f>
        <v>0</v>
      </c>
      <c r="BC6" s="3">
        <f ca="1">IF(
    behaviourTable[[#This Row],[behaviourHeader]] = "",
    "",
    _xlfn.IFNA(
      MATCH(behaviourTable[[#This Row],[behaviourHeader]], dataHeaders, 0),
      _xlfn.IFNA(
        MATCH("*/" &amp; behaviourTable[[#This Row],[behaviourHeader]], dataHeaders, 0),
        MATCH("*-" &amp; behaviourTable[[#This Row],[behaviourHeader]], dataHeaders, 0)
      )
    )
  )</f>
        <v>12</v>
      </c>
      <c r="BD6" s="3">
        <f>IF(
    behaviourTable[[#This Row],[behaviourHeader]] = "",
    "",
    _xlfn.LET(
      _xlpm.tableValue,
      _xlfn.XLOOKUP(
        behaviourTable[[#This Row],[index]],
        behaviourConfigTable[index],
        behaviourConfigTable[minScore],#REF!,
        0
      ),
      _xlpm.storedValue,
      IF(
        _xlpm.tableValue = "",
        NA(),
        _xlpm.tableValue
      ),
      _xlpm.storedValue
    )
  )</f>
        <v>1</v>
      </c>
      <c r="BE6" s="3">
        <f>IF(
    behaviourTable[[#This Row],[behaviourHeader]] = "",
    "",
    _xlfn.LET(
      _xlpm.tableValue,
      _xlfn.XLOOKUP(
        behaviourTable[[#This Row],[index]],
        behaviourConfigTable[index],
        behaviourConfigTable[maxScore],#REF!,
        0
      ),
      _xlpm.storedValue,
      IF(
        _xlpm.tableValue = "",
        NA(),
        _xlpm.tableValue
      ),
      _xlpm.storedValue
    )
  )</f>
        <v>5</v>
      </c>
      <c r="BF6" s="3">
        <f ca="1">IF(
    behaviourTable[[#This Row],[behaviourHeader]] = "",
    "",
    MIN(behaviourDataForIndex(behaviourTable[[#This Row],[index]]))
  )</f>
        <v>1</v>
      </c>
      <c r="BG6" s="3">
        <f ca="1">IF(
    behaviourTable[[#This Row],[behaviourHeader]] = "",
    "",
    MAX(behaviourDataForIndex(behaviourTable[[#This Row],[index]]))
  )</f>
        <v>4</v>
      </c>
      <c r="BH6" s="3" t="b" cm="1">
        <f t="array" aca="1" ref="BH6" ca="1">AND(
    NOT(errorNoDataSheet),
    behaviourTable[[#This Row],[behaviourHeader]] &lt;&gt; "",
    NOT(ISERROR(behaviourTable[[#This Row],[behaviourColNum]])),
    IFERROR(behaviourTable[[#This Row],[include]], FALSE),
    IFERROR(behaviourTable[[#This Row],[minValue]] &lt; behaviourTable[[#This Row],[minScore]], FALSE)
  )</f>
        <v>0</v>
      </c>
      <c r="BI6" s="3" t="b" cm="1">
        <f t="array" aca="1" ref="BI6" ca="1">AND(
    NOT(errorNoDataSheet),
    behaviourTable[[#This Row],[behaviourHeader]] &lt;&gt; "",
    NOT(ISERROR(behaviourTable[[#This Row],[behaviourColNum]])),
    IFERROR(behaviourTable[[#This Row],[include]], FALSE),
    IFERROR(behaviourTable[[#This Row],[maxValue]] &gt; behaviourTable[[#This Row],[maxScore]], FALSE)
  )</f>
        <v>0</v>
      </c>
      <c r="BJ6" s="3" cm="1">
        <f t="array" aca="1" ref="BJ6" ca="1">IF(
    behaviourTable[[#This Row],[behaviourHeader]] = "",
    "",
    IF(
      ISERROR(behaviourTable[[#This Row],[behaviourColNum]]),
      UITranslateForValueTable("dataNotFound", UITranslationTable[tag], UITranslationTable[], UITranslationTable[#Headers]),
      SUMPRODUCT(--(behaviourDataForIndex(behaviourTable[[#This Row],[index]]) &lt;&gt; ""))
    )
  )</f>
        <v>258</v>
      </c>
      <c r="BK6" s="3" cm="1">
        <f t="array" aca="1" ref="BK6" ca="1">IF(
    behaviourTable[[#This Row],[behaviourHeader]] = "",
    "",
    IF(
      ISERROR(behaviourTable[[#This Row],[behaviourColNum]]),
      UITranslateForValueTable("dataNotFound", UITranslationTable[tag], UITranslationTable[], UITranslationTable[#Headers]),
      numEntries - behaviourTable[[#This Row],[numResponses]]
    )
  )</f>
        <v>0</v>
      </c>
      <c r="BM6" s="3">
        <f ca="1"/>
        <v>5</v>
      </c>
      <c r="BN6" s="3">
        <f ca="1"/>
        <v>20</v>
      </c>
      <c r="BO6" s="3">
        <f ca="1"/>
        <v>3</v>
      </c>
      <c r="BP6" s="3">
        <f ca="1"/>
        <v>4</v>
      </c>
      <c r="BR6" s="3">
        <f ca="1"/>
        <v>3</v>
      </c>
      <c r="BS6" s="3">
        <f ca="1"/>
        <v>3</v>
      </c>
      <c r="BT6" s="3">
        <f ca="1"/>
        <v>1</v>
      </c>
      <c r="BU6" s="3" t="b">
        <f ca="1"/>
        <v>1</v>
      </c>
      <c r="BW6" s="190" cm="1">
        <f t="array" ref="BW6">ROW()-ROW(cutoffTable[#Headers])</f>
        <v>4</v>
      </c>
      <c r="BX6" s="191">
        <v>0.4</v>
      </c>
      <c r="BY6" s="3" t="s">
        <v>904</v>
      </c>
      <c r="BZ6" s="3" cm="1">
        <f t="array" aca="1" ref="BZ6" ca="1">SUMPRODUCT(
    (behaviourScore &lt;&gt; "")
  * (behaviourScore &gt;= IF(cutoffTable[[#This Row],[index]] = 1, 0, INDEX(cutoffTable[cutoffLevel], cutoffTable[[#This Row],[index]]-1)))
  * IF(
      cutoffTable[[#This Row],[cutoffLevel]] = 1,
      behaviourScore &lt;= 1,
      behaviourScore &lt; cutoffTable[[#This Row],[cutoffLevel]]
    )
  )</f>
        <v>29</v>
      </c>
      <c r="CA6" s="3" cm="1">
        <f t="array" aca="1" ref="CA6" ca="1">SUMPRODUCT(
    (behaviourScore &lt;&gt; "")
  * (behaviourScore &gt;= IF(cutoffTable[[#This Row],[index]] = 1, 0, INDEX(cutoffTable[cutoffLevel], cutoffTable[[#This Row],[index]]-1)))
  * IF(
      cutoffTable[[#This Row],[cutoffLevel]] = 1,
      behaviourScore &lt;= 1,
      behaviourScore &lt; cutoffTable[[#This Row],[cutoffLevel]]
    )
  * (behaviourScore &lt; cutoffLevel)
  )</f>
        <v>29</v>
      </c>
      <c r="CB6" s="3" cm="1">
        <f t="array" aca="1" ref="CB6" ca="1">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6" s="3" cm="1">
        <f t="array" ref="CD6">ROW()-ROW(recommendedCutoffTable[#Headers])</f>
        <v>4</v>
      </c>
      <c r="CE6" s="192">
        <f>(recommendedCutoffTable[[#This Row],[index]] - 1) / 100</f>
        <v>0.03</v>
      </c>
      <c r="CF6" s="3" cm="1">
        <f t="array" aca="1" ref="CF6" ca="1">ABS(
    numScores
  - 2 * SUMPRODUCT((behaviourScore &lt;&gt; "") * (behaviourScore &lt; recommendedCutoffTable[[#This Row],[cutoffLevel]]))
  )</f>
        <v>258</v>
      </c>
      <c r="CM6" s="3" cm="1">
        <f t="array" ref="CM6">ROW()-ROW(factorsTable[#Headers])</f>
        <v>4</v>
      </c>
      <c r="CN6" s="3" t="str" cm="1">
        <f t="array" ref="CN6">KeepBlanksFunction(
    _xlfn.XLOOKUP(
      factorsTable[[#This Row],[index]],
      factorsConfigTable[index],
      factorsConfigTable[factorHeader],#REF!,
      0
    )
  )</f>
        <v>barrier1</v>
      </c>
      <c r="CO6" s="3">
        <f ca="1">IF(
    factorsTable[[#This Row],[factorHeader]] = "",
    "",
    _xlfn.IFNA(
      MATCH(factorsTable[[#This Row],[factorHeader]], dataHeaders, 0),
      _xlfn.IFNA(
        MATCH("*/" &amp; factorsTable[[#This Row],[factorHeader]], dataHeaders, 0),
        MATCH("*-" &amp; factorsTable[[#This Row],[factorHeader]], dataHeaders, 0)
      )
    )
  )</f>
        <v>16</v>
      </c>
      <c r="CP6" s="3">
        <f>IF(
    factorsTable[[#This Row],[factorHeader]] = "",
    "",
    _xlfn.LET(
      _xlpm.tableValue,
      _xlfn.XLOOKUP(
        factorsTable[[#This Row],[index]],
        factorsConfigTable[index],
        factorsConfigTable[minScore],#REF!,
        0
      ),
      _xlpm.storedValue,
      IF(
        _xlpm.tableValue = "",
        NA(),
        _xlpm.tableValue
      ),
      _xlpm.storedValue
    )
  )</f>
        <v>1</v>
      </c>
      <c r="CQ6" s="3">
        <f>IF(
    factorsTable[[#This Row],[factorHeader]] = "",
    "",
    _xlfn.LET(
      _xlpm.tableValue,
      _xlfn.XLOOKUP(
        factorsTable[[#This Row],[index]],
        factorsConfigTable[index],
        factorsConfigTable[maxScore],#REF!,
        0
      ),
      _xlpm.storedValue,
      IF(
        _xlpm.tableValue = "",
        NA(),
        _xlpm.tableValue
      ),
      _xlpm.storedValue
    )
  )</f>
        <v>5</v>
      </c>
      <c r="CR6" s="3">
        <f ca="1">IF(
    factorsTable[[#This Row],[factorHeader]] = "",
    "",
    IF(
      ISERROR(factorsTable[[#This Row],[factorColNum]]),
      NA(),
      IF(
        ISNA(INDEX(dataRange,1,1)),
        NA(),
        MIN(INDEX(dataRange, , factorsTable[[#This Row],[factorColNum]]))
      )
    )
  )</f>
        <v>1</v>
      </c>
      <c r="CS6" s="3">
        <f ca="1">IF(
    factorsTable[[#This Row],[factorHeader]] = "",
    "",
    IF(
      ISERROR(factorsTable[[#This Row],[factorColNum]]),
      NA(),
      IF(
        ISNA(INDEX(dataRange,1,1)),
        NA(),
        MAX(INDEX(dataRange, , factorsTable[[#This Row],[factorColNum]]))
      )
    )
  )</f>
        <v>5</v>
      </c>
      <c r="CT6" s="3" t="b" cm="1">
        <f t="array" aca="1" ref="CT6" ca="1">AND(
    NOT(errorNoDataSheet),
    factorsTable[[#This Row],[factorHeader]] &lt;&gt; "",
    NOT(ISERROR(factorsTable[[#This Row],[factorColNum]])),
    IFERROR(factorsTable[[#This Row],[display]], FALSE),
    IFERROR(factorsTable[[#This Row],[minValue]] &lt; factorsTable[[#This Row],[minScore]], FALSE)
  )</f>
        <v>0</v>
      </c>
      <c r="CU6" s="3" t="b" cm="1">
        <f t="array" aca="1" ref="CU6" ca="1">AND(
    NOT(errorNoDataSheet),
    factorsTable[[#This Row],[factorHeader]] &lt;&gt; "",
    NOT(ISERROR(factorsTable[[#This Row],[factorColNum]])),
    IFERROR(factorsTable[[#This Row],[display]], FALSE),
    IFERROR(factorsTable[[#This Row],[maxValue]] &gt; factorsTable[[#This Row],[maxScore]], FALSE)
  )</f>
        <v>0</v>
      </c>
      <c r="CV6" s="3" cm="1">
        <f t="array" aca="1" ref="CV6" ca="1">IF(
    factorsTable[[#This Row],[factorHeader]] = "",
    "",
    IF(
      ISNA(INDEX(dataRange,1,1)),
      NA(),
      SUMPRODUCT(
          IF(isDoer = "", 0, NOT(isDoer))
        * (INDEX(dataRange, , factorsTable[[#This Row],[factorColNum]]) &lt;&gt; "")
      )
    )
  )</f>
        <v>147</v>
      </c>
      <c r="CW6" s="3" cm="1">
        <f t="array" aca="1" ref="CW6" ca="1">IF(
    factorsTable[[#This Row],[factorHeader]] = "",
    "",
    IF(
      ISNA(INDEX(dataRange,1,1)),
      NA(),
      SUMPRODUCT(
          IF(isDoer = "", 0, isDoer)
        * (INDEX(dataRange, , factorsTable[[#This Row],[factorColNum]]) &lt;&gt; "")
      )
    )
  )</f>
        <v>111</v>
      </c>
      <c r="CX6" s="3" cm="1">
        <f t="array" aca="1" ref="CX6" ca="1">IF(
    factorsTable[[#This Row],[factorHeader]] = "",
    "",
    IF(
      ISERROR(factorsTable[[#This Row],[factorColNum]]),
      UITranslateForValueTable("dataNotFound", UITranslationTable[tag], UITranslationTable[], UITranslationTable[#Headers]),
      factorsTable[[#This Row],[numDoers]] + factorsTable[[#This Row],[numNondoers]]
    )
  )</f>
        <v>258</v>
      </c>
      <c r="CY6" s="3" cm="1">
        <f t="array" aca="1" ref="CY6"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0.25170068027210885</v>
      </c>
      <c r="CZ6" s="3" cm="1">
        <f t="array" aca="1" ref="CZ6"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0.17117117117117117</v>
      </c>
      <c r="DA6" s="3">
        <f ca="1">IF(
    factorsTable[[#This Row],[factorHeader]] = "",
    "",
    factorsTable[[#This Row],[doers]] - factorsTable[[#This Row],[nondoers]]
  )</f>
        <v>-8.0529509100937674E-2</v>
      </c>
      <c r="DB6" s="3" t="str">
        <f>IF(
    factorsTable[[#This Row],[factorHeader]] = "",
    "",
    _xlfn.XLOOKUP(
      _xlfn.XLOOKUP(
        factorsTable[[#This Row],[index]],
        factorsConfigTable[index],
        factorsConfigTable[displayConfig],#REF!,
        0
      ),
      yesNoTable[label],
      yesNoTable[tag],
      "",
      0
    )
  )</f>
        <v>yes</v>
      </c>
      <c r="DC6" s="186" t="b">
        <f>IF(
    factorsTable[[#This Row],[factorHeader]] = "",
    FALSE,
    IF(
      factorsTable[[#This Row],[displayConfig]] = "yes",
      TRUE,
      IF(
        factorsTable[[#This Row],[displayConfig]] = "no",
        FALSE,
        NA()
      )
    )
  )</f>
        <v>1</v>
      </c>
      <c r="DD6" s="186" cm="1">
        <f t="array" ref="DD6">FilterTrueColumn(factorsTable[[#This Row],[index]], factorsTable[index], factorsTable[filteredIndex], factorsTable[display])</f>
        <v>4</v>
      </c>
      <c r="DE6" s="186">
        <f ca="1">IF(
    factorsTable[[#This Row],[filteredIndex]] = "",
    "",
    _xlfn.IFNA(
      _xlfn.XLOOKUP(factorsTable[[#This Row],[filteredIndex]], factorsTable[index], factorsTable[difference]),
      -99
    )
  )</f>
        <v>-8.0529509100937674E-2</v>
      </c>
      <c r="DF6" s="186">
        <f ca="1">IF(
    factorsTable[[#This Row],[filteredIndex]] = "",
    "",
    IF(
      factorsTable[[#This Row],[relDiff]] = -99,
      -99,
      ABS(factorsTable[[#This Row],[relDiff]])
    )
  )</f>
        <v>8.0529509100937674E-2</v>
      </c>
      <c r="DG6" s="186">
        <f>IF(
    factorsTable[[#This Row],[filteredIndex]] = "",
    "",
    _xlfn.XLOOKUP(
      _xlfn.XLOOKUP(
        factorsTable[[#This Row],[filteredIndex]],
        factorsConfigTable[index],
        factorsConfigTable[RANASBlock],#REF!,
        0
      ),
      RANASBlocksTable[label],
      RANASBlocksTable[index],
      6,
      0
    )
  )</f>
        <v>5</v>
      </c>
      <c r="DH6" s="186">
        <f ca="1">IF(
    factorsTable[[#This Row],[filteredIndex]] = "",
    "",
    _xlfn.RANK.EQ(factorsTable[[#This Row],[relDiff]], factorsTable[relDiff], 0)
  )</f>
        <v>15</v>
      </c>
      <c r="DI6" s="186">
        <f ca="1">IF(
    factorsTable[[#This Row],[filteredIndex]] = "",
    "",
    _xlfn.RANK.EQ(factorsTable[[#This Row],[absDiff]], factorsTable[absDiff], 0)
  )</f>
        <v>13</v>
      </c>
      <c r="DJ6" s="186">
        <f>IF(
    factorsTable[[#This Row],[filteredIndex]] = "",
    "",
    _xlfn.RANK.EQ(factorsTable[[#This Row],[RANASIndex]], factorsTable[RANASIndex], 1)
  )</f>
        <v>14</v>
      </c>
      <c r="DK6" s="186" cm="1">
        <f t="array" aca="1" ref="DK6" ca="1">_xlfn.SWITCH(
    sortingMethodTag,
    "none", factorsTable[[#This Row],[filteredIndex]],
    "relDiff", factorsTable[[#This Row],[relDiffRank]],
    "absDiff", factorsTable[[#This Row],[absDiffRank]],
    "RANAS", factorsTable[[#This Row],[RANASRank]],
    factorsTable[[#This Row],[filteredIndex]]
  )</f>
        <v>13</v>
      </c>
      <c r="DL6" s="186">
        <f ca="1">IF(
    factorsTable[[#This Row],[filteredIndex]] = "",
    "",
    factorsTable[[#This Row],[selectedRank]]
      + COUNTIF(INDEX(factorsTable[selectedRank], 1):INDEX(factorsTable[selectedRank], factorsTable[[#This Row],[index]]), factorsTable[[#This Row],[selectedRank]])
      - 1
  )</f>
        <v>13</v>
      </c>
      <c r="DM6" s="186">
        <f ca="1">IF(
    factorsTable[[#This Row],[filteredIndex]] = "",
    "",
    _xlfn.XLOOKUP(
      factorsTable[[#This Row],[index]],
      factorsTable[uniqueRank],
      factorsTable[filteredIndex],#REF!,
      0
    )
  )</f>
        <v>11</v>
      </c>
      <c r="DN6" s="186" t="str" cm="1">
        <f t="array" aca="1" ref="DN6" ca="1">IF(
    factorsTable[[#This Row],[sortedIndex]] = "",
    "",
    KeepBlanksFunction(
      _xlfn.XLOOKUP(
        factorsTable[[#This Row],[sortedIndex]],
        factorsConfigTable[index],
        INDEX(
          factorsConfigTable[],
          0,
          MATCH(
            chartLanguage,
            languageHeadersList,
            0
          )
          + MATCH(factorsConfigTable[[#Headers],[lang1]], factorsConfigTable[#Headers], 0)
          - 1
        ),#REF!,
        0
      )
    )
  )</f>
        <v>Conocimiento de salud</v>
      </c>
      <c r="DO6" s="186" t="str" cm="1">
        <f t="array" aca="1" ref="DO6" ca="1">IF(
    factorsTable[[#This Row],[sortedIndex]] = "",
    "",
    IF(
      factorsTable[[#This Row],[langSpecFactor]] = "",
      UITranslateForValueTable("noTranslation", UITranslationTable[tag], UITranslationTable[], UITranslationTable[#Headers]),
      factorsTable[[#This Row],[langSpecFactor]]
    )
  )</f>
        <v>Conocimiento de salud</v>
      </c>
      <c r="DP6" s="186" t="str">
        <f ca="1">IF(
    factorsTable[[#This Row],[sortedIndex]] = "",
    "",
    _xlfn.XLOOKUP(
      _xlfn.XLOOKUP(
        factorsTable[[#This Row],[sortedIndex]],
        factorsConfigTable[index],
        factorsConfigTable[RANASBlock],#REF!,
        0
      ),
      RANASBlocksTable[label],
      RANASBlocksTable[tag],
      NA(),
      0
    )
  )</f>
        <v>risks</v>
      </c>
      <c r="DQ6" s="186" t="str" cm="1">
        <f t="array" aca="1" ref="DQ6" ca="1">IF(
    factorsTable[[#This Row],[sortedIndex]] = "",
    "",
    _xlfn.IFNA(
      _xlfn.XLOOKUP(factorsTable[[#This Row],[RANASTag]], RANASBlocksTable[tag], RANASBlocksTable[langSpecLabel]),
      UITranslateForValueTable("noRANASBlock", UITranslationTable[tag], UITranslationTable[], UITranslationTable[#Headers])
    )
  )</f>
        <v>Riesgo</v>
      </c>
      <c r="DR6" s="186" t="str">
        <f ca="1">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Conocimiento de salud
[Riesgo]</v>
      </c>
      <c r="DS6" s="186">
        <f ca="1">IF(
    factorsTable[[#This Row],[sortedIndex]] = "",
    "",
    _xlfn.XLOOKUP(factorsTable[[#This Row],[sortedIndex]], factorsTable[index], factorsTable[numTotal])
  )</f>
        <v>258</v>
      </c>
      <c r="DT6" s="186">
        <f ca="1">IF(
    factorsTable[[#This Row],[sortedIndex]] = "",
    "",
    _xlfn.XLOOKUP(factorsTable[[#This Row],[sortedIndex]], factorsTable[index], factorsTable[nondoers])
  )</f>
        <v>0.26899092970521543</v>
      </c>
      <c r="DU6" s="186">
        <f ca="1">IF(
    factorsTable[[#This Row],[sortedIndex]] = "",
    "",
    _xlfn.XLOOKUP(factorsTable[[#This Row],[sortedIndex]], factorsTable[index], factorsTable[doers])
  )</f>
        <v>0.40090090090090125</v>
      </c>
      <c r="DV6" s="186">
        <f ca="1">IF(
    factorsTable[[#This Row],[sortedIndex]] = "",
    "",
    _xlfn.XLOOKUP(factorsTable[[#This Row],[sortedIndex]], factorsTable[index], factorsTable[difference])
  )</f>
        <v>0.13190997119568582</v>
      </c>
    </row>
    <row r="7" spans="5:126" ht="14.4" customHeight="1" x14ac:dyDescent="0.3">
      <c r="E7" s="11" cm="1">
        <f t="array" ref="E7">ROW()-ROW(UITranslationTable[#Headers])</f>
        <v>5</v>
      </c>
      <c r="F7" s="185" t="s">
        <v>923</v>
      </c>
      <c r="G7" s="185" t="s">
        <v>632</v>
      </c>
      <c r="H7" s="185" t="s">
        <v>633</v>
      </c>
      <c r="J7" s="3" cm="1">
        <f t="array" ref="J7">ROW()-ROW(errorMessagesTable[#Headers])</f>
        <v>5</v>
      </c>
      <c r="K7" s="3" t="s">
        <v>1069</v>
      </c>
      <c r="L7" s="3" t="b" cm="1">
        <f t="array" aca="1" ref="L7" ca="1">errorBehaviourHeader</f>
        <v>0</v>
      </c>
      <c r="M7" s="185" t="str" cm="1">
        <f t="array" ref="M7">"Some data headers selected in the ""Behaviour"" table (red cells) cannot be found in the """ &amp; sheetNameData &amp; """ sheet. Make sure that these data headers are accurately entered in the table (no typos, no spaces) or deselect them by choosing the cross mark (" &amp; noLabel &amp; ") from the drop-down menu in the ""Include?"" column."</f>
        <v>Some data headers selected in the "Behaviour" table (red cells) cannot be found in the "data" sheet. Make sure that these data headers are accurately entered in the table (no typos, no spaces) or deselect them by choosing the cross mark (✘) from the drop-down menu in the "Include?" column.</v>
      </c>
      <c r="N7" s="185" t="str" cm="1">
        <f t="array" ref="N7">"Certains en-têtes de données sélectionnés dans le tableau «Comportement» (cellules rouges) sont introuvables sur la feuille «" &amp; sheetNameData &amp; "». Veuillez vérifier que ces en-têtes sont saisis précisément dans le tableau (ni fautes de frappe, ni espaces) ou alors désélectionnez-les en choisissant la croix (" &amp; noLabel &amp; ") dans le menu déroulant de la colonne «Inclure?»."</f>
        <v>Certains en-têtes de données sélectionnés dans le tableau «Comportement» (cellules rouges) sont introuvables sur la feuille «data». Veuillez vérifier que ces en-têtes sont saisis précisément dans le tableau (ni fautes de frappe, ni espaces) ou alors désélectionnez-les en choisissant la croix (✘) dans le menu déroulant de la colonne «Inclure?».</v>
      </c>
      <c r="O7" s="3" t="str" cm="1">
        <f t="array" aca="1" ref="O7" ca="1">FilterTrueColumn(errorMessagesTable[[#This Row],[index]], errorMessagesTable[index], errorMessagesTable[filteredIndex], errorMessagesTable[condition])</f>
        <v/>
      </c>
      <c r="P7" s="11" t="str" cm="1">
        <f t="array" aca="1" ref="P7"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7" s="11" t="str" cm="1">
        <f t="array" aca="1" ref="Q7" ca="1">IF(
    errorMessagesTable[[#This Row],[filteredIndex]] = "",
    "",
    IF(
      errorMessagesTable[[#This Row],[index]] = 1,
      "",
      INDEX(errorMessagesTable[concatErrors], errorMessagesTable[[#This Row],[index]]-1)
      &amp; CHAR(10) &amp; CHAR(10)
    )
    &amp; INDEX(errorMessagesTable[langSpecError], errorMessagesTable[[#This Row],[index]])
  )</f>
        <v/>
      </c>
      <c r="S7" s="3" cm="1">
        <f t="array" ref="S7">ROW()-ROW(manualEntryVariablesTable[#Headers])</f>
        <v>5</v>
      </c>
      <c r="T7" s="3" t="s">
        <v>595</v>
      </c>
      <c r="U7" s="11">
        <v>1000</v>
      </c>
      <c r="W7" s="186" cm="1">
        <f t="array" ref="W7">ROW()-ROW(structuredFormulaeTable[#Headers])</f>
        <v>5</v>
      </c>
      <c r="X7" s="3" t="s">
        <v>1061</v>
      </c>
      <c r="Y7" s="3" t="s">
        <v>1085</v>
      </c>
      <c r="AA7" s="187" t="s">
        <v>1086</v>
      </c>
      <c r="AB7" s="187" t="s">
        <v>1112</v>
      </c>
      <c r="AD7" s="14" cm="1">
        <f t="array" ref="AD7">ROW()-ROW(languageTable[#Headers])</f>
        <v>5</v>
      </c>
      <c r="AE7" s="14" t="str" cm="1">
        <f t="array" ref="AE7">KeepBlanksFunction(INDEX(languageHeadersList, languageTable[[#This Row],[index]]))</f>
        <v/>
      </c>
      <c r="AF7" s="14" t="b">
        <f>languageTable[[#This Row],[languageHeaders]] &lt;&gt; ""</f>
        <v>0</v>
      </c>
      <c r="AG7" s="14" t="str" cm="1">
        <f t="array" ref="AG7">FilterTrueColumn(languageTable[[#This Row],[index]], languageTable[index], languageTable[filteredIndex], languageTable[hasValue])</f>
        <v/>
      </c>
      <c r="AH7" s="14" t="str" cm="1">
        <f t="array" ref="AH7">IFERROR(
    INDEX(languageTable[languageHeaders], languageTable[[#This Row],[filteredIndex]]),
    ""
  )</f>
        <v/>
      </c>
      <c r="AN7" s="3" cm="1">
        <f t="array" ref="AN7">ROW()-ROW(RANASBlocksTable[#Headers])</f>
        <v>5</v>
      </c>
      <c r="AO7" s="3" t="s">
        <v>731</v>
      </c>
      <c r="AP7" s="3" t="str">
        <f>_xlfn.XLOOKUP(RANASBlocksTable[[#This Row],[tag]], chartTranslationTable[tag], chartTranslationTable[lang1])
 &amp; " / "
 &amp; _xlfn.XLOOKUP(RANASBlocksTable[[#This Row],[tag]], chartTranslationTable[tag], chartTranslationTable[lang2])</f>
        <v>Self-regulation / Autorégulation</v>
      </c>
      <c r="AQ7" s="3" t="str">
        <f>_xlfn.XLOOKUP(RANASBlocksTable[[#This Row],[tag]], chartTranslationTable[tag], chartTranslationTable[displayedText])</f>
        <v>Auto‐regulación</v>
      </c>
      <c r="AY7" s="3" cm="1">
        <f t="array" ref="AY7">ROW()-ROW(behaviourTable[#Headers])</f>
        <v>5</v>
      </c>
      <c r="AZ7" s="3" t="str" cm="1">
        <f t="array" ref="AZ7">KeepBlanksFunction(
    _xlfn.XLOOKUP(
      behaviourTable[[#This Row],[index]],
      behaviourConfigTable[index],
      behaviourConfigTable[behaviourHeader],#REF!,
      0
    )
  )</f>
        <v/>
      </c>
      <c r="BA7" s="3" t="str">
        <f>IF(
    behaviourTable[[#This Row],[behaviourHeader]] = "",
    "",
    _xlfn.XLOOKUP(
      _xlfn.XLOOKUP(
        behaviourTable[[#This Row],[index]],
        behaviourConfigTable[index],
        behaviourConfigTable[includeConfig],#REF!,
        0
      ),
      yesNoTable[label],
      yesNoTable[tag],
      "",
      0
    )
  )</f>
        <v/>
      </c>
      <c r="BB7" s="3" t="b">
        <f>IF(
    behaviourTable[[#This Row],[behaviourHeader]] = "",
    FALSE,
    IF(
      behaviourTable[[#This Row],[includeConfig]] = "yes",
      TRUE,
      IF(
        behaviourTable[[#This Row],[includeConfig]] = "no",
        FALSE,
        NA()
      )
    )
  )</f>
        <v>0</v>
      </c>
      <c r="BC7" s="3" t="str">
        <f>IF(
    behaviourTable[[#This Row],[behaviourHeader]] = "",
    "",
    _xlfn.IFNA(
      MATCH(behaviourTable[[#This Row],[behaviourHeader]], dataHeaders, 0),
      _xlfn.IFNA(
        MATCH("*/" &amp; behaviourTable[[#This Row],[behaviourHeader]], dataHeaders, 0),
        MATCH("*-" &amp; behaviourTable[[#This Row],[behaviourHeader]], dataHeaders, 0)
      )
    )
  )</f>
        <v/>
      </c>
      <c r="BD7" s="3" t="str">
        <f>IF(
    behaviourTable[[#This Row],[behaviourHeader]] = "",
    "",
    _xlfn.LET(
      _xlpm.tableValue,
      _xlfn.XLOOKUP(
        behaviourTable[[#This Row],[index]],
        behaviourConfigTable[index],
        behaviourConfigTable[minScore],#REF!,
        0
      ),
      _xlpm.storedValue,
      IF(
        _xlpm.tableValue = "",
        NA(),
        _xlpm.tableValue
      ),
      _xlpm.storedValue
    )
  )</f>
        <v/>
      </c>
      <c r="BE7" s="3" t="str">
        <f>IF(
    behaviourTable[[#This Row],[behaviourHeader]] = "",
    "",
    _xlfn.LET(
      _xlpm.tableValue,
      _xlfn.XLOOKUP(
        behaviourTable[[#This Row],[index]],
        behaviourConfigTable[index],
        behaviourConfigTable[maxScore],#REF!,
        0
      ),
      _xlpm.storedValue,
      IF(
        _xlpm.tableValue = "",
        NA(),
        _xlpm.tableValue
      ),
      _xlpm.storedValue
    )
  )</f>
        <v/>
      </c>
      <c r="BF7" s="3" t="str">
        <f>IF(
    behaviourTable[[#This Row],[behaviourHeader]] = "",
    "",
    MIN(behaviourDataForIndex(behaviourTable[[#This Row],[index]]))
  )</f>
        <v/>
      </c>
      <c r="BG7" s="3" t="str">
        <f>IF(
    behaviourTable[[#This Row],[behaviourHeader]] = "",
    "",
    MAX(behaviourDataForIndex(behaviourTable[[#This Row],[index]]))
  )</f>
        <v/>
      </c>
      <c r="BH7" s="3" t="b" cm="1">
        <f t="array" aca="1" ref="BH7" ca="1">AND(
    NOT(errorNoDataSheet),
    behaviourTable[[#This Row],[behaviourHeader]] &lt;&gt; "",
    NOT(ISERROR(behaviourTable[[#This Row],[behaviourColNum]])),
    IFERROR(behaviourTable[[#This Row],[include]], FALSE),
    IFERROR(behaviourTable[[#This Row],[minValue]] &lt; behaviourTable[[#This Row],[minScore]], FALSE)
  )</f>
        <v>0</v>
      </c>
      <c r="BI7" s="3" t="b" cm="1">
        <f t="array" aca="1" ref="BI7" ca="1">AND(
    NOT(errorNoDataSheet),
    behaviourTable[[#This Row],[behaviourHeader]] &lt;&gt; "",
    NOT(ISERROR(behaviourTable[[#This Row],[behaviourColNum]])),
    IFERROR(behaviourTable[[#This Row],[include]], FALSE),
    IFERROR(behaviourTable[[#This Row],[maxValue]] &gt; behaviourTable[[#This Row],[maxScore]], FALSE)
  )</f>
        <v>0</v>
      </c>
      <c r="BJ7" s="3" t="str" cm="1">
        <f t="array" ref="BJ7">IF(
    behaviourTable[[#This Row],[behaviourHeader]] = "",
    "",
    IF(
      ISERROR(behaviourTable[[#This Row],[behaviourColNum]]),
      UITranslateForValueTable("dataNotFound", UITranslationTable[tag], UITranslationTable[], UITranslationTable[#Headers]),
      SUMPRODUCT(--(behaviourDataForIndex(behaviourTable[[#This Row],[index]]) &lt;&gt; ""))
    )
  )</f>
        <v/>
      </c>
      <c r="BK7" s="3" t="str" cm="1">
        <f t="array" ref="BK7">IF(
    behaviourTable[[#This Row],[behaviourHeader]] = "",
    "",
    IF(
      ISERROR(behaviourTable[[#This Row],[behaviourColNum]]),
      UITranslateForValueTable("dataNotFound", UITranslationTable[tag], UITranslationTable[], UITranslationTable[#Headers]),
      numEntries - behaviourTable[[#This Row],[numResponses]]
    )
  )</f>
        <v/>
      </c>
      <c r="BM7" s="3">
        <f ca="1"/>
        <v>5</v>
      </c>
      <c r="BN7" s="3">
        <f ca="1"/>
        <v>10</v>
      </c>
      <c r="BO7" s="3">
        <f ca="1"/>
        <v>2</v>
      </c>
      <c r="BP7" s="3">
        <f ca="1"/>
        <v>3</v>
      </c>
      <c r="BR7" s="3">
        <f ca="1"/>
        <v>2</v>
      </c>
      <c r="BS7" s="3">
        <f ca="1"/>
        <v>3</v>
      </c>
      <c r="BT7" s="3">
        <f ca="1"/>
        <v>0.66666666666666663</v>
      </c>
      <c r="BU7" s="3" t="b">
        <f ca="1"/>
        <v>1</v>
      </c>
      <c r="BW7" s="190" cm="1">
        <f t="array" ref="BW7">ROW()-ROW(cutoffTable[#Headers])</f>
        <v>5</v>
      </c>
      <c r="BX7" s="191">
        <v>0.5</v>
      </c>
      <c r="BY7" s="3" t="s">
        <v>905</v>
      </c>
      <c r="BZ7" s="3" cm="1">
        <f t="array" aca="1" ref="BZ7" ca="1">SUMPRODUCT(
    (behaviourScore &lt;&gt; "")
  * (behaviourScore &gt;= IF(cutoffTable[[#This Row],[index]] = 1, 0, INDEX(cutoffTable[cutoffLevel], cutoffTable[[#This Row],[index]]-1)))
  * IF(
      cutoffTable[[#This Row],[cutoffLevel]] = 1,
      behaviourScore &lt;= 1,
      behaviourScore &lt; cutoffTable[[#This Row],[cutoffLevel]]
    )
  )</f>
        <v>44</v>
      </c>
      <c r="CA7" s="3" cm="1">
        <f t="array" aca="1" ref="CA7" ca="1">SUMPRODUCT(
    (behaviourScore &lt;&gt; "")
  * (behaviourScore &gt;= IF(cutoffTable[[#This Row],[index]] = 1, 0, INDEX(cutoffTable[cutoffLevel], cutoffTable[[#This Row],[index]]-1)))
  * IF(
      cutoffTable[[#This Row],[cutoffLevel]] = 1,
      behaviourScore &lt;= 1,
      behaviourScore &lt; cutoffTable[[#This Row],[cutoffLevel]]
    )
  * (behaviourScore &lt; cutoffLevel)
  )</f>
        <v>44</v>
      </c>
      <c r="CB7" s="3" cm="1">
        <f t="array" aca="1" ref="CB7" ca="1">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7" s="3" cm="1">
        <f t="array" ref="CD7">ROW()-ROW(recommendedCutoffTable[#Headers])</f>
        <v>5</v>
      </c>
      <c r="CE7" s="192">
        <f>(recommendedCutoffTable[[#This Row],[index]] - 1) / 100</f>
        <v>0.04</v>
      </c>
      <c r="CF7" s="3" cm="1">
        <f t="array" aca="1" ref="CF7" ca="1">ABS(
    numScores
  - 2 * SUMPRODUCT((behaviourScore &lt;&gt; "") * (behaviourScore &lt; recommendedCutoffTable[[#This Row],[cutoffLevel]]))
  )</f>
        <v>258</v>
      </c>
      <c r="CM7" s="3" cm="1">
        <f t="array" ref="CM7">ROW()-ROW(factorsTable[#Headers])</f>
        <v>5</v>
      </c>
      <c r="CN7" s="3" t="str" cm="1">
        <f t="array" ref="CN7">KeepBlanksFunction(
    _xlfn.XLOOKUP(
      factorsTable[[#This Row],[index]],
      factorsConfigTable[index],
      factorsConfigTable[factorHeader],#REF!,
      0
    )
  )</f>
        <v>barrier2</v>
      </c>
      <c r="CO7" s="3">
        <f ca="1">IF(
    factorsTable[[#This Row],[factorHeader]] = "",
    "",
    _xlfn.IFNA(
      MATCH(factorsTable[[#This Row],[factorHeader]], dataHeaders, 0),
      _xlfn.IFNA(
        MATCH("*/" &amp; factorsTable[[#This Row],[factorHeader]], dataHeaders, 0),
        MATCH("*-" &amp; factorsTable[[#This Row],[factorHeader]], dataHeaders, 0)
      )
    )
  )</f>
        <v>17</v>
      </c>
      <c r="CP7" s="3">
        <f>IF(
    factorsTable[[#This Row],[factorHeader]] = "",
    "",
    _xlfn.LET(
      _xlpm.tableValue,
      _xlfn.XLOOKUP(
        factorsTable[[#This Row],[index]],
        factorsConfigTable[index],
        factorsConfigTable[minScore],#REF!,
        0
      ),
      _xlpm.storedValue,
      IF(
        _xlpm.tableValue = "",
        NA(),
        _xlpm.tableValue
      ),
      _xlpm.storedValue
    )
  )</f>
        <v>1</v>
      </c>
      <c r="CQ7" s="3">
        <f>IF(
    factorsTable[[#This Row],[factorHeader]] = "",
    "",
    _xlfn.LET(
      _xlpm.tableValue,
      _xlfn.XLOOKUP(
        factorsTable[[#This Row],[index]],
        factorsConfigTable[index],
        factorsConfigTable[maxScore],#REF!,
        0
      ),
      _xlpm.storedValue,
      IF(
        _xlpm.tableValue = "",
        NA(),
        _xlpm.tableValue
      ),
      _xlpm.storedValue
    )
  )</f>
        <v>5</v>
      </c>
      <c r="CR7" s="3">
        <f ca="1">IF(
    factorsTable[[#This Row],[factorHeader]] = "",
    "",
    IF(
      ISERROR(factorsTable[[#This Row],[factorColNum]]),
      NA(),
      IF(
        ISNA(INDEX(dataRange,1,1)),
        NA(),
        MIN(INDEX(dataRange, , factorsTable[[#This Row],[factorColNum]]))
      )
    )
  )</f>
        <v>1</v>
      </c>
      <c r="CS7" s="3">
        <f ca="1">IF(
    factorsTable[[#This Row],[factorHeader]] = "",
    "",
    IF(
      ISERROR(factorsTable[[#This Row],[factorColNum]]),
      NA(),
      IF(
        ISNA(INDEX(dataRange,1,1)),
        NA(),
        MAX(INDEX(dataRange, , factorsTable[[#This Row],[factorColNum]]))
      )
    )
  )</f>
        <v>5</v>
      </c>
      <c r="CT7" s="3" t="b" cm="1">
        <f t="array" aca="1" ref="CT7" ca="1">AND(
    NOT(errorNoDataSheet),
    factorsTable[[#This Row],[factorHeader]] &lt;&gt; "",
    NOT(ISERROR(factorsTable[[#This Row],[factorColNum]])),
    IFERROR(factorsTable[[#This Row],[display]], FALSE),
    IFERROR(factorsTable[[#This Row],[minValue]] &lt; factorsTable[[#This Row],[minScore]], FALSE)
  )</f>
        <v>0</v>
      </c>
      <c r="CU7" s="3" t="b" cm="1">
        <f t="array" aca="1" ref="CU7" ca="1">AND(
    NOT(errorNoDataSheet),
    factorsTable[[#This Row],[factorHeader]] &lt;&gt; "",
    NOT(ISERROR(factorsTable[[#This Row],[factorColNum]])),
    IFERROR(factorsTable[[#This Row],[display]], FALSE),
    IFERROR(factorsTable[[#This Row],[maxValue]] &gt; factorsTable[[#This Row],[maxScore]], FALSE)
  )</f>
        <v>0</v>
      </c>
      <c r="CV7" s="3" cm="1">
        <f t="array" aca="1" ref="CV7" ca="1">IF(
    factorsTable[[#This Row],[factorHeader]] = "",
    "",
    IF(
      ISNA(INDEX(dataRange,1,1)),
      NA(),
      SUMPRODUCT(
          IF(isDoer = "", 0, NOT(isDoer))
        * (INDEX(dataRange, , factorsTable[[#This Row],[factorColNum]]) &lt;&gt; "")
      )
    )
  )</f>
        <v>147</v>
      </c>
      <c r="CW7" s="3" cm="1">
        <f t="array" aca="1" ref="CW7" ca="1">IF(
    factorsTable[[#This Row],[factorHeader]] = "",
    "",
    IF(
      ISNA(INDEX(dataRange,1,1)),
      NA(),
      SUMPRODUCT(
          IF(isDoer = "", 0, isDoer)
        * (INDEX(dataRange, , factorsTable[[#This Row],[factorColNum]]) &lt;&gt; "")
      )
    )
  )</f>
        <v>111</v>
      </c>
      <c r="CX7" s="3" cm="1">
        <f t="array" aca="1" ref="CX7" ca="1">IF(
    factorsTable[[#This Row],[factorHeader]] = "",
    "",
    IF(
      ISERROR(factorsTable[[#This Row],[factorColNum]]),
      UITranslateForValueTable("dataNotFound", UITranslationTable[tag], UITranslationTable[], UITranslationTable[#Headers]),
      factorsTable[[#This Row],[numDoers]] + factorsTable[[#This Row],[numNondoers]]
    )
  )</f>
        <v>258</v>
      </c>
      <c r="CY7" s="3" cm="1">
        <f t="array" aca="1" ref="CY7"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0.28401360544217685</v>
      </c>
      <c r="CZ7" s="3" cm="1">
        <f t="array" aca="1" ref="CZ7"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0.20270270270270271</v>
      </c>
      <c r="DA7" s="3">
        <f ca="1">IF(
    factorsTable[[#This Row],[factorHeader]] = "",
    "",
    factorsTable[[#This Row],[doers]] - factorsTable[[#This Row],[nondoers]]
  )</f>
        <v>-8.1310902739474139E-2</v>
      </c>
      <c r="DB7" s="3" t="str">
        <f>IF(
    factorsTable[[#This Row],[factorHeader]] = "",
    "",
    _xlfn.XLOOKUP(
      _xlfn.XLOOKUP(
        factorsTable[[#This Row],[index]],
        factorsConfigTable[index],
        factorsConfigTable[displayConfig],#REF!,
        0
      ),
      yesNoTable[label],
      yesNoTable[tag],
      "",
      0
    )
  )</f>
        <v>yes</v>
      </c>
      <c r="DC7" s="186" t="b">
        <f>IF(
    factorsTable[[#This Row],[factorHeader]] = "",
    FALSE,
    IF(
      factorsTable[[#This Row],[displayConfig]] = "yes",
      TRUE,
      IF(
        factorsTable[[#This Row],[displayConfig]] = "no",
        FALSE,
        NA()
      )
    )
  )</f>
        <v>1</v>
      </c>
      <c r="DD7" s="186" cm="1">
        <f t="array" ref="DD7">FilterTrueColumn(factorsTable[[#This Row],[index]], factorsTable[index], factorsTable[filteredIndex], factorsTable[display])</f>
        <v>5</v>
      </c>
      <c r="DE7" s="186">
        <f ca="1">IF(
    factorsTable[[#This Row],[filteredIndex]] = "",
    "",
    _xlfn.IFNA(
      _xlfn.XLOOKUP(factorsTable[[#This Row],[filteredIndex]], factorsTable[index], factorsTable[difference]),
      -99
    )
  )</f>
        <v>-8.1310902739474139E-2</v>
      </c>
      <c r="DF7" s="186">
        <f ca="1">IF(
    factorsTable[[#This Row],[filteredIndex]] = "",
    "",
    IF(
      factorsTable[[#This Row],[relDiff]] = -99,
      -99,
      ABS(factorsTable[[#This Row],[relDiff]])
    )
  )</f>
        <v>8.1310902739474139E-2</v>
      </c>
      <c r="DG7" s="186">
        <f>IF(
    factorsTable[[#This Row],[filteredIndex]] = "",
    "",
    _xlfn.XLOOKUP(
      _xlfn.XLOOKUP(
        factorsTable[[#This Row],[filteredIndex]],
        factorsConfigTable[index],
        factorsConfigTable[RANASBlock],#REF!,
        0
      ),
      RANASBlocksTable[label],
      RANASBlocksTable[index],
      6,
      0
    )
  )</f>
        <v>5</v>
      </c>
      <c r="DH7" s="186">
        <f ca="1">IF(
    factorsTable[[#This Row],[filteredIndex]] = "",
    "",
    _xlfn.RANK.EQ(factorsTable[[#This Row],[relDiff]], factorsTable[relDiff], 0)
  )</f>
        <v>16</v>
      </c>
      <c r="DI7" s="186">
        <f ca="1">IF(
    factorsTable[[#This Row],[filteredIndex]] = "",
    "",
    _xlfn.RANK.EQ(factorsTable[[#This Row],[absDiff]], factorsTable[absDiff], 0)
  )</f>
        <v>11</v>
      </c>
      <c r="DJ7" s="186">
        <f>IF(
    factorsTable[[#This Row],[filteredIndex]] = "",
    "",
    _xlfn.RANK.EQ(factorsTable[[#This Row],[RANASIndex]], factorsTable[RANASIndex], 1)
  )</f>
        <v>14</v>
      </c>
      <c r="DK7" s="186" cm="1">
        <f t="array" aca="1" ref="DK7" ca="1">_xlfn.SWITCH(
    sortingMethodTag,
    "none", factorsTable[[#This Row],[filteredIndex]],
    "relDiff", factorsTable[[#This Row],[relDiffRank]],
    "absDiff", factorsTable[[#This Row],[absDiffRank]],
    "RANAS", factorsTable[[#This Row],[RANASRank]],
    factorsTable[[#This Row],[filteredIndex]]
  )</f>
        <v>11</v>
      </c>
      <c r="DL7" s="186">
        <f ca="1">IF(
    factorsTable[[#This Row],[filteredIndex]] = "",
    "",
    factorsTable[[#This Row],[selectedRank]]
      + COUNTIF(INDEX(factorsTable[selectedRank], 1):INDEX(factorsTable[selectedRank], factorsTable[[#This Row],[index]]), factorsTable[[#This Row],[selectedRank]])
      - 1
  )</f>
        <v>11</v>
      </c>
      <c r="DM7" s="186">
        <f ca="1">IF(
    factorsTable[[#This Row],[filteredIndex]] = "",
    "",
    _xlfn.XLOOKUP(
      factorsTable[[#This Row],[index]],
      factorsTable[uniqueRank],
      factorsTable[filteredIndex],#REF!,
      0
    )
  )</f>
        <v>7</v>
      </c>
      <c r="DN7" s="186" t="str" cm="1">
        <f t="array" aca="1" ref="DN7" ca="1">IF(
    factorsTable[[#This Row],[sortedIndex]] = "",
    "",
    KeepBlanksFunction(
      _xlfn.XLOOKUP(
        factorsTable[[#This Row],[sortedIndex]],
        factorsConfigTable[index],
        INDEX(
          factorsConfigTable[],
          0,
          MATCH(
            chartLanguage,
            languageHeadersList,
            0
          )
          + MATCH(factorsConfigTable[[#Headers],[lang1]], factorsConfigTable[#Headers], 0)
          - 1
        ),#REF!,
        0
      )
    )
  )</f>
        <v>Confianza en la continuidad</v>
      </c>
      <c r="DO7" s="186" t="str" cm="1">
        <f t="array" aca="1" ref="DO7" ca="1">IF(
    factorsTable[[#This Row],[sortedIndex]] = "",
    "",
    IF(
      factorsTable[[#This Row],[langSpecFactor]] = "",
      UITranslateForValueTable("noTranslation", UITranslationTable[tag], UITranslationTable[], UITranslationTable[#Headers]),
      factorsTable[[#This Row],[langSpecFactor]]
    )
  )</f>
        <v>Confianza en la continuidad</v>
      </c>
      <c r="DP7" s="186" t="str">
        <f ca="1">IF(
    factorsTable[[#This Row],[sortedIndex]] = "",
    "",
    _xlfn.XLOOKUP(
      _xlfn.XLOOKUP(
        factorsTable[[#This Row],[sortedIndex]],
        factorsConfigTable[index],
        factorsConfigTable[RANASBlock],#REF!,
        0
      ),
      RANASBlocksTable[label],
      RANASBlocksTable[tag],
      NA(),
      0
    )
  )</f>
        <v>abilities</v>
      </c>
      <c r="DQ7" s="186" t="str" cm="1">
        <f t="array" aca="1" ref="DQ7" ca="1">IF(
    factorsTable[[#This Row],[sortedIndex]] = "",
    "",
    _xlfn.IFNA(
      _xlfn.XLOOKUP(factorsTable[[#This Row],[RANASTag]], RANASBlocksTable[tag], RANASBlocksTable[langSpecLabel]),
      UITranslateForValueTable("noRANASBlock", UITranslationTable[tag], UITranslationTable[], UITranslationTable[#Headers])
    )
  )</f>
        <v>Habilidad</v>
      </c>
      <c r="DR7" s="186" t="str">
        <f ca="1">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Confianza en la continuidad
[Habilidad]</v>
      </c>
      <c r="DS7" s="186">
        <f ca="1">IF(
    factorsTable[[#This Row],[sortedIndex]] = "",
    "",
    _xlfn.XLOOKUP(factorsTable[[#This Row],[sortedIndex]], factorsTable[index], factorsTable[numTotal])
  )</f>
        <v>258</v>
      </c>
      <c r="DT7" s="186">
        <f ca="1">IF(
    factorsTable[[#This Row],[sortedIndex]] = "",
    "",
    _xlfn.XLOOKUP(factorsTable[[#This Row],[sortedIndex]], factorsTable[index], factorsTable[nondoers])
  )</f>
        <v>0.50765306122448983</v>
      </c>
      <c r="DU7" s="186">
        <f ca="1">IF(
    factorsTable[[#This Row],[sortedIndex]] = "",
    "",
    _xlfn.XLOOKUP(factorsTable[[#This Row],[sortedIndex]], factorsTable[index], factorsTable[doers])
  )</f>
        <v>0.63063063063063063</v>
      </c>
      <c r="DV7" s="186">
        <f ca="1">IF(
    factorsTable[[#This Row],[sortedIndex]] = "",
    "",
    _xlfn.XLOOKUP(factorsTable[[#This Row],[sortedIndex]], factorsTable[index], factorsTable[difference])
  )</f>
        <v>0.1229775694061408</v>
      </c>
    </row>
    <row r="8" spans="5:126" ht="14.4" customHeight="1" x14ac:dyDescent="0.3">
      <c r="E8" s="11" cm="1">
        <f t="array" ref="E8">ROW()-ROW(UITranslationTable[#Headers])</f>
        <v>6</v>
      </c>
      <c r="F8" s="11" t="s">
        <v>924</v>
      </c>
      <c r="G8" s="185" t="s">
        <v>599</v>
      </c>
      <c r="H8" s="185" t="s">
        <v>634</v>
      </c>
      <c r="J8" s="3" cm="1">
        <f t="array" ref="J8">ROW()-ROW(errorMessagesTable[#Headers])</f>
        <v>6</v>
      </c>
      <c r="K8" s="3" t="s">
        <v>1070</v>
      </c>
      <c r="L8" s="187" t="b" cm="1">
        <f t="array" aca="1" ref="L8" ca="1">errorBehaviourInclude</f>
        <v>0</v>
      </c>
      <c r="M8" s="185" t="s">
        <v>853</v>
      </c>
      <c r="N8" s="185" t="s">
        <v>857</v>
      </c>
      <c r="O8" s="3" t="str" cm="1">
        <f t="array" aca="1" ref="O8" ca="1">FilterTrueColumn(errorMessagesTable[[#This Row],[index]], errorMessagesTable[index], errorMessagesTable[filteredIndex], errorMessagesTable[condition])</f>
        <v/>
      </c>
      <c r="P8" s="11" t="str" cm="1">
        <f t="array" aca="1" ref="P8"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8" s="11" t="str" cm="1">
        <f t="array" aca="1" ref="Q8" ca="1">IF(
    errorMessagesTable[[#This Row],[filteredIndex]] = "",
    "",
    IF(
      errorMessagesTable[[#This Row],[index]] = 1,
      "",
      INDEX(errorMessagesTable[concatErrors], errorMessagesTable[[#This Row],[index]]-1)
      &amp; CHAR(10) &amp; CHAR(10)
    )
    &amp; INDEX(errorMessagesTable[langSpecError], errorMessagesTable[[#This Row],[index]])
  )</f>
        <v/>
      </c>
      <c r="S8" s="3" cm="1">
        <f t="array" ref="S8">ROW()-ROW(manualEntryVariablesTable[#Headers])</f>
        <v>6</v>
      </c>
      <c r="T8" s="3" t="s">
        <v>596</v>
      </c>
      <c r="U8" s="11">
        <v>1000</v>
      </c>
      <c r="W8" s="186" cm="1">
        <f t="array" ref="W8">ROW()-ROW(structuredFormulaeTable[#Headers])</f>
        <v>6</v>
      </c>
      <c r="X8" s="3" t="s">
        <v>1061</v>
      </c>
      <c r="Y8" s="3" t="s">
        <v>1060</v>
      </c>
      <c r="AA8" s="187" t="s">
        <v>1059</v>
      </c>
      <c r="AB8" s="187" t="s">
        <v>1091</v>
      </c>
      <c r="BM8" s="3">
        <f ca="1"/>
        <v>5</v>
      </c>
      <c r="BN8" s="3">
        <f ca="1"/>
        <v>15</v>
      </c>
      <c r="BO8" s="3">
        <f ca="1"/>
        <v>2</v>
      </c>
      <c r="BP8" s="3">
        <f ca="1"/>
        <v>3</v>
      </c>
      <c r="BR8" s="3">
        <f ca="1"/>
        <v>2.333333333333333</v>
      </c>
      <c r="BS8" s="3">
        <f ca="1"/>
        <v>3</v>
      </c>
      <c r="BT8" s="3">
        <f ca="1"/>
        <v>0.77777777777777768</v>
      </c>
      <c r="BU8" s="3" t="b">
        <f ca="1"/>
        <v>1</v>
      </c>
      <c r="BW8" s="190" cm="1">
        <f t="array" ref="BW8">ROW()-ROW(cutoffTable[#Headers])</f>
        <v>6</v>
      </c>
      <c r="BX8" s="191">
        <v>0.6</v>
      </c>
      <c r="BY8" s="3" t="s">
        <v>906</v>
      </c>
      <c r="BZ8" s="186" cm="1">
        <f t="array" aca="1" ref="BZ8" ca="1">SUMPRODUCT(
    (behaviourScore &lt;&gt; "")
  * (behaviourScore &gt;= IF(cutoffTable[[#This Row],[index]] = 1, 0, INDEX(cutoffTable[cutoffLevel], cutoffTable[[#This Row],[index]]-1)))
  * IF(
      cutoffTable[[#This Row],[cutoffLevel]] = 1,
      behaviourScore &lt;= 1,
      behaviourScore &lt; cutoffTable[[#This Row],[cutoffLevel]]
    )
  )</f>
        <v>55</v>
      </c>
      <c r="CA8" s="186" cm="1">
        <f t="array" aca="1" ref="CA8" ca="1">SUMPRODUCT(
    (behaviourScore &lt;&gt; "")
  * (behaviourScore &gt;= IF(cutoffTable[[#This Row],[index]] = 1, 0, INDEX(cutoffTable[cutoffLevel], cutoffTable[[#This Row],[index]]-1)))
  * IF(
      cutoffTable[[#This Row],[cutoffLevel]] = 1,
      behaviourScore &lt;= 1,
      behaviourScore &lt; cutoffTable[[#This Row],[cutoffLevel]]
    )
  * (behaviourScore &lt; cutoffLevel)
  )</f>
        <v>48</v>
      </c>
      <c r="CB8" s="186" cm="1">
        <f t="array" aca="1" ref="CB8" ca="1">SUMPRODUCT(
    (behaviourScore &lt;&gt; "")
  * (behaviourScore &gt;= IF(cutoffTable[[#This Row],[index]] = 1, 0, INDEX(cutoffTable[cutoffLevel], cutoffTable[[#This Row],[index]]-1)))
  * IF(
      cutoffTable[[#This Row],[cutoffLevel]] = 1,
      behaviourScore &lt;= 1,
      behaviourScore &lt; cutoffTable[[#This Row],[cutoffLevel]]
    )
  * (behaviourScore &gt;= cutoffLevel)
  )</f>
        <v>7</v>
      </c>
      <c r="CD8" s="3" cm="1">
        <f t="array" ref="CD8">ROW()-ROW(recommendedCutoffTable[#Headers])</f>
        <v>6</v>
      </c>
      <c r="CE8" s="192">
        <f>(recommendedCutoffTable[[#This Row],[index]] - 1) / 100</f>
        <v>0.05</v>
      </c>
      <c r="CF8" s="3" cm="1">
        <f t="array" aca="1" ref="CF8" ca="1">ABS(
    numScores
  - 2 * SUMPRODUCT((behaviourScore &lt;&gt; "") * (behaviourScore &lt; recommendedCutoffTable[[#This Row],[cutoffLevel]]))
  )</f>
        <v>258</v>
      </c>
      <c r="CM8" s="3" cm="1">
        <f t="array" ref="CM8">ROW()-ROW(factorsTable[#Headers])</f>
        <v>6</v>
      </c>
      <c r="CN8" s="3" t="str" cm="1">
        <f t="array" ref="CN8">KeepBlanksFunction(
    _xlfn.XLOOKUP(
      factorsTable[[#This Row],[index]],
      factorsConfigTable[index],
      factorsConfigTable[factorHeader],#REF!,
      0
    )
  )</f>
        <v>benefits</v>
      </c>
      <c r="CO8" s="3">
        <f ca="1">IF(
    factorsTable[[#This Row],[factorHeader]] = "",
    "",
    _xlfn.IFNA(
      MATCH(factorsTable[[#This Row],[factorHeader]], dataHeaders, 0),
      _xlfn.IFNA(
        MATCH("*/" &amp; factorsTable[[#This Row],[factorHeader]], dataHeaders, 0),
        MATCH("*-" &amp; factorsTable[[#This Row],[factorHeader]], dataHeaders, 0)
      )
    )
  )</f>
        <v>18</v>
      </c>
      <c r="CP8" s="3">
        <f>IF(
    factorsTable[[#This Row],[factorHeader]] = "",
    "",
    _xlfn.LET(
      _xlpm.tableValue,
      _xlfn.XLOOKUP(
        factorsTable[[#This Row],[index]],
        factorsConfigTable[index],
        factorsConfigTable[minScore],#REF!,
        0
      ),
      _xlpm.storedValue,
      IF(
        _xlpm.tableValue = "",
        NA(),
        _xlpm.tableValue
      ),
      _xlpm.storedValue
    )
  )</f>
        <v>1</v>
      </c>
      <c r="CQ8" s="3">
        <f>IF(
    factorsTable[[#This Row],[factorHeader]] = "",
    "",
    _xlfn.LET(
      _xlpm.tableValue,
      _xlfn.XLOOKUP(
        factorsTable[[#This Row],[index]],
        factorsConfigTable[index],
        factorsConfigTable[maxScore],#REF!,
        0
      ),
      _xlpm.storedValue,
      IF(
        _xlpm.tableValue = "",
        NA(),
        _xlpm.tableValue
      ),
      _xlpm.storedValue
    )
  )</f>
        <v>5</v>
      </c>
      <c r="CR8" s="3">
        <f ca="1">IF(
    factorsTable[[#This Row],[factorHeader]] = "",
    "",
    IF(
      ISERROR(factorsTable[[#This Row],[factorColNum]]),
      NA(),
      IF(
        ISNA(INDEX(dataRange,1,1)),
        NA(),
        MIN(INDEX(dataRange, , factorsTable[[#This Row],[factorColNum]]))
      )
    )
  )</f>
        <v>1</v>
      </c>
      <c r="CS8" s="3">
        <f ca="1">IF(
    factorsTable[[#This Row],[factorHeader]] = "",
    "",
    IF(
      ISERROR(factorsTable[[#This Row],[factorColNum]]),
      NA(),
      IF(
        ISNA(INDEX(dataRange,1,1)),
        NA(),
        MAX(INDEX(dataRange, , factorsTable[[#This Row],[factorColNum]]))
      )
    )
  )</f>
        <v>5</v>
      </c>
      <c r="CT8" s="3" t="b" cm="1">
        <f t="array" aca="1" ref="CT8" ca="1">AND(
    NOT(errorNoDataSheet),
    factorsTable[[#This Row],[factorHeader]] &lt;&gt; "",
    NOT(ISERROR(factorsTable[[#This Row],[factorColNum]])),
    IFERROR(factorsTable[[#This Row],[display]], FALSE),
    IFERROR(factorsTable[[#This Row],[minValue]] &lt; factorsTable[[#This Row],[minScore]], FALSE)
  )</f>
        <v>0</v>
      </c>
      <c r="CU8" s="3" t="b" cm="1">
        <f t="array" aca="1" ref="CU8" ca="1">AND(
    NOT(errorNoDataSheet),
    factorsTable[[#This Row],[factorHeader]] &lt;&gt; "",
    NOT(ISERROR(factorsTable[[#This Row],[factorColNum]])),
    IFERROR(factorsTable[[#This Row],[display]], FALSE),
    IFERROR(factorsTable[[#This Row],[maxValue]] &gt; factorsTable[[#This Row],[maxScore]], FALSE)
  )</f>
        <v>0</v>
      </c>
      <c r="CV8" s="3" cm="1">
        <f t="array" aca="1" ref="CV8" ca="1">IF(
    factorsTable[[#This Row],[factorHeader]] = "",
    "",
    IF(
      ISNA(INDEX(dataRange,1,1)),
      NA(),
      SUMPRODUCT(
          IF(isDoer = "", 0, NOT(isDoer))
        * (INDEX(dataRange, , factorsTable[[#This Row],[factorColNum]]) &lt;&gt; "")
      )
    )
  )</f>
        <v>147</v>
      </c>
      <c r="CW8" s="3" cm="1">
        <f t="array" aca="1" ref="CW8" ca="1">IF(
    factorsTable[[#This Row],[factorHeader]] = "",
    "",
    IF(
      ISNA(INDEX(dataRange,1,1)),
      NA(),
      SUMPRODUCT(
          IF(isDoer = "", 0, isDoer)
        * (INDEX(dataRange, , factorsTable[[#This Row],[factorColNum]]) &lt;&gt; "")
      )
    )
  )</f>
        <v>111</v>
      </c>
      <c r="CX8" s="3" cm="1">
        <f t="array" aca="1" ref="CX8" ca="1">IF(
    factorsTable[[#This Row],[factorHeader]] = "",
    "",
    IF(
      ISERROR(factorsTable[[#This Row],[factorColNum]]),
      UITranslateForValueTable("dataNotFound", UITranslationTable[tag], UITranslationTable[], UITranslationTable[#Headers]),
      factorsTable[[#This Row],[numDoers]] + factorsTable[[#This Row],[numNondoers]]
    )
  )</f>
        <v>258</v>
      </c>
      <c r="CY8" s="3" cm="1">
        <f t="array" aca="1" ref="CY8"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0.63435374149659862</v>
      </c>
      <c r="CZ8" s="3" cm="1">
        <f t="array" aca="1" ref="CZ8"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0.70945945945945943</v>
      </c>
      <c r="DA8" s="3">
        <f ca="1">IF(
    factorsTable[[#This Row],[factorHeader]] = "",
    "",
    factorsTable[[#This Row],[doers]] - factorsTable[[#This Row],[nondoers]]
  )</f>
        <v>7.5105717962860807E-2</v>
      </c>
      <c r="DB8" s="3" t="str">
        <f>IF(
    factorsTable[[#This Row],[factorHeader]] = "",
    "",
    _xlfn.XLOOKUP(
      _xlfn.XLOOKUP(
        factorsTable[[#This Row],[index]],
        factorsConfigTable[index],
        factorsConfigTable[displayConfig],#REF!,
        0
      ),
      yesNoTable[label],
      yesNoTable[tag],
      "",
      0
    )
  )</f>
        <v>yes</v>
      </c>
      <c r="DC8" s="186" t="b">
        <f>IF(
    factorsTable[[#This Row],[factorHeader]] = "",
    FALSE,
    IF(
      factorsTable[[#This Row],[displayConfig]] = "yes",
      TRUE,
      IF(
        factorsTable[[#This Row],[displayConfig]] = "no",
        FALSE,
        NA()
      )
    )
  )</f>
        <v>1</v>
      </c>
      <c r="DD8" s="186" cm="1">
        <f t="array" ref="DD8">FilterTrueColumn(factorsTable[[#This Row],[index]], factorsTable[index], factorsTable[filteredIndex], factorsTable[display])</f>
        <v>6</v>
      </c>
      <c r="DE8" s="186">
        <f ca="1">IF(
    factorsTable[[#This Row],[filteredIndex]] = "",
    "",
    _xlfn.IFNA(
      _xlfn.XLOOKUP(factorsTable[[#This Row],[filteredIndex]], factorsTable[index], factorsTable[difference]),
      -99
    )
  )</f>
        <v>7.5105717962860807E-2</v>
      </c>
      <c r="DF8" s="186">
        <f ca="1">IF(
    factorsTable[[#This Row],[filteredIndex]] = "",
    "",
    IF(
      factorsTable[[#This Row],[relDiff]] = -99,
      -99,
      ABS(factorsTable[[#This Row],[relDiff]])
    )
  )</f>
        <v>7.5105717962860807E-2</v>
      </c>
      <c r="DG8" s="186">
        <f>IF(
    factorsTable[[#This Row],[filteredIndex]] = "",
    "",
    _xlfn.XLOOKUP(
      _xlfn.XLOOKUP(
        factorsTable[[#This Row],[filteredIndex]],
        factorsConfigTable[index],
        factorsConfigTable[RANASBlock],#REF!,
        0
      ),
      RANASBlocksTable[label],
      RANASBlocksTable[index],
      6,
      0
    )
  )</f>
        <v>2</v>
      </c>
      <c r="DH8" s="186">
        <f ca="1">IF(
    factorsTable[[#This Row],[filteredIndex]] = "",
    "",
    _xlfn.RANK.EQ(factorsTable[[#This Row],[relDiff]], factorsTable[relDiff], 0)
  )</f>
        <v>11</v>
      </c>
      <c r="DI8" s="186">
        <f ca="1">IF(
    factorsTable[[#This Row],[filteredIndex]] = "",
    "",
    _xlfn.RANK.EQ(factorsTable[[#This Row],[absDiff]], factorsTable[absDiff], 0)
  )</f>
        <v>14</v>
      </c>
      <c r="DJ8" s="186">
        <f>IF(
    factorsTable[[#This Row],[filteredIndex]] = "",
    "",
    _xlfn.RANK.EQ(factorsTable[[#This Row],[RANASIndex]], factorsTable[RANASIndex], 1)
  )</f>
        <v>5</v>
      </c>
      <c r="DK8" s="186" cm="1">
        <f t="array" aca="1" ref="DK8" ca="1">_xlfn.SWITCH(
    sortingMethodTag,
    "none", factorsTable[[#This Row],[filteredIndex]],
    "relDiff", factorsTable[[#This Row],[relDiffRank]],
    "absDiff", factorsTable[[#This Row],[absDiffRank]],
    "RANAS", factorsTable[[#This Row],[RANASRank]],
    factorsTable[[#This Row],[filteredIndex]]
  )</f>
        <v>14</v>
      </c>
      <c r="DL8" s="186">
        <f ca="1">IF(
    factorsTable[[#This Row],[filteredIndex]] = "",
    "",
    factorsTable[[#This Row],[selectedRank]]
      + COUNTIF(INDEX(factorsTable[selectedRank], 1):INDEX(factorsTable[selectedRank], factorsTable[[#This Row],[index]]), factorsTable[[#This Row],[selectedRank]])
      - 1
  )</f>
        <v>14</v>
      </c>
      <c r="DM8" s="186">
        <f ca="1">IF(
    factorsTable[[#This Row],[filteredIndex]] = "",
    "",
    _xlfn.XLOOKUP(
      factorsTable[[#This Row],[index]],
      factorsTable[uniqueRank],
      factorsTable[filteredIndex],#REF!,
      0
    )
  )</f>
        <v>12</v>
      </c>
      <c r="DN8" s="186" t="str" cm="1">
        <f t="array" aca="1" ref="DN8" ca="1">IF(
    factorsTable[[#This Row],[sortedIndex]] = "",
    "",
    KeepBlanksFunction(
      _xlfn.XLOOKUP(
        factorsTable[[#This Row],[sortedIndex]],
        factorsConfigTable[index],
        INDEX(
          factorsConfigTable[],
          0,
          MATCH(
            chartLanguage,
            languageHeadersList,
            0
          )
          + MATCH(factorsConfigTable[[#Headers],[lang1]], factorsConfigTable[#Headers], 0)
          - 1
        ),#REF!,
        0
      )
    )
  )</f>
        <v>(Des)aprobación de los demás</v>
      </c>
      <c r="DO8" s="186" t="str" cm="1">
        <f t="array" aca="1" ref="DO8" ca="1">IF(
    factorsTable[[#This Row],[sortedIndex]] = "",
    "",
    IF(
      factorsTable[[#This Row],[langSpecFactor]] = "",
      UITranslateForValueTable("noTranslation", UITranslationTable[tag], UITranslationTable[], UITranslationTable[#Headers]),
      factorsTable[[#This Row],[langSpecFactor]]
    )
  )</f>
        <v>(Des)aprobación de los demás</v>
      </c>
      <c r="DP8" s="186" t="str">
        <f ca="1">IF(
    factorsTable[[#This Row],[sortedIndex]] = "",
    "",
    _xlfn.XLOOKUP(
      _xlfn.XLOOKUP(
        factorsTable[[#This Row],[sortedIndex]],
        factorsConfigTable[index],
        factorsConfigTable[RANASBlock],#REF!,
        0
      ),
      RANASBlocksTable[label],
      RANASBlocksTable[tag],
      NA(),
      0
    )
  )</f>
        <v>norms</v>
      </c>
      <c r="DQ8" s="186" t="str" cm="1">
        <f t="array" aca="1" ref="DQ8" ca="1">IF(
    factorsTable[[#This Row],[sortedIndex]] = "",
    "",
    _xlfn.IFNA(
      _xlfn.XLOOKUP(factorsTable[[#This Row],[RANASTag]], RANASBlocksTable[tag], RANASBlocksTable[langSpecLabel]),
      UITranslateForValueTable("noRANASBlock", UITranslationTable[tag], UITranslationTable[], UITranslationTable[#Headers])
    )
  )</f>
        <v>Normas</v>
      </c>
      <c r="DR8" s="186" t="str">
        <f ca="1">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(Des)aprobación de los demás
[Normas]</v>
      </c>
      <c r="DS8" s="186">
        <f ca="1">IF(
    factorsTable[[#This Row],[sortedIndex]] = "",
    "",
    _xlfn.XLOOKUP(factorsTable[[#This Row],[sortedIndex]], factorsTable[index], factorsTable[numTotal])
  )</f>
        <v>258</v>
      </c>
      <c r="DT8" s="186">
        <f ca="1">IF(
    factorsTable[[#This Row],[sortedIndex]] = "",
    "",
    _xlfn.XLOOKUP(factorsTable[[#This Row],[sortedIndex]], factorsTable[index], factorsTable[nondoers])
  )</f>
        <v>0.4375</v>
      </c>
      <c r="DU8" s="186">
        <f ca="1">IF(
    factorsTable[[#This Row],[sortedIndex]] = "",
    "",
    _xlfn.XLOOKUP(factorsTable[[#This Row],[sortedIndex]], factorsTable[index], factorsTable[doers])
  )</f>
        <v>0.55067567567567566</v>
      </c>
      <c r="DV8" s="186">
        <f ca="1">IF(
    factorsTable[[#This Row],[sortedIndex]] = "",
    "",
    _xlfn.XLOOKUP(factorsTable[[#This Row],[sortedIndex]], factorsTable[index], factorsTable[difference])
  )</f>
        <v>0.11317567567567566</v>
      </c>
    </row>
    <row r="9" spans="5:126" ht="14.4" customHeight="1" x14ac:dyDescent="0.3">
      <c r="E9" s="11" cm="1">
        <f t="array" ref="E9">ROW()-ROW(UITranslationTable[#Headers])</f>
        <v>7</v>
      </c>
      <c r="F9" s="11" t="s">
        <v>925</v>
      </c>
      <c r="G9" s="185" t="str" cm="1">
        <f t="array" aca="1" ref="G9" ca="1">"This menu defines which language (built-in or user-defined in the """ &amp; sheetNameConfiguration &amp; """ sheet) is used in the charts and data tables."</f>
        <v>This menu defines which language (built-in or user-defined in the "Configuration" sheet) is used in the charts and data tables.</v>
      </c>
      <c r="H9" s="185" t="str" cm="1">
        <f t="array" aca="1" ref="H9" ca="1">"Ce menu désigne quelle langue (prédéfinie ou définie par l'utilisateur sur la feuille «" &amp; sheetNameConfiguration &amp; "») est utilisée dans les graphiques et les tableaux de données."</f>
        <v>Ce menu désigne quelle langue (prédéfinie ou définie par l'utilisateur sur la feuille «Configuration») est utilisée dans les graphiques et les tableaux de données.</v>
      </c>
      <c r="J9" s="3" cm="1">
        <f t="array" ref="J9">ROW()-ROW(errorMessagesTable[#Headers])</f>
        <v>7</v>
      </c>
      <c r="K9" s="3" t="s">
        <v>1071</v>
      </c>
      <c r="L9" s="3" t="b" cm="1">
        <f t="array" aca="1" ref="L9" ca="1">errorBehaviourNoneSelected</f>
        <v>0</v>
      </c>
      <c r="M9" s="185" t="str" cm="1">
        <f t="array" ref="M9">"None of the valid data headers in the ""Behaviour"" table is selected, so the behaviour score cannot be calculated. Please use the drop-down menus in the ""Include?"" column (red cells) to add a tick mark (" &amp; yesLabel &amp; ") to at least one of the valid data headers."</f>
        <v>None of the valid data headers in the "Behaviour" table is selected, so the behaviour score cannot be calculated. Please use the drop-down menus in the "Include?" column (red cells) to add a tick mark (✔) to at least one of the valid data headers.</v>
      </c>
      <c r="N9" s="185" t="str" cm="1">
        <f t="array" ref="N9">"Aucun des en-têtes de données valables du tableau «Comportement» n'est sélectionné et le score de comportement ne peut donc pas être calculé. Veuillez utiliser le menu déroulant dans la colonne «Inclure?» (cellules rouges) pour ajouter une coche (" &amp; yesLabel &amp; ") à au moins l'un des en-têtes valables."</f>
        <v>Aucun des en-têtes de données valables du tableau «Comportement» n'est sélectionné et le score de comportement ne peut donc pas être calculé. Veuillez utiliser le menu déroulant dans la colonne «Inclure?» (cellules rouges) pour ajouter une coche (✔) à au moins l'un des en-têtes valables.</v>
      </c>
      <c r="O9" s="3" t="str" cm="1">
        <f t="array" aca="1" ref="O9" ca="1">FilterTrueColumn(errorMessagesTable[[#This Row],[index]], errorMessagesTable[index], errorMessagesTable[filteredIndex], errorMessagesTable[condition])</f>
        <v/>
      </c>
      <c r="P9" s="11" t="str" cm="1">
        <f t="array" aca="1" ref="P9"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9" s="11" t="str" cm="1">
        <f t="array" aca="1" ref="Q9" ca="1">IF(
    errorMessagesTable[[#This Row],[filteredIndex]] = "",
    "",
    IF(
      errorMessagesTable[[#This Row],[index]] = 1,
      "",
      INDEX(errorMessagesTable[concatErrors], errorMessagesTable[[#This Row],[index]]-1)
      &amp; CHAR(10) &amp; CHAR(10)
    )
    &amp; INDEX(errorMessagesTable[langSpecError], errorMessagesTable[[#This Row],[index]])
  )</f>
        <v/>
      </c>
      <c r="S9" s="3" cm="1">
        <f t="array" ref="S9">ROW()-ROW(manualEntryVariablesTable[#Headers])</f>
        <v>7</v>
      </c>
      <c r="T9" s="3" t="s">
        <v>770</v>
      </c>
      <c r="U9" s="185">
        <v>9</v>
      </c>
      <c r="W9" s="186" cm="1">
        <f t="array" ref="W9">ROW()-ROW(structuredFormulaeTable[#Headers])</f>
        <v>7</v>
      </c>
      <c r="X9" s="3" t="s">
        <v>1061</v>
      </c>
      <c r="Y9" s="3" t="s">
        <v>1276</v>
      </c>
      <c r="AA9" s="187" t="s">
        <v>1277</v>
      </c>
      <c r="AB9" s="187" t="s">
        <v>1278</v>
      </c>
      <c r="AE9" s="172" t="s">
        <v>1093</v>
      </c>
      <c r="AG9" s="172" t="s">
        <v>1087</v>
      </c>
      <c r="AP9" s="172" t="s">
        <v>1099</v>
      </c>
      <c r="AQ9" s="172" t="s">
        <v>1100</v>
      </c>
      <c r="AZ9" s="172" t="s">
        <v>1092</v>
      </c>
      <c r="BA9" s="172" t="s">
        <v>1094</v>
      </c>
      <c r="BD9" s="172" t="s">
        <v>1139</v>
      </c>
      <c r="BE9" s="172" t="s">
        <v>1140</v>
      </c>
      <c r="BF9" s="172" t="s">
        <v>1323</v>
      </c>
      <c r="BG9" s="172" t="s">
        <v>1324</v>
      </c>
      <c r="BJ9" s="172" t="s">
        <v>1325</v>
      </c>
      <c r="BK9" s="172" t="s">
        <v>1098</v>
      </c>
      <c r="BM9" s="3">
        <f ca="1"/>
        <v>5</v>
      </c>
      <c r="BN9" s="3">
        <f ca="1"/>
        <v>15</v>
      </c>
      <c r="BO9" s="3">
        <f ca="1"/>
        <v>2</v>
      </c>
      <c r="BP9" s="3">
        <f ca="1"/>
        <v>3</v>
      </c>
      <c r="BR9" s="3">
        <f ca="1"/>
        <v>2.333333333333333</v>
      </c>
      <c r="BS9" s="3">
        <f ca="1"/>
        <v>3</v>
      </c>
      <c r="BT9" s="3">
        <f ca="1"/>
        <v>0.77777777777777768</v>
      </c>
      <c r="BU9" s="3" t="b">
        <f ca="1"/>
        <v>1</v>
      </c>
      <c r="BW9" s="190" cm="1">
        <f t="array" ref="BW9">ROW()-ROW(cutoffTable[#Headers])</f>
        <v>7</v>
      </c>
      <c r="BX9" s="191">
        <v>0.7</v>
      </c>
      <c r="BY9" s="3" t="s">
        <v>907</v>
      </c>
      <c r="BZ9" s="186" cm="1">
        <f t="array" aca="1" ref="BZ9" ca="1">SUMPRODUCT(
    (behaviourScore &lt;&gt; "")
  * (behaviourScore &gt;= IF(cutoffTable[[#This Row],[index]] = 1, 0, INDEX(cutoffTable[cutoffLevel], cutoffTable[[#This Row],[index]]-1)))
  * IF(
      cutoffTable[[#This Row],[cutoffLevel]] = 1,
      behaviourScore &lt;= 1,
      behaviourScore &lt; cutoffTable[[#This Row],[cutoffLevel]]
    )
  )</f>
        <v>59</v>
      </c>
      <c r="CA9" s="186" cm="1">
        <f t="array" aca="1" ref="CA9" ca="1">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9" s="186" cm="1">
        <f t="array" aca="1" ref="CB9" ca="1">SUMPRODUCT(
    (behaviourScore &lt;&gt; "")
  * (behaviourScore &gt;= IF(cutoffTable[[#This Row],[index]] = 1, 0, INDEX(cutoffTable[cutoffLevel], cutoffTable[[#This Row],[index]]-1)))
  * IF(
      cutoffTable[[#This Row],[cutoffLevel]] = 1,
      behaviourScore &lt;= 1,
      behaviourScore &lt; cutoffTable[[#This Row],[cutoffLevel]]
    )
  * (behaviourScore &gt;= cutoffLevel)
  )</f>
        <v>59</v>
      </c>
      <c r="CD9" s="3" cm="1">
        <f t="array" ref="CD9">ROW()-ROW(recommendedCutoffTable[#Headers])</f>
        <v>7</v>
      </c>
      <c r="CE9" s="192">
        <f>(recommendedCutoffTable[[#This Row],[index]] - 1) / 100</f>
        <v>0.06</v>
      </c>
      <c r="CF9" s="3" cm="1">
        <f t="array" aca="1" ref="CF9" ca="1">ABS(
    numScores
  - 2 * SUMPRODUCT((behaviourScore &lt;&gt; "") * (behaviourScore &lt; recommendedCutoffTable[[#This Row],[cutoffLevel]]))
  )</f>
        <v>258</v>
      </c>
      <c r="CM9" s="3" cm="1">
        <f t="array" ref="CM9">ROW()-ROW(factorsTable[#Headers])</f>
        <v>7</v>
      </c>
      <c r="CN9" s="3" t="str" cm="1">
        <f t="array" ref="CN9">KeepBlanksFunction(
    _xlfn.XLOOKUP(
      factorsTable[[#This Row],[index]],
      factorsConfigTable[index],
      factorsConfigTable[factorHeader],#REF!,
      0
    )
  )</f>
        <v>conf_continuation</v>
      </c>
      <c r="CO9" s="3">
        <f ca="1">IF(
    factorsTable[[#This Row],[factorHeader]] = "",
    "",
    _xlfn.IFNA(
      MATCH(factorsTable[[#This Row],[factorHeader]], dataHeaders, 0),
      _xlfn.IFNA(
        MATCH("*/" &amp; factorsTable[[#This Row],[factorHeader]], dataHeaders, 0),
        MATCH("*-" &amp; factorsTable[[#This Row],[factorHeader]], dataHeaders, 0)
      )
    )
  )</f>
        <v>19</v>
      </c>
      <c r="CP9" s="3">
        <f>IF(
    factorsTable[[#This Row],[factorHeader]] = "",
    "",
    _xlfn.LET(
      _xlpm.tableValue,
      _xlfn.XLOOKUP(
        factorsTable[[#This Row],[index]],
        factorsConfigTable[index],
        factorsConfigTable[minScore],#REF!,
        0
      ),
      _xlpm.storedValue,
      IF(
        _xlpm.tableValue = "",
        NA(),
        _xlpm.tableValue
      ),
      _xlpm.storedValue
    )
  )</f>
        <v>1</v>
      </c>
      <c r="CQ9" s="3">
        <f>IF(
    factorsTable[[#This Row],[factorHeader]] = "",
    "",
    _xlfn.LET(
      _xlpm.tableValue,
      _xlfn.XLOOKUP(
        factorsTable[[#This Row],[index]],
        factorsConfigTable[index],
        factorsConfigTable[maxScore],#REF!,
        0
      ),
      _xlpm.storedValue,
      IF(
        _xlpm.tableValue = "",
        NA(),
        _xlpm.tableValue
      ),
      _xlpm.storedValue
    )
  )</f>
        <v>5</v>
      </c>
      <c r="CR9" s="3">
        <f ca="1">IF(
    factorsTable[[#This Row],[factorHeader]] = "",
    "",
    IF(
      ISERROR(factorsTable[[#This Row],[factorColNum]]),
      NA(),
      IF(
        ISNA(INDEX(dataRange,1,1)),
        NA(),
        MIN(INDEX(dataRange, , factorsTable[[#This Row],[factorColNum]]))
      )
    )
  )</f>
        <v>1</v>
      </c>
      <c r="CS9" s="3">
        <f ca="1">IF(
    factorsTable[[#This Row],[factorHeader]] = "",
    "",
    IF(
      ISERROR(factorsTable[[#This Row],[factorColNum]]),
      NA(),
      IF(
        ISNA(INDEX(dataRange,1,1)),
        NA(),
        MAX(INDEX(dataRange, , factorsTable[[#This Row],[factorColNum]]))
      )
    )
  )</f>
        <v>5</v>
      </c>
      <c r="CT9" s="3" t="b" cm="1">
        <f t="array" aca="1" ref="CT9" ca="1">AND(
    NOT(errorNoDataSheet),
    factorsTable[[#This Row],[factorHeader]] &lt;&gt; "",
    NOT(ISERROR(factorsTable[[#This Row],[factorColNum]])),
    IFERROR(factorsTable[[#This Row],[display]], FALSE),
    IFERROR(factorsTable[[#This Row],[minValue]] &lt; factorsTable[[#This Row],[minScore]], FALSE)
  )</f>
        <v>0</v>
      </c>
      <c r="CU9" s="3" t="b" cm="1">
        <f t="array" aca="1" ref="CU9" ca="1">AND(
    NOT(errorNoDataSheet),
    factorsTable[[#This Row],[factorHeader]] &lt;&gt; "",
    NOT(ISERROR(factorsTable[[#This Row],[factorColNum]])),
    IFERROR(factorsTable[[#This Row],[display]], FALSE),
    IFERROR(factorsTable[[#This Row],[maxValue]] &gt; factorsTable[[#This Row],[maxScore]], FALSE)
  )</f>
        <v>0</v>
      </c>
      <c r="CV9" s="3" cm="1">
        <f t="array" aca="1" ref="CV9" ca="1">IF(
    factorsTable[[#This Row],[factorHeader]] = "",
    "",
    IF(
      ISNA(INDEX(dataRange,1,1)),
      NA(),
      SUMPRODUCT(
          IF(isDoer = "", 0, NOT(isDoer))
        * (INDEX(dataRange, , factorsTable[[#This Row],[factorColNum]]) &lt;&gt; "")
      )
    )
  )</f>
        <v>147</v>
      </c>
      <c r="CW9" s="3" cm="1">
        <f t="array" aca="1" ref="CW9" ca="1">IF(
    factorsTable[[#This Row],[factorHeader]] = "",
    "",
    IF(
      ISNA(INDEX(dataRange,1,1)),
      NA(),
      SUMPRODUCT(
          IF(isDoer = "", 0, isDoer)
        * (INDEX(dataRange, , factorsTable[[#This Row],[factorColNum]]) &lt;&gt; "")
      )
    )
  )</f>
        <v>111</v>
      </c>
      <c r="CX9" s="3" cm="1">
        <f t="array" aca="1" ref="CX9" ca="1">IF(
    factorsTable[[#This Row],[factorHeader]] = "",
    "",
    IF(
      ISERROR(factorsTable[[#This Row],[factorColNum]]),
      UITranslateForValueTable("dataNotFound", UITranslationTable[tag], UITranslationTable[], UITranslationTable[#Headers]),
      factorsTable[[#This Row],[numDoers]] + factorsTable[[#This Row],[numNondoers]]
    )
  )</f>
        <v>258</v>
      </c>
      <c r="CY9" s="3" cm="1">
        <f t="array" aca="1" ref="CY9"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0.50765306122448983</v>
      </c>
      <c r="CZ9" s="3" cm="1">
        <f t="array" aca="1" ref="CZ9"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0.63063063063063063</v>
      </c>
      <c r="DA9" s="3">
        <f ca="1">IF(
    factorsTable[[#This Row],[factorHeader]] = "",
    "",
    factorsTable[[#This Row],[doers]] - factorsTable[[#This Row],[nondoers]]
  )</f>
        <v>0.1229775694061408</v>
      </c>
      <c r="DB9" s="3" t="str">
        <f>IF(
    factorsTable[[#This Row],[factorHeader]] = "",
    "",
    _xlfn.XLOOKUP(
      _xlfn.XLOOKUP(
        factorsTable[[#This Row],[index]],
        factorsConfigTable[index],
        factorsConfigTable[displayConfig],#REF!,
        0
      ),
      yesNoTable[label],
      yesNoTable[tag],
      "",
      0
    )
  )</f>
        <v>yes</v>
      </c>
      <c r="DC9" s="186" t="b">
        <f>IF(
    factorsTable[[#This Row],[factorHeader]] = "",
    FALSE,
    IF(
      factorsTable[[#This Row],[displayConfig]] = "yes",
      TRUE,
      IF(
        factorsTable[[#This Row],[displayConfig]] = "no",
        FALSE,
        NA()
      )
    )
  )</f>
        <v>1</v>
      </c>
      <c r="DD9" s="186" cm="1">
        <f t="array" ref="DD9">FilterTrueColumn(factorsTable[[#This Row],[index]], factorsTable[index], factorsTable[filteredIndex], factorsTable[display])</f>
        <v>7</v>
      </c>
      <c r="DE9" s="186">
        <f ca="1">IF(
    factorsTable[[#This Row],[filteredIndex]] = "",
    "",
    _xlfn.IFNA(
      _xlfn.XLOOKUP(factorsTable[[#This Row],[filteredIndex]], factorsTable[index], factorsTable[difference]),
      -99
    )
  )</f>
        <v>0.1229775694061408</v>
      </c>
      <c r="DF9" s="186">
        <f ca="1">IF(
    factorsTable[[#This Row],[filteredIndex]] = "",
    "",
    IF(
      factorsTable[[#This Row],[relDiff]] = -99,
      -99,
      ABS(factorsTable[[#This Row],[relDiff]])
    )
  )</f>
        <v>0.1229775694061408</v>
      </c>
      <c r="DG9" s="186">
        <f>IF(
    factorsTable[[#This Row],[filteredIndex]] = "",
    "",
    _xlfn.XLOOKUP(
      _xlfn.XLOOKUP(
        factorsTable[[#This Row],[filteredIndex]],
        factorsConfigTable[index],
        factorsConfigTable[RANASBlock],#REF!,
        0
      ),
      RANASBlocksTable[label],
      RANASBlocksTable[index],
      6,
      0
    )
  )</f>
        <v>4</v>
      </c>
      <c r="DH9" s="186">
        <f ca="1">IF(
    factorsTable[[#This Row],[filteredIndex]] = "",
    "",
    _xlfn.RANK.EQ(factorsTable[[#This Row],[relDiff]], factorsTable[relDiff], 0)
  )</f>
        <v>4</v>
      </c>
      <c r="DI9" s="186">
        <f ca="1">IF(
    factorsTable[[#This Row],[filteredIndex]] = "",
    "",
    _xlfn.RANK.EQ(factorsTable[[#This Row],[absDiff]], factorsTable[absDiff], 0)
  )</f>
        <v>5</v>
      </c>
      <c r="DJ9" s="186">
        <f>IF(
    factorsTable[[#This Row],[filteredIndex]] = "",
    "",
    _xlfn.RANK.EQ(factorsTable[[#This Row],[RANASIndex]], factorsTable[RANASIndex], 1)
  )</f>
        <v>11</v>
      </c>
      <c r="DK9" s="186" cm="1">
        <f t="array" aca="1" ref="DK9" ca="1">_xlfn.SWITCH(
    sortingMethodTag,
    "none", factorsTable[[#This Row],[filteredIndex]],
    "relDiff", factorsTable[[#This Row],[relDiffRank]],
    "absDiff", factorsTable[[#This Row],[absDiffRank]],
    "RANAS", factorsTable[[#This Row],[RANASRank]],
    factorsTable[[#This Row],[filteredIndex]]
  )</f>
        <v>5</v>
      </c>
      <c r="DL9" s="186">
        <f ca="1">IF(
    factorsTable[[#This Row],[filteredIndex]] = "",
    "",
    factorsTable[[#This Row],[selectedRank]]
      + COUNTIF(INDEX(factorsTable[selectedRank], 1):INDEX(factorsTable[selectedRank], factorsTable[[#This Row],[index]]), factorsTable[[#This Row],[selectedRank]])
      - 1
  )</f>
        <v>5</v>
      </c>
      <c r="DM9" s="186">
        <f ca="1">IF(
    factorsTable[[#This Row],[filteredIndex]] = "",
    "",
    _xlfn.XLOOKUP(
      factorsTable[[#This Row],[index]],
      factorsTable[uniqueRank],
      factorsTable[filteredIndex],#REF!,
      0
    )
  )</f>
        <v>13</v>
      </c>
      <c r="DN9" s="186" t="str" cm="1">
        <f t="array" aca="1" ref="DN9" ca="1">IF(
    factorsTable[[#This Row],[sortedIndex]] = "",
    "",
    KeepBlanksFunction(
      _xlfn.XLOOKUP(
        factorsTable[[#This Row],[sortedIndex]],
        factorsConfigTable[index],
        INDEX(
          factorsConfigTable[],
          0,
          MATCH(
            chartLanguage,
            languageHeadersList,
            0
          )
          + MATCH(factorsConfigTable[[#Headers],[lang1]], factorsConfigTable[#Headers], 0)
          - 1
        ),#REF!,
        0
      )
    )
  )</f>
        <v>Comportamiento de los demás</v>
      </c>
      <c r="DO9" s="186" t="str" cm="1">
        <f t="array" aca="1" ref="DO9" ca="1">IF(
    factorsTable[[#This Row],[sortedIndex]] = "",
    "",
    IF(
      factorsTable[[#This Row],[langSpecFactor]] = "",
      UITranslateForValueTable("noTranslation", UITranslationTable[tag], UITranslationTable[], UITranslationTable[#Headers]),
      factorsTable[[#This Row],[langSpecFactor]]
    )
  )</f>
        <v>Comportamiento de los demás</v>
      </c>
      <c r="DP9" s="186" t="str">
        <f ca="1">IF(
    factorsTable[[#This Row],[sortedIndex]] = "",
    "",
    _xlfn.XLOOKUP(
      _xlfn.XLOOKUP(
        factorsTable[[#This Row],[sortedIndex]],
        factorsConfigTable[index],
        factorsConfigTable[RANASBlock],#REF!,
        0
      ),
      RANASBlocksTable[label],
      RANASBlocksTable[tag],
      NA(),
      0
    )
  )</f>
        <v>norms</v>
      </c>
      <c r="DQ9" s="186" t="str" cm="1">
        <f t="array" aca="1" ref="DQ9" ca="1">IF(
    factorsTable[[#This Row],[sortedIndex]] = "",
    "",
    _xlfn.IFNA(
      _xlfn.XLOOKUP(factorsTable[[#This Row],[RANASTag]], RANASBlocksTable[tag], RANASBlocksTable[langSpecLabel]),
      UITranslateForValueTable("noRANASBlock", UITranslationTable[tag], UITranslationTable[], UITranslationTable[#Headers])
    )
  )</f>
        <v>Normas</v>
      </c>
      <c r="DR9" s="186" t="str">
        <f ca="1">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Comportamiento de los demás
[Normas]</v>
      </c>
      <c r="DS9" s="186">
        <f ca="1">IF(
    factorsTable[[#This Row],[sortedIndex]] = "",
    "",
    _xlfn.XLOOKUP(factorsTable[[#This Row],[sortedIndex]], factorsTable[index], factorsTable[numTotal])
  )</f>
        <v>258</v>
      </c>
      <c r="DT9" s="186">
        <f ca="1">IF(
    factorsTable[[#This Row],[sortedIndex]] = "",
    "",
    _xlfn.XLOOKUP(factorsTable[[#This Row],[sortedIndex]], factorsTable[index], factorsTable[nondoers])
  )</f>
        <v>0.61564625850340138</v>
      </c>
      <c r="DU9" s="186">
        <f ca="1">IF(
    factorsTable[[#This Row],[sortedIndex]] = "",
    "",
    _xlfn.XLOOKUP(factorsTable[[#This Row],[sortedIndex]], factorsTable[index], factorsTable[doers])
  )</f>
        <v>0.713963963963964</v>
      </c>
      <c r="DV9" s="186">
        <f ca="1">IF(
    factorsTable[[#This Row],[sortedIndex]] = "",
    "",
    _xlfn.XLOOKUP(factorsTable[[#This Row],[sortedIndex]], factorsTable[index], factorsTable[difference])
  )</f>
        <v>9.8317705460562621E-2</v>
      </c>
    </row>
    <row r="10" spans="5:126" ht="14.4" customHeight="1" x14ac:dyDescent="0.3">
      <c r="E10" s="196" cm="1">
        <f t="array" ref="E10">ROW()-ROW(UITranslationTable[#Headers])</f>
        <v>8</v>
      </c>
      <c r="F10" s="11" t="s">
        <v>926</v>
      </c>
      <c r="G10" s="185" t="s">
        <v>922</v>
      </c>
      <c r="H10" s="185" t="s">
        <v>922</v>
      </c>
      <c r="J10" s="3" cm="1">
        <f t="array" ref="J10">ROW()-ROW(errorMessagesTable[#Headers])</f>
        <v>8</v>
      </c>
      <c r="K10" s="3" t="s">
        <v>1072</v>
      </c>
      <c r="L10" s="3" t="b" cm="1">
        <f t="array" aca="1" ref="L10" ca="1">errorBehaviourMinMaxInvalid</f>
        <v>0</v>
      </c>
      <c r="M10" s="185" t="s">
        <v>854</v>
      </c>
      <c r="N10" s="185" t="s">
        <v>858</v>
      </c>
      <c r="O10" s="3" t="str" cm="1">
        <f t="array" aca="1" ref="O10" ca="1">FilterTrueColumn(errorMessagesTable[[#This Row],[index]], errorMessagesTable[index], errorMessagesTable[filteredIndex], errorMessagesTable[condition])</f>
        <v/>
      </c>
      <c r="P10" s="11" t="str" cm="1">
        <f t="array" aca="1" ref="P10"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10" s="11" t="str" cm="1">
        <f t="array" aca="1" ref="Q10" ca="1">IF(
    errorMessagesTable[[#This Row],[filteredIndex]] = "",
    "",
    IF(
      errorMessagesTable[[#This Row],[index]] = 1,
      "",
      INDEX(errorMessagesTable[concatErrors], errorMessagesTable[[#This Row],[index]]-1)
      &amp; CHAR(10) &amp; CHAR(10)
    )
    &amp; INDEX(errorMessagesTable[langSpecError], errorMessagesTable[[#This Row],[index]])
  )</f>
        <v/>
      </c>
      <c r="W10" s="186" cm="1">
        <f t="array" ref="W10">ROW()-ROW(structuredFormulaeTable[#Headers])</f>
        <v>8</v>
      </c>
      <c r="X10" s="3" t="s">
        <v>1061</v>
      </c>
      <c r="Y10" s="3" t="s">
        <v>1058</v>
      </c>
      <c r="AA10" s="187" t="s">
        <v>1062</v>
      </c>
      <c r="AB10" s="187" t="s">
        <v>1097</v>
      </c>
      <c r="BA10" s="187"/>
      <c r="BM10" s="3">
        <f ca="1"/>
        <v>5</v>
      </c>
      <c r="BN10" s="3">
        <f ca="1"/>
        <v>10</v>
      </c>
      <c r="BO10" s="3">
        <f ca="1"/>
        <v>2</v>
      </c>
      <c r="BP10" s="3">
        <f ca="1"/>
        <v>2</v>
      </c>
      <c r="BR10" s="3">
        <f ca="1"/>
        <v>2</v>
      </c>
      <c r="BS10" s="3">
        <f ca="1"/>
        <v>3</v>
      </c>
      <c r="BT10" s="3">
        <f ca="1"/>
        <v>0.66666666666666663</v>
      </c>
      <c r="BU10" s="3" t="b">
        <f ca="1"/>
        <v>1</v>
      </c>
      <c r="BW10" s="190" cm="1">
        <f t="array" ref="BW10">ROW()-ROW(cutoffTable[#Headers])</f>
        <v>8</v>
      </c>
      <c r="BX10" s="191">
        <v>0.8</v>
      </c>
      <c r="BY10" s="3" t="s">
        <v>908</v>
      </c>
      <c r="BZ10" s="186" cm="1">
        <f t="array" aca="1" ref="BZ10" ca="1">SUMPRODUCT(
    (behaviourScore &lt;&gt; "")
  * (behaviourScore &gt;= IF(cutoffTable[[#This Row],[index]] = 1, 0, INDEX(cutoffTable[cutoffLevel], cutoffTable[[#This Row],[index]]-1)))
  * IF(
      cutoffTable[[#This Row],[cutoffLevel]] = 1,
      behaviourScore &lt;= 1,
      behaviourScore &lt; cutoffTable[[#This Row],[cutoffLevel]]
    )
  )</f>
        <v>35</v>
      </c>
      <c r="CA10" s="186" cm="1">
        <f t="array" aca="1" ref="CA10" ca="1">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10" s="186" cm="1">
        <f t="array" aca="1" ref="CB10" ca="1">SUMPRODUCT(
    (behaviourScore &lt;&gt; "")
  * (behaviourScore &gt;= IF(cutoffTable[[#This Row],[index]] = 1, 0, INDEX(cutoffTable[cutoffLevel], cutoffTable[[#This Row],[index]]-1)))
  * IF(
      cutoffTable[[#This Row],[cutoffLevel]] = 1,
      behaviourScore &lt;= 1,
      behaviourScore &lt; cutoffTable[[#This Row],[cutoffLevel]]
    )
  * (behaviourScore &gt;= cutoffLevel)
  )</f>
        <v>35</v>
      </c>
      <c r="CD10" s="3" cm="1">
        <f t="array" ref="CD10">ROW()-ROW(recommendedCutoffTable[#Headers])</f>
        <v>8</v>
      </c>
      <c r="CE10" s="192">
        <f>(recommendedCutoffTable[[#This Row],[index]] - 1) / 100</f>
        <v>7.0000000000000007E-2</v>
      </c>
      <c r="CF10" s="3" cm="1">
        <f t="array" aca="1" ref="CF10" ca="1">ABS(
    numScores
  - 2 * SUMPRODUCT((behaviourScore &lt;&gt; "") * (behaviourScore &lt; recommendedCutoffTable[[#This Row],[cutoffLevel]]))
  )</f>
        <v>258</v>
      </c>
      <c r="CM10" s="3" cm="1">
        <f t="array" ref="CM10">ROW()-ROW(factorsTable[#Headers])</f>
        <v>8</v>
      </c>
      <c r="CN10" s="3" t="str" cm="1">
        <f t="array" ref="CN10">KeepBlanksFunction(
    _xlfn.XLOOKUP(
      factorsTable[[#This Row],[index]],
      factorsConfigTable[index],
      factorsConfigTable[factorHeader],#REF!,
      0
    )
  )</f>
        <v>conf_performance</v>
      </c>
      <c r="CO10" s="3">
        <f ca="1">IF(
    factorsTable[[#This Row],[factorHeader]] = "",
    "",
    _xlfn.IFNA(
      MATCH(factorsTable[[#This Row],[factorHeader]], dataHeaders, 0),
      _xlfn.IFNA(
        MATCH("*/" &amp; factorsTable[[#This Row],[factorHeader]], dataHeaders, 0),
        MATCH("*-" &amp; factorsTable[[#This Row],[factorHeader]], dataHeaders, 0)
      )
    )
  )</f>
        <v>20</v>
      </c>
      <c r="CP10" s="3">
        <f>IF(
    factorsTable[[#This Row],[factorHeader]] = "",
    "",
    _xlfn.LET(
      _xlpm.tableValue,
      _xlfn.XLOOKUP(
        factorsTable[[#This Row],[index]],
        factorsConfigTable[index],
        factorsConfigTable[minScore],#REF!,
        0
      ),
      _xlpm.storedValue,
      IF(
        _xlpm.tableValue = "",
        NA(),
        _xlpm.tableValue
      ),
      _xlpm.storedValue
    )
  )</f>
        <v>1</v>
      </c>
      <c r="CQ10" s="3">
        <f>IF(
    factorsTable[[#This Row],[factorHeader]] = "",
    "",
    _xlfn.LET(
      _xlpm.tableValue,
      _xlfn.XLOOKUP(
        factorsTable[[#This Row],[index]],
        factorsConfigTable[index],
        factorsConfigTable[maxScore],#REF!,
        0
      ),
      _xlpm.storedValue,
      IF(
        _xlpm.tableValue = "",
        NA(),
        _xlpm.tableValue
      ),
      _xlpm.storedValue
    )
  )</f>
        <v>5</v>
      </c>
      <c r="CR10" s="3">
        <f ca="1">IF(
    factorsTable[[#This Row],[factorHeader]] = "",
    "",
    IF(
      ISERROR(factorsTable[[#This Row],[factorColNum]]),
      NA(),
      IF(
        ISNA(INDEX(dataRange,1,1)),
        NA(),
        MIN(INDEX(dataRange, , factorsTable[[#This Row],[factorColNum]]))
      )
    )
  )</f>
        <v>1</v>
      </c>
      <c r="CS10" s="3">
        <f ca="1">IF(
    factorsTable[[#This Row],[factorHeader]] = "",
    "",
    IF(
      ISERROR(factorsTable[[#This Row],[factorColNum]]),
      NA(),
      IF(
        ISNA(INDEX(dataRange,1,1)),
        NA(),
        MAX(INDEX(dataRange, , factorsTable[[#This Row],[factorColNum]]))
      )
    )
  )</f>
        <v>5</v>
      </c>
      <c r="CT10" s="3" t="b" cm="1">
        <f t="array" aca="1" ref="CT10" ca="1">AND(
    NOT(errorNoDataSheet),
    factorsTable[[#This Row],[factorHeader]] &lt;&gt; "",
    NOT(ISERROR(factorsTable[[#This Row],[factorColNum]])),
    IFERROR(factorsTable[[#This Row],[display]], FALSE),
    IFERROR(factorsTable[[#This Row],[minValue]] &lt; factorsTable[[#This Row],[minScore]], FALSE)
  )</f>
        <v>0</v>
      </c>
      <c r="CU10" s="3" t="b" cm="1">
        <f t="array" aca="1" ref="CU10" ca="1">AND(
    NOT(errorNoDataSheet),
    factorsTable[[#This Row],[factorHeader]] &lt;&gt; "",
    NOT(ISERROR(factorsTable[[#This Row],[factorColNum]])),
    IFERROR(factorsTable[[#This Row],[display]], FALSE),
    IFERROR(factorsTable[[#This Row],[maxValue]] &gt; factorsTable[[#This Row],[maxScore]], FALSE)
  )</f>
        <v>0</v>
      </c>
      <c r="CV10" s="3" cm="1">
        <f t="array" aca="1" ref="CV10" ca="1">IF(
    factorsTable[[#This Row],[factorHeader]] = "",
    "",
    IF(
      ISNA(INDEX(dataRange,1,1)),
      NA(),
      SUMPRODUCT(
          IF(isDoer = "", 0, NOT(isDoer))
        * (INDEX(dataRange, , factorsTable[[#This Row],[factorColNum]]) &lt;&gt; "")
      )
    )
  )</f>
        <v>147</v>
      </c>
      <c r="CW10" s="3" cm="1">
        <f t="array" aca="1" ref="CW10" ca="1">IF(
    factorsTable[[#This Row],[factorHeader]] = "",
    "",
    IF(
      ISNA(INDEX(dataRange,1,1)),
      NA(),
      SUMPRODUCT(
          IF(isDoer = "", 0, isDoer)
        * (INDEX(dataRange, , factorsTable[[#This Row],[factorColNum]]) &lt;&gt; "")
      )
    )
  )</f>
        <v>111</v>
      </c>
      <c r="CX10" s="3" cm="1">
        <f t="array" aca="1" ref="CX10" ca="1">IF(
    factorsTable[[#This Row],[factorHeader]] = "",
    "",
    IF(
      ISERROR(factorsTable[[#This Row],[factorColNum]]),
      UITranslateForValueTable("dataNotFound", UITranslationTable[tag], UITranslationTable[], UITranslationTable[#Headers]),
      factorsTable[[#This Row],[numDoers]] + factorsTable[[#This Row],[numNondoers]]
    )
  )</f>
        <v>258</v>
      </c>
      <c r="CY10" s="3" cm="1">
        <f t="array" aca="1" ref="CY10"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0.68707482993197277</v>
      </c>
      <c r="CZ10" s="3" cm="1">
        <f t="array" aca="1" ref="CZ10"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0.75225225225225223</v>
      </c>
      <c r="DA10" s="3">
        <f ca="1">IF(
    factorsTable[[#This Row],[factorHeader]] = "",
    "",
    factorsTable[[#This Row],[doers]] - factorsTable[[#This Row],[nondoers]]
  )</f>
        <v>6.5177422320279454E-2</v>
      </c>
      <c r="DB10" s="3" t="str">
        <f>IF(
    factorsTable[[#This Row],[factorHeader]] = "",
    "",
    _xlfn.XLOOKUP(
      _xlfn.XLOOKUP(
        factorsTable[[#This Row],[index]],
        factorsConfigTable[index],
        factorsConfigTable[displayConfig],#REF!,
        0
      ),
      yesNoTable[label],
      yesNoTable[tag],
      "",
      0
    )
  )</f>
        <v>yes</v>
      </c>
      <c r="DC10" s="186" t="b">
        <f>IF(
    factorsTable[[#This Row],[factorHeader]] = "",
    FALSE,
    IF(
      factorsTable[[#This Row],[displayConfig]] = "yes",
      TRUE,
      IF(
        factorsTable[[#This Row],[displayConfig]] = "no",
        FALSE,
        NA()
      )
    )
  )</f>
        <v>1</v>
      </c>
      <c r="DD10" s="186" cm="1">
        <f t="array" ref="DD10">FilterTrueColumn(factorsTable[[#This Row],[index]], factorsTable[index], factorsTable[filteredIndex], factorsTable[display])</f>
        <v>8</v>
      </c>
      <c r="DE10" s="186">
        <f ca="1">IF(
    factorsTable[[#This Row],[filteredIndex]] = "",
    "",
    _xlfn.IFNA(
      _xlfn.XLOOKUP(factorsTable[[#This Row],[filteredIndex]], factorsTable[index], factorsTable[difference]),
      -99
    )
  )</f>
        <v>6.5177422320279454E-2</v>
      </c>
      <c r="DF10" s="186">
        <f ca="1">IF(
    factorsTable[[#This Row],[filteredIndex]] = "",
    "",
    IF(
      factorsTable[[#This Row],[relDiff]] = -99,
      -99,
      ABS(factorsTable[[#This Row],[relDiff]])
    )
  )</f>
        <v>6.5177422320279454E-2</v>
      </c>
      <c r="DG10" s="186">
        <f>IF(
    factorsTable[[#This Row],[filteredIndex]] = "",
    "",
    _xlfn.XLOOKUP(
      _xlfn.XLOOKUP(
        factorsTable[[#This Row],[filteredIndex]],
        factorsConfigTable[index],
        factorsConfigTable[RANASBlock],#REF!,
        0
      ),
      RANASBlocksTable[label],
      RANASBlocksTable[index],
      6,
      0
    )
  )</f>
        <v>4</v>
      </c>
      <c r="DH10" s="186">
        <f ca="1">IF(
    factorsTable[[#This Row],[filteredIndex]] = "",
    "",
    _xlfn.RANK.EQ(factorsTable[[#This Row],[relDiff]], factorsTable[relDiff], 0)
  )</f>
        <v>12</v>
      </c>
      <c r="DI10" s="186">
        <f ca="1">IF(
    factorsTable[[#This Row],[filteredIndex]] = "",
    "",
    _xlfn.RANK.EQ(factorsTable[[#This Row],[absDiff]], factorsTable[absDiff], 0)
  )</f>
        <v>15</v>
      </c>
      <c r="DJ10" s="186">
        <f>IF(
    factorsTable[[#This Row],[filteredIndex]] = "",
    "",
    _xlfn.RANK.EQ(factorsTable[[#This Row],[RANASIndex]], factorsTable[RANASIndex], 1)
  )</f>
        <v>11</v>
      </c>
      <c r="DK10" s="186" cm="1">
        <f t="array" aca="1" ref="DK10" ca="1">_xlfn.SWITCH(
    sortingMethodTag,
    "none", factorsTable[[#This Row],[filteredIndex]],
    "relDiff", factorsTable[[#This Row],[relDiffRank]],
    "absDiff", factorsTable[[#This Row],[absDiffRank]],
    "RANAS", factorsTable[[#This Row],[RANASRank]],
    factorsTable[[#This Row],[filteredIndex]]
  )</f>
        <v>15</v>
      </c>
      <c r="DL10" s="186">
        <f ca="1">IF(
    factorsTable[[#This Row],[filteredIndex]] = "",
    "",
    factorsTable[[#This Row],[selectedRank]]
      + COUNTIF(INDEX(factorsTable[selectedRank], 1):INDEX(factorsTable[selectedRank], factorsTable[[#This Row],[index]]), factorsTable[[#This Row],[selectedRank]])
      - 1
  )</f>
        <v>15</v>
      </c>
      <c r="DM10" s="186">
        <f ca="1">IF(
    factorsTable[[#This Row],[filteredIndex]] = "",
    "",
    _xlfn.XLOOKUP(
      factorsTable[[#This Row],[index]],
      factorsTable[uniqueRank],
      factorsTable[filteredIndex],#REF!,
      0
    )
  )</f>
        <v>2</v>
      </c>
      <c r="DN10" s="186" t="str" cm="1">
        <f t="array" aca="1" ref="DN10" ca="1">IF(
    factorsTable[[#This Row],[sortedIndex]] = "",
    "",
    KeepBlanksFunction(
      _xlfn.XLOOKUP(
        factorsTable[[#This Row],[sortedIndex]],
        factorsConfigTable[index],
        INDEX(
          factorsConfigTable[],
          0,
          MATCH(
            chartLanguage,
            languageHeadersList,
            0
          )
          + MATCH(factorsConfigTable[[#Headers],[lang1]], factorsConfigTable[#Headers], 0)
          - 1
        ),#REF!,
        0
      )
    )
  )</f>
        <v>Conocimiento de acciones</v>
      </c>
      <c r="DO10" s="186" t="str" cm="1">
        <f t="array" aca="1" ref="DO10" ca="1">IF(
    factorsTable[[#This Row],[sortedIndex]] = "",
    "",
    IF(
      factorsTable[[#This Row],[langSpecFactor]] = "",
      UITranslateForValueTable("noTranslation", UITranslationTable[tag], UITranslationTable[], UITranslationTable[#Headers]),
      factorsTable[[#This Row],[langSpecFactor]]
    )
  )</f>
        <v>Conocimiento de acciones</v>
      </c>
      <c r="DP10" s="186" t="str">
        <f ca="1">IF(
    factorsTable[[#This Row],[sortedIndex]] = "",
    "",
    _xlfn.XLOOKUP(
      _xlfn.XLOOKUP(
        factorsTable[[#This Row],[sortedIndex]],
        factorsConfigTable[index],
        factorsConfigTable[RANASBlock],#REF!,
        0
      ),
      RANASBlocksTable[label],
      RANASBlocksTable[tag],
      NA(),
      0
    )
  )</f>
        <v>abilities</v>
      </c>
      <c r="DQ10" s="186" t="str" cm="1">
        <f t="array" aca="1" ref="DQ10" ca="1">IF(
    factorsTable[[#This Row],[sortedIndex]] = "",
    "",
    _xlfn.IFNA(
      _xlfn.XLOOKUP(factorsTable[[#This Row],[RANASTag]], RANASBlocksTable[tag], RANASBlocksTable[langSpecLabel]),
      UITranslateForValueTable("noRANASBlock", UITranslationTable[tag], UITranslationTable[], UITranslationTable[#Headers])
    )
  )</f>
        <v>Habilidad</v>
      </c>
      <c r="DR10" s="186" t="str">
        <f ca="1">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Conocimiento de acciones
[Habilidad]</v>
      </c>
      <c r="DS10" s="186">
        <f ca="1">IF(
    factorsTable[[#This Row],[sortedIndex]] = "",
    "",
    _xlfn.XLOOKUP(factorsTable[[#This Row],[sortedIndex]], factorsTable[index], factorsTable[numTotal])
  )</f>
        <v>258</v>
      </c>
      <c r="DT10" s="186">
        <f ca="1">IF(
    factorsTable[[#This Row],[sortedIndex]] = "",
    "",
    _xlfn.XLOOKUP(factorsTable[[#This Row],[sortedIndex]], factorsTable[index], factorsTable[nondoers])
  )</f>
        <v>0.24529822029822035</v>
      </c>
      <c r="DU10" s="186">
        <f ca="1">IF(
    factorsTable[[#This Row],[sortedIndex]] = "",
    "",
    _xlfn.XLOOKUP(factorsTable[[#This Row],[sortedIndex]], factorsTable[index], factorsTable[doers])
  )</f>
        <v>0.34076089076089089</v>
      </c>
      <c r="DV10" s="186">
        <f ca="1">IF(
    factorsTable[[#This Row],[sortedIndex]] = "",
    "",
    _xlfn.XLOOKUP(factorsTable[[#This Row],[sortedIndex]], factorsTable[index], factorsTable[difference])
  )</f>
        <v>9.546267046267054E-2</v>
      </c>
    </row>
    <row r="11" spans="5:126" ht="14.4" customHeight="1" x14ac:dyDescent="0.3">
      <c r="E11" s="196" cm="1">
        <f t="array" ref="E11">ROW()-ROW(UITranslationTable[#Headers])</f>
        <v>9</v>
      </c>
      <c r="F11" s="11" t="s">
        <v>927</v>
      </c>
      <c r="G11" s="185" t="str">
        <f>"RANAS Analyser is a tool used to perform a doer" &amp; CHAR(160) &amp; "/" &amp; CHAR(160) &amp; "non-doer analysis of a RANAS quantitative survey. It computes the difference in behavioural factors – called RANAS factors – between ""doers"" and ""non-doers"" of a predefined behaviour."</f>
        <v>RANAS Analyser is a tool used to perform a doer / non-doer analysis of a RANAS quantitative survey. It computes the difference in behavioural factors – called RANAS factors – between "doers" and "non-doers" of a predefined behaviour.</v>
      </c>
      <c r="H11" s="185" t="str">
        <f>"RANAS Analyser est utilisé pour faire l'analyse pratiquant" &amp; CHAR(160) &amp; "/" &amp; CHAR(160) &amp; "non-pratiquant d'une enquête quantitative RANAS. Il calcule la différence des facteurs comportementaux – appelés facteurs RANAS – entre les «pratiquants» et les «non-pratiquants» d'un comportement prédéfini."</f>
        <v>RANAS Analyser est utilisé pour faire l'analyse pratiquant / non-pratiquant d'une enquête quantitative RANAS. Il calcule la différence des facteurs comportementaux – appelés facteurs RANAS – entre les «pratiquants» et les «non-pratiquants» d'un comportement prédéfini.</v>
      </c>
      <c r="J11" s="3" cm="1">
        <f t="array" ref="J11">ROW()-ROW(errorMessagesTable[#Headers])</f>
        <v>9</v>
      </c>
      <c r="K11" s="3" t="s">
        <v>1073</v>
      </c>
      <c r="L11" s="3" t="b" cm="1">
        <f t="array" aca="1" ref="L11" ca="1">errorBehaviourOutOfRange</f>
        <v>0</v>
      </c>
      <c r="M11" s="185" t="str" cm="1">
        <f t="array" ref="M11">"Some values in the """ &amp; sheetNameData &amp; """ sheet for the selected ""behaviour"" questions fall outside of the corresponding ""Min. score""-""Max. score"" ranges defined in the ""Behaviour"" table." &amp; " Please check the cells highlighted in red in those ""Min. score"" / ""Max. score"" columns and/or the corresponding data columns in the """ &amp; sheetNameData &amp; """ sheet."</f>
        <v>Some values in the "data" sheet for the selected "behaviour" questions fall outside of the corresponding "Min. score"-"Max. score" ranges defined in the "Behaviour" table. Please check the cells highlighted in red in those "Min. score" / "Max. score" columns and/or the corresponding data columns in the "data" sheet.</v>
      </c>
      <c r="N11" s="197" t="str" cm="1">
        <f t="array" ref="N11">"Certaines valeurs de la feuille «" &amp; sheetNameData &amp; "» pour les questions «comportement» sélectionnées se situent en dehors des intervalles «Score min.»-«Score max.» correspondants définis dans le tableau «Comportement»." &amp; " Veuillez vérifier les cellules marquées en rouge dans ces colonnes «Score min.» / «Score max.» et/ou les colonnes de données correspondantes dans la feuille «" &amp; sheetNameData &amp; "»."</f>
        <v>Certaines valeurs de la feuille «data» pour les questions «comportement» sélectionnées se situent en dehors des intervalles «Score min.»-«Score max.» correspondants définis dans le tableau «Comportement». Veuillez vérifier les cellules marquées en rouge dans ces colonnes «Score min.» / «Score max.» et/ou les colonnes de données correspondantes dans la feuille «data».</v>
      </c>
      <c r="O11" s="3" t="str" cm="1">
        <f t="array" aca="1" ref="O11" ca="1">FilterTrueColumn(errorMessagesTable[[#This Row],[index]], errorMessagesTable[index], errorMessagesTable[filteredIndex], errorMessagesTable[condition])</f>
        <v/>
      </c>
      <c r="P11" s="11" t="str" cm="1">
        <f t="array" aca="1" ref="P11"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11" s="11" t="str" cm="1">
        <f t="array" aca="1" ref="Q11" ca="1">IF(
    errorMessagesTable[[#This Row],[filteredIndex]] = "",
    "",
    IF(
      errorMessagesTable[[#This Row],[index]] = 1,
      "",
      INDEX(errorMessagesTable[concatErrors], errorMessagesTable[[#This Row],[index]]-1)
      &amp; CHAR(10) &amp; CHAR(10)
    )
    &amp; INDEX(errorMessagesTable[langSpecError], errorMessagesTable[[#This Row],[index]])
  )</f>
        <v/>
      </c>
      <c r="W11" s="186" cm="1">
        <f t="array" ref="W11">ROW()-ROW(structuredFormulaeTable[#Headers])</f>
        <v>9</v>
      </c>
      <c r="X11" s="3" t="s">
        <v>1063</v>
      </c>
      <c r="Y11" s="3" t="s">
        <v>1152</v>
      </c>
      <c r="Z11" s="3" t="b" cm="1">
        <f t="array" ref="Z11">behaviourInclude1</f>
        <v>1</v>
      </c>
      <c r="AA11" s="187" t="s">
        <v>1153</v>
      </c>
      <c r="AB11" s="172" t="s">
        <v>1288</v>
      </c>
      <c r="BM11" s="3">
        <f ca="1"/>
        <v>5</v>
      </c>
      <c r="BN11" s="3">
        <f ca="1"/>
        <v>15</v>
      </c>
      <c r="BO11" s="3">
        <f ca="1"/>
        <v>1</v>
      </c>
      <c r="BP11" s="3">
        <f ca="1"/>
        <v>3</v>
      </c>
      <c r="BR11" s="3">
        <f ca="1"/>
        <v>1.9999999999999998</v>
      </c>
      <c r="BS11" s="3">
        <f ca="1"/>
        <v>3</v>
      </c>
      <c r="BT11" s="3">
        <f ca="1"/>
        <v>0.66666666666666663</v>
      </c>
      <c r="BU11" s="3" t="b">
        <f ca="1"/>
        <v>1</v>
      </c>
      <c r="BW11" s="190" cm="1">
        <f t="array" ref="BW11">ROW()-ROW(cutoffTable[#Headers])</f>
        <v>9</v>
      </c>
      <c r="BX11" s="191">
        <v>0.9</v>
      </c>
      <c r="BY11" s="3" t="s">
        <v>909</v>
      </c>
      <c r="BZ11" s="186" cm="1">
        <f t="array" aca="1" ref="BZ11" ca="1">SUMPRODUCT(
    (behaviourScore &lt;&gt; "")
  * (behaviourScore &gt;= IF(cutoffTable[[#This Row],[index]] = 1, 0, INDEX(cutoffTable[cutoffLevel], cutoffTable[[#This Row],[index]]-1)))
  * IF(
      cutoffTable[[#This Row],[cutoffLevel]] = 1,
      behaviourScore &lt;= 1,
      behaviourScore &lt; cutoffTable[[#This Row],[cutoffLevel]]
    )
  )</f>
        <v>7</v>
      </c>
      <c r="CA11" s="186" cm="1">
        <f t="array" aca="1" ref="CA11" ca="1">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11" s="186" cm="1">
        <f t="array" aca="1" ref="CB11" ca="1">SUMPRODUCT(
    (behaviourScore &lt;&gt; "")
  * (behaviourScore &gt;= IF(cutoffTable[[#This Row],[index]] = 1, 0, INDEX(cutoffTable[cutoffLevel], cutoffTable[[#This Row],[index]]-1)))
  * IF(
      cutoffTable[[#This Row],[cutoffLevel]] = 1,
      behaviourScore &lt;= 1,
      behaviourScore &lt; cutoffTable[[#This Row],[cutoffLevel]]
    )
  * (behaviourScore &gt;= cutoffLevel)
  )</f>
        <v>7</v>
      </c>
      <c r="CD11" s="3" cm="1">
        <f t="array" ref="CD11">ROW()-ROW(recommendedCutoffTable[#Headers])</f>
        <v>9</v>
      </c>
      <c r="CE11" s="192">
        <f>(recommendedCutoffTable[[#This Row],[index]] - 1) / 100</f>
        <v>0.08</v>
      </c>
      <c r="CF11" s="3" cm="1">
        <f t="array" aca="1" ref="CF11" ca="1">ABS(
    numScores
  - 2 * SUMPRODUCT((behaviourScore &lt;&gt; "") * (behaviourScore &lt; recommendedCutoffTable[[#This Row],[cutoffLevel]]))
  )</f>
        <v>258</v>
      </c>
      <c r="CM11" s="3" cm="1">
        <f t="array" ref="CM11">ROW()-ROW(factorsTable[#Headers])</f>
        <v>9</v>
      </c>
      <c r="CN11" s="3" t="str" cm="1">
        <f t="array" ref="CN11">KeepBlanksFunction(
    _xlfn.XLOOKUP(
      factorsTable[[#This Row],[index]],
      factorsConfigTable[index],
      factorsConfigTable[factorHeader],#REF!,
      0
    )
  )</f>
        <v>costs</v>
      </c>
      <c r="CO11" s="3">
        <f ca="1">IF(
    factorsTable[[#This Row],[factorHeader]] = "",
    "",
    _xlfn.IFNA(
      MATCH(factorsTable[[#This Row],[factorHeader]], dataHeaders, 0),
      _xlfn.IFNA(
        MATCH("*/" &amp; factorsTable[[#This Row],[factorHeader]], dataHeaders, 0),
        MATCH("*-" &amp; factorsTable[[#This Row],[factorHeader]], dataHeaders, 0)
      )
    )
  )</f>
        <v>21</v>
      </c>
      <c r="CP11" s="3">
        <f>IF(
    factorsTable[[#This Row],[factorHeader]] = "",
    "",
    _xlfn.LET(
      _xlpm.tableValue,
      _xlfn.XLOOKUP(
        factorsTable[[#This Row],[index]],
        factorsConfigTable[index],
        factorsConfigTable[minScore],#REF!,
        0
      ),
      _xlpm.storedValue,
      IF(
        _xlpm.tableValue = "",
        NA(),
        _xlpm.tableValue
      ),
      _xlpm.storedValue
    )
  )</f>
        <v>1</v>
      </c>
      <c r="CQ11" s="3">
        <f>IF(
    factorsTable[[#This Row],[factorHeader]] = "",
    "",
    _xlfn.LET(
      _xlpm.tableValue,
      _xlfn.XLOOKUP(
        factorsTable[[#This Row],[index]],
        factorsConfigTable[index],
        factorsConfigTable[maxScore],#REF!,
        0
      ),
      _xlpm.storedValue,
      IF(
        _xlpm.tableValue = "",
        NA(),
        _xlpm.tableValue
      ),
      _xlpm.storedValue
    )
  )</f>
        <v>5</v>
      </c>
      <c r="CR11" s="3">
        <f ca="1">IF(
    factorsTable[[#This Row],[factorHeader]] = "",
    "",
    IF(
      ISERROR(factorsTable[[#This Row],[factorColNum]]),
      NA(),
      IF(
        ISNA(INDEX(dataRange,1,1)),
        NA(),
        MIN(INDEX(dataRange, , factorsTable[[#This Row],[factorColNum]]))
      )
    )
  )</f>
        <v>1</v>
      </c>
      <c r="CS11" s="3">
        <f ca="1">IF(
    factorsTable[[#This Row],[factorHeader]] = "",
    "",
    IF(
      ISERROR(factorsTable[[#This Row],[factorColNum]]),
      NA(),
      IF(
        ISNA(INDEX(dataRange,1,1)),
        NA(),
        MAX(INDEX(dataRange, , factorsTable[[#This Row],[factorColNum]]))
      )
    )
  )</f>
        <v>5</v>
      </c>
      <c r="CT11" s="3" t="b" cm="1">
        <f t="array" aca="1" ref="CT11" ca="1">AND(
    NOT(errorNoDataSheet),
    factorsTable[[#This Row],[factorHeader]] &lt;&gt; "",
    NOT(ISERROR(factorsTable[[#This Row],[factorColNum]])),
    IFERROR(factorsTable[[#This Row],[display]], FALSE),
    IFERROR(factorsTable[[#This Row],[minValue]] &lt; factorsTable[[#This Row],[minScore]], FALSE)
  )</f>
        <v>0</v>
      </c>
      <c r="CU11" s="3" t="b" cm="1">
        <f t="array" aca="1" ref="CU11" ca="1">AND(
    NOT(errorNoDataSheet),
    factorsTable[[#This Row],[factorHeader]] &lt;&gt; "",
    NOT(ISERROR(factorsTable[[#This Row],[factorColNum]])),
    IFERROR(factorsTable[[#This Row],[display]], FALSE),
    IFERROR(factorsTable[[#This Row],[maxValue]] &gt; factorsTable[[#This Row],[maxScore]], FALSE)
  )</f>
        <v>0</v>
      </c>
      <c r="CV11" s="3" cm="1">
        <f t="array" aca="1" ref="CV11" ca="1">IF(
    factorsTable[[#This Row],[factorHeader]] = "",
    "",
    IF(
      ISNA(INDEX(dataRange,1,1)),
      NA(),
      SUMPRODUCT(
          IF(isDoer = "", 0, NOT(isDoer))
        * (INDEX(dataRange, , factorsTable[[#This Row],[factorColNum]]) &lt;&gt; "")
      )
    )
  )</f>
        <v>147</v>
      </c>
      <c r="CW11" s="3" cm="1">
        <f t="array" aca="1" ref="CW11" ca="1">IF(
    factorsTable[[#This Row],[factorHeader]] = "",
    "",
    IF(
      ISNA(INDEX(dataRange,1,1)),
      NA(),
      SUMPRODUCT(
          IF(isDoer = "", 0, isDoer)
        * (INDEX(dataRange, , factorsTable[[#This Row],[factorColNum]]) &lt;&gt; "")
      )
    )
  )</f>
        <v>111</v>
      </c>
      <c r="CX11" s="3" cm="1">
        <f t="array" aca="1" ref="CX11" ca="1">IF(
    factorsTable[[#This Row],[factorHeader]] = "",
    "",
    IF(
      ISERROR(factorsTable[[#This Row],[factorColNum]]),
      UITranslateForValueTable("dataNotFound", UITranslationTable[tag], UITranslationTable[], UITranslationTable[#Headers]),
      factorsTable[[#This Row],[numDoers]] + factorsTable[[#This Row],[numNondoers]]
    )
  )</f>
        <v>258</v>
      </c>
      <c r="CY11" s="3" cm="1">
        <f t="array" aca="1" ref="CY11"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0.26785714285714285</v>
      </c>
      <c r="CZ11" s="3" cm="1">
        <f t="array" aca="1" ref="CZ11"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0.2195945945945946</v>
      </c>
      <c r="DA11" s="3">
        <f ca="1">IF(
    factorsTable[[#This Row],[factorHeader]] = "",
    "",
    factorsTable[[#This Row],[doers]] - factorsTable[[#This Row],[nondoers]]
  )</f>
        <v>-4.8262548262548249E-2</v>
      </c>
      <c r="DB11" s="3" t="str">
        <f>IF(
    factorsTable[[#This Row],[factorHeader]] = "",
    "",
    _xlfn.XLOOKUP(
      _xlfn.XLOOKUP(
        factorsTable[[#This Row],[index]],
        factorsConfigTable[index],
        factorsConfigTable[displayConfig],#REF!,
        0
      ),
      yesNoTable[label],
      yesNoTable[tag],
      "",
      0
    )
  )</f>
        <v>yes</v>
      </c>
      <c r="DC11" s="186" t="b">
        <f>IF(
    factorsTable[[#This Row],[factorHeader]] = "",
    FALSE,
    IF(
      factorsTable[[#This Row],[displayConfig]] = "yes",
      TRUE,
      IF(
        factorsTable[[#This Row],[displayConfig]] = "no",
        FALSE,
        NA()
      )
    )
  )</f>
        <v>1</v>
      </c>
      <c r="DD11" s="186" cm="1">
        <f t="array" ref="DD11">FilterTrueColumn(factorsTable[[#This Row],[index]], factorsTable[index], factorsTable[filteredIndex], factorsTable[display])</f>
        <v>9</v>
      </c>
      <c r="DE11" s="186">
        <f ca="1">IF(
    factorsTable[[#This Row],[filteredIndex]] = "",
    "",
    _xlfn.IFNA(
      _xlfn.XLOOKUP(factorsTable[[#This Row],[filteredIndex]], factorsTable[index], factorsTable[difference]),
      -99
    )
  )</f>
        <v>-4.8262548262548249E-2</v>
      </c>
      <c r="DF11" s="186">
        <f ca="1">IF(
    factorsTable[[#This Row],[filteredIndex]] = "",
    "",
    IF(
      factorsTable[[#This Row],[relDiff]] = -99,
      -99,
      ABS(factorsTable[[#This Row],[relDiff]])
    )
  )</f>
        <v>4.8262548262548249E-2</v>
      </c>
      <c r="DG11" s="186">
        <f>IF(
    factorsTable[[#This Row],[filteredIndex]] = "",
    "",
    _xlfn.XLOOKUP(
      _xlfn.XLOOKUP(
        factorsTable[[#This Row],[filteredIndex]],
        factorsConfigTable[index],
        factorsConfigTable[RANASBlock],#REF!,
        0
      ),
      RANASBlocksTable[label],
      RANASBlocksTable[index],
      6,
      0
    )
  )</f>
        <v>2</v>
      </c>
      <c r="DH11" s="186">
        <f ca="1">IF(
    factorsTable[[#This Row],[filteredIndex]] = "",
    "",
    _xlfn.RANK.EQ(factorsTable[[#This Row],[relDiff]], factorsTable[relDiff], 0)
  )</f>
        <v>14</v>
      </c>
      <c r="DI11" s="186">
        <f ca="1">IF(
    factorsTable[[#This Row],[filteredIndex]] = "",
    "",
    _xlfn.RANK.EQ(factorsTable[[#This Row],[absDiff]], factorsTable[absDiff], 0)
  )</f>
        <v>16</v>
      </c>
      <c r="DJ11" s="186">
        <f>IF(
    factorsTable[[#This Row],[filteredIndex]] = "",
    "",
    _xlfn.RANK.EQ(factorsTable[[#This Row],[RANASIndex]], factorsTable[RANASIndex], 1)
  )</f>
        <v>5</v>
      </c>
      <c r="DK11" s="186" cm="1">
        <f t="array" aca="1" ref="DK11" ca="1">_xlfn.SWITCH(
    sortingMethodTag,
    "none", factorsTable[[#This Row],[filteredIndex]],
    "relDiff", factorsTable[[#This Row],[relDiffRank]],
    "absDiff", factorsTable[[#This Row],[absDiffRank]],
    "RANAS", factorsTable[[#This Row],[RANASRank]],
    factorsTable[[#This Row],[filteredIndex]]
  )</f>
        <v>16</v>
      </c>
      <c r="DL11" s="186">
        <f ca="1">IF(
    factorsTable[[#This Row],[filteredIndex]] = "",
    "",
    factorsTable[[#This Row],[selectedRank]]
      + COUNTIF(INDEX(factorsTable[selectedRank], 1):INDEX(factorsTable[selectedRank], factorsTable[[#This Row],[index]]), factorsTable[[#This Row],[selectedRank]])
      - 1
  )</f>
        <v>16</v>
      </c>
      <c r="DM11" s="186">
        <f ca="1">IF(
    factorsTable[[#This Row],[filteredIndex]] = "",
    "",
    _xlfn.XLOOKUP(
      factorsTable[[#This Row],[index]],
      factorsTable[uniqueRank],
      factorsTable[filteredIndex],#REF!,
      0
    )
  )</f>
        <v>1</v>
      </c>
      <c r="DN11" s="186" t="str" cm="1">
        <f t="array" aca="1" ref="DN11" ca="1">IF(
    factorsTable[[#This Row],[sortedIndex]] = "",
    "",
    KeepBlanksFunction(
      _xlfn.XLOOKUP(
        factorsTable[[#This Row],[sortedIndex]],
        factorsConfigTable[index],
        INDEX(
          factorsConfigTable[],
          0,
          MATCH(
            chartLanguage,
            languageHeadersList,
            0
          )
          + MATCH(factorsConfigTable[[#Headers],[lang1]], factorsConfigTable[#Headers], 0)
          - 1
        ),#REF!,
        0
      )
    )
  )</f>
        <v>Control de acciones</v>
      </c>
      <c r="DO11" s="186" t="str" cm="1">
        <f t="array" aca="1" ref="DO11" ca="1">IF(
    factorsTable[[#This Row],[sortedIndex]] = "",
    "",
    IF(
      factorsTable[[#This Row],[langSpecFactor]] = "",
      UITranslateForValueTable("noTranslation", UITranslationTable[tag], UITranslationTable[], UITranslationTable[#Headers]),
      factorsTable[[#This Row],[langSpecFactor]]
    )
  )</f>
        <v>Control de acciones</v>
      </c>
      <c r="DP11" s="186" t="str">
        <f ca="1">IF(
    factorsTable[[#This Row],[sortedIndex]] = "",
    "",
    _xlfn.XLOOKUP(
      _xlfn.XLOOKUP(
        factorsTable[[#This Row],[sortedIndex]],
        factorsConfigTable[index],
        factorsConfigTable[RANASBlock],#REF!,
        0
      ),
      RANASBlocksTable[label],
      RANASBlocksTable[tag],
      NA(),
      0
    )
  )</f>
        <v>risks</v>
      </c>
      <c r="DQ11" s="186" t="str" cm="1">
        <f t="array" aca="1" ref="DQ11" ca="1">IF(
    factorsTable[[#This Row],[sortedIndex]] = "",
    "",
    _xlfn.IFNA(
      _xlfn.XLOOKUP(factorsTable[[#This Row],[RANASTag]], RANASBlocksTable[tag], RANASBlocksTable[langSpecLabel]),
      UITranslateForValueTable("noRANASBlock", UITranslationTable[tag], UITranslationTable[], UITranslationTable[#Headers])
    )
  )</f>
        <v>Riesgo</v>
      </c>
      <c r="DR11" s="186" t="str">
        <f ca="1">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Control de acciones
[Riesgo]</v>
      </c>
      <c r="DS11" s="186">
        <f ca="1">IF(
    factorsTable[[#This Row],[sortedIndex]] = "",
    "",
    _xlfn.XLOOKUP(factorsTable[[#This Row],[sortedIndex]], factorsTable[index], factorsTable[numTotal])
  )</f>
        <v>210</v>
      </c>
      <c r="DT11" s="186">
        <f ca="1">IF(
    factorsTable[[#This Row],[sortedIndex]] = "",
    "",
    _xlfn.XLOOKUP(factorsTable[[#This Row],[sortedIndex]], factorsTable[index], factorsTable[nondoers])
  )</f>
        <v>0.71336206896551724</v>
      </c>
      <c r="DU11" s="186">
        <f ca="1">IF(
    factorsTable[[#This Row],[sortedIndex]] = "",
    "",
    _xlfn.XLOOKUP(factorsTable[[#This Row],[sortedIndex]], factorsTable[index], factorsTable[doers])
  )</f>
        <v>0.80053191489361697</v>
      </c>
      <c r="DV11" s="186">
        <f ca="1">IF(
    factorsTable[[#This Row],[sortedIndex]] = "",
    "",
    _xlfn.XLOOKUP(factorsTable[[#This Row],[sortedIndex]], factorsTable[index], factorsTable[difference])
  )</f>
        <v>8.7169845928099732E-2</v>
      </c>
    </row>
    <row r="12" spans="5:126" ht="14.4" customHeight="1" x14ac:dyDescent="0.3">
      <c r="E12" s="196" cm="1">
        <f t="array" ref="E12">ROW()-ROW(UITranslationTable[#Headers])</f>
        <v>10</v>
      </c>
      <c r="F12" s="11" t="s">
        <v>928</v>
      </c>
      <c r="G12" s="185" t="str" cm="1">
        <f t="array" aca="1" ref="G12" ca="1">"1. You start in the """ &amp; sheetNameConfiguration &amp; """ sheet, where you CAREFULLY set up the RANAS Analyser by filling in the yellow areas to define which data will be analysed." &amp; CHAR(10)
&amp; "2. Then, you proceed to the """ &amp; sheetNameCutoff &amp; """ sheet to adjust the optimal cutoff level between doers and non-doers." &amp; CHAR(10)
&amp; "3. Finally, you visualise the results in the """ &amp; sheetNameAnalysis &amp; """ sheet."</f>
        <v>1. You start in the "Configuration" sheet, where you CAREFULLY set up the RANAS Analyser by filling in the yellow areas to define which data will be analysed.
2. Then, you proceed to the "Cutoff - Seuil" sheet to adjust the optimal cutoff level between doers and non-doers.
3. Finally, you visualise the results in the "Analysis" sheet.</v>
      </c>
      <c r="H12" s="185" t="str" cm="1">
        <f t="array" aca="1" ref="H12" ca="1">"1. Vous commencez, sur la feuille «" &amp; sheetNameConfiguration &amp; "», par paramétrer SOIGNEUSEMENT le RANAS Analyser en remplissant les zones jaunes pour définir les données à analyser." &amp; CHAR(10)
&amp; "2. Ensuite, vous passez à la feuille «" &amp; sheetNameCutoff &amp; "» pour ajuster le niveau de seuil optimal entre les pratiquants et les non-pratiquants." &amp; CHAR(10)
&amp; "3. Enfin, vous visualisez les résultats sur la feuille «" &amp; sheetNameAnalysis &amp; "»."</f>
        <v>1. Vous commencez, sur la feuille «Configuration», par paramétrer SOIGNEUSEMENT le RANAS Analyser en remplissant les zones jaunes pour définir les données à analyser.
2. Ensuite, vous passez à la feuille «Cutoff - Seuil» pour ajuster le niveau de seuil optimal entre les pratiquants et les non-pratiquants.
3. Enfin, vous visualisez les résultats sur la feuille «Analysis».</v>
      </c>
      <c r="J12" s="3" cm="1">
        <f t="array" ref="J12">ROW()-ROW(errorMessagesTable[#Headers])</f>
        <v>10</v>
      </c>
      <c r="K12" s="3" t="s">
        <v>1074</v>
      </c>
      <c r="L12" s="3" t="b" cm="1">
        <f t="array" aca="1" ref="L12" ca="1">errorFactorHeader</f>
        <v>0</v>
      </c>
      <c r="M12" s="185" t="str" cm="1">
        <f t="array" ref="M12">"Some data headers selected in the ""RANAS factors"" table (red cells) cannot be found in the """ &amp; sheetNameData &amp; """ sheet. Make sure that these data headers are accurately entered in the table (no typos, no spaces) or deselect them by choosing the cross mark (" &amp; noLabel &amp; ") from the drop-down menu in the ""Display?"" column."</f>
        <v>Some data headers selected in the "RANAS factors" table (red cells) cannot be found in the "data" sheet. Make sure that these data headers are accurately entered in the table (no typos, no spaces) or deselect them by choosing the cross mark (✘) from the drop-down menu in the "Display?" column.</v>
      </c>
      <c r="N12" s="185" t="str" cm="1">
        <f t="array" ref="N12">"Certains en-têtes de données sélectionnés dans le tableau «Facteurs RANAS» (cellules rouges) sont introuvables sur la feuille «" &amp; sheetNameData &amp; "». Veuillez vérifier que ces en-têtes sont saisis précisément dans le tableau (ni fautes de frappe, ni espaces) ou alors désélectionnez-les en choisissant la croix (" &amp; noLabel &amp; ") dans le menu déroulant de la colonne «Afficher?»."</f>
        <v>Certains en-têtes de données sélectionnés dans le tableau «Facteurs RANAS» (cellules rouges) sont introuvables sur la feuille «data». Veuillez vérifier que ces en-têtes sont saisis précisément dans le tableau (ni fautes de frappe, ni espaces) ou alors désélectionnez-les en choisissant la croix (✘) dans le menu déroulant de la colonne «Afficher?».</v>
      </c>
      <c r="O12" s="3" t="str" cm="1">
        <f t="array" aca="1" ref="O12" ca="1">FilterTrueColumn(errorMessagesTable[[#This Row],[index]], errorMessagesTable[index], errorMessagesTable[filteredIndex], errorMessagesTable[condition])</f>
        <v/>
      </c>
      <c r="P12" s="11" t="str" cm="1">
        <f t="array" aca="1" ref="P12"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12" s="11" t="str" cm="1">
        <f t="array" aca="1" ref="Q12" ca="1">IF(
    errorMessagesTable[[#This Row],[filteredIndex]] = "",
    "",
    IF(
      errorMessagesTable[[#This Row],[index]] = 1,
      "",
      INDEX(errorMessagesTable[concatErrors], errorMessagesTable[[#This Row],[index]]-1)
      &amp; CHAR(10) &amp; CHAR(10)
    )
    &amp; INDEX(errorMessagesTable[langSpecError], errorMessagesTable[[#This Row],[index]])
  )</f>
        <v/>
      </c>
      <c r="W12" s="186" cm="1">
        <f t="array" ref="W12">ROW()-ROW(structuredFormulaeTable[#Headers])</f>
        <v>10</v>
      </c>
      <c r="X12" s="3" t="s">
        <v>1063</v>
      </c>
      <c r="Y12" s="3" t="s">
        <v>1154</v>
      </c>
      <c r="Z12" s="3" t="b" cm="1">
        <f t="array" ref="Z12">behaviourInclude2</f>
        <v>1</v>
      </c>
      <c r="AA12" s="187" t="s">
        <v>1155</v>
      </c>
      <c r="AB12" s="172" t="s">
        <v>1289</v>
      </c>
      <c r="AY12" s="198"/>
      <c r="BM12" s="3">
        <f ca="1"/>
        <v>5</v>
      </c>
      <c r="BN12" s="3">
        <f ca="1"/>
        <v>15</v>
      </c>
      <c r="BO12" s="3">
        <f ca="1"/>
        <v>2</v>
      </c>
      <c r="BP12" s="3">
        <f ca="1"/>
        <v>3</v>
      </c>
      <c r="BR12" s="3">
        <f ca="1"/>
        <v>2.333333333333333</v>
      </c>
      <c r="BS12" s="3">
        <f ca="1"/>
        <v>3</v>
      </c>
      <c r="BT12" s="3">
        <f ca="1"/>
        <v>0.77777777777777768</v>
      </c>
      <c r="BU12" s="3" t="b">
        <f ca="1"/>
        <v>1</v>
      </c>
      <c r="BW12" s="190" cm="1">
        <f t="array" ref="BW12">ROW()-ROW(cutoffTable[#Headers])</f>
        <v>10</v>
      </c>
      <c r="BX12" s="191">
        <v>1</v>
      </c>
      <c r="BY12" s="3" t="s">
        <v>910</v>
      </c>
      <c r="BZ12" s="186" cm="1">
        <f t="array" aca="1" ref="BZ12" ca="1">SUMPRODUCT(
    (behaviourScore &lt;&gt; "")
  * (behaviourScore &gt;= IF(cutoffTable[[#This Row],[index]] = 1, 0, INDEX(cutoffTable[cutoffLevel], cutoffTable[[#This Row],[index]]-1)))
  * IF(
      cutoffTable[[#This Row],[cutoffLevel]] = 1,
      behaviourScore &lt;= 1,
      behaviourScore &lt; cutoffTable[[#This Row],[cutoffLevel]]
    )
  )</f>
        <v>3</v>
      </c>
      <c r="CA12" s="186" cm="1">
        <f t="array" aca="1" ref="CA12" ca="1">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12" s="186" cm="1">
        <f t="array" aca="1" ref="CB12" ca="1">SUMPRODUCT(
    (behaviourScore &lt;&gt; "")
  * (behaviourScore &gt;= IF(cutoffTable[[#This Row],[index]] = 1, 0, INDEX(cutoffTable[cutoffLevel], cutoffTable[[#This Row],[index]]-1)))
  * IF(
      cutoffTable[[#This Row],[cutoffLevel]] = 1,
      behaviourScore &lt;= 1,
      behaviourScore &lt; cutoffTable[[#This Row],[cutoffLevel]]
    )
  * (behaviourScore &gt;= cutoffLevel)
  )</f>
        <v>3</v>
      </c>
      <c r="CD12" s="3" cm="1">
        <f t="array" ref="CD12">ROW()-ROW(recommendedCutoffTable[#Headers])</f>
        <v>10</v>
      </c>
      <c r="CE12" s="192">
        <f>(recommendedCutoffTable[[#This Row],[index]] - 1) / 100</f>
        <v>0.09</v>
      </c>
      <c r="CF12" s="3" cm="1">
        <f t="array" aca="1" ref="CF12" ca="1">ABS(
    numScores
  - 2 * SUMPRODUCT((behaviourScore &lt;&gt; "") * (behaviourScore &lt; recommendedCutoffTable[[#This Row],[cutoffLevel]]))
  )</f>
        <v>254</v>
      </c>
      <c r="CM12" s="3" cm="1">
        <f t="array" ref="CM12">ROW()-ROW(factorsTable[#Headers])</f>
        <v>10</v>
      </c>
      <c r="CN12" s="3" t="str" cm="1">
        <f t="array" ref="CN12">KeepBlanksFunction(
    _xlfn.XLOOKUP(
      factorsTable[[#This Row],[index]],
      factorsConfigTable[index],
      factorsConfigTable[factorHeader],#REF!,
      0
    )
  )</f>
        <v>feelings</v>
      </c>
      <c r="CO12" s="3">
        <f ca="1">IF(
    factorsTable[[#This Row],[factorHeader]] = "",
    "",
    _xlfn.IFNA(
      MATCH(factorsTable[[#This Row],[factorHeader]], dataHeaders, 0),
      _xlfn.IFNA(
        MATCH("*/" &amp; factorsTable[[#This Row],[factorHeader]], dataHeaders, 0),
        MATCH("*-" &amp; factorsTable[[#This Row],[factorHeader]], dataHeaders, 0)
      )
    )
  )</f>
        <v>22</v>
      </c>
      <c r="CP12" s="3">
        <f>IF(
    factorsTable[[#This Row],[factorHeader]] = "",
    "",
    _xlfn.LET(
      _xlpm.tableValue,
      _xlfn.XLOOKUP(
        factorsTable[[#This Row],[index]],
        factorsConfigTable[index],
        factorsConfigTable[minScore],#REF!,
        0
      ),
      _xlpm.storedValue,
      IF(
        _xlpm.tableValue = "",
        NA(),
        _xlpm.tableValue
      ),
      _xlpm.storedValue
    )
  )</f>
        <v>1</v>
      </c>
      <c r="CQ12" s="3">
        <f>IF(
    factorsTable[[#This Row],[factorHeader]] = "",
    "",
    _xlfn.LET(
      _xlpm.tableValue,
      _xlfn.XLOOKUP(
        factorsTable[[#This Row],[index]],
        factorsConfigTable[index],
        factorsConfigTable[maxScore],#REF!,
        0
      ),
      _xlpm.storedValue,
      IF(
        _xlpm.tableValue = "",
        NA(),
        _xlpm.tableValue
      ),
      _xlpm.storedValue
    )
  )</f>
        <v>5</v>
      </c>
      <c r="CR12" s="3">
        <f ca="1">IF(
    factorsTable[[#This Row],[factorHeader]] = "",
    "",
    IF(
      ISERROR(factorsTable[[#This Row],[factorColNum]]),
      NA(),
      IF(
        ISNA(INDEX(dataRange,1,1)),
        NA(),
        MIN(INDEX(dataRange, , factorsTable[[#This Row],[factorColNum]]))
      )
    )
  )</f>
        <v>1</v>
      </c>
      <c r="CS12" s="3">
        <f ca="1">IF(
    factorsTable[[#This Row],[factorHeader]] = "",
    "",
    IF(
      ISERROR(factorsTable[[#This Row],[factorColNum]]),
      NA(),
      IF(
        ISNA(INDEX(dataRange,1,1)),
        NA(),
        MAX(INDEX(dataRange, , factorsTable[[#This Row],[factorColNum]]))
      )
    )
  )</f>
        <v>4.5</v>
      </c>
      <c r="CT12" s="3" t="b" cm="1">
        <f t="array" aca="1" ref="CT12" ca="1">AND(
    NOT(errorNoDataSheet),
    factorsTable[[#This Row],[factorHeader]] &lt;&gt; "",
    NOT(ISERROR(factorsTable[[#This Row],[factorColNum]])),
    IFERROR(factorsTable[[#This Row],[display]], FALSE),
    IFERROR(factorsTable[[#This Row],[minValue]] &lt; factorsTable[[#This Row],[minScore]], FALSE)
  )</f>
        <v>0</v>
      </c>
      <c r="CU12" s="3" t="b" cm="1">
        <f t="array" aca="1" ref="CU12" ca="1">AND(
    NOT(errorNoDataSheet),
    factorsTable[[#This Row],[factorHeader]] &lt;&gt; "",
    NOT(ISERROR(factorsTable[[#This Row],[factorColNum]])),
    IFERROR(factorsTable[[#This Row],[display]], FALSE),
    IFERROR(factorsTable[[#This Row],[maxValue]] &gt; factorsTable[[#This Row],[maxScore]], FALSE)
  )</f>
        <v>0</v>
      </c>
      <c r="CV12" s="3" cm="1">
        <f t="array" aca="1" ref="CV12" ca="1">IF(
    factorsTable[[#This Row],[factorHeader]] = "",
    "",
    IF(
      ISNA(INDEX(dataRange,1,1)),
      NA(),
      SUMPRODUCT(
          IF(isDoer = "", 0, NOT(isDoer))
        * (INDEX(dataRange, , factorsTable[[#This Row],[factorColNum]]) &lt;&gt; "")
      )
    )
  )</f>
        <v>147</v>
      </c>
      <c r="CW12" s="3" cm="1">
        <f t="array" aca="1" ref="CW12" ca="1">IF(
    factorsTable[[#This Row],[factorHeader]] = "",
    "",
    IF(
      ISNA(INDEX(dataRange,1,1)),
      NA(),
      SUMPRODUCT(
          IF(isDoer = "", 0, isDoer)
        * (INDEX(dataRange, , factorsTable[[#This Row],[factorColNum]]) &lt;&gt; "")
      )
    )
  )</f>
        <v>111</v>
      </c>
      <c r="CX12" s="3" cm="1">
        <f t="array" aca="1" ref="CX12" ca="1">IF(
    factorsTable[[#This Row],[factorHeader]] = "",
    "",
    IF(
      ISERROR(factorsTable[[#This Row],[factorColNum]]),
      UITranslateForValueTable("dataNotFound", UITranslationTable[tag], UITranslationTable[], UITranslationTable[#Headers]),
      factorsTable[[#This Row],[numDoers]] + factorsTable[[#This Row],[numNondoers]]
    )
  )</f>
        <v>258</v>
      </c>
      <c r="CY12" s="3" cm="1">
        <f t="array" aca="1" ref="CY12"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0.44444444444444442</v>
      </c>
      <c r="CZ12" s="3" cm="1">
        <f t="array" aca="1" ref="CZ12"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0.46096096096096095</v>
      </c>
      <c r="DA12" s="3">
        <f ca="1">IF(
    factorsTable[[#This Row],[factorHeader]] = "",
    "",
    factorsTable[[#This Row],[doers]] - factorsTable[[#This Row],[nondoers]]
  )</f>
        <v>1.6516516516516533E-2</v>
      </c>
      <c r="DB12" s="3" t="str">
        <f>IF(
    factorsTable[[#This Row],[factorHeader]] = "",
    "",
    _xlfn.XLOOKUP(
      _xlfn.XLOOKUP(
        factorsTable[[#This Row],[index]],
        factorsConfigTable[index],
        factorsConfigTable[displayConfig],#REF!,
        0
      ),
      yesNoTable[label],
      yesNoTable[tag],
      "",
      0
    )
  )</f>
        <v>yes</v>
      </c>
      <c r="DC12" s="186" t="b">
        <f>IF(
    factorsTable[[#This Row],[factorHeader]] = "",
    FALSE,
    IF(
      factorsTable[[#This Row],[displayConfig]] = "yes",
      TRUE,
      IF(
        factorsTable[[#This Row],[displayConfig]] = "no",
        FALSE,
        NA()
      )
    )
  )</f>
        <v>1</v>
      </c>
      <c r="DD12" s="186" cm="1">
        <f t="array" ref="DD12">FilterTrueColumn(factorsTable[[#This Row],[index]], factorsTable[index], factorsTable[filteredIndex], factorsTable[display])</f>
        <v>10</v>
      </c>
      <c r="DE12" s="186">
        <f ca="1">IF(
    factorsTable[[#This Row],[filteredIndex]] = "",
    "",
    _xlfn.IFNA(
      _xlfn.XLOOKUP(factorsTable[[#This Row],[filteredIndex]], factorsTable[index], factorsTable[difference]),
      -99
    )
  )</f>
        <v>1.6516516516516533E-2</v>
      </c>
      <c r="DF12" s="186">
        <f ca="1">IF(
    factorsTable[[#This Row],[filteredIndex]] = "",
    "",
    IF(
      factorsTable[[#This Row],[relDiff]] = -99,
      -99,
      ABS(factorsTable[[#This Row],[relDiff]])
    )
  )</f>
        <v>1.6516516516516533E-2</v>
      </c>
      <c r="DG12" s="186">
        <f>IF(
    factorsTable[[#This Row],[filteredIndex]] = "",
    "",
    _xlfn.XLOOKUP(
      _xlfn.XLOOKUP(
        factorsTable[[#This Row],[filteredIndex]],
        factorsConfigTable[index],
        factorsConfigTable[RANASBlock],#REF!,
        0
      ),
      RANASBlocksTable[label],
      RANASBlocksTable[index],
      6,
      0
    )
  )</f>
        <v>2</v>
      </c>
      <c r="DH12" s="186">
        <f ca="1">IF(
    factorsTable[[#This Row],[filteredIndex]] = "",
    "",
    _xlfn.RANK.EQ(factorsTable[[#This Row],[relDiff]], factorsTable[relDiff], 0)
  )</f>
        <v>13</v>
      </c>
      <c r="DI12" s="186">
        <f ca="1">IF(
    factorsTable[[#This Row],[filteredIndex]] = "",
    "",
    _xlfn.RANK.EQ(factorsTable[[#This Row],[absDiff]], factorsTable[absDiff], 0)
  )</f>
        <v>17</v>
      </c>
      <c r="DJ12" s="186">
        <f>IF(
    factorsTable[[#This Row],[filteredIndex]] = "",
    "",
    _xlfn.RANK.EQ(factorsTable[[#This Row],[RANASIndex]], factorsTable[RANASIndex], 1)
  )</f>
        <v>5</v>
      </c>
      <c r="DK12" s="186" cm="1">
        <f t="array" aca="1" ref="DK12" ca="1">_xlfn.SWITCH(
    sortingMethodTag,
    "none", factorsTable[[#This Row],[filteredIndex]],
    "relDiff", factorsTable[[#This Row],[relDiffRank]],
    "absDiff", factorsTable[[#This Row],[absDiffRank]],
    "RANAS", factorsTable[[#This Row],[RANASRank]],
    factorsTable[[#This Row],[filteredIndex]]
  )</f>
        <v>17</v>
      </c>
      <c r="DL12" s="186">
        <f ca="1">IF(
    factorsTable[[#This Row],[filteredIndex]] = "",
    "",
    factorsTable[[#This Row],[selectedRank]]
      + COUNTIF(INDEX(factorsTable[selectedRank], 1):INDEX(factorsTable[selectedRank], factorsTable[[#This Row],[index]]), factorsTable[[#This Row],[selectedRank]])
      - 1
  )</f>
        <v>17</v>
      </c>
      <c r="DM12" s="186">
        <f ca="1">IF(
    factorsTable[[#This Row],[filteredIndex]] = "",
    "",
    _xlfn.XLOOKUP(
      factorsTable[[#This Row],[index]],
      factorsTable[uniqueRank],
      factorsTable[filteredIndex],#REF!,
      0
    )
  )</f>
        <v>16</v>
      </c>
      <c r="DN12" s="186" t="str" cm="1">
        <f t="array" aca="1" ref="DN12" ca="1">IF(
    factorsTable[[#This Row],[sortedIndex]] = "",
    "",
    KeepBlanksFunction(
      _xlfn.XLOOKUP(
        factorsTable[[#This Row],[sortedIndex]],
        factorsConfigTable[index],
        INDEX(
          factorsConfigTable[],
          0,
          MATCH(
            chartLanguage,
            languageHeadersList,
            0
          )
          + MATCH(factorsConfigTable[[#Headers],[lang1]], factorsConfigTable[#Headers], 0)
          - 1
        ),#REF!,
        0
      )
    )
  )</f>
        <v>Severidad</v>
      </c>
      <c r="DO12" s="186" t="str" cm="1">
        <f t="array" aca="1" ref="DO12" ca="1">IF(
    factorsTable[[#This Row],[sortedIndex]] = "",
    "",
    IF(
      factorsTable[[#This Row],[langSpecFactor]] = "",
      UITranslateForValueTable("noTranslation", UITranslationTable[tag], UITranslationTable[], UITranslationTable[#Headers]),
      factorsTable[[#This Row],[langSpecFactor]]
    )
  )</f>
        <v>Severidad</v>
      </c>
      <c r="DP12" s="186" t="str">
        <f ca="1">IF(
    factorsTable[[#This Row],[sortedIndex]] = "",
    "",
    _xlfn.XLOOKUP(
      _xlfn.XLOOKUP(
        factorsTable[[#This Row],[sortedIndex]],
        factorsConfigTable[index],
        factorsConfigTable[RANASBlock],#REF!,
        0
      ),
      RANASBlocksTable[label],
      RANASBlocksTable[tag],
      NA(),
      0
    )
  )</f>
        <v>risks</v>
      </c>
      <c r="DQ12" s="186" t="str" cm="1">
        <f t="array" aca="1" ref="DQ12" ca="1">IF(
    factorsTable[[#This Row],[sortedIndex]] = "",
    "",
    _xlfn.IFNA(
      _xlfn.XLOOKUP(factorsTable[[#This Row],[RANASTag]], RANASBlocksTable[tag], RANASBlocksTable[langSpecLabel]),
      UITranslateForValueTable("noRANASBlock", UITranslationTable[tag], UITranslationTable[], UITranslationTable[#Headers])
    )
  )</f>
        <v>Riesgo</v>
      </c>
      <c r="DR12" s="186" t="str">
        <f ca="1">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Severidad
[Riesgo]</v>
      </c>
      <c r="DS12" s="186">
        <f ca="1">IF(
    factorsTable[[#This Row],[sortedIndex]] = "",
    "",
    _xlfn.XLOOKUP(factorsTable[[#This Row],[sortedIndex]], factorsTable[index], factorsTable[numTotal])
  )</f>
        <v>258</v>
      </c>
      <c r="DT12" s="186">
        <f ca="1">IF(
    factorsTable[[#This Row],[sortedIndex]] = "",
    "",
    _xlfn.XLOOKUP(factorsTable[[#This Row],[sortedIndex]], factorsTable[index], factorsTable[nondoers])
  )</f>
        <v>0.63435374149659862</v>
      </c>
      <c r="DU12" s="186">
        <f ca="1">IF(
    factorsTable[[#This Row],[sortedIndex]] = "",
    "",
    _xlfn.XLOOKUP(factorsTable[[#This Row],[sortedIndex]], factorsTable[index], factorsTable[doers])
  )</f>
        <v>0.72072072072072069</v>
      </c>
      <c r="DV12" s="186">
        <f ca="1">IF(
    factorsTable[[#This Row],[sortedIndex]] = "",
    "",
    _xlfn.XLOOKUP(factorsTable[[#This Row],[sortedIndex]], factorsTable[index], factorsTable[difference])
  )</f>
        <v>8.6366979224122065E-2</v>
      </c>
    </row>
    <row r="13" spans="5:126" ht="14.4" customHeight="1" x14ac:dyDescent="0.3">
      <c r="E13" s="196" cm="1">
        <f t="array" ref="E13">ROW()-ROW(UITranslationTable[#Headers])</f>
        <v>11</v>
      </c>
      <c r="F13" s="11" t="s">
        <v>929</v>
      </c>
      <c r="G13" s="199" t="str" cm="1">
        <f t="array" aca="1" ref="G13" ca="1">"Errors detected by the RANAS Analyser (e.g., missing or inconsistent values) are highlighted in red and explanations are displayed in the two ""Error messages"" boards of the """ &amp; sheetNameConfiguration &amp; """ sheet."</f>
        <v>Errors detected by the RANAS Analyser (e.g., missing or inconsistent values) are highlighted in red and explanations are displayed in the two "Error messages" boards of the "Configuration" sheet.</v>
      </c>
      <c r="H13" s="185" t="str" cm="1">
        <f t="array" aca="1" ref="H13" ca="1">"Les erreurs détectées par le RANAS Analyser (p. ex., valeurs manquantes ou incohérentes) sont signalées en rouge et des explications sont affichées sur les panneaux «Messages d'erreur» de la feuille «" &amp; sheetNameConfiguration &amp; "»."</f>
        <v>Les erreurs détectées par le RANAS Analyser (p. ex., valeurs manquantes ou incohérentes) sont signalées en rouge et des explications sont affichées sur les panneaux «Messages d'erreur» de la feuille «Configuration».</v>
      </c>
      <c r="J13" s="3" cm="1">
        <f t="array" ref="J13">ROW()-ROW(errorMessagesTable[#Headers])</f>
        <v>11</v>
      </c>
      <c r="K13" s="3" t="s">
        <v>1075</v>
      </c>
      <c r="L13" s="3" t="b" cm="1">
        <f t="array" aca="1" ref="L13" ca="1">errorFactorDisplay</f>
        <v>0</v>
      </c>
      <c r="M13" s="185" t="s">
        <v>963</v>
      </c>
      <c r="N13" s="185" t="s">
        <v>960</v>
      </c>
      <c r="O13" s="3" t="str" cm="1">
        <f t="array" aca="1" ref="O13" ca="1">FilterTrueColumn(errorMessagesTable[[#This Row],[index]], errorMessagesTable[index], errorMessagesTable[filteredIndex], errorMessagesTable[condition])</f>
        <v/>
      </c>
      <c r="P13" s="11" t="str" cm="1">
        <f t="array" aca="1" ref="P13"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13" s="11" t="str" cm="1">
        <f t="array" aca="1" ref="Q13" ca="1">IF(
    errorMessagesTable[[#This Row],[filteredIndex]] = "",
    "",
    IF(
      errorMessagesTable[[#This Row],[index]] = 1,
      "",
      INDEX(errorMessagesTable[concatErrors], errorMessagesTable[[#This Row],[index]]-1)
      &amp; CHAR(10) &amp; CHAR(10)
    )
    &amp; INDEX(errorMessagesTable[langSpecError], errorMessagesTable[[#This Row],[index]])
  )</f>
        <v/>
      </c>
      <c r="W13" s="186" cm="1">
        <f t="array" ref="W13">ROW()-ROW(structuredFormulaeTable[#Headers])</f>
        <v>11</v>
      </c>
      <c r="X13" s="3" t="s">
        <v>1063</v>
      </c>
      <c r="Y13" s="3" t="s">
        <v>1156</v>
      </c>
      <c r="Z13" s="3" t="b" cm="1">
        <f t="array" ref="Z13">behaviourInclude3</f>
        <v>1</v>
      </c>
      <c r="AA13" s="187" t="s">
        <v>1157</v>
      </c>
      <c r="AB13" s="172" t="s">
        <v>1290</v>
      </c>
      <c r="AY13" s="198"/>
      <c r="BM13" s="3">
        <f ca="1"/>
        <v>5</v>
      </c>
      <c r="BN13" s="3">
        <f ca="1"/>
        <v>15</v>
      </c>
      <c r="BO13" s="3">
        <f ca="1"/>
        <v>2</v>
      </c>
      <c r="BP13" s="3">
        <f ca="1"/>
        <v>3</v>
      </c>
      <c r="BR13" s="3">
        <f ca="1"/>
        <v>2.333333333333333</v>
      </c>
      <c r="BS13" s="3">
        <f ca="1"/>
        <v>3</v>
      </c>
      <c r="BT13" s="3">
        <f ca="1"/>
        <v>0.77777777777777768</v>
      </c>
      <c r="BU13" s="3" t="b">
        <f ca="1"/>
        <v>1</v>
      </c>
      <c r="CD13" s="3" cm="1">
        <f t="array" ref="CD13">ROW()-ROW(recommendedCutoffTable[#Headers])</f>
        <v>11</v>
      </c>
      <c r="CE13" s="192">
        <f>(recommendedCutoffTable[[#This Row],[index]] - 1) / 100</f>
        <v>0.1</v>
      </c>
      <c r="CF13" s="3" cm="1">
        <f t="array" aca="1" ref="CF13" ca="1">ABS(
    numScores
  - 2 * SUMPRODUCT((behaviourScore &lt;&gt; "") * (behaviourScore &lt; recommendedCutoffTable[[#This Row],[cutoffLevel]]))
  )</f>
        <v>254</v>
      </c>
      <c r="CM13" s="186" cm="1">
        <f t="array" ref="CM13">ROW()-ROW(factorsTable[#Headers])</f>
        <v>11</v>
      </c>
      <c r="CN13" s="186" t="str" cm="1">
        <f t="array" ref="CN13">KeepBlanksFunction(
    _xlfn.XLOOKUP(
      factorsTable[[#This Row],[index]],
      factorsConfigTable[index],
      factorsConfigTable[factorHeader],#REF!,
      0
    )
  )</f>
        <v>health_knowledge</v>
      </c>
      <c r="CO13" s="186">
        <f ca="1">IF(
    factorsTable[[#This Row],[factorHeader]] = "",
    "",
    _xlfn.IFNA(
      MATCH(factorsTable[[#This Row],[factorHeader]], dataHeaders, 0),
      _xlfn.IFNA(
        MATCH("*/" &amp; factorsTable[[#This Row],[factorHeader]], dataHeaders, 0),
        MATCH("*-" &amp; factorsTable[[#This Row],[factorHeader]], dataHeaders, 0)
      )
    )
  )</f>
        <v>23</v>
      </c>
      <c r="CP13" s="186">
        <f>IF(
    factorsTable[[#This Row],[factorHeader]] = "",
    "",
    _xlfn.LET(
      _xlpm.tableValue,
      _xlfn.XLOOKUP(
        factorsTable[[#This Row],[index]],
        factorsConfigTable[index],
        factorsConfigTable[minScore],#REF!,
        0
      ),
      _xlpm.storedValue,
      IF(
        _xlpm.tableValue = "",
        NA(),
        _xlpm.tableValue
      ),
      _xlpm.storedValue
    )
  )</f>
        <v>0</v>
      </c>
      <c r="CQ13" s="186">
        <f>IF(
    factorsTable[[#This Row],[factorHeader]] = "",
    "",
    _xlfn.LET(
      _xlpm.tableValue,
      _xlfn.XLOOKUP(
        factorsTable[[#This Row],[index]],
        factorsConfigTable[index],
        factorsConfigTable[maxScore],#REF!,
        0
      ),
      _xlpm.storedValue,
      IF(
        _xlpm.tableValue = "",
        NA(),
        _xlpm.tableValue
      ),
      _xlpm.storedValue
    )
  )</f>
        <v>1</v>
      </c>
      <c r="CR13" s="186">
        <f ca="1">IF(
    factorsTable[[#This Row],[factorHeader]] = "",
    "",
    IF(
      ISERROR(factorsTable[[#This Row],[factorColNum]]),
      NA(),
      IF(
        ISNA(INDEX(dataRange,1,1)),
        NA(),
        MIN(INDEX(dataRange, , factorsTable[[#This Row],[factorColNum]]))
      )
    )
  )</f>
        <v>8.7121212121212127E-2</v>
      </c>
      <c r="CS13" s="186">
        <f ca="1">IF(
    factorsTable[[#This Row],[factorHeader]] = "",
    "",
    IF(
      ISERROR(factorsTable[[#This Row],[factorColNum]]),
      NA(),
      IF(
        ISNA(INDEX(dataRange,1,1)),
        NA(),
        MAX(INDEX(dataRange, , factorsTable[[#This Row],[factorColNum]]))
      )
    )
  )</f>
        <v>0.57196969696969702</v>
      </c>
      <c r="CT13" s="186" t="b" cm="1">
        <f t="array" aca="1" ref="CT13" ca="1">AND(
    NOT(errorNoDataSheet),
    factorsTable[[#This Row],[factorHeader]] &lt;&gt; "",
    NOT(ISERROR(factorsTable[[#This Row],[factorColNum]])),
    IFERROR(factorsTable[[#This Row],[display]], FALSE),
    IFERROR(factorsTable[[#This Row],[minValue]] &lt; factorsTable[[#This Row],[minScore]], FALSE)
  )</f>
        <v>0</v>
      </c>
      <c r="CU13" s="186" t="b" cm="1">
        <f t="array" aca="1" ref="CU13" ca="1">AND(
    NOT(errorNoDataSheet),
    factorsTable[[#This Row],[factorHeader]] &lt;&gt; "",
    NOT(ISERROR(factorsTable[[#This Row],[factorColNum]])),
    IFERROR(factorsTable[[#This Row],[display]], FALSE),
    IFERROR(factorsTable[[#This Row],[maxValue]] &gt; factorsTable[[#This Row],[maxScore]], FALSE)
  )</f>
        <v>0</v>
      </c>
      <c r="CV13" s="186" cm="1">
        <f t="array" aca="1" ref="CV13" ca="1">IF(
    factorsTable[[#This Row],[factorHeader]] = "",
    "",
    IF(
      ISNA(INDEX(dataRange,1,1)),
      NA(),
      SUMPRODUCT(
          IF(isDoer = "", 0, NOT(isDoer))
        * (INDEX(dataRange, , factorsTable[[#This Row],[factorColNum]]) &lt;&gt; "")
      )
    )
  )</f>
        <v>147</v>
      </c>
      <c r="CW13" s="186" cm="1">
        <f t="array" aca="1" ref="CW13" ca="1">IF(
    factorsTable[[#This Row],[factorHeader]] = "",
    "",
    IF(
      ISNA(INDEX(dataRange,1,1)),
      NA(),
      SUMPRODUCT(
          IF(isDoer = "", 0, isDoer)
        * (INDEX(dataRange, , factorsTable[[#This Row],[factorColNum]]) &lt;&gt; "")
      )
    )
  )</f>
        <v>111</v>
      </c>
      <c r="CX13" s="186" cm="1">
        <f t="array" aca="1" ref="CX13" ca="1">IF(
    factorsTable[[#This Row],[factorHeader]] = "",
    "",
    IF(
      ISERROR(factorsTable[[#This Row],[factorColNum]]),
      UITranslateForValueTable("dataNotFound", UITranslationTable[tag], UITranslationTable[], UITranslationTable[#Headers]),
      factorsTable[[#This Row],[numDoers]] + factorsTable[[#This Row],[numNondoers]]
    )
  )</f>
        <v>258</v>
      </c>
      <c r="CY13" s="186" cm="1">
        <f t="array" aca="1" ref="CY13"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0.26899092970521543</v>
      </c>
      <c r="CZ13" s="186" cm="1">
        <f t="array" aca="1" ref="CZ13"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0.40090090090090125</v>
      </c>
      <c r="DA13" s="186">
        <f ca="1">IF(
    factorsTable[[#This Row],[factorHeader]] = "",
    "",
    factorsTable[[#This Row],[doers]] - factorsTable[[#This Row],[nondoers]]
  )</f>
        <v>0.13190997119568582</v>
      </c>
      <c r="DB13" s="186" t="str">
        <f>IF(
    factorsTable[[#This Row],[factorHeader]] = "",
    "",
    _xlfn.XLOOKUP(
      _xlfn.XLOOKUP(
        factorsTable[[#This Row],[index]],
        factorsConfigTable[index],
        factorsConfigTable[displayConfig],#REF!,
        0
      ),
      yesNoTable[label],
      yesNoTable[tag],
      "",
      0
    )
  )</f>
        <v>yes</v>
      </c>
      <c r="DC13" s="186" t="b">
        <f>IF(
    factorsTable[[#This Row],[factorHeader]] = "",
    FALSE,
    IF(
      factorsTable[[#This Row],[displayConfig]] = "yes",
      TRUE,
      IF(
        factorsTable[[#This Row],[displayConfig]] = "no",
        FALSE,
        NA()
      )
    )
  )</f>
        <v>1</v>
      </c>
      <c r="DD13" s="186" cm="1">
        <f t="array" ref="DD13">FilterTrueColumn(factorsTable[[#This Row],[index]], factorsTable[index], factorsTable[filteredIndex], factorsTable[display])</f>
        <v>11</v>
      </c>
      <c r="DE13" s="186">
        <f ca="1">IF(
    factorsTable[[#This Row],[filteredIndex]] = "",
    "",
    _xlfn.IFNA(
      _xlfn.XLOOKUP(factorsTable[[#This Row],[filteredIndex]], factorsTable[index], factorsTable[difference]),
      -99
    )
  )</f>
        <v>0.13190997119568582</v>
      </c>
      <c r="DF13" s="186">
        <f ca="1">IF(
    factorsTable[[#This Row],[filteredIndex]] = "",
    "",
    IF(
      factorsTable[[#This Row],[relDiff]] = -99,
      -99,
      ABS(factorsTable[[#This Row],[relDiff]])
    )
  )</f>
        <v>0.13190997119568582</v>
      </c>
      <c r="DG13" s="186">
        <f>IF(
    factorsTable[[#This Row],[filteredIndex]] = "",
    "",
    _xlfn.XLOOKUP(
      _xlfn.XLOOKUP(
        factorsTable[[#This Row],[filteredIndex]],
        factorsConfigTable[index],
        factorsConfigTable[RANASBlock],#REF!,
        0
      ),
      RANASBlocksTable[label],
      RANASBlocksTable[index],
      6,
      0
    )
  )</f>
        <v>1</v>
      </c>
      <c r="DH13" s="186">
        <f ca="1">IF(
    factorsTable[[#This Row],[filteredIndex]] = "",
    "",
    _xlfn.RANK.EQ(factorsTable[[#This Row],[relDiff]], factorsTable[relDiff], 0)
  )</f>
        <v>3</v>
      </c>
      <c r="DI13" s="186">
        <f ca="1">IF(
    factorsTable[[#This Row],[filteredIndex]] = "",
    "",
    _xlfn.RANK.EQ(factorsTable[[#This Row],[absDiff]], factorsTable[absDiff], 0)
  )</f>
        <v>4</v>
      </c>
      <c r="DJ13" s="186">
        <f>IF(
    factorsTable[[#This Row],[filteredIndex]] = "",
    "",
    _xlfn.RANK.EQ(factorsTable[[#This Row],[RANASIndex]], factorsTable[RANASIndex], 1)
  )</f>
        <v>1</v>
      </c>
      <c r="DK13" s="186" cm="1">
        <f t="array" aca="1" ref="DK13" ca="1">_xlfn.SWITCH(
    sortingMethodTag,
    "none", factorsTable[[#This Row],[filteredIndex]],
    "relDiff", factorsTable[[#This Row],[relDiffRank]],
    "absDiff", factorsTable[[#This Row],[absDiffRank]],
    "RANAS", factorsTable[[#This Row],[RANASRank]],
    factorsTable[[#This Row],[filteredIndex]]
  )</f>
        <v>4</v>
      </c>
      <c r="DL13" s="186">
        <f ca="1">IF(
    factorsTable[[#This Row],[filteredIndex]] = "",
    "",
    factorsTable[[#This Row],[selectedRank]]
      + COUNTIF(INDEX(factorsTable[selectedRank], 1):INDEX(factorsTable[selectedRank], factorsTable[[#This Row],[index]]), factorsTable[[#This Row],[selectedRank]])
      - 1
  )</f>
        <v>4</v>
      </c>
      <c r="DM13" s="186">
        <f ca="1">IF(
    factorsTable[[#This Row],[filteredIndex]] = "",
    "",
    _xlfn.XLOOKUP(
      factorsTable[[#This Row],[index]],
      factorsTable[uniqueRank],
      factorsTable[filteredIndex],#REF!,
      0
    )
  )</f>
        <v>5</v>
      </c>
      <c r="DN13" s="186" t="str" cm="1">
        <f t="array" aca="1" ref="DN13" ca="1">IF(
    factorsTable[[#This Row],[sortedIndex]] = "",
    "",
    KeepBlanksFunction(
      _xlfn.XLOOKUP(
        factorsTable[[#This Row],[sortedIndex]],
        factorsConfigTable[index],
        INDEX(
          factorsConfigTable[],
          0,
          MATCH(
            chartLanguage,
            languageHeadersList,
            0
          )
          + MATCH(factorsConfigTable[[#Headers],[lang1]], factorsConfigTable[#Headers], 0)
          - 1
        ),#REF!,
        0
      )
    )
  )</f>
        <v>Barreras 2</v>
      </c>
      <c r="DO13" s="186" t="str" cm="1">
        <f t="array" aca="1" ref="DO13" ca="1">IF(
    factorsTable[[#This Row],[sortedIndex]] = "",
    "",
    IF(
      factorsTable[[#This Row],[langSpecFactor]] = "",
      UITranslateForValueTable("noTranslation", UITranslationTable[tag], UITranslationTable[], UITranslationTable[#Headers]),
      factorsTable[[#This Row],[langSpecFactor]]
    )
  )</f>
        <v>Barreras 2</v>
      </c>
      <c r="DP13" s="186" t="str">
        <f ca="1">IF(
    factorsTable[[#This Row],[sortedIndex]] = "",
    "",
    _xlfn.XLOOKUP(
      _xlfn.XLOOKUP(
        factorsTable[[#This Row],[sortedIndex]],
        factorsConfigTable[index],
        factorsConfigTable[RANASBlock],#REF!,
        0
      ),
      RANASBlocksTable[label],
      RANASBlocksTable[tag],
      NA(),
      0
    )
  )</f>
        <v>selfRegulation</v>
      </c>
      <c r="DQ13" s="186" t="str" cm="1">
        <f t="array" aca="1" ref="DQ13" ca="1">IF(
    factorsTable[[#This Row],[sortedIndex]] = "",
    "",
    _xlfn.IFNA(
      _xlfn.XLOOKUP(factorsTable[[#This Row],[RANASTag]], RANASBlocksTable[tag], RANASBlocksTable[langSpecLabel]),
      UITranslateForValueTable("noRANASBlock", UITranslationTable[tag], UITranslationTable[], UITranslationTable[#Headers])
    )
  )</f>
        <v>Auto‐regulación</v>
      </c>
      <c r="DR13" s="186" t="str">
        <f ca="1">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Barreras 2
[Auto‐regulación]</v>
      </c>
      <c r="DS13" s="186">
        <f ca="1">IF(
    factorsTable[[#This Row],[sortedIndex]] = "",
    "",
    _xlfn.XLOOKUP(factorsTable[[#This Row],[sortedIndex]], factorsTable[index], factorsTable[numTotal])
  )</f>
        <v>258</v>
      </c>
      <c r="DT13" s="186">
        <f ca="1">IF(
    factorsTable[[#This Row],[sortedIndex]] = "",
    "",
    _xlfn.XLOOKUP(factorsTable[[#This Row],[sortedIndex]], factorsTable[index], factorsTable[nondoers])
  )</f>
        <v>0.28401360544217685</v>
      </c>
      <c r="DU13" s="186">
        <f ca="1">IF(
    factorsTable[[#This Row],[sortedIndex]] = "",
    "",
    _xlfn.XLOOKUP(factorsTable[[#This Row],[sortedIndex]], factorsTable[index], factorsTable[doers])
  )</f>
        <v>0.20270270270270271</v>
      </c>
      <c r="DV13" s="186">
        <f ca="1">IF(
    factorsTable[[#This Row],[sortedIndex]] = "",
    "",
    _xlfn.XLOOKUP(factorsTable[[#This Row],[sortedIndex]], factorsTable[index], factorsTable[difference])
  )</f>
        <v>-8.1310902739474139E-2</v>
      </c>
    </row>
    <row r="14" spans="5:126" ht="14.4" customHeight="1" x14ac:dyDescent="0.3">
      <c r="E14" s="196" cm="1">
        <f t="array" ref="E14">ROW()-ROW(UITranslationTable[#Headers])</f>
        <v>12</v>
      </c>
      <c r="F14" s="11" t="s">
        <v>946</v>
      </c>
      <c r="G14" s="199" t="s">
        <v>947</v>
      </c>
      <c r="H14" s="185" t="s">
        <v>949</v>
      </c>
      <c r="J14" s="3" cm="1">
        <f t="array" ref="J14">ROW()-ROW(errorMessagesTable[#Headers])</f>
        <v>12</v>
      </c>
      <c r="K14" s="3" t="s">
        <v>1076</v>
      </c>
      <c r="L14" s="3" t="b" cm="1">
        <f t="array" aca="1" ref="L14" ca="1">errorFactorNoneSelected</f>
        <v>0</v>
      </c>
      <c r="M14" s="185" t="str" cm="1">
        <f t="array" ref="M14">"None of the valid data headers in the ""RANAS factors"" table is selected, so no doer / non-doer analysis can be done." &amp; " Please use the drop-down menus in the ""Display?"" column (red cells) to add a tick mark (" &amp; yesLabel &amp; ") to at least one of the valid data headers."</f>
        <v>None of the valid data headers in the "RANAS factors" table is selected, so no doer / non-doer analysis can be done. Please use the drop-down menus in the "Display?" column (red cells) to add a tick mark (✔) to at least one of the valid data headers.</v>
      </c>
      <c r="N14" s="185" t="str" cm="1">
        <f t="array" ref="N14">"Aucun des en-têtes de données valables du tableau «Facteurs RANAS» n'est sélectionné et aucune analyse pratiquant / non-pratiquant ne peut donc être effectuée." &amp; " Veuillez utiliser le menu déroulant dans la colonne «Afficher?» (cellules rouges) pour ajouter une coche (" &amp; yesLabel &amp; ") à au moins l'un des en-têtes valables."</f>
        <v>Aucun des en-têtes de données valables du tableau «Facteurs RANAS» n'est sélectionné et aucune analyse pratiquant / non-pratiquant ne peut donc être effectuée. Veuillez utiliser le menu déroulant dans la colonne «Afficher?» (cellules rouges) pour ajouter une coche (✔) à au moins l'un des en-têtes valables.</v>
      </c>
      <c r="O14" s="3" t="str" cm="1">
        <f t="array" aca="1" ref="O14" ca="1">FilterTrueColumn(errorMessagesTable[[#This Row],[index]], errorMessagesTable[index], errorMessagesTable[filteredIndex], errorMessagesTable[condition])</f>
        <v/>
      </c>
      <c r="P14" s="11" t="str" cm="1">
        <f t="array" aca="1" ref="P14"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14" s="11" t="str" cm="1">
        <f t="array" aca="1" ref="Q14" ca="1">IF(
    errorMessagesTable[[#This Row],[filteredIndex]] = "",
    "",
    IF(
      errorMessagesTable[[#This Row],[index]] = 1,
      "",
      INDEX(errorMessagesTable[concatErrors], errorMessagesTable[[#This Row],[index]]-1)
      &amp; CHAR(10) &amp; CHAR(10)
    )
    &amp; INDEX(errorMessagesTable[langSpecError], errorMessagesTable[[#This Row],[index]])
  )</f>
        <v/>
      </c>
      <c r="W14" s="186" cm="1">
        <f t="array" ref="W14">ROW()-ROW(structuredFormulaeTable[#Headers])</f>
        <v>12</v>
      </c>
      <c r="X14" s="3" t="s">
        <v>1063</v>
      </c>
      <c r="Y14" s="3" t="s">
        <v>1158</v>
      </c>
      <c r="Z14" s="3" t="b" cm="1">
        <f t="array" ref="Z14">behaviourInclude4</f>
        <v>0</v>
      </c>
      <c r="AA14" s="187" t="s">
        <v>1159</v>
      </c>
      <c r="AB14" s="172" t="s">
        <v>1291</v>
      </c>
      <c r="BM14" s="3">
        <f ca="1"/>
        <v>5</v>
      </c>
      <c r="BN14" s="3">
        <f ca="1"/>
        <v>10</v>
      </c>
      <c r="BO14" s="3">
        <f ca="1"/>
        <v>1</v>
      </c>
      <c r="BP14" s="3">
        <f ca="1"/>
        <v>3</v>
      </c>
      <c r="BR14" s="3">
        <f ca="1"/>
        <v>1.6666666666666665</v>
      </c>
      <c r="BS14" s="3">
        <f ca="1"/>
        <v>3</v>
      </c>
      <c r="BT14" s="3">
        <f ca="1"/>
        <v>0.55555555555555547</v>
      </c>
      <c r="BU14" s="3" t="b">
        <f ca="1"/>
        <v>0</v>
      </c>
      <c r="CD14" s="3" cm="1">
        <f t="array" ref="CD14">ROW()-ROW(recommendedCutoffTable[#Headers])</f>
        <v>12</v>
      </c>
      <c r="CE14" s="192">
        <f>(recommendedCutoffTable[[#This Row],[index]] - 1) / 100</f>
        <v>0.11</v>
      </c>
      <c r="CF14" s="3" cm="1">
        <f t="array" aca="1" ref="CF14" ca="1">ABS(
    numScores
  - 2 * SUMPRODUCT((behaviourScore &lt;&gt; "") * (behaviourScore &lt; recommendedCutoffTable[[#This Row],[cutoffLevel]]))
  )</f>
        <v>254</v>
      </c>
      <c r="CM14" s="186" cm="1">
        <f t="array" ref="CM14">ROW()-ROW(factorsTable[#Headers])</f>
        <v>12</v>
      </c>
      <c r="CN14" s="186" t="str" cm="1">
        <f t="array" ref="CN14">KeepBlanksFunction(
    _xlfn.XLOOKUP(
      factorsTable[[#This Row],[index]],
      factorsConfigTable[index],
      factorsConfigTable[factorHeader],#REF!,
      0
    )
  )</f>
        <v>others_approval</v>
      </c>
      <c r="CO14" s="186">
        <f ca="1">IF(
    factorsTable[[#This Row],[factorHeader]] = "",
    "",
    _xlfn.IFNA(
      MATCH(factorsTable[[#This Row],[factorHeader]], dataHeaders, 0),
      _xlfn.IFNA(
        MATCH("*/" &amp; factorsTable[[#This Row],[factorHeader]], dataHeaders, 0),
        MATCH("*-" &amp; factorsTable[[#This Row],[factorHeader]], dataHeaders, 0)
      )
    )
  )</f>
        <v>24</v>
      </c>
      <c r="CP14" s="186">
        <f>IF(
    factorsTable[[#This Row],[factorHeader]] = "",
    "",
    _xlfn.LET(
      _xlpm.tableValue,
      _xlfn.XLOOKUP(
        factorsTable[[#This Row],[index]],
        factorsConfigTable[index],
        factorsConfigTable[minScore],#REF!,
        0
      ),
      _xlpm.storedValue,
      IF(
        _xlpm.tableValue = "",
        NA(),
        _xlpm.tableValue
      ),
      _xlpm.storedValue
    )
  )</f>
        <v>0</v>
      </c>
      <c r="CQ14" s="186">
        <f>IF(
    factorsTable[[#This Row],[factorHeader]] = "",
    "",
    _xlfn.LET(
      _xlpm.tableValue,
      _xlfn.XLOOKUP(
        factorsTable[[#This Row],[index]],
        factorsConfigTable[index],
        factorsConfigTable[maxScore],#REF!,
        0
      ),
      _xlpm.storedValue,
      IF(
        _xlpm.tableValue = "",
        NA(),
        _xlpm.tableValue
      ),
      _xlpm.storedValue
    )
  )</f>
        <v>1</v>
      </c>
      <c r="CR14" s="186">
        <f ca="1">IF(
    factorsTable[[#This Row],[factorHeader]] = "",
    "",
    IF(
      ISERROR(factorsTable[[#This Row],[factorColNum]]),
      NA(),
      IF(
        ISNA(INDEX(dataRange,1,1)),
        NA(),
        MIN(INDEX(dataRange, , factorsTable[[#This Row],[factorColNum]]))
      )
    )
  )</f>
        <v>6.25E-2</v>
      </c>
      <c r="CS14" s="186">
        <f ca="1">IF(
    factorsTable[[#This Row],[factorHeader]] = "",
    "",
    IF(
      ISERROR(factorsTable[[#This Row],[factorColNum]]),
      NA(),
      IF(
        ISNA(INDEX(dataRange,1,1)),
        NA(),
        MAX(INDEX(dataRange, , factorsTable[[#This Row],[factorColNum]]))
      )
    )
  )</f>
        <v>0.75</v>
      </c>
      <c r="CT14" s="186" t="b" cm="1">
        <f t="array" aca="1" ref="CT14" ca="1">AND(
    NOT(errorNoDataSheet),
    factorsTable[[#This Row],[factorHeader]] &lt;&gt; "",
    NOT(ISERROR(factorsTable[[#This Row],[factorColNum]])),
    IFERROR(factorsTable[[#This Row],[display]], FALSE),
    IFERROR(factorsTable[[#This Row],[minValue]] &lt; factorsTable[[#This Row],[minScore]], FALSE)
  )</f>
        <v>0</v>
      </c>
      <c r="CU14" s="186" t="b" cm="1">
        <f t="array" aca="1" ref="CU14" ca="1">AND(
    NOT(errorNoDataSheet),
    factorsTable[[#This Row],[factorHeader]] &lt;&gt; "",
    NOT(ISERROR(factorsTable[[#This Row],[factorColNum]])),
    IFERROR(factorsTable[[#This Row],[display]], FALSE),
    IFERROR(factorsTable[[#This Row],[maxValue]] &gt; factorsTable[[#This Row],[maxScore]], FALSE)
  )</f>
        <v>0</v>
      </c>
      <c r="CV14" s="186" cm="1">
        <f t="array" aca="1" ref="CV14" ca="1">IF(
    factorsTable[[#This Row],[factorHeader]] = "",
    "",
    IF(
      ISNA(INDEX(dataRange,1,1)),
      NA(),
      SUMPRODUCT(
          IF(isDoer = "", 0, NOT(isDoer))
        * (INDEX(dataRange, , factorsTable[[#This Row],[factorColNum]]) &lt;&gt; "")
      )
    )
  )</f>
        <v>147</v>
      </c>
      <c r="CW14" s="186" cm="1">
        <f t="array" aca="1" ref="CW14" ca="1">IF(
    factorsTable[[#This Row],[factorHeader]] = "",
    "",
    IF(
      ISNA(INDEX(dataRange,1,1)),
      NA(),
      SUMPRODUCT(
          IF(isDoer = "", 0, isDoer)
        * (INDEX(dataRange, , factorsTable[[#This Row],[factorColNum]]) &lt;&gt; "")
      )
    )
  )</f>
        <v>111</v>
      </c>
      <c r="CX14" s="186" cm="1">
        <f t="array" aca="1" ref="CX14" ca="1">IF(
    factorsTable[[#This Row],[factorHeader]] = "",
    "",
    IF(
      ISERROR(factorsTable[[#This Row],[factorColNum]]),
      UITranslateForValueTable("dataNotFound", UITranslationTable[tag], UITranslationTable[], UITranslationTable[#Headers]),
      factorsTable[[#This Row],[numDoers]] + factorsTable[[#This Row],[numNondoers]]
    )
  )</f>
        <v>258</v>
      </c>
      <c r="CY14" s="186" cm="1">
        <f t="array" aca="1" ref="CY14"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0.4375</v>
      </c>
      <c r="CZ14" s="186" cm="1">
        <f t="array" aca="1" ref="CZ14"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0.55067567567567566</v>
      </c>
      <c r="DA14" s="186">
        <f ca="1">IF(
    factorsTable[[#This Row],[factorHeader]] = "",
    "",
    factorsTable[[#This Row],[doers]] - factorsTable[[#This Row],[nondoers]]
  )</f>
        <v>0.11317567567567566</v>
      </c>
      <c r="DB14" s="186" t="str">
        <f>IF(
    factorsTable[[#This Row],[factorHeader]] = "",
    "",
    _xlfn.XLOOKUP(
      _xlfn.XLOOKUP(
        factorsTable[[#This Row],[index]],
        factorsConfigTable[index],
        factorsConfigTable[displayConfig],#REF!,
        0
      ),
      yesNoTable[label],
      yesNoTable[tag],
      "",
      0
    )
  )</f>
        <v>yes</v>
      </c>
      <c r="DC14" s="186" t="b">
        <f>IF(
    factorsTable[[#This Row],[factorHeader]] = "",
    FALSE,
    IF(
      factorsTable[[#This Row],[displayConfig]] = "yes",
      TRUE,
      IF(
        factorsTable[[#This Row],[displayConfig]] = "no",
        FALSE,
        NA()
      )
    )
  )</f>
        <v>1</v>
      </c>
      <c r="DD14" s="186" cm="1">
        <f t="array" ref="DD14">FilterTrueColumn(factorsTable[[#This Row],[index]], factorsTable[index], factorsTable[filteredIndex], factorsTable[display])</f>
        <v>12</v>
      </c>
      <c r="DE14" s="186">
        <f ca="1">IF(
    factorsTable[[#This Row],[filteredIndex]] = "",
    "",
    _xlfn.IFNA(
      _xlfn.XLOOKUP(factorsTable[[#This Row],[filteredIndex]], factorsTable[index], factorsTable[difference]),
      -99
    )
  )</f>
        <v>0.11317567567567566</v>
      </c>
      <c r="DF14" s="186">
        <f ca="1">IF(
    factorsTable[[#This Row],[filteredIndex]] = "",
    "",
    IF(
      factorsTable[[#This Row],[relDiff]] = -99,
      -99,
      ABS(factorsTable[[#This Row],[relDiff]])
    )
  )</f>
        <v>0.11317567567567566</v>
      </c>
      <c r="DG14" s="186">
        <f>IF(
    factorsTable[[#This Row],[filteredIndex]] = "",
    "",
    _xlfn.XLOOKUP(
      _xlfn.XLOOKUP(
        factorsTable[[#This Row],[filteredIndex]],
        factorsConfigTable[index],
        factorsConfigTable[RANASBlock],#REF!,
        0
      ),
      RANASBlocksTable[label],
      RANASBlocksTable[index],
      6,
      0
    )
  )</f>
        <v>3</v>
      </c>
      <c r="DH14" s="186">
        <f ca="1">IF(
    factorsTable[[#This Row],[filteredIndex]] = "",
    "",
    _xlfn.RANK.EQ(factorsTable[[#This Row],[relDiff]], factorsTable[relDiff], 0)
  )</f>
        <v>5</v>
      </c>
      <c r="DI14" s="186">
        <f ca="1">IF(
    factorsTable[[#This Row],[filteredIndex]] = "",
    "",
    _xlfn.RANK.EQ(factorsTable[[#This Row],[absDiff]], factorsTable[absDiff], 0)
  )</f>
        <v>6</v>
      </c>
      <c r="DJ14" s="186">
        <f>IF(
    factorsTable[[#This Row],[filteredIndex]] = "",
    "",
    _xlfn.RANK.EQ(factorsTable[[#This Row],[RANASIndex]], factorsTable[RANASIndex], 1)
  )</f>
        <v>8</v>
      </c>
      <c r="DK14" s="186" cm="1">
        <f t="array" aca="1" ref="DK14" ca="1">_xlfn.SWITCH(
    sortingMethodTag,
    "none", factorsTable[[#This Row],[filteredIndex]],
    "relDiff", factorsTable[[#This Row],[relDiffRank]],
    "absDiff", factorsTable[[#This Row],[absDiffRank]],
    "RANAS", factorsTable[[#This Row],[RANASRank]],
    factorsTable[[#This Row],[filteredIndex]]
  )</f>
        <v>6</v>
      </c>
      <c r="DL14" s="186">
        <f ca="1">IF(
    factorsTable[[#This Row],[filteredIndex]] = "",
    "",
    factorsTable[[#This Row],[selectedRank]]
      + COUNTIF(INDEX(factorsTable[selectedRank], 1):INDEX(factorsTable[selectedRank], factorsTable[[#This Row],[index]]), factorsTable[[#This Row],[selectedRank]])
      - 1
  )</f>
        <v>6</v>
      </c>
      <c r="DM14" s="186">
        <f ca="1">IF(
    factorsTable[[#This Row],[filteredIndex]] = "",
    "",
    _xlfn.XLOOKUP(
      factorsTable[[#This Row],[index]],
      factorsTable[uniqueRank],
      factorsTable[filteredIndex],#REF!,
      0
    )
  )</f>
        <v>14</v>
      </c>
      <c r="DN14" s="186" t="str" cm="1">
        <f t="array" aca="1" ref="DN14" ca="1">IF(
    factorsTable[[#This Row],[sortedIndex]] = "",
    "",
    KeepBlanksFunction(
      _xlfn.XLOOKUP(
        factorsTable[[#This Row],[sortedIndex]],
        factorsConfigTable[index],
        INDEX(
          factorsConfigTable[],
          0,
          MATCH(
            chartLanguage,
            languageHeadersList,
            0
          )
          + MATCH(factorsConfigTable[[#Headers],[lang1]], factorsConfigTable[#Headers], 0)
          - 1
        ),#REF!,
        0
      )
    )
  )</f>
        <v>Importancia personal</v>
      </c>
      <c r="DO14" s="186" t="str" cm="1">
        <f t="array" aca="1" ref="DO14" ca="1">IF(
    factorsTable[[#This Row],[sortedIndex]] = "",
    "",
    IF(
      factorsTable[[#This Row],[langSpecFactor]] = "",
      UITranslateForValueTable("noTranslation", UITranslationTable[tag], UITranslationTable[], UITranslationTable[#Headers]),
      factorsTable[[#This Row],[langSpecFactor]]
    )
  )</f>
        <v>Importancia personal</v>
      </c>
      <c r="DP14" s="186" t="str">
        <f ca="1">IF(
    factorsTable[[#This Row],[sortedIndex]] = "",
    "",
    _xlfn.XLOOKUP(
      _xlfn.XLOOKUP(
        factorsTable[[#This Row],[sortedIndex]],
        factorsConfigTable[index],
        factorsConfigTable[RANASBlock],#REF!,
        0
      ),
      RANASBlocksTable[label],
      RANASBlocksTable[tag],
      NA(),
      0
    )
  )</f>
        <v>norms</v>
      </c>
      <c r="DQ14" s="186" t="str" cm="1">
        <f t="array" aca="1" ref="DQ14" ca="1">IF(
    factorsTable[[#This Row],[sortedIndex]] = "",
    "",
    _xlfn.IFNA(
      _xlfn.XLOOKUP(factorsTable[[#This Row],[RANASTag]], RANASBlocksTable[tag], RANASBlocksTable[langSpecLabel]),
      UITranslateForValueTable("noRANASBlock", UITranslationTable[tag], UITranslationTable[], UITranslationTable[#Headers])
    )
  )</f>
        <v>Normas</v>
      </c>
      <c r="DR14" s="186" t="str">
        <f ca="1">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Importancia personal
[Normas]</v>
      </c>
      <c r="DS14" s="186">
        <f ca="1">IF(
    factorsTable[[#This Row],[sortedIndex]] = "",
    "",
    _xlfn.XLOOKUP(factorsTable[[#This Row],[sortedIndex]], factorsTable[index], factorsTable[numTotal])
  )</f>
        <v>258</v>
      </c>
      <c r="DT14" s="186">
        <f ca="1">IF(
    factorsTable[[#This Row],[sortedIndex]] = "",
    "",
    _xlfn.XLOOKUP(factorsTable[[#This Row],[sortedIndex]], factorsTable[index], factorsTable[nondoers])
  )</f>
        <v>0.72789115646258506</v>
      </c>
      <c r="DU14" s="186">
        <f ca="1">IF(
    factorsTable[[#This Row],[sortedIndex]] = "",
    "",
    _xlfn.XLOOKUP(factorsTable[[#This Row],[sortedIndex]], factorsTable[index], factorsTable[doers])
  )</f>
        <v>0.80855855855855852</v>
      </c>
      <c r="DV14" s="186">
        <f ca="1">IF(
    factorsTable[[#This Row],[sortedIndex]] = "",
    "",
    _xlfn.XLOOKUP(factorsTable[[#This Row],[sortedIndex]], factorsTable[index], factorsTable[difference])
  )</f>
        <v>8.0667402095973451E-2</v>
      </c>
    </row>
    <row r="15" spans="5:126" ht="14.4" customHeight="1" x14ac:dyDescent="0.3">
      <c r="E15" s="196" cm="1">
        <f t="array" ref="E15">ROW()-ROW(UITranslationTable[#Headers])</f>
        <v>13</v>
      </c>
      <c r="F15" s="11" t="s">
        <v>948</v>
      </c>
      <c r="G15" s="200" t="s">
        <v>954</v>
      </c>
      <c r="H15" s="185" t="s">
        <v>930</v>
      </c>
      <c r="J15" s="3" cm="1">
        <f t="array" ref="J15">ROW()-ROW(errorMessagesTable[#Headers])</f>
        <v>13</v>
      </c>
      <c r="K15" s="3" t="s">
        <v>1077</v>
      </c>
      <c r="L15" s="3" t="b" cm="1">
        <f t="array" aca="1" ref="L15" ca="1">errorFactorMinMaxInvalid</f>
        <v>0</v>
      </c>
      <c r="M15" s="185" t="s">
        <v>964</v>
      </c>
      <c r="N15" s="185" t="s">
        <v>961</v>
      </c>
      <c r="O15" s="3" t="str" cm="1">
        <f t="array" aca="1" ref="O15" ca="1">FilterTrueColumn(errorMessagesTable[[#This Row],[index]], errorMessagesTable[index], errorMessagesTable[filteredIndex], errorMessagesTable[condition])</f>
        <v/>
      </c>
      <c r="P15" s="11" t="str" cm="1">
        <f t="array" aca="1" ref="P15"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15" s="11" t="str" cm="1">
        <f t="array" aca="1" ref="Q15" ca="1">IF(
    errorMessagesTable[[#This Row],[filteredIndex]] = "",
    "",
    IF(
      errorMessagesTable[[#This Row],[index]] = 1,
      "",
      INDEX(errorMessagesTable[concatErrors], errorMessagesTable[[#This Row],[index]]-1)
      &amp; CHAR(10) &amp; CHAR(10)
    )
    &amp; INDEX(errorMessagesTable[langSpecError], errorMessagesTable[[#This Row],[index]])
  )</f>
        <v/>
      </c>
      <c r="W15" s="186" cm="1">
        <f t="array" ref="W15">ROW()-ROW(structuredFormulaeTable[#Headers])</f>
        <v>13</v>
      </c>
      <c r="X15" s="3" t="s">
        <v>1063</v>
      </c>
      <c r="Y15" s="3" t="s">
        <v>1160</v>
      </c>
      <c r="Z15" s="3" t="b" cm="1">
        <f t="array" ref="Z15">behaviourInclude5</f>
        <v>0</v>
      </c>
      <c r="AA15" s="187" t="s">
        <v>1161</v>
      </c>
      <c r="AB15" s="172" t="s">
        <v>1292</v>
      </c>
      <c r="BM15" s="3">
        <f ca="1"/>
        <v>5</v>
      </c>
      <c r="BN15" s="3">
        <f ca="1"/>
        <v>15</v>
      </c>
      <c r="BO15" s="3">
        <f ca="1"/>
        <v>2</v>
      </c>
      <c r="BP15" s="3">
        <f ca="1"/>
        <v>3</v>
      </c>
      <c r="BR15" s="3">
        <f ca="1"/>
        <v>2.333333333333333</v>
      </c>
      <c r="BS15" s="3">
        <f ca="1"/>
        <v>3</v>
      </c>
      <c r="BT15" s="3">
        <f ca="1"/>
        <v>0.77777777777777768</v>
      </c>
      <c r="BU15" s="3" t="b">
        <f ca="1"/>
        <v>1</v>
      </c>
      <c r="BW15" s="201"/>
      <c r="CD15" s="3" cm="1">
        <f t="array" ref="CD15">ROW()-ROW(recommendedCutoffTable[#Headers])</f>
        <v>13</v>
      </c>
      <c r="CE15" s="192">
        <f>(recommendedCutoffTable[[#This Row],[index]] - 1) / 100</f>
        <v>0.12</v>
      </c>
      <c r="CF15" s="3" cm="1">
        <f t="array" aca="1" ref="CF15" ca="1">ABS(
    numScores
  - 2 * SUMPRODUCT((behaviourScore &lt;&gt; "") * (behaviourScore &lt; recommendedCutoffTable[[#This Row],[cutoffLevel]]))
  )</f>
        <v>254</v>
      </c>
      <c r="CM15" s="186" cm="1">
        <f t="array" ref="CM15">ROW()-ROW(factorsTable[#Headers])</f>
        <v>13</v>
      </c>
      <c r="CN15" s="186" t="str" cm="1">
        <f t="array" ref="CN15">KeepBlanksFunction(
    _xlfn.XLOOKUP(
      factorsTable[[#This Row],[index]],
      factorsConfigTable[index],
      factorsConfigTable[factorHeader],#REF!,
      0
    )
  )</f>
        <v>others_behaviour</v>
      </c>
      <c r="CO15" s="186">
        <f ca="1">IF(
    factorsTable[[#This Row],[factorHeader]] = "",
    "",
    _xlfn.IFNA(
      MATCH(factorsTable[[#This Row],[factorHeader]], dataHeaders, 0),
      _xlfn.IFNA(
        MATCH("*/" &amp; factorsTable[[#This Row],[factorHeader]], dataHeaders, 0),
        MATCH("*-" &amp; factorsTable[[#This Row],[factorHeader]], dataHeaders, 0)
      )
    )
  )</f>
        <v>25</v>
      </c>
      <c r="CP15" s="186">
        <f>IF(
    factorsTable[[#This Row],[factorHeader]] = "",
    "",
    _xlfn.LET(
      _xlpm.tableValue,
      _xlfn.XLOOKUP(
        factorsTable[[#This Row],[index]],
        factorsConfigTable[index],
        factorsConfigTable[minScore],#REF!,
        0
      ),
      _xlpm.storedValue,
      IF(
        _xlpm.tableValue = "",
        NA(),
        _xlpm.tableValue
      ),
      _xlpm.storedValue
    )
  )</f>
        <v>1</v>
      </c>
      <c r="CQ15" s="186">
        <f>IF(
    factorsTable[[#This Row],[factorHeader]] = "",
    "",
    _xlfn.LET(
      _xlpm.tableValue,
      _xlfn.XLOOKUP(
        factorsTable[[#This Row],[index]],
        factorsConfigTable[index],
        factorsConfigTable[maxScore],#REF!,
        0
      ),
      _xlpm.storedValue,
      IF(
        _xlpm.tableValue = "",
        NA(),
        _xlpm.tableValue
      ),
      _xlpm.storedValue
    )
  )</f>
        <v>5</v>
      </c>
      <c r="CR15" s="186">
        <f ca="1">IF(
    factorsTable[[#This Row],[factorHeader]] = "",
    "",
    IF(
      ISERROR(factorsTable[[#This Row],[factorColNum]]),
      NA(),
      IF(
        ISNA(INDEX(dataRange,1,1)),
        NA(),
        MIN(INDEX(dataRange, , factorsTable[[#This Row],[factorColNum]]))
      )
    )
  )</f>
        <v>1</v>
      </c>
      <c r="CS15" s="186">
        <f ca="1">IF(
    factorsTable[[#This Row],[factorHeader]] = "",
    "",
    IF(
      ISERROR(factorsTable[[#This Row],[factorColNum]]),
      NA(),
      IF(
        ISNA(INDEX(dataRange,1,1)),
        NA(),
        MAX(INDEX(dataRange, , factorsTable[[#This Row],[factorColNum]]))
      )
    )
  )</f>
        <v>5</v>
      </c>
      <c r="CT15" s="186" t="b" cm="1">
        <f t="array" aca="1" ref="CT15" ca="1">AND(
    NOT(errorNoDataSheet),
    factorsTable[[#This Row],[factorHeader]] &lt;&gt; "",
    NOT(ISERROR(factorsTable[[#This Row],[factorColNum]])),
    IFERROR(factorsTable[[#This Row],[display]], FALSE),
    IFERROR(factorsTable[[#This Row],[minValue]] &lt; factorsTable[[#This Row],[minScore]], FALSE)
  )</f>
        <v>0</v>
      </c>
      <c r="CU15" s="186" t="b" cm="1">
        <f t="array" aca="1" ref="CU15" ca="1">AND(
    NOT(errorNoDataSheet),
    factorsTable[[#This Row],[factorHeader]] &lt;&gt; "",
    NOT(ISERROR(factorsTable[[#This Row],[factorColNum]])),
    IFERROR(factorsTable[[#This Row],[display]], FALSE),
    IFERROR(factorsTable[[#This Row],[maxValue]] &gt; factorsTable[[#This Row],[maxScore]], FALSE)
  )</f>
        <v>0</v>
      </c>
      <c r="CV15" s="186" cm="1">
        <f t="array" aca="1" ref="CV15" ca="1">IF(
    factorsTable[[#This Row],[factorHeader]] = "",
    "",
    IF(
      ISNA(INDEX(dataRange,1,1)),
      NA(),
      SUMPRODUCT(
          IF(isDoer = "", 0, NOT(isDoer))
        * (INDEX(dataRange, , factorsTable[[#This Row],[factorColNum]]) &lt;&gt; "")
      )
    )
  )</f>
        <v>147</v>
      </c>
      <c r="CW15" s="186" cm="1">
        <f t="array" aca="1" ref="CW15" ca="1">IF(
    factorsTable[[#This Row],[factorHeader]] = "",
    "",
    IF(
      ISNA(INDEX(dataRange,1,1)),
      NA(),
      SUMPRODUCT(
          IF(isDoer = "", 0, isDoer)
        * (INDEX(dataRange, , factorsTable[[#This Row],[factorColNum]]) &lt;&gt; "")
      )
    )
  )</f>
        <v>111</v>
      </c>
      <c r="CX15" s="186" cm="1">
        <f t="array" aca="1" ref="CX15" ca="1">IF(
    factorsTable[[#This Row],[factorHeader]] = "",
    "",
    IF(
      ISERROR(factorsTable[[#This Row],[factorColNum]]),
      UITranslateForValueTable("dataNotFound", UITranslationTable[tag], UITranslationTable[], UITranslationTable[#Headers]),
      factorsTable[[#This Row],[numDoers]] + factorsTable[[#This Row],[numNondoers]]
    )
  )</f>
        <v>258</v>
      </c>
      <c r="CY15" s="186" cm="1">
        <f t="array" aca="1" ref="CY15"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0.61564625850340138</v>
      </c>
      <c r="CZ15" s="186" cm="1">
        <f t="array" aca="1" ref="CZ15"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0.713963963963964</v>
      </c>
      <c r="DA15" s="186">
        <f ca="1">IF(
    factorsTable[[#This Row],[factorHeader]] = "",
    "",
    factorsTable[[#This Row],[doers]] - factorsTable[[#This Row],[nondoers]]
  )</f>
        <v>9.8317705460562621E-2</v>
      </c>
      <c r="DB15" s="186" t="str">
        <f>IF(
    factorsTable[[#This Row],[factorHeader]] = "",
    "",
    _xlfn.XLOOKUP(
      _xlfn.XLOOKUP(
        factorsTable[[#This Row],[index]],
        factorsConfigTable[index],
        factorsConfigTable[displayConfig],#REF!,
        0
      ),
      yesNoTable[label],
      yesNoTable[tag],
      "",
      0
    )
  )</f>
        <v>yes</v>
      </c>
      <c r="DC15" s="186" t="b">
        <f>IF(
    factorsTable[[#This Row],[factorHeader]] = "",
    FALSE,
    IF(
      factorsTable[[#This Row],[displayConfig]] = "yes",
      TRUE,
      IF(
        factorsTable[[#This Row],[displayConfig]] = "no",
        FALSE,
        NA()
      )
    )
  )</f>
        <v>1</v>
      </c>
      <c r="DD15" s="186" cm="1">
        <f t="array" ref="DD15">FilterTrueColumn(factorsTable[[#This Row],[index]], factorsTable[index], factorsTable[filteredIndex], factorsTable[display])</f>
        <v>13</v>
      </c>
      <c r="DE15" s="186">
        <f ca="1">IF(
    factorsTable[[#This Row],[filteredIndex]] = "",
    "",
    _xlfn.IFNA(
      _xlfn.XLOOKUP(factorsTable[[#This Row],[filteredIndex]], factorsTable[index], factorsTable[difference]),
      -99
    )
  )</f>
        <v>9.8317705460562621E-2</v>
      </c>
      <c r="DF15" s="186">
        <f ca="1">IF(
    factorsTable[[#This Row],[filteredIndex]] = "",
    "",
    IF(
      factorsTable[[#This Row],[relDiff]] = -99,
      -99,
      ABS(factorsTable[[#This Row],[relDiff]])
    )
  )</f>
        <v>9.8317705460562621E-2</v>
      </c>
      <c r="DG15" s="186">
        <f>IF(
    factorsTable[[#This Row],[filteredIndex]] = "",
    "",
    _xlfn.XLOOKUP(
      _xlfn.XLOOKUP(
        factorsTable[[#This Row],[filteredIndex]],
        factorsConfigTable[index],
        factorsConfigTable[RANASBlock],#REF!,
        0
      ),
      RANASBlocksTable[label],
      RANASBlocksTable[index],
      6,
      0
    )
  )</f>
        <v>3</v>
      </c>
      <c r="DH15" s="186">
        <f ca="1">IF(
    factorsTable[[#This Row],[filteredIndex]] = "",
    "",
    _xlfn.RANK.EQ(factorsTable[[#This Row],[relDiff]], factorsTable[relDiff], 0)
  )</f>
        <v>6</v>
      </c>
      <c r="DI15" s="186">
        <f ca="1">IF(
    factorsTable[[#This Row],[filteredIndex]] = "",
    "",
    _xlfn.RANK.EQ(factorsTable[[#This Row],[absDiff]], factorsTable[absDiff], 0)
  )</f>
        <v>7</v>
      </c>
      <c r="DJ15" s="186">
        <f>IF(
    factorsTable[[#This Row],[filteredIndex]] = "",
    "",
    _xlfn.RANK.EQ(factorsTable[[#This Row],[RANASIndex]], factorsTable[RANASIndex], 1)
  )</f>
        <v>8</v>
      </c>
      <c r="DK15" s="186" cm="1">
        <f t="array" aca="1" ref="DK15" ca="1">_xlfn.SWITCH(
    sortingMethodTag,
    "none", factorsTable[[#This Row],[filteredIndex]],
    "relDiff", factorsTable[[#This Row],[relDiffRank]],
    "absDiff", factorsTable[[#This Row],[absDiffRank]],
    "RANAS", factorsTable[[#This Row],[RANASRank]],
    factorsTable[[#This Row],[filteredIndex]]
  )</f>
        <v>7</v>
      </c>
      <c r="DL15" s="186">
        <f ca="1">IF(
    factorsTable[[#This Row],[filteredIndex]] = "",
    "",
    factorsTable[[#This Row],[selectedRank]]
      + COUNTIF(INDEX(factorsTable[selectedRank], 1):INDEX(factorsTable[selectedRank], factorsTable[[#This Row],[index]]), factorsTable[[#This Row],[selectedRank]])
      - 1
  )</f>
        <v>7</v>
      </c>
      <c r="DM15" s="186">
        <f ca="1">IF(
    factorsTable[[#This Row],[filteredIndex]] = "",
    "",
    _xlfn.XLOOKUP(
      factorsTable[[#This Row],[index]],
      factorsTable[uniqueRank],
      factorsTable[filteredIndex],#REF!,
      0
    )
  )</f>
        <v>4</v>
      </c>
      <c r="DN15" s="186" t="str" cm="1">
        <f t="array" aca="1" ref="DN15" ca="1">IF(
    factorsTable[[#This Row],[sortedIndex]] = "",
    "",
    KeepBlanksFunction(
      _xlfn.XLOOKUP(
        factorsTable[[#This Row],[sortedIndex]],
        factorsConfigTable[index],
        INDEX(
          factorsConfigTable[],
          0,
          MATCH(
            chartLanguage,
            languageHeadersList,
            0
          )
          + MATCH(factorsConfigTable[[#Headers],[lang1]], factorsConfigTable[#Headers], 0)
          - 1
        ),#REF!,
        0
      )
    )
  )</f>
        <v>Barreras 1</v>
      </c>
      <c r="DO15" s="186" t="str" cm="1">
        <f t="array" aca="1" ref="DO15" ca="1">IF(
    factorsTable[[#This Row],[sortedIndex]] = "",
    "",
    IF(
      factorsTable[[#This Row],[langSpecFactor]] = "",
      UITranslateForValueTable("noTranslation", UITranslationTable[tag], UITranslationTable[], UITranslationTable[#Headers]),
      factorsTable[[#This Row],[langSpecFactor]]
    )
  )</f>
        <v>Barreras 1</v>
      </c>
      <c r="DP15" s="186" t="str">
        <f ca="1">IF(
    factorsTable[[#This Row],[sortedIndex]] = "",
    "",
    _xlfn.XLOOKUP(
      _xlfn.XLOOKUP(
        factorsTable[[#This Row],[sortedIndex]],
        factorsConfigTable[index],
        factorsConfigTable[RANASBlock],#REF!,
        0
      ),
      RANASBlocksTable[label],
      RANASBlocksTable[tag],
      NA(),
      0
    )
  )</f>
        <v>selfRegulation</v>
      </c>
      <c r="DQ15" s="186" t="str" cm="1">
        <f t="array" aca="1" ref="DQ15" ca="1">IF(
    factorsTable[[#This Row],[sortedIndex]] = "",
    "",
    _xlfn.IFNA(
      _xlfn.XLOOKUP(factorsTable[[#This Row],[RANASTag]], RANASBlocksTable[tag], RANASBlocksTable[langSpecLabel]),
      UITranslateForValueTable("noRANASBlock", UITranslationTable[tag], UITranslationTable[], UITranslationTable[#Headers])
    )
  )</f>
        <v>Auto‐regulación</v>
      </c>
      <c r="DR15" s="186" t="str">
        <f ca="1">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Barreras 1
[Auto‐regulación]</v>
      </c>
      <c r="DS15" s="186">
        <f ca="1">IF(
    factorsTable[[#This Row],[sortedIndex]] = "",
    "",
    _xlfn.XLOOKUP(factorsTable[[#This Row],[sortedIndex]], factorsTable[index], factorsTable[numTotal])
  )</f>
        <v>258</v>
      </c>
      <c r="DT15" s="186">
        <f ca="1">IF(
    factorsTable[[#This Row],[sortedIndex]] = "",
    "",
    _xlfn.XLOOKUP(factorsTable[[#This Row],[sortedIndex]], factorsTable[index], factorsTable[nondoers])
  )</f>
        <v>0.25170068027210885</v>
      </c>
      <c r="DU15" s="186">
        <f ca="1">IF(
    factorsTable[[#This Row],[sortedIndex]] = "",
    "",
    _xlfn.XLOOKUP(factorsTable[[#This Row],[sortedIndex]], factorsTable[index], factorsTable[doers])
  )</f>
        <v>0.17117117117117117</v>
      </c>
      <c r="DV15" s="186">
        <f ca="1">IF(
    factorsTable[[#This Row],[sortedIndex]] = "",
    "",
    _xlfn.XLOOKUP(factorsTable[[#This Row],[sortedIndex]], factorsTable[index], factorsTable[difference])
  )</f>
        <v>-8.0529509100937674E-2</v>
      </c>
    </row>
    <row r="16" spans="5:126" ht="14.4" customHeight="1" x14ac:dyDescent="0.3">
      <c r="E16" s="196" cm="1">
        <f t="array" ref="E16">ROW()-ROW(UITranslationTable[#Headers])</f>
        <v>14</v>
      </c>
      <c r="F16" s="11" t="s">
        <v>933</v>
      </c>
      <c r="G16" s="200" t="s">
        <v>934</v>
      </c>
      <c r="H16" s="185" t="s">
        <v>935</v>
      </c>
      <c r="J16" s="3" cm="1">
        <f t="array" ref="J16">ROW()-ROW(errorMessagesTable[#Headers])</f>
        <v>14</v>
      </c>
      <c r="K16" s="3" t="s">
        <v>1078</v>
      </c>
      <c r="L16" s="3" t="b" cm="1">
        <f t="array" aca="1" ref="L16" ca="1">errorFactorOutOfRange</f>
        <v>0</v>
      </c>
      <c r="M16" s="185" t="str" cm="1">
        <f t="array" ref="M16">"Some values in the """ &amp; sheetNameData &amp; """ sheet for the selected factors fall outside of the corresponding ""Min. score""-""Max. score"" ranges defined in the ""RANAS factors"" table." &amp; " Please check the cells highlighted in red in those ""Min. score"" / ""Max. score"" columns and/or the corresponding data columns in the """ &amp; sheetNameData &amp; """ sheet."</f>
        <v>Some values in the "data" sheet for the selected factors fall outside of the corresponding "Min. score"-"Max. score" ranges defined in the "RANAS factors" table. Please check the cells highlighted in red in those "Min. score" / "Max. score" columns and/or the corresponding data columns in the "data" sheet.</v>
      </c>
      <c r="N16" s="185" t="str" cm="1">
        <f t="array" ref="N16">"Certaines valeurs de la feuille «" &amp; sheetNameData &amp; "» pour les facteurs sélectionnés se situent en dehors des intervalles «Score min.»-«Score max.» correspondants définis dans le tableau «Facteurs RANAS»." &amp; " Veuillez vérifier les cellules marquées en rouge dans ces colonnes «Score min.» / «Score max.» et/ou les colonnes de données correspondantes dans la feuille «" &amp; sheetNameData &amp; "»."</f>
        <v>Certaines valeurs de la feuille «data» pour les facteurs sélectionnés se situent en dehors des intervalles «Score min.»-«Score max.» correspondants définis dans le tableau «Facteurs RANAS». Veuillez vérifier les cellules marquées en rouge dans ces colonnes «Score min.» / «Score max.» et/ou les colonnes de données correspondantes dans la feuille «data».</v>
      </c>
      <c r="O16" s="3" t="str" cm="1">
        <f t="array" aca="1" ref="O16" ca="1">FilterTrueColumn(errorMessagesTable[[#This Row],[index]], errorMessagesTable[index], errorMessagesTable[filteredIndex], errorMessagesTable[condition])</f>
        <v/>
      </c>
      <c r="P16" s="11" t="str" cm="1">
        <f t="array" aca="1" ref="P16"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16" s="11" t="str" cm="1">
        <f t="array" aca="1" ref="Q16" ca="1">IF(
    errorMessagesTable[[#This Row],[filteredIndex]] = "",
    "",
    IF(
      errorMessagesTable[[#This Row],[index]] = 1,
      "",
      INDEX(errorMessagesTable[concatErrors], errorMessagesTable[[#This Row],[index]]-1)
      &amp; CHAR(10) &amp; CHAR(10)
    )
    &amp; INDEX(errorMessagesTable[langSpecError], errorMessagesTable[[#This Row],[index]])
  )</f>
        <v/>
      </c>
      <c r="W16" s="186" cm="1">
        <f t="array" ref="W16">ROW()-ROW(structuredFormulaeTable[#Headers])</f>
        <v>14</v>
      </c>
      <c r="X16" s="3" t="s">
        <v>1063</v>
      </c>
      <c r="Y16" s="3" t="s">
        <v>1162</v>
      </c>
      <c r="Z16" s="3" cm="1">
        <f t="array" ref="Z16">behaviourMaxScore1</f>
        <v>5</v>
      </c>
      <c r="AA16" s="187" t="s">
        <v>1163</v>
      </c>
      <c r="AB16" s="172" t="s">
        <v>1293</v>
      </c>
      <c r="BM16" s="3">
        <f ca="1"/>
        <v>5</v>
      </c>
      <c r="BN16" s="3">
        <f ca="1"/>
        <v>10</v>
      </c>
      <c r="BO16" s="3">
        <f ca="1"/>
        <v>1</v>
      </c>
      <c r="BP16" s="3">
        <f ca="1"/>
        <v>3</v>
      </c>
      <c r="BR16" s="3">
        <f ca="1"/>
        <v>1.6666666666666665</v>
      </c>
      <c r="BS16" s="3">
        <f ca="1"/>
        <v>3</v>
      </c>
      <c r="BT16" s="3">
        <f ca="1"/>
        <v>0.55555555555555547</v>
      </c>
      <c r="BU16" s="3" t="b">
        <f ca="1"/>
        <v>0</v>
      </c>
      <c r="CD16" s="3" cm="1">
        <f t="array" ref="CD16">ROW()-ROW(recommendedCutoffTable[#Headers])</f>
        <v>14</v>
      </c>
      <c r="CE16" s="192">
        <f>(recommendedCutoffTable[[#This Row],[index]] - 1) / 100</f>
        <v>0.13</v>
      </c>
      <c r="CF16" s="3" cm="1">
        <f t="array" aca="1" ref="CF16" ca="1">ABS(
    numScores
  - 2 * SUMPRODUCT((behaviourScore &lt;&gt; "") * (behaviourScore &lt; recommendedCutoffTable[[#This Row],[cutoffLevel]]))
  )</f>
        <v>254</v>
      </c>
      <c r="CM16" s="186" cm="1">
        <f t="array" ref="CM16">ROW()-ROW(factorsTable[#Headers])</f>
        <v>14</v>
      </c>
      <c r="CN16" s="186" t="str" cm="1">
        <f t="array" ref="CN16">KeepBlanksFunction(
    _xlfn.XLOOKUP(
      factorsTable[[#This Row],[index]],
      factorsConfigTable[index],
      factorsConfigTable[factorHeader],#REF!,
      0
    )
  )</f>
        <v>personal_importance</v>
      </c>
      <c r="CO16" s="186">
        <f ca="1">IF(
    factorsTable[[#This Row],[factorHeader]] = "",
    "",
    _xlfn.IFNA(
      MATCH(factorsTable[[#This Row],[factorHeader]], dataHeaders, 0),
      _xlfn.IFNA(
        MATCH("*/" &amp; factorsTable[[#This Row],[factorHeader]], dataHeaders, 0),
        MATCH("*-" &amp; factorsTable[[#This Row],[factorHeader]], dataHeaders, 0)
      )
    )
  )</f>
        <v>26</v>
      </c>
      <c r="CP16" s="186">
        <f>IF(
    factorsTable[[#This Row],[factorHeader]] = "",
    "",
    _xlfn.LET(
      _xlpm.tableValue,
      _xlfn.XLOOKUP(
        factorsTable[[#This Row],[index]],
        factorsConfigTable[index],
        factorsConfigTable[minScore],#REF!,
        0
      ),
      _xlpm.storedValue,
      IF(
        _xlpm.tableValue = "",
        NA(),
        _xlpm.tableValue
      ),
      _xlpm.storedValue
    )
  )</f>
        <v>1</v>
      </c>
      <c r="CQ16" s="186">
        <f>IF(
    factorsTable[[#This Row],[factorHeader]] = "",
    "",
    _xlfn.LET(
      _xlpm.tableValue,
      _xlfn.XLOOKUP(
        factorsTable[[#This Row],[index]],
        factorsConfigTable[index],
        factorsConfigTable[maxScore],#REF!,
        0
      ),
      _xlpm.storedValue,
      IF(
        _xlpm.tableValue = "",
        NA(),
        _xlpm.tableValue
      ),
      _xlpm.storedValue
    )
  )</f>
        <v>5</v>
      </c>
      <c r="CR16" s="186">
        <f ca="1">IF(
    factorsTable[[#This Row],[factorHeader]] = "",
    "",
    IF(
      ISERROR(factorsTable[[#This Row],[factorColNum]]),
      NA(),
      IF(
        ISNA(INDEX(dataRange,1,1)),
        NA(),
        MIN(INDEX(dataRange, , factorsTable[[#This Row],[factorColNum]]))
      )
    )
  )</f>
        <v>1</v>
      </c>
      <c r="CS16" s="186">
        <f ca="1">IF(
    factorsTable[[#This Row],[factorHeader]] = "",
    "",
    IF(
      ISERROR(factorsTable[[#This Row],[factorColNum]]),
      NA(),
      IF(
        ISNA(INDEX(dataRange,1,1)),
        NA(),
        MAX(INDEX(dataRange, , factorsTable[[#This Row],[factorColNum]]))
      )
    )
  )</f>
        <v>5</v>
      </c>
      <c r="CT16" s="186" t="b" cm="1">
        <f t="array" aca="1" ref="CT16" ca="1">AND(
    NOT(errorNoDataSheet),
    factorsTable[[#This Row],[factorHeader]] &lt;&gt; "",
    NOT(ISERROR(factorsTable[[#This Row],[factorColNum]])),
    IFERROR(factorsTable[[#This Row],[display]], FALSE),
    IFERROR(factorsTable[[#This Row],[minValue]] &lt; factorsTable[[#This Row],[minScore]], FALSE)
  )</f>
        <v>0</v>
      </c>
      <c r="CU16" s="186" t="b" cm="1">
        <f t="array" aca="1" ref="CU16" ca="1">AND(
    NOT(errorNoDataSheet),
    factorsTable[[#This Row],[factorHeader]] &lt;&gt; "",
    NOT(ISERROR(factorsTable[[#This Row],[factorColNum]])),
    IFERROR(factorsTable[[#This Row],[display]], FALSE),
    IFERROR(factorsTable[[#This Row],[maxValue]] &gt; factorsTable[[#This Row],[maxScore]], FALSE)
  )</f>
        <v>0</v>
      </c>
      <c r="CV16" s="186" cm="1">
        <f t="array" aca="1" ref="CV16" ca="1">IF(
    factorsTable[[#This Row],[factorHeader]] = "",
    "",
    IF(
      ISNA(INDEX(dataRange,1,1)),
      NA(),
      SUMPRODUCT(
          IF(isDoer = "", 0, NOT(isDoer))
        * (INDEX(dataRange, , factorsTable[[#This Row],[factorColNum]]) &lt;&gt; "")
      )
    )
  )</f>
        <v>147</v>
      </c>
      <c r="CW16" s="186" cm="1">
        <f t="array" aca="1" ref="CW16" ca="1">IF(
    factorsTable[[#This Row],[factorHeader]] = "",
    "",
    IF(
      ISNA(INDEX(dataRange,1,1)),
      NA(),
      SUMPRODUCT(
          IF(isDoer = "", 0, isDoer)
        * (INDEX(dataRange, , factorsTable[[#This Row],[factorColNum]]) &lt;&gt; "")
      )
    )
  )</f>
        <v>111</v>
      </c>
      <c r="CX16" s="186" cm="1">
        <f t="array" aca="1" ref="CX16" ca="1">IF(
    factorsTable[[#This Row],[factorHeader]] = "",
    "",
    IF(
      ISERROR(factorsTable[[#This Row],[factorColNum]]),
      UITranslateForValueTable("dataNotFound", UITranslationTable[tag], UITranslationTable[], UITranslationTable[#Headers]),
      factorsTable[[#This Row],[numDoers]] + factorsTable[[#This Row],[numNondoers]]
    )
  )</f>
        <v>258</v>
      </c>
      <c r="CY16" s="186" cm="1">
        <f t="array" aca="1" ref="CY16"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0.72789115646258506</v>
      </c>
      <c r="CZ16" s="186" cm="1">
        <f t="array" aca="1" ref="CZ16"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0.80855855855855852</v>
      </c>
      <c r="DA16" s="186">
        <f ca="1">IF(
    factorsTable[[#This Row],[factorHeader]] = "",
    "",
    factorsTable[[#This Row],[doers]] - factorsTable[[#This Row],[nondoers]]
  )</f>
        <v>8.0667402095973451E-2</v>
      </c>
      <c r="DB16" s="186" t="str">
        <f>IF(
    factorsTable[[#This Row],[factorHeader]] = "",
    "",
    _xlfn.XLOOKUP(
      _xlfn.XLOOKUP(
        factorsTable[[#This Row],[index]],
        factorsConfigTable[index],
        factorsConfigTable[displayConfig],#REF!,
        0
      ),
      yesNoTable[label],
      yesNoTable[tag],
      "",
      0
    )
  )</f>
        <v>yes</v>
      </c>
      <c r="DC16" s="186" t="b">
        <f>IF(
    factorsTable[[#This Row],[factorHeader]] = "",
    FALSE,
    IF(
      factorsTable[[#This Row],[displayConfig]] = "yes",
      TRUE,
      IF(
        factorsTable[[#This Row],[displayConfig]] = "no",
        FALSE,
        NA()
      )
    )
  )</f>
        <v>1</v>
      </c>
      <c r="DD16" s="186" cm="1">
        <f t="array" ref="DD16">FilterTrueColumn(factorsTable[[#This Row],[index]], factorsTable[index], factorsTable[filteredIndex], factorsTable[display])</f>
        <v>14</v>
      </c>
      <c r="DE16" s="186">
        <f ca="1">IF(
    factorsTable[[#This Row],[filteredIndex]] = "",
    "",
    _xlfn.IFNA(
      _xlfn.XLOOKUP(factorsTable[[#This Row],[filteredIndex]], factorsTable[index], factorsTable[difference]),
      -99
    )
  )</f>
        <v>8.0667402095973451E-2</v>
      </c>
      <c r="DF16" s="186">
        <f ca="1">IF(
    factorsTable[[#This Row],[filteredIndex]] = "",
    "",
    IF(
      factorsTable[[#This Row],[relDiff]] = -99,
      -99,
      ABS(factorsTable[[#This Row],[relDiff]])
    )
  )</f>
        <v>8.0667402095973451E-2</v>
      </c>
      <c r="DG16" s="186">
        <f>IF(
    factorsTable[[#This Row],[filteredIndex]] = "",
    "",
    _xlfn.XLOOKUP(
      _xlfn.XLOOKUP(
        factorsTable[[#This Row],[filteredIndex]],
        factorsConfigTable[index],
        factorsConfigTable[RANASBlock],#REF!,
        0
      ),
      RANASBlocksTable[label],
      RANASBlocksTable[index],
      6,
      0
    )
  )</f>
        <v>3</v>
      </c>
      <c r="DH16" s="186">
        <f ca="1">IF(
    factorsTable[[#This Row],[filteredIndex]] = "",
    "",
    _xlfn.RANK.EQ(factorsTable[[#This Row],[relDiff]], factorsTable[relDiff], 0)
  )</f>
        <v>10</v>
      </c>
      <c r="DI16" s="186">
        <f ca="1">IF(
    factorsTable[[#This Row],[filteredIndex]] = "",
    "",
    _xlfn.RANK.EQ(factorsTable[[#This Row],[absDiff]], factorsTable[absDiff], 0)
  )</f>
        <v>12</v>
      </c>
      <c r="DJ16" s="186">
        <f>IF(
    factorsTable[[#This Row],[filteredIndex]] = "",
    "",
    _xlfn.RANK.EQ(factorsTable[[#This Row],[RANASIndex]], factorsTable[RANASIndex], 1)
  )</f>
        <v>8</v>
      </c>
      <c r="DK16" s="186" cm="1">
        <f t="array" aca="1" ref="DK16" ca="1">_xlfn.SWITCH(
    sortingMethodTag,
    "none", factorsTable[[#This Row],[filteredIndex]],
    "relDiff", factorsTable[[#This Row],[relDiffRank]],
    "absDiff", factorsTable[[#This Row],[absDiffRank]],
    "RANAS", factorsTable[[#This Row],[RANASRank]],
    factorsTable[[#This Row],[filteredIndex]]
  )</f>
        <v>12</v>
      </c>
      <c r="DL16" s="186">
        <f ca="1">IF(
    factorsTable[[#This Row],[filteredIndex]] = "",
    "",
    factorsTable[[#This Row],[selectedRank]]
      + COUNTIF(INDEX(factorsTable[selectedRank], 1):INDEX(factorsTable[selectedRank], factorsTable[[#This Row],[index]]), factorsTable[[#This Row],[selectedRank]])
      - 1
  )</f>
        <v>12</v>
      </c>
      <c r="DM16" s="186">
        <f ca="1">IF(
    factorsTable[[#This Row],[filteredIndex]] = "",
    "",
    _xlfn.XLOOKUP(
      factorsTable[[#This Row],[index]],
      factorsTable[uniqueRank],
      factorsTable[filteredIndex],#REF!,
      0
    )
  )</f>
        <v>6</v>
      </c>
      <c r="DN16" s="186" t="str" cm="1">
        <f t="array" aca="1" ref="DN16" ca="1">IF(
    factorsTable[[#This Row],[sortedIndex]] = "",
    "",
    KeepBlanksFunction(
      _xlfn.XLOOKUP(
        factorsTable[[#This Row],[sortedIndex]],
        factorsConfigTable[index],
        INDEX(
          factorsConfigTable[],
          0,
          MATCH(
            chartLanguage,
            languageHeadersList,
            0
          )
          + MATCH(factorsConfigTable[[#Headers],[lang1]], factorsConfigTable[#Headers], 0)
          - 1
        ),#REF!,
        0
      )
    )
  )</f>
        <v>Beneficios</v>
      </c>
      <c r="DO16" s="186" t="str" cm="1">
        <f t="array" aca="1" ref="DO16" ca="1">IF(
    factorsTable[[#This Row],[sortedIndex]] = "",
    "",
    IF(
      factorsTable[[#This Row],[langSpecFactor]] = "",
      UITranslateForValueTable("noTranslation", UITranslationTable[tag], UITranslationTable[], UITranslationTable[#Headers]),
      factorsTable[[#This Row],[langSpecFactor]]
    )
  )</f>
        <v>Beneficios</v>
      </c>
      <c r="DP16" s="186" t="str">
        <f ca="1">IF(
    factorsTable[[#This Row],[sortedIndex]] = "",
    "",
    _xlfn.XLOOKUP(
      _xlfn.XLOOKUP(
        factorsTable[[#This Row],[sortedIndex]],
        factorsConfigTable[index],
        factorsConfigTable[RANASBlock],#REF!,
        0
      ),
      RANASBlocksTable[label],
      RANASBlocksTable[tag],
      NA(),
      0
    )
  )</f>
        <v>attitudes</v>
      </c>
      <c r="DQ16" s="186" t="str" cm="1">
        <f t="array" aca="1" ref="DQ16" ca="1">IF(
    factorsTable[[#This Row],[sortedIndex]] = "",
    "",
    _xlfn.IFNA(
      _xlfn.XLOOKUP(factorsTable[[#This Row],[RANASTag]], RANASBlocksTable[tag], RANASBlocksTable[langSpecLabel]),
      UITranslateForValueTable("noRANASBlock", UITranslationTable[tag], UITranslationTable[], UITranslationTable[#Headers])
    )
  )</f>
        <v>Actitud</v>
      </c>
      <c r="DR16" s="186" t="str">
        <f ca="1">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Beneficios
[Actitud]</v>
      </c>
      <c r="DS16" s="186">
        <f ca="1">IF(
    factorsTable[[#This Row],[sortedIndex]] = "",
    "",
    _xlfn.XLOOKUP(factorsTable[[#This Row],[sortedIndex]], factorsTable[index], factorsTable[numTotal])
  )</f>
        <v>258</v>
      </c>
      <c r="DT16" s="186">
        <f ca="1">IF(
    factorsTable[[#This Row],[sortedIndex]] = "",
    "",
    _xlfn.XLOOKUP(factorsTable[[#This Row],[sortedIndex]], factorsTable[index], factorsTable[nondoers])
  )</f>
        <v>0.63435374149659862</v>
      </c>
      <c r="DU16" s="186">
        <f ca="1">IF(
    factorsTable[[#This Row],[sortedIndex]] = "",
    "",
    _xlfn.XLOOKUP(factorsTable[[#This Row],[sortedIndex]], factorsTable[index], factorsTable[doers])
  )</f>
        <v>0.70945945945945943</v>
      </c>
      <c r="DV16" s="186">
        <f ca="1">IF(
    factorsTable[[#This Row],[sortedIndex]] = "",
    "",
    _xlfn.XLOOKUP(factorsTable[[#This Row],[sortedIndex]], factorsTable[index], factorsTable[difference])
  )</f>
        <v>7.5105717962860807E-2</v>
      </c>
    </row>
    <row r="17" spans="5:126" ht="14.4" customHeight="1" x14ac:dyDescent="0.3">
      <c r="E17" s="196" cm="1">
        <f t="array" ref="E17">ROW()-ROW(UITranslationTable[#Headers])</f>
        <v>15</v>
      </c>
      <c r="F17" s="11" t="s">
        <v>936</v>
      </c>
      <c r="G17" s="200" t="s">
        <v>950</v>
      </c>
      <c r="H17" s="185" t="s">
        <v>951</v>
      </c>
      <c r="J17" s="3" cm="1">
        <f t="array" ref="J17">ROW()-ROW(errorMessagesTable[#Headers])</f>
        <v>15</v>
      </c>
      <c r="K17" s="3" t="s">
        <v>1079</v>
      </c>
      <c r="L17" s="3" t="b" cm="1">
        <f t="array" ref="L17">errorChartLanguage</f>
        <v>0</v>
      </c>
      <c r="M17" s="185" t="str" cm="1">
        <f t="array" aca="1" ref="M17" ca="1">"The value of the ""Chart language"" parameter in the """ &amp; sheetNameIntroduction &amp; """ sheet is invalid (red cell). Please select a value from the drop-down menu for this cell."</f>
        <v>The value of the "Chart language" parameter in the "Introduction" sheet is invalid (red cell). Please select a value from the drop-down menu for this cell.</v>
      </c>
      <c r="N17" s="185" t="str" cm="1">
        <f t="array" aca="1" ref="N17" ca="1">"La valeur du paramètre «Langue des graphiques» sur la feuille «" &amp; sheetNameIntroduction &amp; "» n'est pas valable (cellule rouge). Veuillez sélectionner une valeur dans le menu déroulant pour cette cellule."</f>
        <v>La valeur du paramètre «Langue des graphiques» sur la feuille «Introduction» n'est pas valable (cellule rouge). Veuillez sélectionner une valeur dans le menu déroulant pour cette cellule.</v>
      </c>
      <c r="O17" s="3" t="str" cm="1">
        <f t="array" aca="1" ref="O17" ca="1">FilterTrueColumn(errorMessagesTable[[#This Row],[index]], errorMessagesTable[index], errorMessagesTable[filteredIndex], errorMessagesTable[condition])</f>
        <v/>
      </c>
      <c r="P17" s="11" t="str" cm="1">
        <f t="array" aca="1" ref="P17"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17" s="11" t="str" cm="1">
        <f t="array" aca="1" ref="Q17" ca="1">IF(
    errorMessagesTable[[#This Row],[filteredIndex]] = "",
    "",
    IF(
      errorMessagesTable[[#This Row],[index]] = 1,
      "",
      INDEX(errorMessagesTable[concatErrors], errorMessagesTable[[#This Row],[index]]-1)
      &amp; CHAR(10) &amp; CHAR(10)
    )
    &amp; INDEX(errorMessagesTable[langSpecError], errorMessagesTable[[#This Row],[index]])
  )</f>
        <v/>
      </c>
      <c r="W17" s="186" cm="1">
        <f t="array" ref="W17">ROW()-ROW(structuredFormulaeTable[#Headers])</f>
        <v>15</v>
      </c>
      <c r="X17" s="3" t="s">
        <v>1063</v>
      </c>
      <c r="Y17" s="3" t="s">
        <v>1164</v>
      </c>
      <c r="Z17" s="3" cm="1">
        <f t="array" ref="Z17">behaviourMaxScore2</f>
        <v>20</v>
      </c>
      <c r="AA17" s="187" t="s">
        <v>1165</v>
      </c>
      <c r="AB17" s="172" t="s">
        <v>1294</v>
      </c>
      <c r="AY17" s="198"/>
      <c r="BM17" s="3">
        <f ca="1"/>
        <v>5</v>
      </c>
      <c r="BN17" s="3">
        <f ca="1"/>
        <v>10</v>
      </c>
      <c r="BO17" s="3">
        <f ca="1"/>
        <v>1</v>
      </c>
      <c r="BP17" s="3">
        <f ca="1"/>
        <v>1</v>
      </c>
      <c r="BR17" s="3">
        <f ca="1"/>
        <v>1.6666666666666665</v>
      </c>
      <c r="BS17" s="3">
        <f ca="1"/>
        <v>3</v>
      </c>
      <c r="BT17" s="3">
        <f ca="1"/>
        <v>0.55555555555555547</v>
      </c>
      <c r="BU17" s="3" t="b">
        <f ca="1"/>
        <v>0</v>
      </c>
      <c r="CD17" s="3" cm="1">
        <f t="array" ref="CD17">ROW()-ROW(recommendedCutoffTable[#Headers])</f>
        <v>15</v>
      </c>
      <c r="CE17" s="192">
        <f>(recommendedCutoffTable[[#This Row],[index]] - 1) / 100</f>
        <v>0.14000000000000001</v>
      </c>
      <c r="CF17" s="3" cm="1">
        <f t="array" aca="1" ref="CF17" ca="1">ABS(
    numScores
  - 2 * SUMPRODUCT((behaviourScore &lt;&gt; "") * (behaviourScore &lt; recommendedCutoffTable[[#This Row],[cutoffLevel]]))
  )</f>
        <v>254</v>
      </c>
      <c r="CM17" s="186" cm="1">
        <f t="array" ref="CM17">ROW()-ROW(factorsTable[#Headers])</f>
        <v>15</v>
      </c>
      <c r="CN17" s="186" t="str" cm="1">
        <f t="array" ref="CN17">KeepBlanksFunction(
    _xlfn.XLOOKUP(
      factorsTable[[#This Row],[index]],
      factorsConfigTable[index],
      factorsConfigTable[factorHeader],#REF!,
      0
    )
  )</f>
        <v>remembering</v>
      </c>
      <c r="CO17" s="186">
        <f ca="1">IF(
    factorsTable[[#This Row],[factorHeader]] = "",
    "",
    _xlfn.IFNA(
      MATCH(factorsTable[[#This Row],[factorHeader]], dataHeaders, 0),
      _xlfn.IFNA(
        MATCH("*/" &amp; factorsTable[[#This Row],[factorHeader]], dataHeaders, 0),
        MATCH("*-" &amp; factorsTable[[#This Row],[factorHeader]], dataHeaders, 0)
      )
    )
  )</f>
        <v>27</v>
      </c>
      <c r="CP17" s="186">
        <f>IF(
    factorsTable[[#This Row],[factorHeader]] = "",
    "",
    _xlfn.LET(
      _xlpm.tableValue,
      _xlfn.XLOOKUP(
        factorsTable[[#This Row],[index]],
        factorsConfigTable[index],
        factorsConfigTable[minScore],#REF!,
        0
      ),
      _xlpm.storedValue,
      IF(
        _xlpm.tableValue = "",
        NA(),
        _xlpm.tableValue
      ),
      _xlpm.storedValue
    )
  )</f>
        <v>1</v>
      </c>
      <c r="CQ17" s="186">
        <f>IF(
    factorsTable[[#This Row],[factorHeader]] = "",
    "",
    _xlfn.LET(
      _xlpm.tableValue,
      _xlfn.XLOOKUP(
        factorsTable[[#This Row],[index]],
        factorsConfigTable[index],
        factorsConfigTable[maxScore],#REF!,
        0
      ),
      _xlpm.storedValue,
      IF(
        _xlpm.tableValue = "",
        NA(),
        _xlpm.tableValue
      ),
      _xlpm.storedValue
    )
  )</f>
        <v>5</v>
      </c>
      <c r="CR17" s="186">
        <f ca="1">IF(
    factorsTable[[#This Row],[factorHeader]] = "",
    "",
    IF(
      ISERROR(factorsTable[[#This Row],[factorColNum]]),
      NA(),
      IF(
        ISNA(INDEX(dataRange,1,1)),
        NA(),
        MIN(INDEX(dataRange, , factorsTable[[#This Row],[factorColNum]]))
      )
    )
  )</f>
        <v>1</v>
      </c>
      <c r="CS17" s="186">
        <f ca="1">IF(
    factorsTable[[#This Row],[factorHeader]] = "",
    "",
    IF(
      ISERROR(factorsTable[[#This Row],[factorColNum]]),
      NA(),
      IF(
        ISNA(INDEX(dataRange,1,1)),
        NA(),
        MAX(INDEX(dataRange, , factorsTable[[#This Row],[factorColNum]]))
      )
    )
  )</f>
        <v>5</v>
      </c>
      <c r="CT17" s="186" t="b" cm="1">
        <f t="array" aca="1" ref="CT17" ca="1">AND(
    NOT(errorNoDataSheet),
    factorsTable[[#This Row],[factorHeader]] &lt;&gt; "",
    NOT(ISERROR(factorsTable[[#This Row],[factorColNum]])),
    IFERROR(factorsTable[[#This Row],[display]], FALSE),
    IFERROR(factorsTable[[#This Row],[minValue]] &lt; factorsTable[[#This Row],[minScore]], FALSE)
  )</f>
        <v>0</v>
      </c>
      <c r="CU17" s="186" t="b" cm="1">
        <f t="array" aca="1" ref="CU17" ca="1">AND(
    NOT(errorNoDataSheet),
    factorsTable[[#This Row],[factorHeader]] &lt;&gt; "",
    NOT(ISERROR(factorsTable[[#This Row],[factorColNum]])),
    IFERROR(factorsTable[[#This Row],[display]], FALSE),
    IFERROR(factorsTable[[#This Row],[maxValue]] &gt; factorsTable[[#This Row],[maxScore]], FALSE)
  )</f>
        <v>0</v>
      </c>
      <c r="CV17" s="186" cm="1">
        <f t="array" aca="1" ref="CV17" ca="1">IF(
    factorsTable[[#This Row],[factorHeader]] = "",
    "",
    IF(
      ISNA(INDEX(dataRange,1,1)),
      NA(),
      SUMPRODUCT(
          IF(isDoer = "", 0, NOT(isDoer))
        * (INDEX(dataRange, , factorsTable[[#This Row],[factorColNum]]) &lt;&gt; "")
      )
    )
  )</f>
        <v>116</v>
      </c>
      <c r="CW17" s="186" cm="1">
        <f t="array" aca="1" ref="CW17" ca="1">IF(
    factorsTable[[#This Row],[factorHeader]] = "",
    "",
    IF(
      ISNA(INDEX(dataRange,1,1)),
      NA(),
      SUMPRODUCT(
          IF(isDoer = "", 0, isDoer)
        * (INDEX(dataRange, , factorsTable[[#This Row],[factorColNum]]) &lt;&gt; "")
      )
    )
  )</f>
        <v>94</v>
      </c>
      <c r="CX17" s="186" cm="1">
        <f t="array" aca="1" ref="CX17" ca="1">IF(
    factorsTable[[#This Row],[factorHeader]] = "",
    "",
    IF(
      ISERROR(factorsTable[[#This Row],[factorColNum]]),
      UITranslateForValueTable("dataNotFound", UITranslationTable[tag], UITranslationTable[], UITranslationTable[#Headers]),
      factorsTable[[#This Row],[numDoers]] + factorsTable[[#This Row],[numNondoers]]
    )
  )</f>
        <v>210</v>
      </c>
      <c r="CY17" s="186" cm="1">
        <f t="array" aca="1" ref="CY17"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0.29741379310344829</v>
      </c>
      <c r="CZ17" s="186" cm="1">
        <f t="array" aca="1" ref="CZ17"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9.8404255319148939E-2</v>
      </c>
      <c r="DA17" s="186">
        <f ca="1">IF(
    factorsTable[[#This Row],[factorHeader]] = "",
    "",
    factorsTable[[#This Row],[doers]] - factorsTable[[#This Row],[nondoers]]
  )</f>
        <v>-0.19900953778429936</v>
      </c>
      <c r="DB17" s="186" t="str">
        <f>IF(
    factorsTable[[#This Row],[factorHeader]] = "",
    "",
    _xlfn.XLOOKUP(
      _xlfn.XLOOKUP(
        factorsTable[[#This Row],[index]],
        factorsConfigTable[index],
        factorsConfigTable[displayConfig],#REF!,
        0
      ),
      yesNoTable[label],
      yesNoTable[tag],
      "",
      0
    )
  )</f>
        <v>yes</v>
      </c>
      <c r="DC17" s="186" t="b">
        <f>IF(
    factorsTable[[#This Row],[factorHeader]] = "",
    FALSE,
    IF(
      factorsTable[[#This Row],[displayConfig]] = "yes",
      TRUE,
      IF(
        factorsTable[[#This Row],[displayConfig]] = "no",
        FALSE,
        NA()
      )
    )
  )</f>
        <v>1</v>
      </c>
      <c r="DD17" s="186" cm="1">
        <f t="array" ref="DD17">FilterTrueColumn(factorsTable[[#This Row],[index]], factorsTable[index], factorsTable[filteredIndex], factorsTable[display])</f>
        <v>15</v>
      </c>
      <c r="DE17" s="186">
        <f ca="1">IF(
    factorsTable[[#This Row],[filteredIndex]] = "",
    "",
    _xlfn.IFNA(
      _xlfn.XLOOKUP(factorsTable[[#This Row],[filteredIndex]], factorsTable[index], factorsTable[difference]),
      -99
    )
  )</f>
        <v>-0.19900953778429936</v>
      </c>
      <c r="DF17" s="186">
        <f ca="1">IF(
    factorsTable[[#This Row],[filteredIndex]] = "",
    "",
    IF(
      factorsTable[[#This Row],[relDiff]] = -99,
      -99,
      ABS(factorsTable[[#This Row],[relDiff]])
    )
  )</f>
        <v>0.19900953778429936</v>
      </c>
      <c r="DG17" s="186">
        <f>IF(
    factorsTable[[#This Row],[filteredIndex]] = "",
    "",
    _xlfn.XLOOKUP(
      _xlfn.XLOOKUP(
        factorsTable[[#This Row],[filteredIndex]],
        factorsConfigTable[index],
        factorsConfigTable[RANASBlock],#REF!,
        0
      ),
      RANASBlocksTable[label],
      RANASBlocksTable[index],
      6,
      0
    )
  )</f>
        <v>5</v>
      </c>
      <c r="DH17" s="186">
        <f ca="1">IF(
    factorsTable[[#This Row],[filteredIndex]] = "",
    "",
    _xlfn.RANK.EQ(factorsTable[[#This Row],[relDiff]], factorsTable[relDiff], 0)
  )</f>
        <v>17</v>
      </c>
      <c r="DI17" s="186">
        <f ca="1">IF(
    factorsTable[[#This Row],[filteredIndex]] = "",
    "",
    _xlfn.RANK.EQ(factorsTable[[#This Row],[absDiff]], factorsTable[absDiff], 0)
  )</f>
        <v>1</v>
      </c>
      <c r="DJ17" s="186">
        <f>IF(
    factorsTable[[#This Row],[filteredIndex]] = "",
    "",
    _xlfn.RANK.EQ(factorsTable[[#This Row],[RANASIndex]], factorsTable[RANASIndex], 1)
  )</f>
        <v>14</v>
      </c>
      <c r="DK17" s="186" cm="1">
        <f t="array" aca="1" ref="DK17" ca="1">_xlfn.SWITCH(
    sortingMethodTag,
    "none", factorsTable[[#This Row],[filteredIndex]],
    "relDiff", factorsTable[[#This Row],[relDiffRank]],
    "absDiff", factorsTable[[#This Row],[absDiffRank]],
    "RANAS", factorsTable[[#This Row],[RANASRank]],
    factorsTable[[#This Row],[filteredIndex]]
  )</f>
        <v>1</v>
      </c>
      <c r="DL17" s="186">
        <f ca="1">IF(
    factorsTable[[#This Row],[filteredIndex]] = "",
    "",
    factorsTable[[#This Row],[selectedRank]]
      + COUNTIF(INDEX(factorsTable[selectedRank], 1):INDEX(factorsTable[selectedRank], factorsTable[[#This Row],[index]]), factorsTable[[#This Row],[selectedRank]])
      - 1
  )</f>
        <v>1</v>
      </c>
      <c r="DM17" s="186">
        <f ca="1">IF(
    factorsTable[[#This Row],[filteredIndex]] = "",
    "",
    _xlfn.XLOOKUP(
      factorsTable[[#This Row],[index]],
      factorsTable[uniqueRank],
      factorsTable[filteredIndex],#REF!,
      0
    )
  )</f>
        <v>8</v>
      </c>
      <c r="DN17" s="186" t="str" cm="1">
        <f t="array" aca="1" ref="DN17" ca="1">IF(
    factorsTable[[#This Row],[sortedIndex]] = "",
    "",
    KeepBlanksFunction(
      _xlfn.XLOOKUP(
        factorsTable[[#This Row],[sortedIndex]],
        factorsConfigTable[index],
        INDEX(
          factorsConfigTable[],
          0,
          MATCH(
            chartLanguage,
            languageHeadersList,
            0
          )
          + MATCH(factorsConfigTable[[#Headers],[lang1]], factorsConfigTable[#Headers], 0)
          - 1
        ),#REF!,
        0
      )
    )
  )</f>
        <v>Confianza en el desempeño</v>
      </c>
      <c r="DO17" s="186" t="str" cm="1">
        <f t="array" aca="1" ref="DO17" ca="1">IF(
    factorsTable[[#This Row],[sortedIndex]] = "",
    "",
    IF(
      factorsTable[[#This Row],[langSpecFactor]] = "",
      UITranslateForValueTable("noTranslation", UITranslationTable[tag], UITranslationTable[], UITranslationTable[#Headers]),
      factorsTable[[#This Row],[langSpecFactor]]
    )
  )</f>
        <v>Confianza en el desempeño</v>
      </c>
      <c r="DP17" s="186" t="str">
        <f ca="1">IF(
    factorsTable[[#This Row],[sortedIndex]] = "",
    "",
    _xlfn.XLOOKUP(
      _xlfn.XLOOKUP(
        factorsTable[[#This Row],[sortedIndex]],
        factorsConfigTable[index],
        factorsConfigTable[RANASBlock],#REF!,
        0
      ),
      RANASBlocksTable[label],
      RANASBlocksTable[tag],
      NA(),
      0
    )
  )</f>
        <v>abilities</v>
      </c>
      <c r="DQ17" s="186" t="str" cm="1">
        <f t="array" aca="1" ref="DQ17" ca="1">IF(
    factorsTable[[#This Row],[sortedIndex]] = "",
    "",
    _xlfn.IFNA(
      _xlfn.XLOOKUP(factorsTable[[#This Row],[RANASTag]], RANASBlocksTable[tag], RANASBlocksTable[langSpecLabel]),
      UITranslateForValueTable("noRANASBlock", UITranslationTable[tag], UITranslationTable[], UITranslationTable[#Headers])
    )
  )</f>
        <v>Habilidad</v>
      </c>
      <c r="DR17" s="186" t="str">
        <f ca="1">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Confianza en el desempeño
[Habilidad]</v>
      </c>
      <c r="DS17" s="186">
        <f ca="1">IF(
    factorsTable[[#This Row],[sortedIndex]] = "",
    "",
    _xlfn.XLOOKUP(factorsTable[[#This Row],[sortedIndex]], factorsTable[index], factorsTable[numTotal])
  )</f>
        <v>258</v>
      </c>
      <c r="DT17" s="186">
        <f ca="1">IF(
    factorsTable[[#This Row],[sortedIndex]] = "",
    "",
    _xlfn.XLOOKUP(factorsTable[[#This Row],[sortedIndex]], factorsTable[index], factorsTable[nondoers])
  )</f>
        <v>0.68707482993197277</v>
      </c>
      <c r="DU17" s="186">
        <f ca="1">IF(
    factorsTable[[#This Row],[sortedIndex]] = "",
    "",
    _xlfn.XLOOKUP(factorsTable[[#This Row],[sortedIndex]], factorsTable[index], factorsTable[doers])
  )</f>
        <v>0.75225225225225223</v>
      </c>
      <c r="DV17" s="186">
        <f ca="1">IF(
    factorsTable[[#This Row],[sortedIndex]] = "",
    "",
    _xlfn.XLOOKUP(factorsTable[[#This Row],[sortedIndex]], factorsTable[index], factorsTable[difference])
  )</f>
        <v>6.5177422320279454E-2</v>
      </c>
    </row>
    <row r="18" spans="5:126" ht="14.4" customHeight="1" x14ac:dyDescent="0.3">
      <c r="E18" s="196" cm="1">
        <f t="array" ref="E18">ROW()-ROW(UITranslationTable[#Headers])</f>
        <v>16</v>
      </c>
      <c r="F18" s="11" t="s">
        <v>937</v>
      </c>
      <c r="G18" s="200" t="s">
        <v>942</v>
      </c>
      <c r="H18" s="185" t="s">
        <v>943</v>
      </c>
      <c r="J18" s="3" cm="1">
        <f t="array" ref="J18">ROW()-ROW(errorMessagesTable[#Headers])</f>
        <v>16</v>
      </c>
      <c r="K18" s="3" t="s">
        <v>1080</v>
      </c>
      <c r="L18" s="187" t="b" cm="1">
        <f t="array" aca="1" ref="L18" ca="1">errorRANASBlockMissing</f>
        <v>0</v>
      </c>
      <c r="M18" s="185" t="s">
        <v>965</v>
      </c>
      <c r="N18" s="185" t="s">
        <v>962</v>
      </c>
      <c r="O18" s="3" t="str" cm="1">
        <f t="array" aca="1" ref="O18" ca="1">FilterTrueColumn(errorMessagesTable[[#This Row],[index]], errorMessagesTable[index], errorMessagesTable[filteredIndex], errorMessagesTable[condition])</f>
        <v/>
      </c>
      <c r="P18" s="11" t="str" cm="1">
        <f t="array" aca="1" ref="P18"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18" s="11" t="str" cm="1">
        <f t="array" aca="1" ref="Q18" ca="1">IF(
    errorMessagesTable[[#This Row],[filteredIndex]] = "",
    "",
    IF(
      errorMessagesTable[[#This Row],[index]] = 1,
      "",
      INDEX(errorMessagesTable[concatErrors], errorMessagesTable[[#This Row],[index]]-1)
      &amp; CHAR(10) &amp; CHAR(10)
    )
    &amp; INDEX(errorMessagesTable[langSpecError], errorMessagesTable[[#This Row],[index]])
  )</f>
        <v/>
      </c>
      <c r="W18" s="186" cm="1">
        <f t="array" ref="W18">ROW()-ROW(structuredFormulaeTable[#Headers])</f>
        <v>16</v>
      </c>
      <c r="X18" s="3" t="s">
        <v>1063</v>
      </c>
      <c r="Y18" s="3" t="s">
        <v>1166</v>
      </c>
      <c r="Z18" s="3" cm="1">
        <f t="array" ref="Z18">behaviourMaxScore3</f>
        <v>3</v>
      </c>
      <c r="AA18" s="187" t="s">
        <v>1167</v>
      </c>
      <c r="AB18" s="172" t="s">
        <v>1295</v>
      </c>
      <c r="BM18" s="3">
        <f ca="1"/>
        <v>5</v>
      </c>
      <c r="BN18" s="3">
        <f ca="1"/>
        <v>15</v>
      </c>
      <c r="BO18" s="3">
        <f ca="1"/>
        <v>1</v>
      </c>
      <c r="BP18" s="3">
        <f ca="1"/>
        <v>2</v>
      </c>
      <c r="BR18" s="3">
        <f ca="1"/>
        <v>1.9999999999999998</v>
      </c>
      <c r="BS18" s="3">
        <f ca="1"/>
        <v>3</v>
      </c>
      <c r="BT18" s="3">
        <f ca="1"/>
        <v>0.66666666666666663</v>
      </c>
      <c r="BU18" s="3" t="b">
        <f ca="1"/>
        <v>1</v>
      </c>
      <c r="CD18" s="3" cm="1">
        <f t="array" ref="CD18">ROW()-ROW(recommendedCutoffTable[#Headers])</f>
        <v>16</v>
      </c>
      <c r="CE18" s="192">
        <f>(recommendedCutoffTable[[#This Row],[index]] - 1) / 100</f>
        <v>0.15</v>
      </c>
      <c r="CF18" s="3" cm="1">
        <f t="array" aca="1" ref="CF18" ca="1">ABS(
    numScores
  - 2 * SUMPRODUCT((behaviourScore &lt;&gt; "") * (behaviourScore &lt; recommendedCutoffTable[[#This Row],[cutoffLevel]]))
  )</f>
        <v>254</v>
      </c>
      <c r="CM18" s="186" cm="1">
        <f t="array" ref="CM18">ROW()-ROW(factorsTable[#Headers])</f>
        <v>16</v>
      </c>
      <c r="CN18" s="186" t="str" cm="1">
        <f t="array" ref="CN18">KeepBlanksFunction(
    _xlfn.XLOOKUP(
      factorsTable[[#This Row],[index]],
      factorsConfigTable[index],
      factorsConfigTable[factorHeader],#REF!,
      0
    )
  )</f>
        <v>severity</v>
      </c>
      <c r="CO18" s="186">
        <f ca="1">IF(
    factorsTable[[#This Row],[factorHeader]] = "",
    "",
    _xlfn.IFNA(
      MATCH(factorsTable[[#This Row],[factorHeader]], dataHeaders, 0),
      _xlfn.IFNA(
        MATCH("*/" &amp; factorsTable[[#This Row],[factorHeader]], dataHeaders, 0),
        MATCH("*-" &amp; factorsTable[[#This Row],[factorHeader]], dataHeaders, 0)
      )
    )
  )</f>
        <v>28</v>
      </c>
      <c r="CP18" s="186">
        <f>IF(
    factorsTable[[#This Row],[factorHeader]] = "",
    "",
    _xlfn.LET(
      _xlpm.tableValue,
      _xlfn.XLOOKUP(
        factorsTable[[#This Row],[index]],
        factorsConfigTable[index],
        factorsConfigTable[minScore],#REF!,
        0
      ),
      _xlpm.storedValue,
      IF(
        _xlpm.tableValue = "",
        NA(),
        _xlpm.tableValue
      ),
      _xlpm.storedValue
    )
  )</f>
        <v>1</v>
      </c>
      <c r="CQ18" s="186">
        <f>IF(
    factorsTable[[#This Row],[factorHeader]] = "",
    "",
    _xlfn.LET(
      _xlpm.tableValue,
      _xlfn.XLOOKUP(
        factorsTable[[#This Row],[index]],
        factorsConfigTable[index],
        factorsConfigTable[maxScore],#REF!,
        0
      ),
      _xlpm.storedValue,
      IF(
        _xlpm.tableValue = "",
        NA(),
        _xlpm.tableValue
      ),
      _xlpm.storedValue
    )
  )</f>
        <v>5</v>
      </c>
      <c r="CR18" s="186">
        <f ca="1">IF(
    factorsTable[[#This Row],[factorHeader]] = "",
    "",
    IF(
      ISERROR(factorsTable[[#This Row],[factorColNum]]),
      NA(),
      IF(
        ISNA(INDEX(dataRange,1,1)),
        NA(),
        MIN(INDEX(dataRange, , factorsTable[[#This Row],[factorColNum]]))
      )
    )
  )</f>
        <v>1</v>
      </c>
      <c r="CS18" s="186">
        <f ca="1">IF(
    factorsTable[[#This Row],[factorHeader]] = "",
    "",
    IF(
      ISERROR(factorsTable[[#This Row],[factorColNum]]),
      NA(),
      IF(
        ISNA(INDEX(dataRange,1,1)),
        NA(),
        MAX(INDEX(dataRange, , factorsTable[[#This Row],[factorColNum]]))
      )
    )
  )</f>
        <v>5</v>
      </c>
      <c r="CT18" s="186" t="b" cm="1">
        <f t="array" aca="1" ref="CT18" ca="1">AND(
    NOT(errorNoDataSheet),
    factorsTable[[#This Row],[factorHeader]] &lt;&gt; "",
    NOT(ISERROR(factorsTable[[#This Row],[factorColNum]])),
    IFERROR(factorsTable[[#This Row],[display]], FALSE),
    IFERROR(factorsTable[[#This Row],[minValue]] &lt; factorsTable[[#This Row],[minScore]], FALSE)
  )</f>
        <v>0</v>
      </c>
      <c r="CU18" s="186" t="b" cm="1">
        <f t="array" aca="1" ref="CU18" ca="1">AND(
    NOT(errorNoDataSheet),
    factorsTable[[#This Row],[factorHeader]] &lt;&gt; "",
    NOT(ISERROR(factorsTable[[#This Row],[factorColNum]])),
    IFERROR(factorsTable[[#This Row],[display]], FALSE),
    IFERROR(factorsTable[[#This Row],[maxValue]] &gt; factorsTable[[#This Row],[maxScore]], FALSE)
  )</f>
        <v>0</v>
      </c>
      <c r="CV18" s="186" cm="1">
        <f t="array" aca="1" ref="CV18" ca="1">IF(
    factorsTable[[#This Row],[factorHeader]] = "",
    "",
    IF(
      ISNA(INDEX(dataRange,1,1)),
      NA(),
      SUMPRODUCT(
          IF(isDoer = "", 0, NOT(isDoer))
        * (INDEX(dataRange, , factorsTable[[#This Row],[factorColNum]]) &lt;&gt; "")
      )
    )
  )</f>
        <v>147</v>
      </c>
      <c r="CW18" s="186" cm="1">
        <f t="array" aca="1" ref="CW18" ca="1">IF(
    factorsTable[[#This Row],[factorHeader]] = "",
    "",
    IF(
      ISNA(INDEX(dataRange,1,1)),
      NA(),
      SUMPRODUCT(
          IF(isDoer = "", 0, isDoer)
        * (INDEX(dataRange, , factorsTable[[#This Row],[factorColNum]]) &lt;&gt; "")
      )
    )
  )</f>
        <v>111</v>
      </c>
      <c r="CX18" s="186" cm="1">
        <f t="array" aca="1" ref="CX18" ca="1">IF(
    factorsTable[[#This Row],[factorHeader]] = "",
    "",
    IF(
      ISERROR(factorsTable[[#This Row],[factorColNum]]),
      UITranslateForValueTable("dataNotFound", UITranslationTable[tag], UITranslationTable[], UITranslationTable[#Headers]),
      factorsTable[[#This Row],[numDoers]] + factorsTable[[#This Row],[numNondoers]]
    )
  )</f>
        <v>258</v>
      </c>
      <c r="CY18" s="186" cm="1">
        <f t="array" aca="1" ref="CY18"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0.63435374149659862</v>
      </c>
      <c r="CZ18" s="186" cm="1">
        <f t="array" aca="1" ref="CZ18"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0.72072072072072069</v>
      </c>
      <c r="DA18" s="186">
        <f ca="1">IF(
    factorsTable[[#This Row],[factorHeader]] = "",
    "",
    factorsTable[[#This Row],[doers]] - factorsTable[[#This Row],[nondoers]]
  )</f>
        <v>8.6366979224122065E-2</v>
      </c>
      <c r="DB18" s="186" t="str">
        <f>IF(
    factorsTable[[#This Row],[factorHeader]] = "",
    "",
    _xlfn.XLOOKUP(
      _xlfn.XLOOKUP(
        factorsTable[[#This Row],[index]],
        factorsConfigTable[index],
        factorsConfigTable[displayConfig],#REF!,
        0
      ),
      yesNoTable[label],
      yesNoTable[tag],
      "",
      0
    )
  )</f>
        <v>yes</v>
      </c>
      <c r="DC18" s="186" t="b">
        <f>IF(
    factorsTable[[#This Row],[factorHeader]] = "",
    FALSE,
    IF(
      factorsTable[[#This Row],[displayConfig]] = "yes",
      TRUE,
      IF(
        factorsTable[[#This Row],[displayConfig]] = "no",
        FALSE,
        NA()
      )
    )
  )</f>
        <v>1</v>
      </c>
      <c r="DD18" s="186" cm="1">
        <f t="array" ref="DD18">FilterTrueColumn(factorsTable[[#This Row],[index]], factorsTable[index], factorsTable[filteredIndex], factorsTable[display])</f>
        <v>16</v>
      </c>
      <c r="DE18" s="186">
        <f ca="1">IF(
    factorsTable[[#This Row],[filteredIndex]] = "",
    "",
    _xlfn.IFNA(
      _xlfn.XLOOKUP(factorsTable[[#This Row],[filteredIndex]], factorsTable[index], factorsTable[difference]),
      -99
    )
  )</f>
        <v>8.6366979224122065E-2</v>
      </c>
      <c r="DF18" s="186">
        <f ca="1">IF(
    factorsTable[[#This Row],[filteredIndex]] = "",
    "",
    IF(
      factorsTable[[#This Row],[relDiff]] = -99,
      -99,
      ABS(factorsTable[[#This Row],[relDiff]])
    )
  )</f>
        <v>8.6366979224122065E-2</v>
      </c>
      <c r="DG18" s="186">
        <f>IF(
    factorsTable[[#This Row],[filteredIndex]] = "",
    "",
    _xlfn.XLOOKUP(
      _xlfn.XLOOKUP(
        factorsTable[[#This Row],[filteredIndex]],
        factorsConfigTable[index],
        factorsConfigTable[RANASBlock],#REF!,
        0
      ),
      RANASBlocksTable[label],
      RANASBlocksTable[index],
      6,
      0
    )
  )</f>
        <v>1</v>
      </c>
      <c r="DH18" s="186">
        <f ca="1">IF(
    factorsTable[[#This Row],[filteredIndex]] = "",
    "",
    _xlfn.RANK.EQ(factorsTable[[#This Row],[relDiff]], factorsTable[relDiff], 0)
  )</f>
        <v>9</v>
      </c>
      <c r="DI18" s="186">
        <f ca="1">IF(
    factorsTable[[#This Row],[filteredIndex]] = "",
    "",
    _xlfn.RANK.EQ(factorsTable[[#This Row],[absDiff]], factorsTable[absDiff], 0)
  )</f>
        <v>10</v>
      </c>
      <c r="DJ18" s="186">
        <f>IF(
    factorsTable[[#This Row],[filteredIndex]] = "",
    "",
    _xlfn.RANK.EQ(factorsTable[[#This Row],[RANASIndex]], factorsTable[RANASIndex], 1)
  )</f>
        <v>1</v>
      </c>
      <c r="DK18" s="186" cm="1">
        <f t="array" aca="1" ref="DK18" ca="1">_xlfn.SWITCH(
    sortingMethodTag,
    "none", factorsTable[[#This Row],[filteredIndex]],
    "relDiff", factorsTable[[#This Row],[relDiffRank]],
    "absDiff", factorsTable[[#This Row],[absDiffRank]],
    "RANAS", factorsTable[[#This Row],[RANASRank]],
    factorsTable[[#This Row],[filteredIndex]]
  )</f>
        <v>10</v>
      </c>
      <c r="DL18" s="186">
        <f ca="1">IF(
    factorsTable[[#This Row],[filteredIndex]] = "",
    "",
    factorsTable[[#This Row],[selectedRank]]
      + COUNTIF(INDEX(factorsTable[selectedRank], 1):INDEX(factorsTable[selectedRank], factorsTable[[#This Row],[index]]), factorsTable[[#This Row],[selectedRank]])
      - 1
  )</f>
        <v>10</v>
      </c>
      <c r="DM18" s="186">
        <f ca="1">IF(
    factorsTable[[#This Row],[filteredIndex]] = "",
    "",
    _xlfn.XLOOKUP(
      factorsTable[[#This Row],[index]],
      factorsTable[uniqueRank],
      factorsTable[filteredIndex],#REF!,
      0
    )
  )</f>
        <v>9</v>
      </c>
      <c r="DN18" s="186" t="str" cm="1">
        <f t="array" aca="1" ref="DN18" ca="1">IF(
    factorsTable[[#This Row],[sortedIndex]] = "",
    "",
    KeepBlanksFunction(
      _xlfn.XLOOKUP(
        factorsTable[[#This Row],[sortedIndex]],
        factorsConfigTable[index],
        INDEX(
          factorsConfigTable[],
          0,
          MATCH(
            chartLanguage,
            languageHeadersList,
            0
          )
          + MATCH(factorsConfigTable[[#Headers],[lang1]], factorsConfigTable[#Headers], 0)
          - 1
        ),#REF!,
        0
      )
    )
  )</f>
        <v>Costos</v>
      </c>
      <c r="DO18" s="186" t="str" cm="1">
        <f t="array" aca="1" ref="DO18" ca="1">IF(
    factorsTable[[#This Row],[sortedIndex]] = "",
    "",
    IF(
      factorsTable[[#This Row],[langSpecFactor]] = "",
      UITranslateForValueTable("noTranslation", UITranslationTable[tag], UITranslationTable[], UITranslationTable[#Headers]),
      factorsTable[[#This Row],[langSpecFactor]]
    )
  )</f>
        <v>Costos</v>
      </c>
      <c r="DP18" s="186" t="str">
        <f ca="1">IF(
    factorsTable[[#This Row],[sortedIndex]] = "",
    "",
    _xlfn.XLOOKUP(
      _xlfn.XLOOKUP(
        factorsTable[[#This Row],[sortedIndex]],
        factorsConfigTable[index],
        factorsConfigTable[RANASBlock],#REF!,
        0
      ),
      RANASBlocksTable[label],
      RANASBlocksTable[tag],
      NA(),
      0
    )
  )</f>
        <v>attitudes</v>
      </c>
      <c r="DQ18" s="186" t="str" cm="1">
        <f t="array" aca="1" ref="DQ18" ca="1">IF(
    factorsTable[[#This Row],[sortedIndex]] = "",
    "",
    _xlfn.IFNA(
      _xlfn.XLOOKUP(factorsTable[[#This Row],[RANASTag]], RANASBlocksTable[tag], RANASBlocksTable[langSpecLabel]),
      UITranslateForValueTable("noRANASBlock", UITranslationTable[tag], UITranslationTable[], UITranslationTable[#Headers])
    )
  )</f>
        <v>Actitud</v>
      </c>
      <c r="DR18" s="186" t="str">
        <f ca="1">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Costos
[Actitud]</v>
      </c>
      <c r="DS18" s="186">
        <f ca="1">IF(
    factorsTable[[#This Row],[sortedIndex]] = "",
    "",
    _xlfn.XLOOKUP(factorsTable[[#This Row],[sortedIndex]], factorsTable[index], factorsTable[numTotal])
  )</f>
        <v>258</v>
      </c>
      <c r="DT18" s="186">
        <f ca="1">IF(
    factorsTable[[#This Row],[sortedIndex]] = "",
    "",
    _xlfn.XLOOKUP(factorsTable[[#This Row],[sortedIndex]], factorsTable[index], factorsTable[nondoers])
  )</f>
        <v>0.26785714285714285</v>
      </c>
      <c r="DU18" s="186">
        <f ca="1">IF(
    factorsTable[[#This Row],[sortedIndex]] = "",
    "",
    _xlfn.XLOOKUP(factorsTable[[#This Row],[sortedIndex]], factorsTable[index], factorsTable[doers])
  )</f>
        <v>0.2195945945945946</v>
      </c>
      <c r="DV18" s="186">
        <f ca="1">IF(
    factorsTable[[#This Row],[sortedIndex]] = "",
    "",
    _xlfn.XLOOKUP(factorsTable[[#This Row],[sortedIndex]], factorsTable[index], factorsTable[difference])
  )</f>
        <v>-4.8262548262548249E-2</v>
      </c>
    </row>
    <row r="19" spans="5:126" ht="14.4" customHeight="1" x14ac:dyDescent="0.3">
      <c r="E19" s="196" cm="1">
        <f t="array" ref="E19">ROW()-ROW(UITranslationTable[#Headers])</f>
        <v>17</v>
      </c>
      <c r="F19" s="11" t="s">
        <v>940</v>
      </c>
      <c r="G19" s="200" t="s">
        <v>939</v>
      </c>
      <c r="H19" s="185" t="s">
        <v>952</v>
      </c>
      <c r="J19" s="3" cm="1">
        <f t="array" ref="J19">ROW()-ROW(errorMessagesTable[#Headers])</f>
        <v>17</v>
      </c>
      <c r="K19" s="3" t="s">
        <v>1083</v>
      </c>
      <c r="L19" s="3" t="b" cm="1">
        <f t="array" aca="1" ref="L19" ca="1">errorFactorTranslationMissing</f>
        <v>0</v>
      </c>
      <c r="M19" s="185" t="s">
        <v>1190</v>
      </c>
      <c r="N19" s="185" t="s">
        <v>1191</v>
      </c>
      <c r="O19" s="3" t="str" cm="1">
        <f t="array" aca="1" ref="O19" ca="1">FilterTrueColumn(errorMessagesTable[[#This Row],[index]], errorMessagesTable[index], errorMessagesTable[filteredIndex], errorMessagesTable[condition])</f>
        <v/>
      </c>
      <c r="P19" s="11" t="str" cm="1">
        <f t="array" aca="1" ref="P19"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19" s="11" t="str" cm="1">
        <f t="array" aca="1" ref="Q19" ca="1">IF(
    errorMessagesTable[[#This Row],[filteredIndex]] = "",
    "",
    IF(
      errorMessagesTable[[#This Row],[index]] = 1,
      "",
      INDEX(errorMessagesTable[concatErrors], errorMessagesTable[[#This Row],[index]]-1)
      &amp; CHAR(10) &amp; CHAR(10)
    )
    &amp; INDEX(errorMessagesTable[langSpecError], errorMessagesTable[[#This Row],[index]])
  )</f>
        <v/>
      </c>
      <c r="W19" s="186" cm="1">
        <f t="array" ref="W19">ROW()-ROW(structuredFormulaeTable[#Headers])</f>
        <v>17</v>
      </c>
      <c r="X19" s="3" t="s">
        <v>1063</v>
      </c>
      <c r="Y19" s="3" t="s">
        <v>1168</v>
      </c>
      <c r="Z19" s="3" cm="1">
        <f t="array" ref="Z19">behaviourMaxScore4</f>
        <v>5</v>
      </c>
      <c r="AA19" s="187" t="s">
        <v>1169</v>
      </c>
      <c r="AB19" s="172" t="s">
        <v>1296</v>
      </c>
      <c r="BM19" s="3">
        <f ca="1"/>
        <v>5</v>
      </c>
      <c r="BN19" s="3">
        <f ca="1"/>
        <v>15</v>
      </c>
      <c r="BO19" s="3">
        <f ca="1"/>
        <v>2</v>
      </c>
      <c r="BP19" s="3">
        <f ca="1"/>
        <v>3</v>
      </c>
      <c r="BR19" s="3">
        <f ca="1"/>
        <v>2.333333333333333</v>
      </c>
      <c r="BS19" s="3">
        <f ca="1"/>
        <v>3</v>
      </c>
      <c r="BT19" s="3">
        <f ca="1"/>
        <v>0.77777777777777768</v>
      </c>
      <c r="BU19" s="3" t="b">
        <f ca="1"/>
        <v>1</v>
      </c>
      <c r="CD19" s="3" cm="1">
        <f t="array" ref="CD19">ROW()-ROW(recommendedCutoffTable[#Headers])</f>
        <v>17</v>
      </c>
      <c r="CE19" s="192">
        <f>(recommendedCutoffTable[[#This Row],[index]] - 1) / 100</f>
        <v>0.16</v>
      </c>
      <c r="CF19" s="3" cm="1">
        <f t="array" aca="1" ref="CF19" ca="1">ABS(
    numScores
  - 2 * SUMPRODUCT((behaviourScore &lt;&gt; "") * (behaviourScore &lt; recommendedCutoffTable[[#This Row],[cutoffLevel]]))
  )</f>
        <v>254</v>
      </c>
      <c r="CM19" s="186" cm="1">
        <f t="array" ref="CM19">ROW()-ROW(factorsTable[#Headers])</f>
        <v>17</v>
      </c>
      <c r="CN19" s="186" t="str" cm="1">
        <f t="array" ref="CN19">KeepBlanksFunction(
    _xlfn.XLOOKUP(
      factorsTable[[#This Row],[index]],
      factorsConfigTable[index],
      factorsConfigTable[factorHeader],#REF!,
      0
    )
  )</f>
        <v>vulnerability</v>
      </c>
      <c r="CO19" s="186">
        <f ca="1">IF(
    factorsTable[[#This Row],[factorHeader]] = "",
    "",
    _xlfn.IFNA(
      MATCH(factorsTable[[#This Row],[factorHeader]], dataHeaders, 0),
      _xlfn.IFNA(
        MATCH("*/" &amp; factorsTable[[#This Row],[factorHeader]], dataHeaders, 0),
        MATCH("*-" &amp; factorsTable[[#This Row],[factorHeader]], dataHeaders, 0)
      )
    )
  )</f>
        <v>29</v>
      </c>
      <c r="CP19" s="186">
        <f>IF(
    factorsTable[[#This Row],[factorHeader]] = "",
    "",
    _xlfn.LET(
      _xlpm.tableValue,
      _xlfn.XLOOKUP(
        factorsTable[[#This Row],[index]],
        factorsConfigTable[index],
        factorsConfigTable[minScore],#REF!,
        0
      ),
      _xlpm.storedValue,
      IF(
        _xlpm.tableValue = "",
        NA(),
        _xlpm.tableValue
      ),
      _xlpm.storedValue
    )
  )</f>
        <v>1</v>
      </c>
      <c r="CQ19" s="186">
        <f>IF(
    factorsTable[[#This Row],[factorHeader]] = "",
    "",
    _xlfn.LET(
      _xlpm.tableValue,
      _xlfn.XLOOKUP(
        factorsTable[[#This Row],[index]],
        factorsConfigTable[index],
        factorsConfigTable[maxScore],#REF!,
        0
      ),
      _xlpm.storedValue,
      IF(
        _xlpm.tableValue = "",
        NA(),
        _xlpm.tableValue
      ),
      _xlpm.storedValue
    )
  )</f>
        <v>5</v>
      </c>
      <c r="CR19" s="186">
        <f ca="1">IF(
    factorsTable[[#This Row],[factorHeader]] = "",
    "",
    IF(
      ISERROR(factorsTable[[#This Row],[factorColNum]]),
      NA(),
      IF(
        ISNA(INDEX(dataRange,1,1)),
        NA(),
        MIN(INDEX(dataRange, , factorsTable[[#This Row],[factorColNum]]))
      )
    )
  )</f>
        <v>1</v>
      </c>
      <c r="CS19" s="186">
        <f ca="1">IF(
    factorsTable[[#This Row],[factorHeader]] = "",
    "",
    IF(
      ISERROR(factorsTable[[#This Row],[factorColNum]]),
      NA(),
      IF(
        ISNA(INDEX(dataRange,1,1)),
        NA(),
        MAX(INDEX(dataRange, , factorsTable[[#This Row],[factorColNum]]))
      )
    )
  )</f>
        <v>5</v>
      </c>
      <c r="CT19" s="186" t="b" cm="1">
        <f t="array" aca="1" ref="CT19" ca="1">AND(
    NOT(errorNoDataSheet),
    factorsTable[[#This Row],[factorHeader]] &lt;&gt; "",
    NOT(ISERROR(factorsTable[[#This Row],[factorColNum]])),
    IFERROR(factorsTable[[#This Row],[display]], FALSE),
    IFERROR(factorsTable[[#This Row],[minValue]] &lt; factorsTable[[#This Row],[minScore]], FALSE)
  )</f>
        <v>0</v>
      </c>
      <c r="CU19" s="186" t="b" cm="1">
        <f t="array" aca="1" ref="CU19" ca="1">AND(
    NOT(errorNoDataSheet),
    factorsTable[[#This Row],[factorHeader]] &lt;&gt; "",
    NOT(ISERROR(factorsTable[[#This Row],[factorColNum]])),
    IFERROR(factorsTable[[#This Row],[display]], FALSE),
    IFERROR(factorsTable[[#This Row],[maxValue]] &gt; factorsTable[[#This Row],[maxScore]], FALSE)
  )</f>
        <v>0</v>
      </c>
      <c r="CV19" s="186" cm="1">
        <f t="array" aca="1" ref="CV19" ca="1">IF(
    factorsTable[[#This Row],[factorHeader]] = "",
    "",
    IF(
      ISNA(INDEX(dataRange,1,1)),
      NA(),
      SUMPRODUCT(
          IF(isDoer = "", 0, NOT(isDoer))
        * (INDEX(dataRange, , factorsTable[[#This Row],[factorColNum]]) &lt;&gt; "")
      )
    )
  )</f>
        <v>147</v>
      </c>
      <c r="CW19" s="186" cm="1">
        <f t="array" aca="1" ref="CW19" ca="1">IF(
    factorsTable[[#This Row],[factorHeader]] = "",
    "",
    IF(
      ISNA(INDEX(dataRange,1,1)),
      NA(),
      SUMPRODUCT(
          IF(isDoer = "", 0, isDoer)
        * (INDEX(dataRange, , factorsTable[[#This Row],[factorColNum]]) &lt;&gt; "")
      )
    )
  )</f>
        <v>111</v>
      </c>
      <c r="CX19" s="186" cm="1">
        <f t="array" aca="1" ref="CX19" ca="1">IF(
    factorsTable[[#This Row],[factorHeader]] = "",
    "",
    IF(
      ISERROR(factorsTable[[#This Row],[factorColNum]]),
      UITranslateForValueTable("dataNotFound", UITranslationTable[tag], UITranslationTable[], UITranslationTable[#Headers]),
      factorsTable[[#This Row],[numDoers]] + factorsTable[[#This Row],[numNondoers]]
    )
  )</f>
        <v>258</v>
      </c>
      <c r="CY19" s="186" cm="1">
        <f t="array" aca="1" ref="CY19"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0.25</v>
      </c>
      <c r="CZ19" s="186" cm="1">
        <f t="array" aca="1" ref="CZ19"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0.44144144144144143</v>
      </c>
      <c r="DA19" s="186">
        <f ca="1">IF(
    factorsTable[[#This Row],[factorHeader]] = "",
    "",
    factorsTable[[#This Row],[doers]] - factorsTable[[#This Row],[nondoers]]
  )</f>
        <v>0.19144144144144143</v>
      </c>
      <c r="DB19" s="186" t="str">
        <f>IF(
    factorsTable[[#This Row],[factorHeader]] = "",
    "",
    _xlfn.XLOOKUP(
      _xlfn.XLOOKUP(
        factorsTable[[#This Row],[index]],
        factorsConfigTable[index],
        factorsConfigTable[displayConfig],#REF!,
        0
      ),
      yesNoTable[label],
      yesNoTable[tag],
      "",
      0
    )
  )</f>
        <v>yes</v>
      </c>
      <c r="DC19" s="186" t="b">
        <f>IF(
    factorsTable[[#This Row],[factorHeader]] = "",
    FALSE,
    IF(
      factorsTable[[#This Row],[displayConfig]] = "yes",
      TRUE,
      IF(
        factorsTable[[#This Row],[displayConfig]] = "no",
        FALSE,
        NA()
      )
    )
  )</f>
        <v>1</v>
      </c>
      <c r="DD19" s="186" cm="1">
        <f t="array" ref="DD19">FilterTrueColumn(factorsTable[[#This Row],[index]], factorsTable[index], factorsTable[filteredIndex], factorsTable[display])</f>
        <v>17</v>
      </c>
      <c r="DE19" s="186">
        <f ca="1">IF(
    factorsTable[[#This Row],[filteredIndex]] = "",
    "",
    _xlfn.IFNA(
      _xlfn.XLOOKUP(factorsTable[[#This Row],[filteredIndex]], factorsTable[index], factorsTable[difference]),
      -99
    )
  )</f>
        <v>0.19144144144144143</v>
      </c>
      <c r="DF19" s="186">
        <f ca="1">IF(
    factorsTable[[#This Row],[filteredIndex]] = "",
    "",
    IF(
      factorsTable[[#This Row],[relDiff]] = -99,
      -99,
      ABS(factorsTable[[#This Row],[relDiff]])
    )
  )</f>
        <v>0.19144144144144143</v>
      </c>
      <c r="DG19" s="186">
        <f>IF(
    factorsTable[[#This Row],[filteredIndex]] = "",
    "",
    _xlfn.XLOOKUP(
      _xlfn.XLOOKUP(
        factorsTable[[#This Row],[filteredIndex]],
        factorsConfigTable[index],
        factorsConfigTable[RANASBlock],#REF!,
        0
      ),
      RANASBlocksTable[label],
      RANASBlocksTable[index],
      6,
      0
    )
  )</f>
        <v>1</v>
      </c>
      <c r="DH19" s="186">
        <f ca="1">IF(
    factorsTable[[#This Row],[filteredIndex]] = "",
    "",
    _xlfn.RANK.EQ(factorsTable[[#This Row],[relDiff]], factorsTable[relDiff], 0)
  )</f>
        <v>1</v>
      </c>
      <c r="DI19" s="186">
        <f ca="1">IF(
    factorsTable[[#This Row],[filteredIndex]] = "",
    "",
    _xlfn.RANK.EQ(factorsTable[[#This Row],[absDiff]], factorsTable[absDiff], 0)
  )</f>
        <v>2</v>
      </c>
      <c r="DJ19" s="186">
        <f>IF(
    factorsTable[[#This Row],[filteredIndex]] = "",
    "",
    _xlfn.RANK.EQ(factorsTable[[#This Row],[RANASIndex]], factorsTable[RANASIndex], 1)
  )</f>
        <v>1</v>
      </c>
      <c r="DK19" s="186" cm="1">
        <f t="array" aca="1" ref="DK19" ca="1">_xlfn.SWITCH(
    sortingMethodTag,
    "none", factorsTable[[#This Row],[filteredIndex]],
    "relDiff", factorsTable[[#This Row],[relDiffRank]],
    "absDiff", factorsTable[[#This Row],[absDiffRank]],
    "RANAS", factorsTable[[#This Row],[RANASRank]],
    factorsTable[[#This Row],[filteredIndex]]
  )</f>
        <v>2</v>
      </c>
      <c r="DL19" s="186">
        <f ca="1">IF(
    factorsTable[[#This Row],[filteredIndex]] = "",
    "",
    factorsTable[[#This Row],[selectedRank]]
      + COUNTIF(INDEX(factorsTable[selectedRank], 1):INDEX(factorsTable[selectedRank], factorsTable[[#This Row],[index]]), factorsTable[[#This Row],[selectedRank]])
      - 1
  )</f>
        <v>2</v>
      </c>
      <c r="DM19" s="186">
        <f ca="1">IF(
    factorsTable[[#This Row],[filteredIndex]] = "",
    "",
    _xlfn.XLOOKUP(
      factorsTable[[#This Row],[index]],
      factorsTable[uniqueRank],
      factorsTable[filteredIndex],#REF!,
      0
    )
  )</f>
        <v>10</v>
      </c>
      <c r="DN19" s="186" t="str" cm="1">
        <f t="array" aca="1" ref="DN19" ca="1">IF(
    factorsTable[[#This Row],[sortedIndex]] = "",
    "",
    KeepBlanksFunction(
      _xlfn.XLOOKUP(
        factorsTable[[#This Row],[sortedIndex]],
        factorsConfigTable[index],
        INDEX(
          factorsConfigTable[],
          0,
          MATCH(
            chartLanguage,
            languageHeadersList,
            0
          )
          + MATCH(factorsConfigTable[[#Headers],[lang1]], factorsConfigTable[#Headers], 0)
          - 1
        ),#REF!,
        0
      )
    )
  )</f>
        <v>Sentimientos</v>
      </c>
      <c r="DO19" s="186" t="str" cm="1">
        <f t="array" aca="1" ref="DO19" ca="1">IF(
    factorsTable[[#This Row],[sortedIndex]] = "",
    "",
    IF(
      factorsTable[[#This Row],[langSpecFactor]] = "",
      UITranslateForValueTable("noTranslation", UITranslationTable[tag], UITranslationTable[], UITranslationTable[#Headers]),
      factorsTable[[#This Row],[langSpecFactor]]
    )
  )</f>
        <v>Sentimientos</v>
      </c>
      <c r="DP19" s="186" t="str">
        <f ca="1">IF(
    factorsTable[[#This Row],[sortedIndex]] = "",
    "",
    _xlfn.XLOOKUP(
      _xlfn.XLOOKUP(
        factorsTable[[#This Row],[sortedIndex]],
        factorsConfigTable[index],
        factorsConfigTable[RANASBlock],#REF!,
        0
      ),
      RANASBlocksTable[label],
      RANASBlocksTable[tag],
      NA(),
      0
    )
  )</f>
        <v>attitudes</v>
      </c>
      <c r="DQ19" s="186" t="str" cm="1">
        <f t="array" aca="1" ref="DQ19" ca="1">IF(
    factorsTable[[#This Row],[sortedIndex]] = "",
    "",
    _xlfn.IFNA(
      _xlfn.XLOOKUP(factorsTable[[#This Row],[RANASTag]], RANASBlocksTable[tag], RANASBlocksTable[langSpecLabel]),
      UITranslateForValueTable("noRANASBlock", UITranslationTable[tag], UITranslationTable[], UITranslationTable[#Headers])
    )
  )</f>
        <v>Actitud</v>
      </c>
      <c r="DR19" s="186" t="str">
        <f ca="1">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Sentimientos
[Actitud]</v>
      </c>
      <c r="DS19" s="186">
        <f ca="1">IF(
    factorsTable[[#This Row],[sortedIndex]] = "",
    "",
    _xlfn.XLOOKUP(factorsTable[[#This Row],[sortedIndex]], factorsTable[index], factorsTable[numTotal])
  )</f>
        <v>258</v>
      </c>
      <c r="DT19" s="186">
        <f ca="1">IF(
    factorsTable[[#This Row],[sortedIndex]] = "",
    "",
    _xlfn.XLOOKUP(factorsTable[[#This Row],[sortedIndex]], factorsTable[index], factorsTable[nondoers])
  )</f>
        <v>0.44444444444444442</v>
      </c>
      <c r="DU19" s="186">
        <f ca="1">IF(
    factorsTable[[#This Row],[sortedIndex]] = "",
    "",
    _xlfn.XLOOKUP(factorsTable[[#This Row],[sortedIndex]], factorsTable[index], factorsTable[doers])
  )</f>
        <v>0.46096096096096095</v>
      </c>
      <c r="DV19" s="186">
        <f ca="1">IF(
    factorsTable[[#This Row],[sortedIndex]] = "",
    "",
    _xlfn.XLOOKUP(factorsTable[[#This Row],[sortedIndex]], factorsTable[index], factorsTable[difference])
  )</f>
        <v>1.6516516516516533E-2</v>
      </c>
    </row>
    <row r="20" spans="5:126" ht="14.4" customHeight="1" x14ac:dyDescent="0.3">
      <c r="E20" s="196" cm="1">
        <f t="array" ref="E20">ROW()-ROW(UITranslationTable[#Headers])</f>
        <v>18</v>
      </c>
      <c r="F20" s="11" t="s">
        <v>941</v>
      </c>
      <c r="G20" s="200" t="str">
        <f>"This work is licensed under Creative Commons Attribution-NonCommercial-NoDerivatives 4.0 International (CC" &amp; CHAR(160) &amp; "BY" &amp; CHAR(173) &amp; "NC" &amp; CHAR(173) &amp; "ND" &amp; CHAR(160) &amp; "4.0)." &amp; CHAR(10) &amp; CHAR(10)
&amp; "To view a copy of this license, visit:"</f>
        <v>This work is licensed under Creative Commons Attribution-NonCommercial-NoDerivatives 4.0 International (CC BY­NC­ND 4.0).
To view a copy of this license, visit:</v>
      </c>
      <c r="H20" s="185" t="str">
        <f>"Ce document est mis à disposition selon les termes de la licence Creative Commons Attribution - Utilisation non commerciale - Pas d’Œuvre dérivée 4.0 International (CC" &amp; CHAR(160) &amp; "BY" &amp; CHAR(173) &amp; "NC" &amp; CHAR(173) &amp; "ND" &amp; CHAR(160) &amp; "4.0)." &amp; CHAR(10) &amp; CHAR(10)
&amp; "Pour voir une copie de cette licence, rendez-vous sur le site:"</f>
        <v>Ce document est mis à disposition selon les termes de la licence Creative Commons Attribution - Utilisation non commerciale - Pas d’Œuvre dérivée 4.0 International (CC BY­NC­ND 4.0).
Pour voir une copie de cette licence, rendez-vous sur le site:</v>
      </c>
      <c r="J20" s="3" cm="1">
        <f t="array" ref="J20">ROW()-ROW(errorMessagesTable[#Headers])</f>
        <v>18</v>
      </c>
      <c r="K20" s="3" t="s">
        <v>1084</v>
      </c>
      <c r="L20" s="3" t="b" cm="1">
        <f t="array" aca="1" ref="L20" ca="1">errorChartTranslationMissing</f>
        <v>0</v>
      </c>
      <c r="M20" s="185" t="s">
        <v>855</v>
      </c>
      <c r="N20" s="185" t="s">
        <v>856</v>
      </c>
      <c r="O20" s="3" t="str" cm="1">
        <f t="array" aca="1" ref="O20" ca="1">FilterTrueColumn(errorMessagesTable[[#This Row],[index]], errorMessagesTable[index], errorMessagesTable[filteredIndex], errorMessagesTable[condition])</f>
        <v/>
      </c>
      <c r="P20" s="11" t="str" cm="1">
        <f t="array" aca="1" ref="P20"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20" s="11" t="str" cm="1">
        <f t="array" aca="1" ref="Q20" ca="1">IF(
    errorMessagesTable[[#This Row],[filteredIndex]] = "",
    "",
    IF(
      errorMessagesTable[[#This Row],[index]] = 1,
      "",
      INDEX(errorMessagesTable[concatErrors], errorMessagesTable[[#This Row],[index]]-1)
      &amp; CHAR(10) &amp; CHAR(10)
    )
    &amp; INDEX(errorMessagesTable[langSpecError], errorMessagesTable[[#This Row],[index]])
  )</f>
        <v/>
      </c>
      <c r="W20" s="186" cm="1">
        <f t="array" ref="W20">ROW()-ROW(structuredFormulaeTable[#Headers])</f>
        <v>18</v>
      </c>
      <c r="X20" s="3" t="s">
        <v>1063</v>
      </c>
      <c r="Y20" s="3" t="s">
        <v>1170</v>
      </c>
      <c r="Z20" s="3" t="str" cm="1">
        <f t="array" ref="Z20">behaviourMaxScore5</f>
        <v/>
      </c>
      <c r="AA20" s="187" t="s">
        <v>1171</v>
      </c>
      <c r="AB20" s="172" t="s">
        <v>1297</v>
      </c>
      <c r="BM20" s="3">
        <f ca="1"/>
        <v>5</v>
      </c>
      <c r="BN20" s="3">
        <f ca="1"/>
        <v>15</v>
      </c>
      <c r="BO20" s="3">
        <f ca="1"/>
        <v>1</v>
      </c>
      <c r="BP20" s="3">
        <f ca="1"/>
        <v>2</v>
      </c>
      <c r="BR20" s="3">
        <f ca="1"/>
        <v>1.9999999999999998</v>
      </c>
      <c r="BS20" s="3">
        <f ca="1"/>
        <v>3</v>
      </c>
      <c r="BT20" s="3">
        <f ca="1"/>
        <v>0.66666666666666663</v>
      </c>
      <c r="BU20" s="3" t="b">
        <f ca="1"/>
        <v>1</v>
      </c>
      <c r="CD20" s="3" cm="1">
        <f t="array" ref="CD20">ROW()-ROW(recommendedCutoffTable[#Headers])</f>
        <v>18</v>
      </c>
      <c r="CE20" s="192">
        <f>(recommendedCutoffTable[[#This Row],[index]] - 1) / 100</f>
        <v>0.17</v>
      </c>
      <c r="CF20" s="3" cm="1">
        <f t="array" aca="1" ref="CF20" ca="1">ABS(
    numScores
  - 2 * SUMPRODUCT((behaviourScore &lt;&gt; "") * (behaviourScore &lt; recommendedCutoffTable[[#This Row],[cutoffLevel]]))
  )</f>
        <v>242</v>
      </c>
      <c r="CM20" s="186" cm="1">
        <f t="array" ref="CM20">ROW()-ROW(factorsTable[#Headers])</f>
        <v>18</v>
      </c>
      <c r="CN20" s="186" t="str" cm="1">
        <f t="array" ref="CN20">KeepBlanksFunction(
    _xlfn.XLOOKUP(
      factorsTable[[#This Row],[index]],
      factorsConfigTable[index],
      factorsConfigTable[factorHeader],#REF!,
      0
    )
  )</f>
        <v/>
      </c>
      <c r="CO20" s="186" t="str">
        <f>IF(
    factorsTable[[#This Row],[factorHeader]] = "",
    "",
    _xlfn.IFNA(
      MATCH(factorsTable[[#This Row],[factorHeader]], dataHeaders, 0),
      _xlfn.IFNA(
        MATCH("*/" &amp; factorsTable[[#This Row],[factorHeader]], dataHeaders, 0),
        MATCH("*-" &amp; factorsTable[[#This Row],[factorHeader]], dataHeaders, 0)
      )
    )
  )</f>
        <v/>
      </c>
      <c r="CP20" s="186" t="str">
        <f>IF(
    factorsTable[[#This Row],[factorHeader]] = "",
    "",
    _xlfn.LET(
      _xlpm.tableValue,
      _xlfn.XLOOKUP(
        factorsTable[[#This Row],[index]],
        factorsConfigTable[index],
        factorsConfigTable[minScore],#REF!,
        0
      ),
      _xlpm.storedValue,
      IF(
        _xlpm.tableValue = "",
        NA(),
        _xlpm.tableValue
      ),
      _xlpm.storedValue
    )
  )</f>
        <v/>
      </c>
      <c r="CQ20" s="186" t="str">
        <f>IF(
    factorsTable[[#This Row],[factorHeader]] = "",
    "",
    _xlfn.LET(
      _xlpm.tableValue,
      _xlfn.XLOOKUP(
        factorsTable[[#This Row],[index]],
        factorsConfigTable[index],
        factorsConfigTable[maxScore],#REF!,
        0
      ),
      _xlpm.storedValue,
      IF(
        _xlpm.tableValue = "",
        NA(),
        _xlpm.tableValue
      ),
      _xlpm.storedValue
    )
  )</f>
        <v/>
      </c>
      <c r="CR20" s="186" t="str">
        <f>IF(
    factorsTable[[#This Row],[factorHeader]] = "",
    "",
    IF(
      ISERROR(factorsTable[[#This Row],[factorColNum]]),
      NA(),
      IF(
        ISNA(INDEX(dataRange,1,1)),
        NA(),
        MIN(INDEX(dataRange, , factorsTable[[#This Row],[factorColNum]]))
      )
    )
  )</f>
        <v/>
      </c>
      <c r="CS20" s="186" t="str">
        <f>IF(
    factorsTable[[#This Row],[factorHeader]] = "",
    "",
    IF(
      ISERROR(factorsTable[[#This Row],[factorColNum]]),
      NA(),
      IF(
        ISNA(INDEX(dataRange,1,1)),
        NA(),
        MAX(INDEX(dataRange, , factorsTable[[#This Row],[factorColNum]]))
      )
    )
  )</f>
        <v/>
      </c>
      <c r="CT20" s="186" t="b" cm="1">
        <f t="array" aca="1" ref="CT20" ca="1">AND(
    NOT(errorNoDataSheet),
    factorsTable[[#This Row],[factorHeader]] &lt;&gt; "",
    NOT(ISERROR(factorsTable[[#This Row],[factorColNum]])),
    IFERROR(factorsTable[[#This Row],[display]], FALSE),
    IFERROR(factorsTable[[#This Row],[minValue]] &lt; factorsTable[[#This Row],[minScore]], FALSE)
  )</f>
        <v>0</v>
      </c>
      <c r="CU20" s="186" t="b" cm="1">
        <f t="array" aca="1" ref="CU20" ca="1">AND(
    NOT(errorNoDataSheet),
    factorsTable[[#This Row],[factorHeader]] &lt;&gt; "",
    NOT(ISERROR(factorsTable[[#This Row],[factorColNum]])),
    IFERROR(factorsTable[[#This Row],[display]], FALSE),
    IFERROR(factorsTable[[#This Row],[maxValue]] &gt; factorsTable[[#This Row],[maxScore]], FALSE)
  )</f>
        <v>0</v>
      </c>
      <c r="CV20" s="186" t="str" cm="1">
        <f t="array" ref="CV20">IF(
    factorsTable[[#This Row],[factorHeader]] = "",
    "",
    IF(
      ISNA(INDEX(dataRange,1,1)),
      NA(),
      SUMPRODUCT(
          IF(isDoer = "", 0, NOT(isDoer))
        * (INDEX(dataRange, , factorsTable[[#This Row],[factorColNum]]) &lt;&gt; "")
      )
    )
  )</f>
        <v/>
      </c>
      <c r="CW20" s="186" t="str" cm="1">
        <f t="array" ref="CW20">IF(
    factorsTable[[#This Row],[factorHeader]] = "",
    "",
    IF(
      ISNA(INDEX(dataRange,1,1)),
      NA(),
      SUMPRODUCT(
          IF(isDoer = "", 0, isDoer)
        * (INDEX(dataRange, , factorsTable[[#This Row],[factorColNum]]) &lt;&gt; "")
      )
    )
  )</f>
        <v/>
      </c>
      <c r="CX20" s="186" t="str" cm="1">
        <f t="array" ref="CX20">IF(
    factorsTable[[#This Row],[factorHeader]] = "",
    "",
    IF(
      ISERROR(factorsTable[[#This Row],[factorColNum]]),
      UITranslateForValueTable("dataNotFound", UITranslationTable[tag], UITranslationTable[], UITranslationTable[#Headers]),
      factorsTable[[#This Row],[numDoers]] + factorsTable[[#This Row],[numNondoers]]
    )
  )</f>
        <v/>
      </c>
      <c r="CY20" s="186" t="str" cm="1">
        <f t="array" ref="CY20">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0" s="186" t="str" cm="1">
        <f t="array" ref="CZ20">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0" s="186" t="str">
        <f>IF(
    factorsTable[[#This Row],[factorHeader]] = "",
    "",
    factorsTable[[#This Row],[doers]] - factorsTable[[#This Row],[nondoers]]
  )</f>
        <v/>
      </c>
      <c r="DB20" s="186" t="str">
        <f>IF(
    factorsTable[[#This Row],[factorHeader]] = "",
    "",
    _xlfn.XLOOKUP(
      _xlfn.XLOOKUP(
        factorsTable[[#This Row],[index]],
        factorsConfigTable[index],
        factorsConfigTable[displayConfig],#REF!,
        0
      ),
      yesNoTable[label],
      yesNoTable[tag],
      "",
      0
    )
  )</f>
        <v/>
      </c>
      <c r="DC20" s="186" t="b">
        <f>IF(
    factorsTable[[#This Row],[factorHeader]] = "",
    FALSE,
    IF(
      factorsTable[[#This Row],[displayConfig]] = "yes",
      TRUE,
      IF(
        factorsTable[[#This Row],[displayConfig]] = "no",
        FALSE,
        NA()
      )
    )
  )</f>
        <v>0</v>
      </c>
      <c r="DD20" s="186" t="str" cm="1">
        <f t="array" ref="DD20">FilterTrueColumn(factorsTable[[#This Row],[index]], factorsTable[index], factorsTable[filteredIndex], factorsTable[display])</f>
        <v/>
      </c>
      <c r="DE20" s="186" t="str">
        <f>IF(
    factorsTable[[#This Row],[filteredIndex]] = "",
    "",
    _xlfn.IFNA(
      _xlfn.XLOOKUP(factorsTable[[#This Row],[filteredIndex]], factorsTable[index], factorsTable[difference]),
      -99
    )
  )</f>
        <v/>
      </c>
      <c r="DF20" s="186" t="str">
        <f>IF(
    factorsTable[[#This Row],[filteredIndex]] = "",
    "",
    IF(
      factorsTable[[#This Row],[relDiff]] = -99,
      -99,
      ABS(factorsTable[[#This Row],[relDiff]])
    )
  )</f>
        <v/>
      </c>
      <c r="DG20" s="186" t="str">
        <f>IF(
    factorsTable[[#This Row],[filteredIndex]] = "",
    "",
    _xlfn.XLOOKUP(
      _xlfn.XLOOKUP(
        factorsTable[[#This Row],[filteredIndex]],
        factorsConfigTable[index],
        factorsConfigTable[RANASBlock],#REF!,
        0
      ),
      RANASBlocksTable[label],
      RANASBlocksTable[index],
      6,
      0
    )
  )</f>
        <v/>
      </c>
      <c r="DH20" s="186" t="str">
        <f>IF(
    factorsTable[[#This Row],[filteredIndex]] = "",
    "",
    _xlfn.RANK.EQ(factorsTable[[#This Row],[relDiff]], factorsTable[relDiff], 0)
  )</f>
        <v/>
      </c>
      <c r="DI20" s="186" t="str">
        <f>IF(
    factorsTable[[#This Row],[filteredIndex]] = "",
    "",
    _xlfn.RANK.EQ(factorsTable[[#This Row],[absDiff]], factorsTable[absDiff], 0)
  )</f>
        <v/>
      </c>
      <c r="DJ20" s="186" t="str">
        <f>IF(
    factorsTable[[#This Row],[filteredIndex]] = "",
    "",
    _xlfn.RANK.EQ(factorsTable[[#This Row],[RANASIndex]], factorsTable[RANASIndex], 1)
  )</f>
        <v/>
      </c>
      <c r="DK20" s="186" t="str" cm="1">
        <f t="array" ref="DK20">_xlfn.SWITCH(
    sortingMethodTag,
    "none", factorsTable[[#This Row],[filteredIndex]],
    "relDiff", factorsTable[[#This Row],[relDiffRank]],
    "absDiff", factorsTable[[#This Row],[absDiffRank]],
    "RANAS", factorsTable[[#This Row],[RANASRank]],
    factorsTable[[#This Row],[filteredIndex]]
  )</f>
        <v/>
      </c>
      <c r="DL20" s="186" t="str">
        <f>IF(
    factorsTable[[#This Row],[filteredIndex]] = "",
    "",
    factorsTable[[#This Row],[selectedRank]]
      + COUNTIF(INDEX(factorsTable[selectedRank], 1):INDEX(factorsTable[selectedRank], factorsTable[[#This Row],[index]]), factorsTable[[#This Row],[selectedRank]])
      - 1
  )</f>
        <v/>
      </c>
      <c r="DM20" s="186" t="str">
        <f>IF(
    factorsTable[[#This Row],[filteredIndex]] = "",
    "",
    _xlfn.XLOOKUP(
      factorsTable[[#This Row],[index]],
      factorsTable[uniqueRank],
      factorsTable[filteredIndex],#REF!,
      0
    )
  )</f>
        <v/>
      </c>
      <c r="DN20" s="186" t="str" cm="1">
        <f t="array" ref="DN20">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20" s="186" t="str" cm="1">
        <f t="array" ref="DO20">IF(
    factorsTable[[#This Row],[sortedIndex]] = "",
    "",
    IF(
      factorsTable[[#This Row],[langSpecFactor]] = "",
      UITranslateForValueTable("noTranslation", UITranslationTable[tag], UITranslationTable[], UITranslationTable[#Headers]),
      factorsTable[[#This Row],[langSpecFactor]]
    )
  )</f>
        <v/>
      </c>
      <c r="DP20" s="186" t="str">
        <f>IF(
    factorsTable[[#This Row],[sortedIndex]] = "",
    "",
    _xlfn.XLOOKUP(
      _xlfn.XLOOKUP(
        factorsTable[[#This Row],[sortedIndex]],
        factorsConfigTable[index],
        factorsConfigTable[RANASBlock],#REF!,
        0
      ),
      RANASBlocksTable[label],
      RANASBlocksTable[tag],
      NA(),
      0
    )
  )</f>
        <v/>
      </c>
      <c r="DQ20" s="186" t="str" cm="1">
        <f t="array" ref="DQ20">IF(
    factorsTable[[#This Row],[sortedIndex]] = "",
    "",
    _xlfn.IFNA(
      _xlfn.XLOOKUP(factorsTable[[#This Row],[RANASTag]], RANASBlocksTable[tag], RANASBlocksTable[langSpecLabel]),
      UITranslateForValueTable("noRANASBlock", UITranslationTable[tag], UITranslationTable[], UITranslationTable[#Headers])
    )
  )</f>
        <v/>
      </c>
      <c r="DR20" s="186"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20" s="186" t="str">
        <f>IF(
    factorsTable[[#This Row],[sortedIndex]] = "",
    "",
    _xlfn.XLOOKUP(factorsTable[[#This Row],[sortedIndex]], factorsTable[index], factorsTable[numTotal])
  )</f>
        <v/>
      </c>
      <c r="DT20" s="186" t="str">
        <f>IF(
    factorsTable[[#This Row],[sortedIndex]] = "",
    "",
    _xlfn.XLOOKUP(factorsTable[[#This Row],[sortedIndex]], factorsTable[index], factorsTable[nondoers])
  )</f>
        <v/>
      </c>
      <c r="DU20" s="186" t="str">
        <f>IF(
    factorsTable[[#This Row],[sortedIndex]] = "",
    "",
    _xlfn.XLOOKUP(factorsTable[[#This Row],[sortedIndex]], factorsTable[index], factorsTable[doers])
  )</f>
        <v/>
      </c>
      <c r="DV20" s="186" t="str">
        <f>IF(
    factorsTable[[#This Row],[sortedIndex]] = "",
    "",
    _xlfn.XLOOKUP(factorsTable[[#This Row],[sortedIndex]], factorsTable[index], factorsTable[difference])
  )</f>
        <v/>
      </c>
    </row>
    <row r="21" spans="5:126" ht="14.4" customHeight="1" x14ac:dyDescent="0.3">
      <c r="E21" s="196" cm="1">
        <f t="array" ref="E21">ROW()-ROW(UITranslationTable[#Headers])</f>
        <v>19</v>
      </c>
      <c r="F21" s="11" t="s">
        <v>953</v>
      </c>
      <c r="G21" s="200" t="s">
        <v>931</v>
      </c>
      <c r="H21" s="185" t="s">
        <v>932</v>
      </c>
      <c r="J21" s="3" cm="1">
        <f t="array" ref="J21">ROW()-ROW(errorMessagesTable[#Headers])</f>
        <v>19</v>
      </c>
      <c r="K21" s="3" t="s">
        <v>1081</v>
      </c>
      <c r="L21" s="3" t="b" cm="1">
        <f t="array" aca="1" ref="L21" ca="1">errorCutoffLevel</f>
        <v>0</v>
      </c>
      <c r="M21" s="187" t="str" cm="1">
        <f t="array" aca="1" ref="M21" ca="1">"The value of the ""Cutoff level"" parameter in the """ &amp; sheetNameCutoff &amp; """ sheet is invalid (red cell). Please enter a integer value in % between 0 and 100 or use the arrows to change the value."</f>
        <v>The value of the "Cutoff level" parameter in the "Cutoff - Seuil" sheet is invalid (red cell). Please enter a integer value in % between 0 and 100 or use the arrows to change the value.</v>
      </c>
      <c r="N21" s="11" t="str" cm="1">
        <f t="array" aca="1" ref="N21" ca="1">"La valeur du paramètre «Niveau de seuil» sur la feuille «" &amp; sheetNameCutoff &amp; "» n'est pas valable (cellule rouge). Veuillez saisir une valeur entière en % entre 0 et 100 ou utilisez les flèches pour changer la valeur."</f>
        <v>La valeur du paramètre «Niveau de seuil» sur la feuille «Cutoff - Seuil» n'est pas valable (cellule rouge). Veuillez saisir une valeur entière en % entre 0 et 100 ou utilisez les flèches pour changer la valeur.</v>
      </c>
      <c r="O21" s="3" t="str" cm="1">
        <f t="array" aca="1" ref="O21" ca="1">FilterTrueColumn(errorMessagesTable[[#This Row],[index]], errorMessagesTable[index], errorMessagesTable[filteredIndex], errorMessagesTable[condition])</f>
        <v/>
      </c>
      <c r="P21" s="11" t="str" cm="1">
        <f t="array" aca="1" ref="P21"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21" s="11" t="str" cm="1">
        <f t="array" aca="1" ref="Q21" ca="1">IF(
    errorMessagesTable[[#This Row],[filteredIndex]] = "",
    "",
    IF(
      errorMessagesTable[[#This Row],[index]] = 1,
      "",
      INDEX(errorMessagesTable[concatErrors], errorMessagesTable[[#This Row],[index]]-1)
      &amp; CHAR(10) &amp; CHAR(10)
    )
    &amp; INDEX(errorMessagesTable[langSpecError], errorMessagesTable[[#This Row],[index]])
  )</f>
        <v/>
      </c>
      <c r="W21" s="186" cm="1">
        <f t="array" ref="W21">ROW()-ROW(structuredFormulaeTable[#Headers])</f>
        <v>19</v>
      </c>
      <c r="X21" s="3" t="s">
        <v>1063</v>
      </c>
      <c r="Y21" s="3" t="s">
        <v>1172</v>
      </c>
      <c r="Z21" s="3" cm="1">
        <f t="array" ref="Z21">behaviourMinScore1</f>
        <v>-5</v>
      </c>
      <c r="AA21" s="187" t="s">
        <v>1173</v>
      </c>
      <c r="AB21" s="172" t="s">
        <v>1298</v>
      </c>
      <c r="BM21" s="3">
        <f ca="1"/>
        <v>5</v>
      </c>
      <c r="BN21" s="3">
        <f ca="1"/>
        <v>15</v>
      </c>
      <c r="BO21" s="3">
        <f ca="1"/>
        <v>2</v>
      </c>
      <c r="BP21" s="3">
        <f ca="1"/>
        <v>3</v>
      </c>
      <c r="BR21" s="3">
        <f ca="1"/>
        <v>2.333333333333333</v>
      </c>
      <c r="BS21" s="3">
        <f ca="1"/>
        <v>3</v>
      </c>
      <c r="BT21" s="3">
        <f ca="1"/>
        <v>0.77777777777777768</v>
      </c>
      <c r="BU21" s="3" t="b">
        <f ca="1"/>
        <v>1</v>
      </c>
      <c r="CD21" s="3" cm="1">
        <f t="array" ref="CD21">ROW()-ROW(recommendedCutoffTable[#Headers])</f>
        <v>19</v>
      </c>
      <c r="CE21" s="192">
        <f>(recommendedCutoffTable[[#This Row],[index]] - 1) / 100</f>
        <v>0.18</v>
      </c>
      <c r="CF21" s="3" cm="1">
        <f t="array" aca="1" ref="CF21" ca="1">ABS(
    numScores
  - 2 * SUMPRODUCT((behaviourScore &lt;&gt; "") * (behaviourScore &lt; recommendedCutoffTable[[#This Row],[cutoffLevel]]))
  )</f>
        <v>242</v>
      </c>
      <c r="CM21" s="186" cm="1">
        <f t="array" ref="CM21">ROW()-ROW(factorsTable[#Headers])</f>
        <v>19</v>
      </c>
      <c r="CN21" s="186" t="str" cm="1">
        <f t="array" ref="CN21">KeepBlanksFunction(
    _xlfn.XLOOKUP(
      factorsTable[[#This Row],[index]],
      factorsConfigTable[index],
      factorsConfigTable[factorHeader],#REF!,
      0
    )
  )</f>
        <v/>
      </c>
      <c r="CO21" s="186" t="str">
        <f>IF(
    factorsTable[[#This Row],[factorHeader]] = "",
    "",
    _xlfn.IFNA(
      MATCH(factorsTable[[#This Row],[factorHeader]], dataHeaders, 0),
      _xlfn.IFNA(
        MATCH("*/" &amp; factorsTable[[#This Row],[factorHeader]], dataHeaders, 0),
        MATCH("*-" &amp; factorsTable[[#This Row],[factorHeader]], dataHeaders, 0)
      )
    )
  )</f>
        <v/>
      </c>
      <c r="CP21" s="186" t="str">
        <f>IF(
    factorsTable[[#This Row],[factorHeader]] = "",
    "",
    _xlfn.LET(
      _xlpm.tableValue,
      _xlfn.XLOOKUP(
        factorsTable[[#This Row],[index]],
        factorsConfigTable[index],
        factorsConfigTable[minScore],#REF!,
        0
      ),
      _xlpm.storedValue,
      IF(
        _xlpm.tableValue = "",
        NA(),
        _xlpm.tableValue
      ),
      _xlpm.storedValue
    )
  )</f>
        <v/>
      </c>
      <c r="CQ21" s="186" t="str">
        <f>IF(
    factorsTable[[#This Row],[factorHeader]] = "",
    "",
    _xlfn.LET(
      _xlpm.tableValue,
      _xlfn.XLOOKUP(
        factorsTable[[#This Row],[index]],
        factorsConfigTable[index],
        factorsConfigTable[maxScore],#REF!,
        0
      ),
      _xlpm.storedValue,
      IF(
        _xlpm.tableValue = "",
        NA(),
        _xlpm.tableValue
      ),
      _xlpm.storedValue
    )
  )</f>
        <v/>
      </c>
      <c r="CR21" s="186" t="str">
        <f>IF(
    factorsTable[[#This Row],[factorHeader]] = "",
    "",
    IF(
      ISERROR(factorsTable[[#This Row],[factorColNum]]),
      NA(),
      IF(
        ISNA(INDEX(dataRange,1,1)),
        NA(),
        MIN(INDEX(dataRange, , factorsTable[[#This Row],[factorColNum]]))
      )
    )
  )</f>
        <v/>
      </c>
      <c r="CS21" s="186" t="str">
        <f>IF(
    factorsTable[[#This Row],[factorHeader]] = "",
    "",
    IF(
      ISERROR(factorsTable[[#This Row],[factorColNum]]),
      NA(),
      IF(
        ISNA(INDEX(dataRange,1,1)),
        NA(),
        MAX(INDEX(dataRange, , factorsTable[[#This Row],[factorColNum]]))
      )
    )
  )</f>
        <v/>
      </c>
      <c r="CT21" s="186" t="b" cm="1">
        <f t="array" aca="1" ref="CT21" ca="1">AND(
    NOT(errorNoDataSheet),
    factorsTable[[#This Row],[factorHeader]] &lt;&gt; "",
    NOT(ISERROR(factorsTable[[#This Row],[factorColNum]])),
    IFERROR(factorsTable[[#This Row],[display]], FALSE),
    IFERROR(factorsTable[[#This Row],[minValue]] &lt; factorsTable[[#This Row],[minScore]], FALSE)
  )</f>
        <v>0</v>
      </c>
      <c r="CU21" s="186" t="b" cm="1">
        <f t="array" aca="1" ref="CU21" ca="1">AND(
    NOT(errorNoDataSheet),
    factorsTable[[#This Row],[factorHeader]] &lt;&gt; "",
    NOT(ISERROR(factorsTable[[#This Row],[factorColNum]])),
    IFERROR(factorsTable[[#This Row],[display]], FALSE),
    IFERROR(factorsTable[[#This Row],[maxValue]] &gt; factorsTable[[#This Row],[maxScore]], FALSE)
  )</f>
        <v>0</v>
      </c>
      <c r="CV21" s="186" t="str" cm="1">
        <f t="array" ref="CV21">IF(
    factorsTable[[#This Row],[factorHeader]] = "",
    "",
    IF(
      ISNA(INDEX(dataRange,1,1)),
      NA(),
      SUMPRODUCT(
          IF(isDoer = "", 0, NOT(isDoer))
        * (INDEX(dataRange, , factorsTable[[#This Row],[factorColNum]]) &lt;&gt; "")
      )
    )
  )</f>
        <v/>
      </c>
      <c r="CW21" s="186" t="str" cm="1">
        <f t="array" ref="CW21">IF(
    factorsTable[[#This Row],[factorHeader]] = "",
    "",
    IF(
      ISNA(INDEX(dataRange,1,1)),
      NA(),
      SUMPRODUCT(
          IF(isDoer = "", 0, isDoer)
        * (INDEX(dataRange, , factorsTable[[#This Row],[factorColNum]]) &lt;&gt; "")
      )
    )
  )</f>
        <v/>
      </c>
      <c r="CX21" s="186" t="str" cm="1">
        <f t="array" ref="CX21">IF(
    factorsTable[[#This Row],[factorHeader]] = "",
    "",
    IF(
      ISERROR(factorsTable[[#This Row],[factorColNum]]),
      UITranslateForValueTable("dataNotFound", UITranslationTable[tag], UITranslationTable[], UITranslationTable[#Headers]),
      factorsTable[[#This Row],[numDoers]] + factorsTable[[#This Row],[numNondoers]]
    )
  )</f>
        <v/>
      </c>
      <c r="CY21" s="186" t="str" cm="1">
        <f t="array" ref="CY2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1" s="186" t="str" cm="1">
        <f t="array" ref="CZ2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1" s="186" t="str">
        <f>IF(
    factorsTable[[#This Row],[factorHeader]] = "",
    "",
    factorsTable[[#This Row],[doers]] - factorsTable[[#This Row],[nondoers]]
  )</f>
        <v/>
      </c>
      <c r="DB21" s="186" t="str">
        <f>IF(
    factorsTable[[#This Row],[factorHeader]] = "",
    "",
    _xlfn.XLOOKUP(
      _xlfn.XLOOKUP(
        factorsTable[[#This Row],[index]],
        factorsConfigTable[index],
        factorsConfigTable[displayConfig],#REF!,
        0
      ),
      yesNoTable[label],
      yesNoTable[tag],
      "",
      0
    )
  )</f>
        <v/>
      </c>
      <c r="DC21" s="186" t="b">
        <f>IF(
    factorsTable[[#This Row],[factorHeader]] = "",
    FALSE,
    IF(
      factorsTable[[#This Row],[displayConfig]] = "yes",
      TRUE,
      IF(
        factorsTable[[#This Row],[displayConfig]] = "no",
        FALSE,
        NA()
      )
    )
  )</f>
        <v>0</v>
      </c>
      <c r="DD21" s="186" t="str" cm="1">
        <f t="array" ref="DD21">FilterTrueColumn(factorsTable[[#This Row],[index]], factorsTable[index], factorsTable[filteredIndex], factorsTable[display])</f>
        <v/>
      </c>
      <c r="DE21" s="186" t="str">
        <f>IF(
    factorsTable[[#This Row],[filteredIndex]] = "",
    "",
    _xlfn.IFNA(
      _xlfn.XLOOKUP(factorsTable[[#This Row],[filteredIndex]], factorsTable[index], factorsTable[difference]),
      -99
    )
  )</f>
        <v/>
      </c>
      <c r="DF21" s="186" t="str">
        <f>IF(
    factorsTable[[#This Row],[filteredIndex]] = "",
    "",
    IF(
      factorsTable[[#This Row],[relDiff]] = -99,
      -99,
      ABS(factorsTable[[#This Row],[relDiff]])
    )
  )</f>
        <v/>
      </c>
      <c r="DG21" s="186" t="str">
        <f>IF(
    factorsTable[[#This Row],[filteredIndex]] = "",
    "",
    _xlfn.XLOOKUP(
      _xlfn.XLOOKUP(
        factorsTable[[#This Row],[filteredIndex]],
        factorsConfigTable[index],
        factorsConfigTable[RANASBlock],#REF!,
        0
      ),
      RANASBlocksTable[label],
      RANASBlocksTable[index],
      6,
      0
    )
  )</f>
        <v/>
      </c>
      <c r="DH21" s="186" t="str">
        <f>IF(
    factorsTable[[#This Row],[filteredIndex]] = "",
    "",
    _xlfn.RANK.EQ(factorsTable[[#This Row],[relDiff]], factorsTable[relDiff], 0)
  )</f>
        <v/>
      </c>
      <c r="DI21" s="186" t="str">
        <f>IF(
    factorsTable[[#This Row],[filteredIndex]] = "",
    "",
    _xlfn.RANK.EQ(factorsTable[[#This Row],[absDiff]], factorsTable[absDiff], 0)
  )</f>
        <v/>
      </c>
      <c r="DJ21" s="186" t="str">
        <f>IF(
    factorsTable[[#This Row],[filteredIndex]] = "",
    "",
    _xlfn.RANK.EQ(factorsTable[[#This Row],[RANASIndex]], factorsTable[RANASIndex], 1)
  )</f>
        <v/>
      </c>
      <c r="DK21" s="186" t="str" cm="1">
        <f t="array" ref="DK21">_xlfn.SWITCH(
    sortingMethodTag,
    "none", factorsTable[[#This Row],[filteredIndex]],
    "relDiff", factorsTable[[#This Row],[relDiffRank]],
    "absDiff", factorsTable[[#This Row],[absDiffRank]],
    "RANAS", factorsTable[[#This Row],[RANASRank]],
    factorsTable[[#This Row],[filteredIndex]]
  )</f>
        <v/>
      </c>
      <c r="DL21" s="186" t="str">
        <f>IF(
    factorsTable[[#This Row],[filteredIndex]] = "",
    "",
    factorsTable[[#This Row],[selectedRank]]
      + COUNTIF(INDEX(factorsTable[selectedRank], 1):INDEX(factorsTable[selectedRank], factorsTable[[#This Row],[index]]), factorsTable[[#This Row],[selectedRank]])
      - 1
  )</f>
        <v/>
      </c>
      <c r="DM21" s="186" t="str">
        <f>IF(
    factorsTable[[#This Row],[filteredIndex]] = "",
    "",
    _xlfn.XLOOKUP(
      factorsTable[[#This Row],[index]],
      factorsTable[uniqueRank],
      factorsTable[filteredIndex],#REF!,
      0
    )
  )</f>
        <v/>
      </c>
      <c r="DN21" s="186" t="str" cm="1">
        <f t="array" ref="DN21">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21" s="186" t="str" cm="1">
        <f t="array" ref="DO21">IF(
    factorsTable[[#This Row],[sortedIndex]] = "",
    "",
    IF(
      factorsTable[[#This Row],[langSpecFactor]] = "",
      UITranslateForValueTable("noTranslation", UITranslationTable[tag], UITranslationTable[], UITranslationTable[#Headers]),
      factorsTable[[#This Row],[langSpecFactor]]
    )
  )</f>
        <v/>
      </c>
      <c r="DP21" s="186" t="str">
        <f>IF(
    factorsTable[[#This Row],[sortedIndex]] = "",
    "",
    _xlfn.XLOOKUP(
      _xlfn.XLOOKUP(
        factorsTable[[#This Row],[sortedIndex]],
        factorsConfigTable[index],
        factorsConfigTable[RANASBlock],#REF!,
        0
      ),
      RANASBlocksTable[label],
      RANASBlocksTable[tag],
      NA(),
      0
    )
  )</f>
        <v/>
      </c>
      <c r="DQ21" s="186" t="str" cm="1">
        <f t="array" ref="DQ21">IF(
    factorsTable[[#This Row],[sortedIndex]] = "",
    "",
    _xlfn.IFNA(
      _xlfn.XLOOKUP(factorsTable[[#This Row],[RANASTag]], RANASBlocksTable[tag], RANASBlocksTable[langSpecLabel]),
      UITranslateForValueTable("noRANASBlock", UITranslationTable[tag], UITranslationTable[], UITranslationTable[#Headers])
    )
  )</f>
        <v/>
      </c>
      <c r="DR21" s="186"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21" s="186" t="str">
        <f>IF(
    factorsTable[[#This Row],[sortedIndex]] = "",
    "",
    _xlfn.XLOOKUP(factorsTable[[#This Row],[sortedIndex]], factorsTable[index], factorsTable[numTotal])
  )</f>
        <v/>
      </c>
      <c r="DT21" s="186" t="str">
        <f>IF(
    factorsTable[[#This Row],[sortedIndex]] = "",
    "",
    _xlfn.XLOOKUP(factorsTable[[#This Row],[sortedIndex]], factorsTable[index], factorsTable[nondoers])
  )</f>
        <v/>
      </c>
      <c r="DU21" s="186" t="str">
        <f>IF(
    factorsTable[[#This Row],[sortedIndex]] = "",
    "",
    _xlfn.XLOOKUP(factorsTable[[#This Row],[sortedIndex]], factorsTable[index], factorsTable[doers])
  )</f>
        <v/>
      </c>
      <c r="DV21" s="186" t="str">
        <f>IF(
    factorsTable[[#This Row],[sortedIndex]] = "",
    "",
    _xlfn.XLOOKUP(factorsTable[[#This Row],[sortedIndex]], factorsTable[index], factorsTable[difference])
  )</f>
        <v/>
      </c>
    </row>
    <row r="22" spans="5:126" ht="14.4" customHeight="1" x14ac:dyDescent="0.3">
      <c r="E22" s="196" cm="1">
        <f t="array" ref="E22">ROW()-ROW(UITranslationTable[#Headers])</f>
        <v>20</v>
      </c>
      <c r="F22" s="11"/>
      <c r="G22" s="199"/>
      <c r="H22" s="185"/>
      <c r="J22" s="3" cm="1">
        <f t="array" ref="J22">ROW()-ROW(errorMessagesTable[#Headers])</f>
        <v>20</v>
      </c>
      <c r="K22" s="3" t="s">
        <v>1082</v>
      </c>
      <c r="L22" s="3" t="b" cm="1">
        <f t="array" aca="1" ref="L22" ca="1">errorDataSorting</f>
        <v>0</v>
      </c>
      <c r="M22" s="11" t="str" cm="1">
        <f t="array" aca="1" ref="M22" ca="1">"The value of the ""Data sorting"" parameter in the """ &amp; sheetNameAnalysis &amp; """ sheet is invalid (red cell). Please select a value from the drop-down menu for this cell."</f>
        <v>The value of the "Data sorting" parameter in the "Analysis" sheet is invalid (red cell). Please select a value from the drop-down menu for this cell.</v>
      </c>
      <c r="N22" s="11" t="str" cm="1">
        <f t="array" aca="1" ref="N22" ca="1">"La valeur du paramètre «Tri des données» sur la feuille «" &amp; sheetNameAnalysis &amp; "» n'est pas valable (cellule rouge). Veuillez sélectionner une valeur dans le menu déroulant pour cette cellule."</f>
        <v>La valeur du paramètre «Tri des données» sur la feuille «Analysis» n'est pas valable (cellule rouge). Veuillez sélectionner une valeur dans le menu déroulant pour cette cellule.</v>
      </c>
      <c r="O22" s="3" t="str" cm="1">
        <f t="array" aca="1" ref="O22" ca="1">FilterTrueColumn(errorMessagesTable[[#This Row],[index]], errorMessagesTable[index], errorMessagesTable[filteredIndex], errorMessagesTable[condition])</f>
        <v/>
      </c>
      <c r="P22" s="11" t="str" cm="1">
        <f t="array" aca="1" ref="P22" ca="1">IF(
    errorMessagesTable[[#This Row],[filteredIndex]] = "",
    "",
    IF(
      errorMessagesTable[[#This Row],[index]] = 1,
      CHAR(10),
     ""
    )
    &amp; errorMessagesTable[[#This Row],[index]] &amp; ". "
    &amp; UITranslateForValueTable(errorMessagesTable[[#This Row],[filteredIndex]], errorMessagesTable[index], errorMessagesTable[], errorMessagesTable[#Headers])
  )</f>
        <v/>
      </c>
      <c r="Q22" s="11" t="str" cm="1">
        <f t="array" aca="1" ref="Q22" ca="1">IF(
    errorMessagesTable[[#This Row],[filteredIndex]] = "",
    "",
    IF(
      errorMessagesTable[[#This Row],[index]] = 1,
      "",
      INDEX(errorMessagesTable[concatErrors], errorMessagesTable[[#This Row],[index]]-1)
      &amp; CHAR(10) &amp; CHAR(10)
    )
    &amp; INDEX(errorMessagesTable[langSpecError], errorMessagesTable[[#This Row],[index]])
  )</f>
        <v/>
      </c>
      <c r="W22" s="186" cm="1">
        <f t="array" ref="W22">ROW()-ROW(structuredFormulaeTable[#Headers])</f>
        <v>20</v>
      </c>
      <c r="X22" s="3" t="s">
        <v>1063</v>
      </c>
      <c r="Y22" s="3" t="s">
        <v>1174</v>
      </c>
      <c r="Z22" s="3" cm="1">
        <f t="array" ref="Z22">behaviourMinScore2</f>
        <v>5</v>
      </c>
      <c r="AA22" s="187" t="s">
        <v>1175</v>
      </c>
      <c r="AB22" s="172" t="s">
        <v>1299</v>
      </c>
      <c r="BM22" s="3">
        <f ca="1"/>
        <v>2.5</v>
      </c>
      <c r="BN22" s="3">
        <f ca="1"/>
        <v>10</v>
      </c>
      <c r="BO22" s="3">
        <f ca="1"/>
        <v>2</v>
      </c>
      <c r="BP22" s="3">
        <f ca="1"/>
        <v>2</v>
      </c>
      <c r="BR22" s="3">
        <f ca="1"/>
        <v>1.75</v>
      </c>
      <c r="BS22" s="3">
        <f ca="1"/>
        <v>3</v>
      </c>
      <c r="BT22" s="3">
        <f ca="1"/>
        <v>0.58333333333333337</v>
      </c>
      <c r="BU22" s="3" t="b">
        <f ca="1"/>
        <v>1</v>
      </c>
      <c r="CD22" s="3" cm="1">
        <f t="array" ref="CD22">ROW()-ROW(recommendedCutoffTable[#Headers])</f>
        <v>20</v>
      </c>
      <c r="CE22" s="192">
        <f>(recommendedCutoffTable[[#This Row],[index]] - 1) / 100</f>
        <v>0.19</v>
      </c>
      <c r="CF22" s="3" cm="1">
        <f t="array" aca="1" ref="CF22" ca="1">ABS(
    numScores
  - 2 * SUMPRODUCT((behaviourScore &lt;&gt; "") * (behaviourScore &lt; recommendedCutoffTable[[#This Row],[cutoffLevel]]))
  )</f>
        <v>242</v>
      </c>
      <c r="CM22" s="186" cm="1">
        <f t="array" ref="CM22">ROW()-ROW(factorsTable[#Headers])</f>
        <v>20</v>
      </c>
      <c r="CN22" s="186" t="str" cm="1">
        <f t="array" ref="CN22">KeepBlanksFunction(
    _xlfn.XLOOKUP(
      factorsTable[[#This Row],[index]],
      factorsConfigTable[index],
      factorsConfigTable[factorHeader],#REF!,
      0
    )
  )</f>
        <v/>
      </c>
      <c r="CO22" s="186" t="str">
        <f>IF(
    factorsTable[[#This Row],[factorHeader]] = "",
    "",
    _xlfn.IFNA(
      MATCH(factorsTable[[#This Row],[factorHeader]], dataHeaders, 0),
      _xlfn.IFNA(
        MATCH("*/" &amp; factorsTable[[#This Row],[factorHeader]], dataHeaders, 0),
        MATCH("*-" &amp; factorsTable[[#This Row],[factorHeader]], dataHeaders, 0)
      )
    )
  )</f>
        <v/>
      </c>
      <c r="CP22" s="186" t="str">
        <f>IF(
    factorsTable[[#This Row],[factorHeader]] = "",
    "",
    _xlfn.LET(
      _xlpm.tableValue,
      _xlfn.XLOOKUP(
        factorsTable[[#This Row],[index]],
        factorsConfigTable[index],
        factorsConfigTable[minScore],#REF!,
        0
      ),
      _xlpm.storedValue,
      IF(
        _xlpm.tableValue = "",
        NA(),
        _xlpm.tableValue
      ),
      _xlpm.storedValue
    )
  )</f>
        <v/>
      </c>
      <c r="CQ22" s="186" t="str">
        <f>IF(
    factorsTable[[#This Row],[factorHeader]] = "",
    "",
    _xlfn.LET(
      _xlpm.tableValue,
      _xlfn.XLOOKUP(
        factorsTable[[#This Row],[index]],
        factorsConfigTable[index],
        factorsConfigTable[maxScore],#REF!,
        0
      ),
      _xlpm.storedValue,
      IF(
        _xlpm.tableValue = "",
        NA(),
        _xlpm.tableValue
      ),
      _xlpm.storedValue
    )
  )</f>
        <v/>
      </c>
      <c r="CR22" s="186" t="str">
        <f>IF(
    factorsTable[[#This Row],[factorHeader]] = "",
    "",
    IF(
      ISERROR(factorsTable[[#This Row],[factorColNum]]),
      NA(),
      IF(
        ISNA(INDEX(dataRange,1,1)),
        NA(),
        MIN(INDEX(dataRange, , factorsTable[[#This Row],[factorColNum]]))
      )
    )
  )</f>
        <v/>
      </c>
      <c r="CS22" s="186" t="str">
        <f>IF(
    factorsTable[[#This Row],[factorHeader]] = "",
    "",
    IF(
      ISERROR(factorsTable[[#This Row],[factorColNum]]),
      NA(),
      IF(
        ISNA(INDEX(dataRange,1,1)),
        NA(),
        MAX(INDEX(dataRange, , factorsTable[[#This Row],[factorColNum]]))
      )
    )
  )</f>
        <v/>
      </c>
      <c r="CT22" s="186" t="b" cm="1">
        <f t="array" aca="1" ref="CT22" ca="1">AND(
    NOT(errorNoDataSheet),
    factorsTable[[#This Row],[factorHeader]] &lt;&gt; "",
    NOT(ISERROR(factorsTable[[#This Row],[factorColNum]])),
    IFERROR(factorsTable[[#This Row],[display]], FALSE),
    IFERROR(factorsTable[[#This Row],[minValue]] &lt; factorsTable[[#This Row],[minScore]], FALSE)
  )</f>
        <v>0</v>
      </c>
      <c r="CU22" s="186" t="b" cm="1">
        <f t="array" aca="1" ref="CU22" ca="1">AND(
    NOT(errorNoDataSheet),
    factorsTable[[#This Row],[factorHeader]] &lt;&gt; "",
    NOT(ISERROR(factorsTable[[#This Row],[factorColNum]])),
    IFERROR(factorsTable[[#This Row],[display]], FALSE),
    IFERROR(factorsTable[[#This Row],[maxValue]] &gt; factorsTable[[#This Row],[maxScore]], FALSE)
  )</f>
        <v>0</v>
      </c>
      <c r="CV22" s="186" t="str" cm="1">
        <f t="array" ref="CV22">IF(
    factorsTable[[#This Row],[factorHeader]] = "",
    "",
    IF(
      ISNA(INDEX(dataRange,1,1)),
      NA(),
      SUMPRODUCT(
          IF(isDoer = "", 0, NOT(isDoer))
        * (INDEX(dataRange, , factorsTable[[#This Row],[factorColNum]]) &lt;&gt; "")
      )
    )
  )</f>
        <v/>
      </c>
      <c r="CW22" s="186" t="str" cm="1">
        <f t="array" ref="CW22">IF(
    factorsTable[[#This Row],[factorHeader]] = "",
    "",
    IF(
      ISNA(INDEX(dataRange,1,1)),
      NA(),
      SUMPRODUCT(
          IF(isDoer = "", 0, isDoer)
        * (INDEX(dataRange, , factorsTable[[#This Row],[factorColNum]]) &lt;&gt; "")
      )
    )
  )</f>
        <v/>
      </c>
      <c r="CX22" s="186" t="str" cm="1">
        <f t="array" ref="CX22">IF(
    factorsTable[[#This Row],[factorHeader]] = "",
    "",
    IF(
      ISERROR(factorsTable[[#This Row],[factorColNum]]),
      UITranslateForValueTable("dataNotFound", UITranslationTable[tag], UITranslationTable[], UITranslationTable[#Headers]),
      factorsTable[[#This Row],[numDoers]] + factorsTable[[#This Row],[numNondoers]]
    )
  )</f>
        <v/>
      </c>
      <c r="CY22" s="186" t="str" cm="1">
        <f t="array" ref="CY22">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2" s="186" t="str" cm="1">
        <f t="array" ref="CZ22">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2" s="186" t="str">
        <f>IF(
    factorsTable[[#This Row],[factorHeader]] = "",
    "",
    factorsTable[[#This Row],[doers]] - factorsTable[[#This Row],[nondoers]]
  )</f>
        <v/>
      </c>
      <c r="DB22" s="186" t="str">
        <f>IF(
    factorsTable[[#This Row],[factorHeader]] = "",
    "",
    _xlfn.XLOOKUP(
      _xlfn.XLOOKUP(
        factorsTable[[#This Row],[index]],
        factorsConfigTable[index],
        factorsConfigTable[displayConfig],#REF!,
        0
      ),
      yesNoTable[label],
      yesNoTable[tag],
      "",
      0
    )
  )</f>
        <v/>
      </c>
      <c r="DC22" s="186" t="b">
        <f>IF(
    factorsTable[[#This Row],[factorHeader]] = "",
    FALSE,
    IF(
      factorsTable[[#This Row],[displayConfig]] = "yes",
      TRUE,
      IF(
        factorsTable[[#This Row],[displayConfig]] = "no",
        FALSE,
        NA()
      )
    )
  )</f>
        <v>0</v>
      </c>
      <c r="DD22" s="186" t="str" cm="1">
        <f t="array" ref="DD22">FilterTrueColumn(factorsTable[[#This Row],[index]], factorsTable[index], factorsTable[filteredIndex], factorsTable[display])</f>
        <v/>
      </c>
      <c r="DE22" s="186" t="str">
        <f>IF(
    factorsTable[[#This Row],[filteredIndex]] = "",
    "",
    _xlfn.IFNA(
      _xlfn.XLOOKUP(factorsTable[[#This Row],[filteredIndex]], factorsTable[index], factorsTable[difference]),
      -99
    )
  )</f>
        <v/>
      </c>
      <c r="DF22" s="186" t="str">
        <f>IF(
    factorsTable[[#This Row],[filteredIndex]] = "",
    "",
    IF(
      factorsTable[[#This Row],[relDiff]] = -99,
      -99,
      ABS(factorsTable[[#This Row],[relDiff]])
    )
  )</f>
        <v/>
      </c>
      <c r="DG22" s="186" t="str">
        <f>IF(
    factorsTable[[#This Row],[filteredIndex]] = "",
    "",
    _xlfn.XLOOKUP(
      _xlfn.XLOOKUP(
        factorsTable[[#This Row],[filteredIndex]],
        factorsConfigTable[index],
        factorsConfigTable[RANASBlock],#REF!,
        0
      ),
      RANASBlocksTable[label],
      RANASBlocksTable[index],
      6,
      0
    )
  )</f>
        <v/>
      </c>
      <c r="DH22" s="186" t="str">
        <f>IF(
    factorsTable[[#This Row],[filteredIndex]] = "",
    "",
    _xlfn.RANK.EQ(factorsTable[[#This Row],[relDiff]], factorsTable[relDiff], 0)
  )</f>
        <v/>
      </c>
      <c r="DI22" s="186" t="str">
        <f>IF(
    factorsTable[[#This Row],[filteredIndex]] = "",
    "",
    _xlfn.RANK.EQ(factorsTable[[#This Row],[absDiff]], factorsTable[absDiff], 0)
  )</f>
        <v/>
      </c>
      <c r="DJ22" s="186" t="str">
        <f>IF(
    factorsTable[[#This Row],[filteredIndex]] = "",
    "",
    _xlfn.RANK.EQ(factorsTable[[#This Row],[RANASIndex]], factorsTable[RANASIndex], 1)
  )</f>
        <v/>
      </c>
      <c r="DK22" s="186" t="str" cm="1">
        <f t="array" ref="DK22">_xlfn.SWITCH(
    sortingMethodTag,
    "none", factorsTable[[#This Row],[filteredIndex]],
    "relDiff", factorsTable[[#This Row],[relDiffRank]],
    "absDiff", factorsTable[[#This Row],[absDiffRank]],
    "RANAS", factorsTable[[#This Row],[RANASRank]],
    factorsTable[[#This Row],[filteredIndex]]
  )</f>
        <v/>
      </c>
      <c r="DL22" s="186" t="str">
        <f>IF(
    factorsTable[[#This Row],[filteredIndex]] = "",
    "",
    factorsTable[[#This Row],[selectedRank]]
      + COUNTIF(INDEX(factorsTable[selectedRank], 1):INDEX(factorsTable[selectedRank], factorsTable[[#This Row],[index]]), factorsTable[[#This Row],[selectedRank]])
      - 1
  )</f>
        <v/>
      </c>
      <c r="DM22" s="186" t="str">
        <f>IF(
    factorsTable[[#This Row],[filteredIndex]] = "",
    "",
    _xlfn.XLOOKUP(
      factorsTable[[#This Row],[index]],
      factorsTable[uniqueRank],
      factorsTable[filteredIndex],#REF!,
      0
    )
  )</f>
        <v/>
      </c>
      <c r="DN22" s="186" t="str" cm="1">
        <f t="array" ref="DN22">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22" s="186" t="str" cm="1">
        <f t="array" ref="DO22">IF(
    factorsTable[[#This Row],[sortedIndex]] = "",
    "",
    IF(
      factorsTable[[#This Row],[langSpecFactor]] = "",
      UITranslateForValueTable("noTranslation", UITranslationTable[tag], UITranslationTable[], UITranslationTable[#Headers]),
      factorsTable[[#This Row],[langSpecFactor]]
    )
  )</f>
        <v/>
      </c>
      <c r="DP22" s="186" t="str">
        <f>IF(
    factorsTable[[#This Row],[sortedIndex]] = "",
    "",
    _xlfn.XLOOKUP(
      _xlfn.XLOOKUP(
        factorsTable[[#This Row],[sortedIndex]],
        factorsConfigTable[index],
        factorsConfigTable[RANASBlock],#REF!,
        0
      ),
      RANASBlocksTable[label],
      RANASBlocksTable[tag],
      NA(),
      0
    )
  )</f>
        <v/>
      </c>
      <c r="DQ22" s="186" t="str" cm="1">
        <f t="array" ref="DQ22">IF(
    factorsTable[[#This Row],[sortedIndex]] = "",
    "",
    _xlfn.IFNA(
      _xlfn.XLOOKUP(factorsTable[[#This Row],[RANASTag]], RANASBlocksTable[tag], RANASBlocksTable[langSpecLabel]),
      UITranslateForValueTable("noRANASBlock", UITranslationTable[tag], UITranslationTable[], UITranslationTable[#Headers])
    )
  )</f>
        <v/>
      </c>
      <c r="DR22" s="186"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22" s="186" t="str">
        <f>IF(
    factorsTable[[#This Row],[sortedIndex]] = "",
    "",
    _xlfn.XLOOKUP(factorsTable[[#This Row],[sortedIndex]], factorsTable[index], factorsTable[numTotal])
  )</f>
        <v/>
      </c>
      <c r="DT22" s="186" t="str">
        <f>IF(
    factorsTable[[#This Row],[sortedIndex]] = "",
    "",
    _xlfn.XLOOKUP(factorsTable[[#This Row],[sortedIndex]], factorsTable[index], factorsTable[nondoers])
  )</f>
        <v/>
      </c>
      <c r="DU22" s="186" t="str">
        <f>IF(
    factorsTable[[#This Row],[sortedIndex]] = "",
    "",
    _xlfn.XLOOKUP(factorsTable[[#This Row],[sortedIndex]], factorsTable[index], factorsTable[doers])
  )</f>
        <v/>
      </c>
      <c r="DV22" s="186" t="str">
        <f>IF(
    factorsTable[[#This Row],[sortedIndex]] = "",
    "",
    _xlfn.XLOOKUP(factorsTable[[#This Row],[sortedIndex]], factorsTable[index], factorsTable[difference])
  )</f>
        <v/>
      </c>
    </row>
    <row r="23" spans="5:126" ht="14.4" customHeight="1" x14ac:dyDescent="0.3">
      <c r="E23" s="196" cm="1">
        <f t="array" ref="E23">ROW()-ROW(UITranslationTable[#Headers])</f>
        <v>21</v>
      </c>
      <c r="F23" s="11" t="s">
        <v>808</v>
      </c>
      <c r="G23" s="185" t="str">
        <f>"1." &amp; CHAR(160) &amp; "Data import"</f>
        <v>1. Data import</v>
      </c>
      <c r="H23" s="185" t="str">
        <f>"1." &amp; CHAR(160) &amp; "Importation des données"</f>
        <v>1. Importation des données</v>
      </c>
      <c r="W23" s="186" cm="1">
        <f t="array" ref="W23">ROW()-ROW(structuredFormulaeTable[#Headers])</f>
        <v>21</v>
      </c>
      <c r="X23" s="3" t="s">
        <v>1063</v>
      </c>
      <c r="Y23" s="3" t="s">
        <v>1176</v>
      </c>
      <c r="Z23" s="3" cm="1">
        <f t="array" ref="Z23">behaviourMinScore3</f>
        <v>0</v>
      </c>
      <c r="AA23" s="187" t="s">
        <v>1177</v>
      </c>
      <c r="AB23" s="172" t="s">
        <v>1300</v>
      </c>
      <c r="BM23" s="3">
        <f ca="1"/>
        <v>5</v>
      </c>
      <c r="BN23" s="3">
        <f ca="1"/>
        <v>10</v>
      </c>
      <c r="BO23" s="3">
        <f ca="1"/>
        <v>1</v>
      </c>
      <c r="BP23" s="3">
        <f ca="1"/>
        <v>2</v>
      </c>
      <c r="BR23" s="3">
        <f ca="1"/>
        <v>1.6666666666666665</v>
      </c>
      <c r="BS23" s="3">
        <f ca="1"/>
        <v>3</v>
      </c>
      <c r="BT23" s="3">
        <f ca="1"/>
        <v>0.55555555555555547</v>
      </c>
      <c r="BU23" s="3" t="b">
        <f ca="1"/>
        <v>0</v>
      </c>
      <c r="CD23" s="3" cm="1">
        <f t="array" ref="CD23">ROW()-ROW(recommendedCutoffTable[#Headers])</f>
        <v>21</v>
      </c>
      <c r="CE23" s="192">
        <f>(recommendedCutoffTable[[#This Row],[index]] - 1) / 100</f>
        <v>0.2</v>
      </c>
      <c r="CF23" s="3" cm="1">
        <f t="array" aca="1" ref="CF23" ca="1">ABS(
    numScores
  - 2 * SUMPRODUCT((behaviourScore &lt;&gt; "") * (behaviourScore &lt; recommendedCutoffTable[[#This Row],[cutoffLevel]]))
  )</f>
        <v>236</v>
      </c>
      <c r="CM23" s="186" cm="1">
        <f t="array" ref="CM23">ROW()-ROW(factorsTable[#Headers])</f>
        <v>21</v>
      </c>
      <c r="CN23" s="186" t="str" cm="1">
        <f t="array" ref="CN23">KeepBlanksFunction(
    _xlfn.XLOOKUP(
      factorsTable[[#This Row],[index]],
      factorsConfigTable[index],
      factorsConfigTable[factorHeader],#REF!,
      0
    )
  )</f>
        <v/>
      </c>
      <c r="CO23" s="186" t="str">
        <f>IF(
    factorsTable[[#This Row],[factorHeader]] = "",
    "",
    _xlfn.IFNA(
      MATCH(factorsTable[[#This Row],[factorHeader]], dataHeaders, 0),
      _xlfn.IFNA(
        MATCH("*/" &amp; factorsTable[[#This Row],[factorHeader]], dataHeaders, 0),
        MATCH("*-" &amp; factorsTable[[#This Row],[factorHeader]], dataHeaders, 0)
      )
    )
  )</f>
        <v/>
      </c>
      <c r="CP23" s="186" t="str">
        <f>IF(
    factorsTable[[#This Row],[factorHeader]] = "",
    "",
    _xlfn.LET(
      _xlpm.tableValue,
      _xlfn.XLOOKUP(
        factorsTable[[#This Row],[index]],
        factorsConfigTable[index],
        factorsConfigTable[minScore],#REF!,
        0
      ),
      _xlpm.storedValue,
      IF(
        _xlpm.tableValue = "",
        NA(),
        _xlpm.tableValue
      ),
      _xlpm.storedValue
    )
  )</f>
        <v/>
      </c>
      <c r="CQ23" s="186" t="str">
        <f>IF(
    factorsTable[[#This Row],[factorHeader]] = "",
    "",
    _xlfn.LET(
      _xlpm.tableValue,
      _xlfn.XLOOKUP(
        factorsTable[[#This Row],[index]],
        factorsConfigTable[index],
        factorsConfigTable[maxScore],#REF!,
        0
      ),
      _xlpm.storedValue,
      IF(
        _xlpm.tableValue = "",
        NA(),
        _xlpm.tableValue
      ),
      _xlpm.storedValue
    )
  )</f>
        <v/>
      </c>
      <c r="CR23" s="186" t="str">
        <f>IF(
    factorsTable[[#This Row],[factorHeader]] = "",
    "",
    IF(
      ISERROR(factorsTable[[#This Row],[factorColNum]]),
      NA(),
      IF(
        ISNA(INDEX(dataRange,1,1)),
        NA(),
        MIN(INDEX(dataRange, , factorsTable[[#This Row],[factorColNum]]))
      )
    )
  )</f>
        <v/>
      </c>
      <c r="CS23" s="186" t="str">
        <f>IF(
    factorsTable[[#This Row],[factorHeader]] = "",
    "",
    IF(
      ISERROR(factorsTable[[#This Row],[factorColNum]]),
      NA(),
      IF(
        ISNA(INDEX(dataRange,1,1)),
        NA(),
        MAX(INDEX(dataRange, , factorsTable[[#This Row],[factorColNum]]))
      )
    )
  )</f>
        <v/>
      </c>
      <c r="CT23" s="186" t="b" cm="1">
        <f t="array" aca="1" ref="CT23" ca="1">AND(
    NOT(errorNoDataSheet),
    factorsTable[[#This Row],[factorHeader]] &lt;&gt; "",
    NOT(ISERROR(factorsTable[[#This Row],[factorColNum]])),
    IFERROR(factorsTable[[#This Row],[display]], FALSE),
    IFERROR(factorsTable[[#This Row],[minValue]] &lt; factorsTable[[#This Row],[minScore]], FALSE)
  )</f>
        <v>0</v>
      </c>
      <c r="CU23" s="186" t="b" cm="1">
        <f t="array" aca="1" ref="CU23" ca="1">AND(
    NOT(errorNoDataSheet),
    factorsTable[[#This Row],[factorHeader]] &lt;&gt; "",
    NOT(ISERROR(factorsTable[[#This Row],[factorColNum]])),
    IFERROR(factorsTable[[#This Row],[display]], FALSE),
    IFERROR(factorsTable[[#This Row],[maxValue]] &gt; factorsTable[[#This Row],[maxScore]], FALSE)
  )</f>
        <v>0</v>
      </c>
      <c r="CV23" s="186" t="str" cm="1">
        <f t="array" ref="CV23">IF(
    factorsTable[[#This Row],[factorHeader]] = "",
    "",
    IF(
      ISNA(INDEX(dataRange,1,1)),
      NA(),
      SUMPRODUCT(
          IF(isDoer = "", 0, NOT(isDoer))
        * (INDEX(dataRange, , factorsTable[[#This Row],[factorColNum]]) &lt;&gt; "")
      )
    )
  )</f>
        <v/>
      </c>
      <c r="CW23" s="186" t="str" cm="1">
        <f t="array" ref="CW23">IF(
    factorsTable[[#This Row],[factorHeader]] = "",
    "",
    IF(
      ISNA(INDEX(dataRange,1,1)),
      NA(),
      SUMPRODUCT(
          IF(isDoer = "", 0, isDoer)
        * (INDEX(dataRange, , factorsTable[[#This Row],[factorColNum]]) &lt;&gt; "")
      )
    )
  )</f>
        <v/>
      </c>
      <c r="CX23" s="186" t="str" cm="1">
        <f t="array" ref="CX23">IF(
    factorsTable[[#This Row],[factorHeader]] = "",
    "",
    IF(
      ISERROR(factorsTable[[#This Row],[factorColNum]]),
      UITranslateForValueTable("dataNotFound", UITranslationTable[tag], UITranslationTable[], UITranslationTable[#Headers]),
      factorsTable[[#This Row],[numDoers]] + factorsTable[[#This Row],[numNondoers]]
    )
  )</f>
        <v/>
      </c>
      <c r="CY23" s="186" t="str" cm="1">
        <f t="array" ref="CY23">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3" s="186" t="str" cm="1">
        <f t="array" ref="CZ23">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3" s="186" t="str">
        <f>IF(
    factorsTable[[#This Row],[factorHeader]] = "",
    "",
    factorsTable[[#This Row],[doers]] - factorsTable[[#This Row],[nondoers]]
  )</f>
        <v/>
      </c>
      <c r="DB23" s="186" t="str">
        <f>IF(
    factorsTable[[#This Row],[factorHeader]] = "",
    "",
    _xlfn.XLOOKUP(
      _xlfn.XLOOKUP(
        factorsTable[[#This Row],[index]],
        factorsConfigTable[index],
        factorsConfigTable[displayConfig],#REF!,
        0
      ),
      yesNoTable[label],
      yesNoTable[tag],
      "",
      0
    )
  )</f>
        <v/>
      </c>
      <c r="DC23" s="186" t="b">
        <f>IF(
    factorsTable[[#This Row],[factorHeader]] = "",
    FALSE,
    IF(
      factorsTable[[#This Row],[displayConfig]] = "yes",
      TRUE,
      IF(
        factorsTable[[#This Row],[displayConfig]] = "no",
        FALSE,
        NA()
      )
    )
  )</f>
        <v>0</v>
      </c>
      <c r="DD23" s="186" t="str" cm="1">
        <f t="array" ref="DD23">FilterTrueColumn(factorsTable[[#This Row],[index]], factorsTable[index], factorsTable[filteredIndex], factorsTable[display])</f>
        <v/>
      </c>
      <c r="DE23" s="186" t="str">
        <f>IF(
    factorsTable[[#This Row],[filteredIndex]] = "",
    "",
    _xlfn.IFNA(
      _xlfn.XLOOKUP(factorsTable[[#This Row],[filteredIndex]], factorsTable[index], factorsTable[difference]),
      -99
    )
  )</f>
        <v/>
      </c>
      <c r="DF23" s="186" t="str">
        <f>IF(
    factorsTable[[#This Row],[filteredIndex]] = "",
    "",
    IF(
      factorsTable[[#This Row],[relDiff]] = -99,
      -99,
      ABS(factorsTable[[#This Row],[relDiff]])
    )
  )</f>
        <v/>
      </c>
      <c r="DG23" s="186" t="str">
        <f>IF(
    factorsTable[[#This Row],[filteredIndex]] = "",
    "",
    _xlfn.XLOOKUP(
      _xlfn.XLOOKUP(
        factorsTable[[#This Row],[filteredIndex]],
        factorsConfigTable[index],
        factorsConfigTable[RANASBlock],#REF!,
        0
      ),
      RANASBlocksTable[label],
      RANASBlocksTable[index],
      6,
      0
    )
  )</f>
        <v/>
      </c>
      <c r="DH23" s="186" t="str">
        <f>IF(
    factorsTable[[#This Row],[filteredIndex]] = "",
    "",
    _xlfn.RANK.EQ(factorsTable[[#This Row],[relDiff]], factorsTable[relDiff], 0)
  )</f>
        <v/>
      </c>
      <c r="DI23" s="186" t="str">
        <f>IF(
    factorsTable[[#This Row],[filteredIndex]] = "",
    "",
    _xlfn.RANK.EQ(factorsTable[[#This Row],[absDiff]], factorsTable[absDiff], 0)
  )</f>
        <v/>
      </c>
      <c r="DJ23" s="186" t="str">
        <f>IF(
    factorsTable[[#This Row],[filteredIndex]] = "",
    "",
    _xlfn.RANK.EQ(factorsTable[[#This Row],[RANASIndex]], factorsTable[RANASIndex], 1)
  )</f>
        <v/>
      </c>
      <c r="DK23" s="186" t="str" cm="1">
        <f t="array" ref="DK23">_xlfn.SWITCH(
    sortingMethodTag,
    "none", factorsTable[[#This Row],[filteredIndex]],
    "relDiff", factorsTable[[#This Row],[relDiffRank]],
    "absDiff", factorsTable[[#This Row],[absDiffRank]],
    "RANAS", factorsTable[[#This Row],[RANASRank]],
    factorsTable[[#This Row],[filteredIndex]]
  )</f>
        <v/>
      </c>
      <c r="DL23" s="186" t="str">
        <f>IF(
    factorsTable[[#This Row],[filteredIndex]] = "",
    "",
    factorsTable[[#This Row],[selectedRank]]
      + COUNTIF(INDEX(factorsTable[selectedRank], 1):INDEX(factorsTable[selectedRank], factorsTable[[#This Row],[index]]), factorsTable[[#This Row],[selectedRank]])
      - 1
  )</f>
        <v/>
      </c>
      <c r="DM23" s="186" t="str">
        <f>IF(
    factorsTable[[#This Row],[filteredIndex]] = "",
    "",
    _xlfn.XLOOKUP(
      factorsTable[[#This Row],[index]],
      factorsTable[uniqueRank],
      factorsTable[filteredIndex],#REF!,
      0
    )
  )</f>
        <v/>
      </c>
      <c r="DN23" s="186" t="str" cm="1">
        <f t="array" ref="DN23">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23" s="186" t="str" cm="1">
        <f t="array" ref="DO23">IF(
    factorsTable[[#This Row],[sortedIndex]] = "",
    "",
    IF(
      factorsTable[[#This Row],[langSpecFactor]] = "",
      UITranslateForValueTable("noTranslation", UITranslationTable[tag], UITranslationTable[], UITranslationTable[#Headers]),
      factorsTable[[#This Row],[langSpecFactor]]
    )
  )</f>
        <v/>
      </c>
      <c r="DP23" s="186" t="str">
        <f>IF(
    factorsTable[[#This Row],[sortedIndex]] = "",
    "",
    _xlfn.XLOOKUP(
      _xlfn.XLOOKUP(
        factorsTable[[#This Row],[sortedIndex]],
        factorsConfigTable[index],
        factorsConfigTable[RANASBlock],#REF!,
        0
      ),
      RANASBlocksTable[label],
      RANASBlocksTable[tag],
      NA(),
      0
    )
  )</f>
        <v/>
      </c>
      <c r="DQ23" s="186" t="str" cm="1">
        <f t="array" ref="DQ23">IF(
    factorsTable[[#This Row],[sortedIndex]] = "",
    "",
    _xlfn.IFNA(
      _xlfn.XLOOKUP(factorsTable[[#This Row],[RANASTag]], RANASBlocksTable[tag], RANASBlocksTable[langSpecLabel]),
      UITranslateForValueTable("noRANASBlock", UITranslationTable[tag], UITranslationTable[], UITranslationTable[#Headers])
    )
  )</f>
        <v/>
      </c>
      <c r="DR23" s="186"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23" s="186" t="str">
        <f>IF(
    factorsTable[[#This Row],[sortedIndex]] = "",
    "",
    _xlfn.XLOOKUP(factorsTable[[#This Row],[sortedIndex]], factorsTable[index], factorsTable[numTotal])
  )</f>
        <v/>
      </c>
      <c r="DT23" s="186" t="str">
        <f>IF(
    factorsTable[[#This Row],[sortedIndex]] = "",
    "",
    _xlfn.XLOOKUP(factorsTable[[#This Row],[sortedIndex]], factorsTable[index], factorsTable[nondoers])
  )</f>
        <v/>
      </c>
      <c r="DU23" s="186" t="str">
        <f>IF(
    factorsTable[[#This Row],[sortedIndex]] = "",
    "",
    _xlfn.XLOOKUP(factorsTable[[#This Row],[sortedIndex]], factorsTable[index], factorsTable[doers])
  )</f>
        <v/>
      </c>
      <c r="DV23" s="186" t="str">
        <f>IF(
    factorsTable[[#This Row],[sortedIndex]] = "",
    "",
    _xlfn.XLOOKUP(factorsTable[[#This Row],[sortedIndex]], factorsTable[index], factorsTable[difference])
  )</f>
        <v/>
      </c>
    </row>
    <row r="24" spans="5:126" ht="14.4" customHeight="1" x14ac:dyDescent="0.3">
      <c r="E24" s="196" cm="1">
        <f t="array" ref="E24">ROW()-ROW(UITranslationTable[#Headers])</f>
        <v>22</v>
      </c>
      <c r="F24" s="11" t="s">
        <v>809</v>
      </c>
      <c r="G24" s="185" t="str">
        <f>"First, you must export your survey data as an XLS or CSV file from your survey management platform, making sure before exporting that:" &amp; CHAR(10) &amp; CHAR(10)
&amp; "- On KoboToolbox, you SELECT the format ""XML values and headers"" and you DESELECT ""Include groups in headers"" under ""Advanced options""." &amp; CHAR(10)
&amp; "- On ODK Central, you SELECT ""Remove group names""."</f>
        <v>First, you must export your survey data as an XLS or CSV file from your survey management platform, making sure before exporting that:
- On KoboToolbox, you SELECT the format "XML values and headers" and you DESELECT "Include groups in headers" under "Advanced options".
- On ODK Central, you SELECT "Remove group names".</v>
      </c>
      <c r="H24" s="185" t="str">
        <f>"D'abord, vous devez exporter les données de votre enquête comme fichier XLS ou CSV depuis votre plateforme de gestion d'enquêtes, en vous assurant avant d'exporter que:" &amp; CHAR(10) &amp; CHAR(10)
&amp; "- Sur KoboToolbox, vous SÉLECTIONNEZ le format  «Valeurs et en-têtes XML» et vous DÉSÉLECTIONNEZ  «Inclure les groupes dans les en-têtes» sous «Advanced options»." &amp; CHAR(10)
&amp; "- Sur ODK Central, vous SÉLECTIONNEZ  «Supprimer les noms de groupe»."</f>
        <v>D'abord, vous devez exporter les données de votre enquête comme fichier XLS ou CSV depuis votre plateforme de gestion d'enquêtes, en vous assurant avant d'exporter que:
- Sur KoboToolbox, vous SÉLECTIONNEZ le format  «Valeurs et en-têtes XML» et vous DÉSÉLECTIONNEZ  «Inclure les groupes dans les en-têtes» sous «Advanced options».
- Sur ODK Central, vous SÉLECTIONNEZ  «Supprimer les noms de groupe».</v>
      </c>
      <c r="W24" s="186" cm="1">
        <f t="array" ref="W24">ROW()-ROW(structuredFormulaeTable[#Headers])</f>
        <v>22</v>
      </c>
      <c r="X24" s="3" t="s">
        <v>1063</v>
      </c>
      <c r="Y24" s="3" t="s">
        <v>1178</v>
      </c>
      <c r="Z24" s="3" cm="1">
        <f t="array" ref="Z24">behaviourMinScore4</f>
        <v>1</v>
      </c>
      <c r="AA24" s="187" t="s">
        <v>1179</v>
      </c>
      <c r="AB24" s="172" t="s">
        <v>1301</v>
      </c>
      <c r="BM24" s="3">
        <f ca="1"/>
        <v>5</v>
      </c>
      <c r="BN24" s="3">
        <f ca="1"/>
        <v>10</v>
      </c>
      <c r="BO24" s="3">
        <f ca="1"/>
        <v>2</v>
      </c>
      <c r="BP24" s="3">
        <f ca="1"/>
        <v>3</v>
      </c>
      <c r="BR24" s="3">
        <f ca="1"/>
        <v>2</v>
      </c>
      <c r="BS24" s="3">
        <f ca="1"/>
        <v>3</v>
      </c>
      <c r="BT24" s="3">
        <f ca="1"/>
        <v>0.66666666666666663</v>
      </c>
      <c r="BU24" s="3" t="b">
        <f ca="1"/>
        <v>1</v>
      </c>
      <c r="CD24" s="3" cm="1">
        <f t="array" ref="CD24">ROW()-ROW(recommendedCutoffTable[#Headers])</f>
        <v>22</v>
      </c>
      <c r="CE24" s="192">
        <f>(recommendedCutoffTable[[#This Row],[index]] - 1) / 100</f>
        <v>0.21</v>
      </c>
      <c r="CF24" s="3" cm="1">
        <f t="array" aca="1" ref="CF24" ca="1">ABS(
    numScores
  - 2 * SUMPRODUCT((behaviourScore &lt;&gt; "") * (behaviourScore &lt; recommendedCutoffTable[[#This Row],[cutoffLevel]]))
  )</f>
        <v>236</v>
      </c>
      <c r="CM24" s="186" cm="1">
        <f t="array" ref="CM24">ROW()-ROW(factorsTable[#Headers])</f>
        <v>22</v>
      </c>
      <c r="CN24" s="186" t="str" cm="1">
        <f t="array" ref="CN24">KeepBlanksFunction(
    _xlfn.XLOOKUP(
      factorsTable[[#This Row],[index]],
      factorsConfigTable[index],
      factorsConfigTable[factorHeader],#REF!,
      0
    )
  )</f>
        <v/>
      </c>
      <c r="CO24" s="186" t="str">
        <f>IF(
    factorsTable[[#This Row],[factorHeader]] = "",
    "",
    _xlfn.IFNA(
      MATCH(factorsTable[[#This Row],[factorHeader]], dataHeaders, 0),
      _xlfn.IFNA(
        MATCH("*/" &amp; factorsTable[[#This Row],[factorHeader]], dataHeaders, 0),
        MATCH("*-" &amp; factorsTable[[#This Row],[factorHeader]], dataHeaders, 0)
      )
    )
  )</f>
        <v/>
      </c>
      <c r="CP24" s="186" t="str">
        <f>IF(
    factorsTable[[#This Row],[factorHeader]] = "",
    "",
    _xlfn.LET(
      _xlpm.tableValue,
      _xlfn.XLOOKUP(
        factorsTable[[#This Row],[index]],
        factorsConfigTable[index],
        factorsConfigTable[minScore],#REF!,
        0
      ),
      _xlpm.storedValue,
      IF(
        _xlpm.tableValue = "",
        NA(),
        _xlpm.tableValue
      ),
      _xlpm.storedValue
    )
  )</f>
        <v/>
      </c>
      <c r="CQ24" s="186" t="str">
        <f>IF(
    factorsTable[[#This Row],[factorHeader]] = "",
    "",
    _xlfn.LET(
      _xlpm.tableValue,
      _xlfn.XLOOKUP(
        factorsTable[[#This Row],[index]],
        factorsConfigTable[index],
        factorsConfigTable[maxScore],#REF!,
        0
      ),
      _xlpm.storedValue,
      IF(
        _xlpm.tableValue = "",
        NA(),
        _xlpm.tableValue
      ),
      _xlpm.storedValue
    )
  )</f>
        <v/>
      </c>
      <c r="CR24" s="186" t="str">
        <f>IF(
    factorsTable[[#This Row],[factorHeader]] = "",
    "",
    IF(
      ISERROR(factorsTable[[#This Row],[factorColNum]]),
      NA(),
      IF(
        ISNA(INDEX(dataRange,1,1)),
        NA(),
        MIN(INDEX(dataRange, , factorsTable[[#This Row],[factorColNum]]))
      )
    )
  )</f>
        <v/>
      </c>
      <c r="CS24" s="186" t="str">
        <f>IF(
    factorsTable[[#This Row],[factorHeader]] = "",
    "",
    IF(
      ISERROR(factorsTable[[#This Row],[factorColNum]]),
      NA(),
      IF(
        ISNA(INDEX(dataRange,1,1)),
        NA(),
        MAX(INDEX(dataRange, , factorsTable[[#This Row],[factorColNum]]))
      )
    )
  )</f>
        <v/>
      </c>
      <c r="CT24" s="186" t="b" cm="1">
        <f t="array" aca="1" ref="CT24" ca="1">AND(
    NOT(errorNoDataSheet),
    factorsTable[[#This Row],[factorHeader]] &lt;&gt; "",
    NOT(ISERROR(factorsTable[[#This Row],[factorColNum]])),
    IFERROR(factorsTable[[#This Row],[display]], FALSE),
    IFERROR(factorsTable[[#This Row],[minValue]] &lt; factorsTable[[#This Row],[minScore]], FALSE)
  )</f>
        <v>0</v>
      </c>
      <c r="CU24" s="186" t="b" cm="1">
        <f t="array" aca="1" ref="CU24" ca="1">AND(
    NOT(errorNoDataSheet),
    factorsTable[[#This Row],[factorHeader]] &lt;&gt; "",
    NOT(ISERROR(factorsTable[[#This Row],[factorColNum]])),
    IFERROR(factorsTable[[#This Row],[display]], FALSE),
    IFERROR(factorsTable[[#This Row],[maxValue]] &gt; factorsTable[[#This Row],[maxScore]], FALSE)
  )</f>
        <v>0</v>
      </c>
      <c r="CV24" s="186" t="str" cm="1">
        <f t="array" ref="CV24">IF(
    factorsTable[[#This Row],[factorHeader]] = "",
    "",
    IF(
      ISNA(INDEX(dataRange,1,1)),
      NA(),
      SUMPRODUCT(
          IF(isDoer = "", 0, NOT(isDoer))
        * (INDEX(dataRange, , factorsTable[[#This Row],[factorColNum]]) &lt;&gt; "")
      )
    )
  )</f>
        <v/>
      </c>
      <c r="CW24" s="186" t="str" cm="1">
        <f t="array" ref="CW24">IF(
    factorsTable[[#This Row],[factorHeader]] = "",
    "",
    IF(
      ISNA(INDEX(dataRange,1,1)),
      NA(),
      SUMPRODUCT(
          IF(isDoer = "", 0, isDoer)
        * (INDEX(dataRange, , factorsTable[[#This Row],[factorColNum]]) &lt;&gt; "")
      )
    )
  )</f>
        <v/>
      </c>
      <c r="CX24" s="186" t="str" cm="1">
        <f t="array" ref="CX24">IF(
    factorsTable[[#This Row],[factorHeader]] = "",
    "",
    IF(
      ISERROR(factorsTable[[#This Row],[factorColNum]]),
      UITranslateForValueTable("dataNotFound", UITranslationTable[tag], UITranslationTable[], UITranslationTable[#Headers]),
      factorsTable[[#This Row],[numDoers]] + factorsTable[[#This Row],[numNondoers]]
    )
  )</f>
        <v/>
      </c>
      <c r="CY24" s="186" t="str" cm="1">
        <f t="array" ref="CY24">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4" s="186" t="str" cm="1">
        <f t="array" ref="CZ24">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4" s="186" t="str">
        <f>IF(
    factorsTable[[#This Row],[factorHeader]] = "",
    "",
    factorsTable[[#This Row],[doers]] - factorsTable[[#This Row],[nondoers]]
  )</f>
        <v/>
      </c>
      <c r="DB24" s="186" t="str">
        <f>IF(
    factorsTable[[#This Row],[factorHeader]] = "",
    "",
    _xlfn.XLOOKUP(
      _xlfn.XLOOKUP(
        factorsTable[[#This Row],[index]],
        factorsConfigTable[index],
        factorsConfigTable[displayConfig],#REF!,
        0
      ),
      yesNoTable[label],
      yesNoTable[tag],
      "",
      0
    )
  )</f>
        <v/>
      </c>
      <c r="DC24" s="186" t="b">
        <f>IF(
    factorsTable[[#This Row],[factorHeader]] = "",
    FALSE,
    IF(
      factorsTable[[#This Row],[displayConfig]] = "yes",
      TRUE,
      IF(
        factorsTable[[#This Row],[displayConfig]] = "no",
        FALSE,
        NA()
      )
    )
  )</f>
        <v>0</v>
      </c>
      <c r="DD24" s="186" t="str" cm="1">
        <f t="array" ref="DD24">FilterTrueColumn(factorsTable[[#This Row],[index]], factorsTable[index], factorsTable[filteredIndex], factorsTable[display])</f>
        <v/>
      </c>
      <c r="DE24" s="186" t="str">
        <f>IF(
    factorsTable[[#This Row],[filteredIndex]] = "",
    "",
    _xlfn.IFNA(
      _xlfn.XLOOKUP(factorsTable[[#This Row],[filteredIndex]], factorsTable[index], factorsTable[difference]),
      -99
    )
  )</f>
        <v/>
      </c>
      <c r="DF24" s="186" t="str">
        <f>IF(
    factorsTable[[#This Row],[filteredIndex]] = "",
    "",
    IF(
      factorsTable[[#This Row],[relDiff]] = -99,
      -99,
      ABS(factorsTable[[#This Row],[relDiff]])
    )
  )</f>
        <v/>
      </c>
      <c r="DG24" s="186" t="str">
        <f>IF(
    factorsTable[[#This Row],[filteredIndex]] = "",
    "",
    _xlfn.XLOOKUP(
      _xlfn.XLOOKUP(
        factorsTable[[#This Row],[filteredIndex]],
        factorsConfigTable[index],
        factorsConfigTable[RANASBlock],#REF!,
        0
      ),
      RANASBlocksTable[label],
      RANASBlocksTable[index],
      6,
      0
    )
  )</f>
        <v/>
      </c>
      <c r="DH24" s="186" t="str">
        <f>IF(
    factorsTable[[#This Row],[filteredIndex]] = "",
    "",
    _xlfn.RANK.EQ(factorsTable[[#This Row],[relDiff]], factorsTable[relDiff], 0)
  )</f>
        <v/>
      </c>
      <c r="DI24" s="186" t="str">
        <f>IF(
    factorsTable[[#This Row],[filteredIndex]] = "",
    "",
    _xlfn.RANK.EQ(factorsTable[[#This Row],[absDiff]], factorsTable[absDiff], 0)
  )</f>
        <v/>
      </c>
      <c r="DJ24" s="186" t="str">
        <f>IF(
    factorsTable[[#This Row],[filteredIndex]] = "",
    "",
    _xlfn.RANK.EQ(factorsTable[[#This Row],[RANASIndex]], factorsTable[RANASIndex], 1)
  )</f>
        <v/>
      </c>
      <c r="DK24" s="186" t="str" cm="1">
        <f t="array" ref="DK24">_xlfn.SWITCH(
    sortingMethodTag,
    "none", factorsTable[[#This Row],[filteredIndex]],
    "relDiff", factorsTable[[#This Row],[relDiffRank]],
    "absDiff", factorsTable[[#This Row],[absDiffRank]],
    "RANAS", factorsTable[[#This Row],[RANASRank]],
    factorsTable[[#This Row],[filteredIndex]]
  )</f>
        <v/>
      </c>
      <c r="DL24" s="186" t="str">
        <f>IF(
    factorsTable[[#This Row],[filteredIndex]] = "",
    "",
    factorsTable[[#This Row],[selectedRank]]
      + COUNTIF(INDEX(factorsTable[selectedRank], 1):INDEX(factorsTable[selectedRank], factorsTable[[#This Row],[index]]), factorsTable[[#This Row],[selectedRank]])
      - 1
  )</f>
        <v/>
      </c>
      <c r="DM24" s="186" t="str">
        <f>IF(
    factorsTable[[#This Row],[filteredIndex]] = "",
    "",
    _xlfn.XLOOKUP(
      factorsTable[[#This Row],[index]],
      factorsTable[uniqueRank],
      factorsTable[filteredIndex],#REF!,
      0
    )
  )</f>
        <v/>
      </c>
      <c r="DN24" s="186" t="str" cm="1">
        <f t="array" ref="DN24">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24" s="186" t="str" cm="1">
        <f t="array" ref="DO24">IF(
    factorsTable[[#This Row],[sortedIndex]] = "",
    "",
    IF(
      factorsTable[[#This Row],[langSpecFactor]] = "",
      UITranslateForValueTable("noTranslation", UITranslationTable[tag], UITranslationTable[], UITranslationTable[#Headers]),
      factorsTable[[#This Row],[langSpecFactor]]
    )
  )</f>
        <v/>
      </c>
      <c r="DP24" s="186" t="str">
        <f>IF(
    factorsTable[[#This Row],[sortedIndex]] = "",
    "",
    _xlfn.XLOOKUP(
      _xlfn.XLOOKUP(
        factorsTable[[#This Row],[sortedIndex]],
        factorsConfigTable[index],
        factorsConfigTable[RANASBlock],#REF!,
        0
      ),
      RANASBlocksTable[label],
      RANASBlocksTable[tag],
      NA(),
      0
    )
  )</f>
        <v/>
      </c>
      <c r="DQ24" s="186" t="str" cm="1">
        <f t="array" ref="DQ24">IF(
    factorsTable[[#This Row],[sortedIndex]] = "",
    "",
    _xlfn.IFNA(
      _xlfn.XLOOKUP(factorsTable[[#This Row],[RANASTag]], RANASBlocksTable[tag], RANASBlocksTable[langSpecLabel]),
      UITranslateForValueTable("noRANASBlock", UITranslationTable[tag], UITranslationTable[], UITranslationTable[#Headers])
    )
  )</f>
        <v/>
      </c>
      <c r="DR24" s="186"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24" s="186" t="str">
        <f>IF(
    factorsTable[[#This Row],[sortedIndex]] = "",
    "",
    _xlfn.XLOOKUP(factorsTable[[#This Row],[sortedIndex]], factorsTable[index], factorsTable[numTotal])
  )</f>
        <v/>
      </c>
      <c r="DT24" s="186" t="str">
        <f>IF(
    factorsTable[[#This Row],[sortedIndex]] = "",
    "",
    _xlfn.XLOOKUP(factorsTable[[#This Row],[sortedIndex]], factorsTable[index], factorsTable[nondoers])
  )</f>
        <v/>
      </c>
      <c r="DU24" s="186" t="str">
        <f>IF(
    factorsTable[[#This Row],[sortedIndex]] = "",
    "",
    _xlfn.XLOOKUP(factorsTable[[#This Row],[sortedIndex]], factorsTable[index], factorsTable[doers])
  )</f>
        <v/>
      </c>
      <c r="DV24" s="186" t="str">
        <f>IF(
    factorsTable[[#This Row],[sortedIndex]] = "",
    "",
    _xlfn.XLOOKUP(factorsTable[[#This Row],[sortedIndex]], factorsTable[index], factorsTable[difference])
  )</f>
        <v/>
      </c>
    </row>
    <row r="25" spans="5:126" ht="14.4" customHeight="1" x14ac:dyDescent="0.3">
      <c r="E25" s="196" cm="1">
        <f t="array" ref="E25">ROW()-ROW(UITranslationTable[#Headers])</f>
        <v>23</v>
      </c>
      <c r="F25" s="11" t="s">
        <v>810</v>
      </c>
      <c r="G25" s="197" t="str" cm="1">
        <f t="array" ref="G25">"Then, you must copy this data file as a new spreadsheet in this Excel workbook and rename this new sheet """ &amp; sheetNameData &amp; """ (without the quotes)."</f>
        <v>Then, you must copy this data file as a new spreadsheet in this Excel workbook and rename this new sheet "data" (without the quotes).</v>
      </c>
      <c r="H25" s="197" t="str" cm="1">
        <f t="array" ref="H25">"Ensuite, copiez ce fichier de données comme nouvelle feuille dans ce classeur Excel et renommez cette nouvelle feuille «" &amp; sheetNameData &amp; "» (sans les guillemets)."</f>
        <v>Ensuite, copiez ce fichier de données comme nouvelle feuille dans ce classeur Excel et renommez cette nouvelle feuille «data» (sans les guillemets).</v>
      </c>
      <c r="W25" s="186" cm="1">
        <f t="array" ref="W25">ROW()-ROW(structuredFormulaeTable[#Headers])</f>
        <v>23</v>
      </c>
      <c r="X25" s="3" t="s">
        <v>1063</v>
      </c>
      <c r="Y25" s="3" t="s">
        <v>1180</v>
      </c>
      <c r="Z25" s="3" t="str" cm="1">
        <f t="array" ref="Z25">behaviourMinScore5</f>
        <v/>
      </c>
      <c r="AA25" s="187" t="s">
        <v>1181</v>
      </c>
      <c r="AB25" s="172" t="s">
        <v>1302</v>
      </c>
      <c r="BM25" s="3">
        <f ca="1"/>
        <v>2.5</v>
      </c>
      <c r="BN25" s="3">
        <f ca="1"/>
        <v>10</v>
      </c>
      <c r="BO25" s="3">
        <f ca="1"/>
        <v>1</v>
      </c>
      <c r="BP25" s="3">
        <f ca="1"/>
        <v>2</v>
      </c>
      <c r="BR25" s="3">
        <f ca="1"/>
        <v>1.4166666666666665</v>
      </c>
      <c r="BS25" s="3">
        <f ca="1"/>
        <v>3</v>
      </c>
      <c r="BT25" s="3">
        <f ca="1"/>
        <v>0.47222222222222215</v>
      </c>
      <c r="BU25" s="3" t="b">
        <f ca="1"/>
        <v>0</v>
      </c>
      <c r="CD25" s="3" cm="1">
        <f t="array" ref="CD25">ROW()-ROW(recommendedCutoffTable[#Headers])</f>
        <v>23</v>
      </c>
      <c r="CE25" s="192">
        <f>(recommendedCutoffTable[[#This Row],[index]] - 1) / 100</f>
        <v>0.22</v>
      </c>
      <c r="CF25" s="3" cm="1">
        <f t="array" aca="1" ref="CF25" ca="1">ABS(
    numScores
  - 2 * SUMPRODUCT((behaviourScore &lt;&gt; "") * (behaviourScore &lt; recommendedCutoffTable[[#This Row],[cutoffLevel]]))
  )</f>
        <v>236</v>
      </c>
      <c r="CM25" s="186" cm="1">
        <f t="array" ref="CM25">ROW()-ROW(factorsTable[#Headers])</f>
        <v>23</v>
      </c>
      <c r="CN25" s="186" t="str" cm="1">
        <f t="array" ref="CN25">KeepBlanksFunction(
    _xlfn.XLOOKUP(
      factorsTable[[#This Row],[index]],
      factorsConfigTable[index],
      factorsConfigTable[factorHeader],#REF!,
      0
    )
  )</f>
        <v/>
      </c>
      <c r="CO25" s="186" t="str">
        <f>IF(
    factorsTable[[#This Row],[factorHeader]] = "",
    "",
    _xlfn.IFNA(
      MATCH(factorsTable[[#This Row],[factorHeader]], dataHeaders, 0),
      _xlfn.IFNA(
        MATCH("*/" &amp; factorsTable[[#This Row],[factorHeader]], dataHeaders, 0),
        MATCH("*-" &amp; factorsTable[[#This Row],[factorHeader]], dataHeaders, 0)
      )
    )
  )</f>
        <v/>
      </c>
      <c r="CP25" s="186" t="str">
        <f>IF(
    factorsTable[[#This Row],[factorHeader]] = "",
    "",
    _xlfn.LET(
      _xlpm.tableValue,
      _xlfn.XLOOKUP(
        factorsTable[[#This Row],[index]],
        factorsConfigTable[index],
        factorsConfigTable[minScore],#REF!,
        0
      ),
      _xlpm.storedValue,
      IF(
        _xlpm.tableValue = "",
        NA(),
        _xlpm.tableValue
      ),
      _xlpm.storedValue
    )
  )</f>
        <v/>
      </c>
      <c r="CQ25" s="186" t="str">
        <f>IF(
    factorsTable[[#This Row],[factorHeader]] = "",
    "",
    _xlfn.LET(
      _xlpm.tableValue,
      _xlfn.XLOOKUP(
        factorsTable[[#This Row],[index]],
        factorsConfigTable[index],
        factorsConfigTable[maxScore],#REF!,
        0
      ),
      _xlpm.storedValue,
      IF(
        _xlpm.tableValue = "",
        NA(),
        _xlpm.tableValue
      ),
      _xlpm.storedValue
    )
  )</f>
        <v/>
      </c>
      <c r="CR25" s="186" t="str">
        <f>IF(
    factorsTable[[#This Row],[factorHeader]] = "",
    "",
    IF(
      ISERROR(factorsTable[[#This Row],[factorColNum]]),
      NA(),
      IF(
        ISNA(INDEX(dataRange,1,1)),
        NA(),
        MIN(INDEX(dataRange, , factorsTable[[#This Row],[factorColNum]]))
      )
    )
  )</f>
        <v/>
      </c>
      <c r="CS25" s="186" t="str">
        <f>IF(
    factorsTable[[#This Row],[factorHeader]] = "",
    "",
    IF(
      ISERROR(factorsTable[[#This Row],[factorColNum]]),
      NA(),
      IF(
        ISNA(INDEX(dataRange,1,1)),
        NA(),
        MAX(INDEX(dataRange, , factorsTable[[#This Row],[factorColNum]]))
      )
    )
  )</f>
        <v/>
      </c>
      <c r="CT25" s="186" t="b" cm="1">
        <f t="array" aca="1" ref="CT25" ca="1">AND(
    NOT(errorNoDataSheet),
    factorsTable[[#This Row],[factorHeader]] &lt;&gt; "",
    NOT(ISERROR(factorsTable[[#This Row],[factorColNum]])),
    IFERROR(factorsTable[[#This Row],[display]], FALSE),
    IFERROR(factorsTable[[#This Row],[minValue]] &lt; factorsTable[[#This Row],[minScore]], FALSE)
  )</f>
        <v>0</v>
      </c>
      <c r="CU25" s="186" t="b" cm="1">
        <f t="array" aca="1" ref="CU25" ca="1">AND(
    NOT(errorNoDataSheet),
    factorsTable[[#This Row],[factorHeader]] &lt;&gt; "",
    NOT(ISERROR(factorsTable[[#This Row],[factorColNum]])),
    IFERROR(factorsTable[[#This Row],[display]], FALSE),
    IFERROR(factorsTable[[#This Row],[maxValue]] &gt; factorsTable[[#This Row],[maxScore]], FALSE)
  )</f>
        <v>0</v>
      </c>
      <c r="CV25" s="186" t="str" cm="1">
        <f t="array" ref="CV25">IF(
    factorsTable[[#This Row],[factorHeader]] = "",
    "",
    IF(
      ISNA(INDEX(dataRange,1,1)),
      NA(),
      SUMPRODUCT(
          IF(isDoer = "", 0, NOT(isDoer))
        * (INDEX(dataRange, , factorsTable[[#This Row],[factorColNum]]) &lt;&gt; "")
      )
    )
  )</f>
        <v/>
      </c>
      <c r="CW25" s="186" t="str" cm="1">
        <f t="array" ref="CW25">IF(
    factorsTable[[#This Row],[factorHeader]] = "",
    "",
    IF(
      ISNA(INDEX(dataRange,1,1)),
      NA(),
      SUMPRODUCT(
          IF(isDoer = "", 0, isDoer)
        * (INDEX(dataRange, , factorsTable[[#This Row],[factorColNum]]) &lt;&gt; "")
      )
    )
  )</f>
        <v/>
      </c>
      <c r="CX25" s="186" t="str" cm="1">
        <f t="array" ref="CX25">IF(
    factorsTable[[#This Row],[factorHeader]] = "",
    "",
    IF(
      ISERROR(factorsTable[[#This Row],[factorColNum]]),
      UITranslateForValueTable("dataNotFound", UITranslationTable[tag], UITranslationTable[], UITranslationTable[#Headers]),
      factorsTable[[#This Row],[numDoers]] + factorsTable[[#This Row],[numNondoers]]
    )
  )</f>
        <v/>
      </c>
      <c r="CY25" s="186" t="str" cm="1">
        <f t="array" ref="CY25">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5" s="186" t="str" cm="1">
        <f t="array" ref="CZ25">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5" s="186" t="str">
        <f>IF(
    factorsTable[[#This Row],[factorHeader]] = "",
    "",
    factorsTable[[#This Row],[doers]] - factorsTable[[#This Row],[nondoers]]
  )</f>
        <v/>
      </c>
      <c r="DB25" s="186" t="str">
        <f>IF(
    factorsTable[[#This Row],[factorHeader]] = "",
    "",
    _xlfn.XLOOKUP(
      _xlfn.XLOOKUP(
        factorsTable[[#This Row],[index]],
        factorsConfigTable[index],
        factorsConfigTable[displayConfig],#REF!,
        0
      ),
      yesNoTable[label],
      yesNoTable[tag],
      "",
      0
    )
  )</f>
        <v/>
      </c>
      <c r="DC25" s="186" t="b">
        <f>IF(
    factorsTable[[#This Row],[factorHeader]] = "",
    FALSE,
    IF(
      factorsTable[[#This Row],[displayConfig]] = "yes",
      TRUE,
      IF(
        factorsTable[[#This Row],[displayConfig]] = "no",
        FALSE,
        NA()
      )
    )
  )</f>
        <v>0</v>
      </c>
      <c r="DD25" s="186" t="str" cm="1">
        <f t="array" ref="DD25">FilterTrueColumn(factorsTable[[#This Row],[index]], factorsTable[index], factorsTable[filteredIndex], factorsTable[display])</f>
        <v/>
      </c>
      <c r="DE25" s="186" t="str">
        <f>IF(
    factorsTable[[#This Row],[filteredIndex]] = "",
    "",
    _xlfn.IFNA(
      _xlfn.XLOOKUP(factorsTable[[#This Row],[filteredIndex]], factorsTable[index], factorsTable[difference]),
      -99
    )
  )</f>
        <v/>
      </c>
      <c r="DF25" s="186" t="str">
        <f>IF(
    factorsTable[[#This Row],[filteredIndex]] = "",
    "",
    IF(
      factorsTable[[#This Row],[relDiff]] = -99,
      -99,
      ABS(factorsTable[[#This Row],[relDiff]])
    )
  )</f>
        <v/>
      </c>
      <c r="DG25" s="186" t="str">
        <f>IF(
    factorsTable[[#This Row],[filteredIndex]] = "",
    "",
    _xlfn.XLOOKUP(
      _xlfn.XLOOKUP(
        factorsTable[[#This Row],[filteredIndex]],
        factorsConfigTable[index],
        factorsConfigTable[RANASBlock],#REF!,
        0
      ),
      RANASBlocksTable[label],
      RANASBlocksTable[index],
      6,
      0
    )
  )</f>
        <v/>
      </c>
      <c r="DH25" s="186" t="str">
        <f>IF(
    factorsTable[[#This Row],[filteredIndex]] = "",
    "",
    _xlfn.RANK.EQ(factorsTable[[#This Row],[relDiff]], factorsTable[relDiff], 0)
  )</f>
        <v/>
      </c>
      <c r="DI25" s="186" t="str">
        <f>IF(
    factorsTable[[#This Row],[filteredIndex]] = "",
    "",
    _xlfn.RANK.EQ(factorsTable[[#This Row],[absDiff]], factorsTable[absDiff], 0)
  )</f>
        <v/>
      </c>
      <c r="DJ25" s="186" t="str">
        <f>IF(
    factorsTable[[#This Row],[filteredIndex]] = "",
    "",
    _xlfn.RANK.EQ(factorsTable[[#This Row],[RANASIndex]], factorsTable[RANASIndex], 1)
  )</f>
        <v/>
      </c>
      <c r="DK25" s="186" t="str" cm="1">
        <f t="array" ref="DK25">_xlfn.SWITCH(
    sortingMethodTag,
    "none", factorsTable[[#This Row],[filteredIndex]],
    "relDiff", factorsTable[[#This Row],[relDiffRank]],
    "absDiff", factorsTable[[#This Row],[absDiffRank]],
    "RANAS", factorsTable[[#This Row],[RANASRank]],
    factorsTable[[#This Row],[filteredIndex]]
  )</f>
        <v/>
      </c>
      <c r="DL25" s="186" t="str">
        <f>IF(
    factorsTable[[#This Row],[filteredIndex]] = "",
    "",
    factorsTable[[#This Row],[selectedRank]]
      + COUNTIF(INDEX(factorsTable[selectedRank], 1):INDEX(factorsTable[selectedRank], factorsTable[[#This Row],[index]]), factorsTable[[#This Row],[selectedRank]])
      - 1
  )</f>
        <v/>
      </c>
      <c r="DM25" s="186" t="str">
        <f>IF(
    factorsTable[[#This Row],[filteredIndex]] = "",
    "",
    _xlfn.XLOOKUP(
      factorsTable[[#This Row],[index]],
      factorsTable[uniqueRank],
      factorsTable[filteredIndex],#REF!,
      0
    )
  )</f>
        <v/>
      </c>
      <c r="DN25" s="186" t="str" cm="1">
        <f t="array" ref="DN25">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25" s="186" t="str" cm="1">
        <f t="array" ref="DO25">IF(
    factorsTable[[#This Row],[sortedIndex]] = "",
    "",
    IF(
      factorsTable[[#This Row],[langSpecFactor]] = "",
      UITranslateForValueTable("noTranslation", UITranslationTable[tag], UITranslationTable[], UITranslationTable[#Headers]),
      factorsTable[[#This Row],[langSpecFactor]]
    )
  )</f>
        <v/>
      </c>
      <c r="DP25" s="186" t="str">
        <f>IF(
    factorsTable[[#This Row],[sortedIndex]] = "",
    "",
    _xlfn.XLOOKUP(
      _xlfn.XLOOKUP(
        factorsTable[[#This Row],[sortedIndex]],
        factorsConfigTable[index],
        factorsConfigTable[RANASBlock],#REF!,
        0
      ),
      RANASBlocksTable[label],
      RANASBlocksTable[tag],
      NA(),
      0
    )
  )</f>
        <v/>
      </c>
      <c r="DQ25" s="186" t="str" cm="1">
        <f t="array" ref="DQ25">IF(
    factorsTable[[#This Row],[sortedIndex]] = "",
    "",
    _xlfn.IFNA(
      _xlfn.XLOOKUP(factorsTable[[#This Row],[RANASTag]], RANASBlocksTable[tag], RANASBlocksTable[langSpecLabel]),
      UITranslateForValueTable("noRANASBlock", UITranslationTable[tag], UITranslationTable[], UITranslationTable[#Headers])
    )
  )</f>
        <v/>
      </c>
      <c r="DR25" s="186"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25" s="186" t="str">
        <f>IF(
    factorsTable[[#This Row],[sortedIndex]] = "",
    "",
    _xlfn.XLOOKUP(factorsTable[[#This Row],[sortedIndex]], factorsTable[index], factorsTable[numTotal])
  )</f>
        <v/>
      </c>
      <c r="DT25" s="186" t="str">
        <f>IF(
    factorsTable[[#This Row],[sortedIndex]] = "",
    "",
    _xlfn.XLOOKUP(factorsTable[[#This Row],[sortedIndex]], factorsTable[index], factorsTable[nondoers])
  )</f>
        <v/>
      </c>
      <c r="DU25" s="186" t="str">
        <f>IF(
    factorsTable[[#This Row],[sortedIndex]] = "",
    "",
    _xlfn.XLOOKUP(factorsTable[[#This Row],[sortedIndex]], factorsTable[index], factorsTable[doers])
  )</f>
        <v/>
      </c>
      <c r="DV25" s="186" t="str">
        <f>IF(
    factorsTable[[#This Row],[sortedIndex]] = "",
    "",
    _xlfn.XLOOKUP(factorsTable[[#This Row],[sortedIndex]], factorsTable[index], factorsTable[difference])
  )</f>
        <v/>
      </c>
    </row>
    <row r="26" spans="5:126" ht="14.4" customHeight="1" x14ac:dyDescent="0.3">
      <c r="E26" s="196" cm="1">
        <f t="array" ref="E26">ROW()-ROW(UITranslationTable[#Headers])</f>
        <v>24</v>
      </c>
      <c r="F26" s="11" t="s">
        <v>811</v>
      </c>
      <c r="G26" s="185" t="str" cm="1">
        <f t="array" ref="G26">"CAUTION: You should ALWAYS import your data as a new spreadsheet, because simply pasting new data in an existing """ &amp; sheetNameData &amp; """ sheet could produce unexpected and undesirable results."</f>
        <v>CAUTION: You should ALWAYS import your data as a new spreadsheet, because simply pasting new data in an existing "data" sheet could produce unexpected and undesirable results.</v>
      </c>
      <c r="H26" s="185" t="str" cm="1">
        <f t="array" ref="H26">"ATTENTION: Vous devriez TOUJOURS importer vos données dans une nouvelle feuille, car coller simplement de nouvelles données dans une feuille «" &amp; sheetNameData &amp; "» existante pourrait produire des résultats inattendus et fâcheux."</f>
        <v>ATTENTION: Vous devriez TOUJOURS importer vos données dans une nouvelle feuille, car coller simplement de nouvelles données dans une feuille «data» existante pourrait produire des résultats inattendus et fâcheux.</v>
      </c>
      <c r="W26" s="186" cm="1">
        <f t="array" ref="W26">ROW()-ROW(structuredFormulaeTable[#Headers])</f>
        <v>24</v>
      </c>
      <c r="X26" s="3" t="s">
        <v>1063</v>
      </c>
      <c r="Y26" s="3" t="s">
        <v>967</v>
      </c>
      <c r="AA26" s="187" t="s">
        <v>1279</v>
      </c>
      <c r="AB26" s="187"/>
      <c r="BM26" s="3">
        <f ca="1"/>
        <v>5</v>
      </c>
      <c r="BN26" s="3">
        <f ca="1"/>
        <v>10</v>
      </c>
      <c r="BO26" s="3">
        <f ca="1"/>
        <v>1</v>
      </c>
      <c r="BP26" s="3">
        <f ca="1"/>
        <v>2</v>
      </c>
      <c r="BR26" s="3">
        <f ca="1"/>
        <v>1.6666666666666665</v>
      </c>
      <c r="BS26" s="3">
        <f ca="1"/>
        <v>3</v>
      </c>
      <c r="BT26" s="3">
        <f ca="1"/>
        <v>0.55555555555555547</v>
      </c>
      <c r="BU26" s="3" t="b">
        <f ca="1"/>
        <v>0</v>
      </c>
      <c r="CD26" s="3" cm="1">
        <f t="array" ref="CD26">ROW()-ROW(recommendedCutoffTable[#Headers])</f>
        <v>24</v>
      </c>
      <c r="CE26" s="192">
        <f>(recommendedCutoffTable[[#This Row],[index]] - 1) / 100</f>
        <v>0.23</v>
      </c>
      <c r="CF26" s="3" cm="1">
        <f t="array" aca="1" ref="CF26" ca="1">ABS(
    numScores
  - 2 * SUMPRODUCT((behaviourScore &lt;&gt; "") * (behaviourScore &lt; recommendedCutoffTable[[#This Row],[cutoffLevel]]))
  )</f>
        <v>236</v>
      </c>
      <c r="CM26" s="186" cm="1">
        <f t="array" ref="CM26">ROW()-ROW(factorsTable[#Headers])</f>
        <v>24</v>
      </c>
      <c r="CN26" s="186" t="str" cm="1">
        <f t="array" ref="CN26">KeepBlanksFunction(
    _xlfn.XLOOKUP(
      factorsTable[[#This Row],[index]],
      factorsConfigTable[index],
      factorsConfigTable[factorHeader],#REF!,
      0
    )
  )</f>
        <v/>
      </c>
      <c r="CO26" s="186" t="str">
        <f>IF(
    factorsTable[[#This Row],[factorHeader]] = "",
    "",
    _xlfn.IFNA(
      MATCH(factorsTable[[#This Row],[factorHeader]], dataHeaders, 0),
      _xlfn.IFNA(
        MATCH("*/" &amp; factorsTable[[#This Row],[factorHeader]], dataHeaders, 0),
        MATCH("*-" &amp; factorsTable[[#This Row],[factorHeader]], dataHeaders, 0)
      )
    )
  )</f>
        <v/>
      </c>
      <c r="CP26" s="186" t="str">
        <f>IF(
    factorsTable[[#This Row],[factorHeader]] = "",
    "",
    _xlfn.LET(
      _xlpm.tableValue,
      _xlfn.XLOOKUP(
        factorsTable[[#This Row],[index]],
        factorsConfigTable[index],
        factorsConfigTable[minScore],#REF!,
        0
      ),
      _xlpm.storedValue,
      IF(
        _xlpm.tableValue = "",
        NA(),
        _xlpm.tableValue
      ),
      _xlpm.storedValue
    )
  )</f>
        <v/>
      </c>
      <c r="CQ26" s="186" t="str">
        <f>IF(
    factorsTable[[#This Row],[factorHeader]] = "",
    "",
    _xlfn.LET(
      _xlpm.tableValue,
      _xlfn.XLOOKUP(
        factorsTable[[#This Row],[index]],
        factorsConfigTable[index],
        factorsConfigTable[maxScore],#REF!,
        0
      ),
      _xlpm.storedValue,
      IF(
        _xlpm.tableValue = "",
        NA(),
        _xlpm.tableValue
      ),
      _xlpm.storedValue
    )
  )</f>
        <v/>
      </c>
      <c r="CR26" s="186" t="str">
        <f>IF(
    factorsTable[[#This Row],[factorHeader]] = "",
    "",
    IF(
      ISERROR(factorsTable[[#This Row],[factorColNum]]),
      NA(),
      IF(
        ISNA(INDEX(dataRange,1,1)),
        NA(),
        MIN(INDEX(dataRange, , factorsTable[[#This Row],[factorColNum]]))
      )
    )
  )</f>
        <v/>
      </c>
      <c r="CS26" s="186" t="str">
        <f>IF(
    factorsTable[[#This Row],[factorHeader]] = "",
    "",
    IF(
      ISERROR(factorsTable[[#This Row],[factorColNum]]),
      NA(),
      IF(
        ISNA(INDEX(dataRange,1,1)),
        NA(),
        MAX(INDEX(dataRange, , factorsTable[[#This Row],[factorColNum]]))
      )
    )
  )</f>
        <v/>
      </c>
      <c r="CT26" s="186" t="b" cm="1">
        <f t="array" aca="1" ref="CT26" ca="1">AND(
    NOT(errorNoDataSheet),
    factorsTable[[#This Row],[factorHeader]] &lt;&gt; "",
    NOT(ISERROR(factorsTable[[#This Row],[factorColNum]])),
    IFERROR(factorsTable[[#This Row],[display]], FALSE),
    IFERROR(factorsTable[[#This Row],[minValue]] &lt; factorsTable[[#This Row],[minScore]], FALSE)
  )</f>
        <v>0</v>
      </c>
      <c r="CU26" s="186" t="b" cm="1">
        <f t="array" aca="1" ref="CU26" ca="1">AND(
    NOT(errorNoDataSheet),
    factorsTable[[#This Row],[factorHeader]] &lt;&gt; "",
    NOT(ISERROR(factorsTable[[#This Row],[factorColNum]])),
    IFERROR(factorsTable[[#This Row],[display]], FALSE),
    IFERROR(factorsTable[[#This Row],[maxValue]] &gt; factorsTable[[#This Row],[maxScore]], FALSE)
  )</f>
        <v>0</v>
      </c>
      <c r="CV26" s="186" t="str" cm="1">
        <f t="array" ref="CV26">IF(
    factorsTable[[#This Row],[factorHeader]] = "",
    "",
    IF(
      ISNA(INDEX(dataRange,1,1)),
      NA(),
      SUMPRODUCT(
          IF(isDoer = "", 0, NOT(isDoer))
        * (INDEX(dataRange, , factorsTable[[#This Row],[factorColNum]]) &lt;&gt; "")
      )
    )
  )</f>
        <v/>
      </c>
      <c r="CW26" s="186" t="str" cm="1">
        <f t="array" ref="CW26">IF(
    factorsTable[[#This Row],[factorHeader]] = "",
    "",
    IF(
      ISNA(INDEX(dataRange,1,1)),
      NA(),
      SUMPRODUCT(
          IF(isDoer = "", 0, isDoer)
        * (INDEX(dataRange, , factorsTable[[#This Row],[factorColNum]]) &lt;&gt; "")
      )
    )
  )</f>
        <v/>
      </c>
      <c r="CX26" s="186" t="str" cm="1">
        <f t="array" ref="CX26">IF(
    factorsTable[[#This Row],[factorHeader]] = "",
    "",
    IF(
      ISERROR(factorsTable[[#This Row],[factorColNum]]),
      UITranslateForValueTable("dataNotFound", UITranslationTable[tag], UITranslationTable[], UITranslationTable[#Headers]),
      factorsTable[[#This Row],[numDoers]] + factorsTable[[#This Row],[numNondoers]]
    )
  )</f>
        <v/>
      </c>
      <c r="CY26" s="186" t="str" cm="1">
        <f t="array" ref="CY26">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6" s="186" t="str" cm="1">
        <f t="array" ref="CZ26">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6" s="186" t="str">
        <f>IF(
    factorsTable[[#This Row],[factorHeader]] = "",
    "",
    factorsTable[[#This Row],[doers]] - factorsTable[[#This Row],[nondoers]]
  )</f>
        <v/>
      </c>
      <c r="DB26" s="186" t="str">
        <f>IF(
    factorsTable[[#This Row],[factorHeader]] = "",
    "",
    _xlfn.XLOOKUP(
      _xlfn.XLOOKUP(
        factorsTable[[#This Row],[index]],
        factorsConfigTable[index],
        factorsConfigTable[displayConfig],#REF!,
        0
      ),
      yesNoTable[label],
      yesNoTable[tag],
      "",
      0
    )
  )</f>
        <v/>
      </c>
      <c r="DC26" s="186" t="b">
        <f>IF(
    factorsTable[[#This Row],[factorHeader]] = "",
    FALSE,
    IF(
      factorsTable[[#This Row],[displayConfig]] = "yes",
      TRUE,
      IF(
        factorsTable[[#This Row],[displayConfig]] = "no",
        FALSE,
        NA()
      )
    )
  )</f>
        <v>0</v>
      </c>
      <c r="DD26" s="186" t="str" cm="1">
        <f t="array" ref="DD26">FilterTrueColumn(factorsTable[[#This Row],[index]], factorsTable[index], factorsTable[filteredIndex], factorsTable[display])</f>
        <v/>
      </c>
      <c r="DE26" s="186" t="str">
        <f>IF(
    factorsTable[[#This Row],[filteredIndex]] = "",
    "",
    _xlfn.IFNA(
      _xlfn.XLOOKUP(factorsTable[[#This Row],[filteredIndex]], factorsTable[index], factorsTable[difference]),
      -99
    )
  )</f>
        <v/>
      </c>
      <c r="DF26" s="186" t="str">
        <f>IF(
    factorsTable[[#This Row],[filteredIndex]] = "",
    "",
    IF(
      factorsTable[[#This Row],[relDiff]] = -99,
      -99,
      ABS(factorsTable[[#This Row],[relDiff]])
    )
  )</f>
        <v/>
      </c>
      <c r="DG26" s="186" t="str">
        <f>IF(
    factorsTable[[#This Row],[filteredIndex]] = "",
    "",
    _xlfn.XLOOKUP(
      _xlfn.XLOOKUP(
        factorsTable[[#This Row],[filteredIndex]],
        factorsConfigTable[index],
        factorsConfigTable[RANASBlock],#REF!,
        0
      ),
      RANASBlocksTable[label],
      RANASBlocksTable[index],
      6,
      0
    )
  )</f>
        <v/>
      </c>
      <c r="DH26" s="186" t="str">
        <f>IF(
    factorsTable[[#This Row],[filteredIndex]] = "",
    "",
    _xlfn.RANK.EQ(factorsTable[[#This Row],[relDiff]], factorsTable[relDiff], 0)
  )</f>
        <v/>
      </c>
      <c r="DI26" s="186" t="str">
        <f>IF(
    factorsTable[[#This Row],[filteredIndex]] = "",
    "",
    _xlfn.RANK.EQ(factorsTable[[#This Row],[absDiff]], factorsTable[absDiff], 0)
  )</f>
        <v/>
      </c>
      <c r="DJ26" s="186" t="str">
        <f>IF(
    factorsTable[[#This Row],[filteredIndex]] = "",
    "",
    _xlfn.RANK.EQ(factorsTable[[#This Row],[RANASIndex]], factorsTable[RANASIndex], 1)
  )</f>
        <v/>
      </c>
      <c r="DK26" s="186" t="str" cm="1">
        <f t="array" ref="DK26">_xlfn.SWITCH(
    sortingMethodTag,
    "none", factorsTable[[#This Row],[filteredIndex]],
    "relDiff", factorsTable[[#This Row],[relDiffRank]],
    "absDiff", factorsTable[[#This Row],[absDiffRank]],
    "RANAS", factorsTable[[#This Row],[RANASRank]],
    factorsTable[[#This Row],[filteredIndex]]
  )</f>
        <v/>
      </c>
      <c r="DL26" s="186" t="str">
        <f>IF(
    factorsTable[[#This Row],[filteredIndex]] = "",
    "",
    factorsTable[[#This Row],[selectedRank]]
      + COUNTIF(INDEX(factorsTable[selectedRank], 1):INDEX(factorsTable[selectedRank], factorsTable[[#This Row],[index]]), factorsTable[[#This Row],[selectedRank]])
      - 1
  )</f>
        <v/>
      </c>
      <c r="DM26" s="186" t="str">
        <f>IF(
    factorsTable[[#This Row],[filteredIndex]] = "",
    "",
    _xlfn.XLOOKUP(
      factorsTable[[#This Row],[index]],
      factorsTable[uniqueRank],
      factorsTable[filteredIndex],#REF!,
      0
    )
  )</f>
        <v/>
      </c>
      <c r="DN26" s="186" t="str" cm="1">
        <f t="array" ref="DN26">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26" s="186" t="str" cm="1">
        <f t="array" ref="DO26">IF(
    factorsTable[[#This Row],[sortedIndex]] = "",
    "",
    IF(
      factorsTable[[#This Row],[langSpecFactor]] = "",
      UITranslateForValueTable("noTranslation", UITranslationTable[tag], UITranslationTable[], UITranslationTable[#Headers]),
      factorsTable[[#This Row],[langSpecFactor]]
    )
  )</f>
        <v/>
      </c>
      <c r="DP26" s="186" t="str">
        <f>IF(
    factorsTable[[#This Row],[sortedIndex]] = "",
    "",
    _xlfn.XLOOKUP(
      _xlfn.XLOOKUP(
        factorsTable[[#This Row],[sortedIndex]],
        factorsConfigTable[index],
        factorsConfigTable[RANASBlock],#REF!,
        0
      ),
      RANASBlocksTable[label],
      RANASBlocksTable[tag],
      NA(),
      0
    )
  )</f>
        <v/>
      </c>
      <c r="DQ26" s="186" t="str" cm="1">
        <f t="array" ref="DQ26">IF(
    factorsTable[[#This Row],[sortedIndex]] = "",
    "",
    _xlfn.IFNA(
      _xlfn.XLOOKUP(factorsTable[[#This Row],[RANASTag]], RANASBlocksTable[tag], RANASBlocksTable[langSpecLabel]),
      UITranslateForValueTable("noRANASBlock", UITranslationTable[tag], UITranslationTable[], UITranslationTable[#Headers])
    )
  )</f>
        <v/>
      </c>
      <c r="DR26" s="186"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26" s="186" t="str">
        <f>IF(
    factorsTable[[#This Row],[sortedIndex]] = "",
    "",
    _xlfn.XLOOKUP(factorsTable[[#This Row],[sortedIndex]], factorsTable[index], factorsTable[numTotal])
  )</f>
        <v/>
      </c>
      <c r="DT26" s="186" t="str">
        <f>IF(
    factorsTable[[#This Row],[sortedIndex]] = "",
    "",
    _xlfn.XLOOKUP(factorsTable[[#This Row],[sortedIndex]], factorsTable[index], factorsTable[nondoers])
  )</f>
        <v/>
      </c>
      <c r="DU26" s="186" t="str">
        <f>IF(
    factorsTable[[#This Row],[sortedIndex]] = "",
    "",
    _xlfn.XLOOKUP(factorsTable[[#This Row],[sortedIndex]], factorsTable[index], factorsTable[doers])
  )</f>
        <v/>
      </c>
      <c r="DV26" s="186" t="str">
        <f>IF(
    factorsTable[[#This Row],[sortedIndex]] = "",
    "",
    _xlfn.XLOOKUP(factorsTable[[#This Row],[sortedIndex]], factorsTable[index], factorsTable[difference])
  )</f>
        <v/>
      </c>
    </row>
    <row r="27" spans="5:126" ht="14.4" customHeight="1" x14ac:dyDescent="0.3">
      <c r="E27" s="196" cm="1">
        <f t="array" ref="E27">ROW()-ROW(UITranslationTable[#Headers])</f>
        <v>25</v>
      </c>
      <c r="F27" s="11" t="s">
        <v>642</v>
      </c>
      <c r="G27" s="185" t="str">
        <f>"2." &amp; CHAR(160) &amp; "Behaviour"</f>
        <v>2. Behaviour</v>
      </c>
      <c r="H27" s="185" t="str">
        <f>"2." &amp; CHAR(160) &amp; "Comportement"</f>
        <v>2. Comportement</v>
      </c>
      <c r="W27" s="186" cm="1">
        <f t="array" ref="W27">ROW()-ROW(structuredFormulaeTable[#Headers])</f>
        <v>25</v>
      </c>
      <c r="X27" s="3" t="s">
        <v>1063</v>
      </c>
      <c r="Y27" s="3" t="s">
        <v>968</v>
      </c>
      <c r="AA27" s="187" t="s">
        <v>1280</v>
      </c>
      <c r="AB27" s="187"/>
      <c r="BM27" s="3">
        <f ca="1"/>
        <v>5</v>
      </c>
      <c r="BN27" s="3">
        <f ca="1"/>
        <v>15</v>
      </c>
      <c r="BO27" s="3">
        <f ca="1"/>
        <v>2</v>
      </c>
      <c r="BP27" s="3">
        <f ca="1"/>
        <v>2</v>
      </c>
      <c r="BR27" s="3">
        <f ca="1"/>
        <v>2.333333333333333</v>
      </c>
      <c r="BS27" s="3">
        <f ca="1"/>
        <v>3</v>
      </c>
      <c r="BT27" s="3">
        <f ca="1"/>
        <v>0.77777777777777768</v>
      </c>
      <c r="BU27" s="3" t="b">
        <f ca="1"/>
        <v>1</v>
      </c>
      <c r="CD27" s="3" cm="1">
        <f t="array" ref="CD27">ROW()-ROW(recommendedCutoffTable[#Headers])</f>
        <v>25</v>
      </c>
      <c r="CE27" s="192">
        <f>(recommendedCutoffTable[[#This Row],[index]] - 1) / 100</f>
        <v>0.24</v>
      </c>
      <c r="CF27" s="3" cm="1">
        <f t="array" aca="1" ref="CF27" ca="1">ABS(
    numScores
  - 2 * SUMPRODUCT((behaviourScore &lt;&gt; "") * (behaviourScore &lt; recommendedCutoffTable[[#This Row],[cutoffLevel]]))
  )</f>
        <v>236</v>
      </c>
      <c r="CM27" s="186" cm="1">
        <f t="array" ref="CM27">ROW()-ROW(factorsTable[#Headers])</f>
        <v>25</v>
      </c>
      <c r="CN27" s="186" t="str" cm="1">
        <f t="array" ref="CN27">KeepBlanksFunction(
    _xlfn.XLOOKUP(
      factorsTable[[#This Row],[index]],
      factorsConfigTable[index],
      factorsConfigTable[factorHeader],#REF!,
      0
    )
  )</f>
        <v/>
      </c>
      <c r="CO27" s="186" t="str">
        <f>IF(
    factorsTable[[#This Row],[factorHeader]] = "",
    "",
    _xlfn.IFNA(
      MATCH(factorsTable[[#This Row],[factorHeader]], dataHeaders, 0),
      _xlfn.IFNA(
        MATCH("*/" &amp; factorsTable[[#This Row],[factorHeader]], dataHeaders, 0),
        MATCH("*-" &amp; factorsTable[[#This Row],[factorHeader]], dataHeaders, 0)
      )
    )
  )</f>
        <v/>
      </c>
      <c r="CP27" s="186" t="str">
        <f>IF(
    factorsTable[[#This Row],[factorHeader]] = "",
    "",
    _xlfn.LET(
      _xlpm.tableValue,
      _xlfn.XLOOKUP(
        factorsTable[[#This Row],[index]],
        factorsConfigTable[index],
        factorsConfigTable[minScore],#REF!,
        0
      ),
      _xlpm.storedValue,
      IF(
        _xlpm.tableValue = "",
        NA(),
        _xlpm.tableValue
      ),
      _xlpm.storedValue
    )
  )</f>
        <v/>
      </c>
      <c r="CQ27" s="186" t="str">
        <f>IF(
    factorsTable[[#This Row],[factorHeader]] = "",
    "",
    _xlfn.LET(
      _xlpm.tableValue,
      _xlfn.XLOOKUP(
        factorsTable[[#This Row],[index]],
        factorsConfigTable[index],
        factorsConfigTable[maxScore],#REF!,
        0
      ),
      _xlpm.storedValue,
      IF(
        _xlpm.tableValue = "",
        NA(),
        _xlpm.tableValue
      ),
      _xlpm.storedValue
    )
  )</f>
        <v/>
      </c>
      <c r="CR27" s="186" t="str">
        <f>IF(
    factorsTable[[#This Row],[factorHeader]] = "",
    "",
    IF(
      ISERROR(factorsTable[[#This Row],[factorColNum]]),
      NA(),
      IF(
        ISNA(INDEX(dataRange,1,1)),
        NA(),
        MIN(INDEX(dataRange, , factorsTable[[#This Row],[factorColNum]]))
      )
    )
  )</f>
        <v/>
      </c>
      <c r="CS27" s="186" t="str">
        <f>IF(
    factorsTable[[#This Row],[factorHeader]] = "",
    "",
    IF(
      ISERROR(factorsTable[[#This Row],[factorColNum]]),
      NA(),
      IF(
        ISNA(INDEX(dataRange,1,1)),
        NA(),
        MAX(INDEX(dataRange, , factorsTable[[#This Row],[factorColNum]]))
      )
    )
  )</f>
        <v/>
      </c>
      <c r="CT27" s="186" t="b" cm="1">
        <f t="array" aca="1" ref="CT27" ca="1">AND(
    NOT(errorNoDataSheet),
    factorsTable[[#This Row],[factorHeader]] &lt;&gt; "",
    NOT(ISERROR(factorsTable[[#This Row],[factorColNum]])),
    IFERROR(factorsTable[[#This Row],[display]], FALSE),
    IFERROR(factorsTable[[#This Row],[minValue]] &lt; factorsTable[[#This Row],[minScore]], FALSE)
  )</f>
        <v>0</v>
      </c>
      <c r="CU27" s="186" t="b" cm="1">
        <f t="array" aca="1" ref="CU27" ca="1">AND(
    NOT(errorNoDataSheet),
    factorsTable[[#This Row],[factorHeader]] &lt;&gt; "",
    NOT(ISERROR(factorsTable[[#This Row],[factorColNum]])),
    IFERROR(factorsTable[[#This Row],[display]], FALSE),
    IFERROR(factorsTable[[#This Row],[maxValue]] &gt; factorsTable[[#This Row],[maxScore]], FALSE)
  )</f>
        <v>0</v>
      </c>
      <c r="CV27" s="186" t="str" cm="1">
        <f t="array" ref="CV27">IF(
    factorsTable[[#This Row],[factorHeader]] = "",
    "",
    IF(
      ISNA(INDEX(dataRange,1,1)),
      NA(),
      SUMPRODUCT(
          IF(isDoer = "", 0, NOT(isDoer))
        * (INDEX(dataRange, , factorsTable[[#This Row],[factorColNum]]) &lt;&gt; "")
      )
    )
  )</f>
        <v/>
      </c>
      <c r="CW27" s="186" t="str" cm="1">
        <f t="array" ref="CW27">IF(
    factorsTable[[#This Row],[factorHeader]] = "",
    "",
    IF(
      ISNA(INDEX(dataRange,1,1)),
      NA(),
      SUMPRODUCT(
          IF(isDoer = "", 0, isDoer)
        * (INDEX(dataRange, , factorsTable[[#This Row],[factorColNum]]) &lt;&gt; "")
      )
    )
  )</f>
        <v/>
      </c>
      <c r="CX27" s="186" t="str" cm="1">
        <f t="array" ref="CX27">IF(
    factorsTable[[#This Row],[factorHeader]] = "",
    "",
    IF(
      ISERROR(factorsTable[[#This Row],[factorColNum]]),
      UITranslateForValueTable("dataNotFound", UITranslationTable[tag], UITranslationTable[], UITranslationTable[#Headers]),
      factorsTable[[#This Row],[numDoers]] + factorsTable[[#This Row],[numNondoers]]
    )
  )</f>
        <v/>
      </c>
      <c r="CY27" s="186" t="str" cm="1">
        <f t="array" ref="CY27">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7" s="186" t="str" cm="1">
        <f t="array" ref="CZ27">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7" s="186" t="str">
        <f>IF(
    factorsTable[[#This Row],[factorHeader]] = "",
    "",
    factorsTable[[#This Row],[doers]] - factorsTable[[#This Row],[nondoers]]
  )</f>
        <v/>
      </c>
      <c r="DB27" s="186" t="str">
        <f>IF(
    factorsTable[[#This Row],[factorHeader]] = "",
    "",
    _xlfn.XLOOKUP(
      _xlfn.XLOOKUP(
        factorsTable[[#This Row],[index]],
        factorsConfigTable[index],
        factorsConfigTable[displayConfig],#REF!,
        0
      ),
      yesNoTable[label],
      yesNoTable[tag],
      "",
      0
    )
  )</f>
        <v/>
      </c>
      <c r="DC27" s="186" t="b">
        <f>IF(
    factorsTable[[#This Row],[factorHeader]] = "",
    FALSE,
    IF(
      factorsTable[[#This Row],[displayConfig]] = "yes",
      TRUE,
      IF(
        factorsTable[[#This Row],[displayConfig]] = "no",
        FALSE,
        NA()
      )
    )
  )</f>
        <v>0</v>
      </c>
      <c r="DD27" s="186" t="str" cm="1">
        <f t="array" ref="DD27">FilterTrueColumn(factorsTable[[#This Row],[index]], factorsTable[index], factorsTable[filteredIndex], factorsTable[display])</f>
        <v/>
      </c>
      <c r="DE27" s="186" t="str">
        <f>IF(
    factorsTable[[#This Row],[filteredIndex]] = "",
    "",
    _xlfn.IFNA(
      _xlfn.XLOOKUP(factorsTable[[#This Row],[filteredIndex]], factorsTable[index], factorsTable[difference]),
      -99
    )
  )</f>
        <v/>
      </c>
      <c r="DF27" s="186" t="str">
        <f>IF(
    factorsTable[[#This Row],[filteredIndex]] = "",
    "",
    IF(
      factorsTable[[#This Row],[relDiff]] = -99,
      -99,
      ABS(factorsTable[[#This Row],[relDiff]])
    )
  )</f>
        <v/>
      </c>
      <c r="DG27" s="186" t="str">
        <f>IF(
    factorsTable[[#This Row],[filteredIndex]] = "",
    "",
    _xlfn.XLOOKUP(
      _xlfn.XLOOKUP(
        factorsTable[[#This Row],[filteredIndex]],
        factorsConfigTable[index],
        factorsConfigTable[RANASBlock],#REF!,
        0
      ),
      RANASBlocksTable[label],
      RANASBlocksTable[index],
      6,
      0
    )
  )</f>
        <v/>
      </c>
      <c r="DH27" s="186" t="str">
        <f>IF(
    factorsTable[[#This Row],[filteredIndex]] = "",
    "",
    _xlfn.RANK.EQ(factorsTable[[#This Row],[relDiff]], factorsTable[relDiff], 0)
  )</f>
        <v/>
      </c>
      <c r="DI27" s="186" t="str">
        <f>IF(
    factorsTable[[#This Row],[filteredIndex]] = "",
    "",
    _xlfn.RANK.EQ(factorsTable[[#This Row],[absDiff]], factorsTable[absDiff], 0)
  )</f>
        <v/>
      </c>
      <c r="DJ27" s="186" t="str">
        <f>IF(
    factorsTable[[#This Row],[filteredIndex]] = "",
    "",
    _xlfn.RANK.EQ(factorsTable[[#This Row],[RANASIndex]], factorsTable[RANASIndex], 1)
  )</f>
        <v/>
      </c>
      <c r="DK27" s="186" t="str" cm="1">
        <f t="array" ref="DK27">_xlfn.SWITCH(
    sortingMethodTag,
    "none", factorsTable[[#This Row],[filteredIndex]],
    "relDiff", factorsTable[[#This Row],[relDiffRank]],
    "absDiff", factorsTable[[#This Row],[absDiffRank]],
    "RANAS", factorsTable[[#This Row],[RANASRank]],
    factorsTable[[#This Row],[filteredIndex]]
  )</f>
        <v/>
      </c>
      <c r="DL27" s="186" t="str">
        <f>IF(
    factorsTable[[#This Row],[filteredIndex]] = "",
    "",
    factorsTable[[#This Row],[selectedRank]]
      + COUNTIF(INDEX(factorsTable[selectedRank], 1):INDEX(factorsTable[selectedRank], factorsTable[[#This Row],[index]]), factorsTable[[#This Row],[selectedRank]])
      - 1
  )</f>
        <v/>
      </c>
      <c r="DM27" s="186" t="str">
        <f>IF(
    factorsTable[[#This Row],[filteredIndex]] = "",
    "",
    _xlfn.XLOOKUP(
      factorsTable[[#This Row],[index]],
      factorsTable[uniqueRank],
      factorsTable[filteredIndex],#REF!,
      0
    )
  )</f>
        <v/>
      </c>
      <c r="DN27" s="186" t="str" cm="1">
        <f t="array" ref="DN27">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27" s="186" t="str" cm="1">
        <f t="array" ref="DO27">IF(
    factorsTable[[#This Row],[sortedIndex]] = "",
    "",
    IF(
      factorsTable[[#This Row],[langSpecFactor]] = "",
      UITranslateForValueTable("noTranslation", UITranslationTable[tag], UITranslationTable[], UITranslationTable[#Headers]),
      factorsTable[[#This Row],[langSpecFactor]]
    )
  )</f>
        <v/>
      </c>
      <c r="DP27" s="186" t="str">
        <f>IF(
    factorsTable[[#This Row],[sortedIndex]] = "",
    "",
    _xlfn.XLOOKUP(
      _xlfn.XLOOKUP(
        factorsTable[[#This Row],[sortedIndex]],
        factorsConfigTable[index],
        factorsConfigTable[RANASBlock],#REF!,
        0
      ),
      RANASBlocksTable[label],
      RANASBlocksTable[tag],
      NA(),
      0
    )
  )</f>
        <v/>
      </c>
      <c r="DQ27" s="186" t="str" cm="1">
        <f t="array" ref="DQ27">IF(
    factorsTable[[#This Row],[sortedIndex]] = "",
    "",
    _xlfn.IFNA(
      _xlfn.XLOOKUP(factorsTable[[#This Row],[RANASTag]], RANASBlocksTable[tag], RANASBlocksTable[langSpecLabel]),
      UITranslateForValueTable("noRANASBlock", UITranslationTable[tag], UITranslationTable[], UITranslationTable[#Headers])
    )
  )</f>
        <v/>
      </c>
      <c r="DR27" s="186"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27" s="186" t="str">
        <f>IF(
    factorsTable[[#This Row],[sortedIndex]] = "",
    "",
    _xlfn.XLOOKUP(factorsTable[[#This Row],[sortedIndex]], factorsTable[index], factorsTable[numTotal])
  )</f>
        <v/>
      </c>
      <c r="DT27" s="186" t="str">
        <f>IF(
    factorsTable[[#This Row],[sortedIndex]] = "",
    "",
    _xlfn.XLOOKUP(factorsTable[[#This Row],[sortedIndex]], factorsTable[index], factorsTable[nondoers])
  )</f>
        <v/>
      </c>
      <c r="DU27" s="186" t="str">
        <f>IF(
    factorsTable[[#This Row],[sortedIndex]] = "",
    "",
    _xlfn.XLOOKUP(factorsTable[[#This Row],[sortedIndex]], factorsTable[index], factorsTable[doers])
  )</f>
        <v/>
      </c>
      <c r="DV27" s="186" t="str">
        <f>IF(
    factorsTable[[#This Row],[sortedIndex]] = "",
    "",
    _xlfn.XLOOKUP(factorsTable[[#This Row],[sortedIndex]], factorsTable[index], factorsTable[difference])
  )</f>
        <v/>
      </c>
    </row>
    <row r="28" spans="5:126" ht="14.4" customHeight="1" x14ac:dyDescent="0.3">
      <c r="E28" s="196" cm="1">
        <f t="array" ref="E28">ROW()-ROW(UITranslationTable[#Headers])</f>
        <v>26</v>
      </c>
      <c r="F28" s="11" t="s">
        <v>812</v>
      </c>
      <c r="G28" s="185" t="s">
        <v>801</v>
      </c>
      <c r="H28" s="185" t="s">
        <v>802</v>
      </c>
      <c r="W28" s="186" cm="1">
        <f t="array" ref="W28">ROW()-ROW(structuredFormulaeTable[#Headers])</f>
        <v>26</v>
      </c>
      <c r="X28" s="3" t="s">
        <v>1063</v>
      </c>
      <c r="Y28" s="3" t="s">
        <v>969</v>
      </c>
      <c r="AA28" s="187" t="s">
        <v>1281</v>
      </c>
      <c r="AB28" s="187"/>
      <c r="BM28" s="3">
        <f ca="1"/>
        <v>5</v>
      </c>
      <c r="BN28" s="3">
        <f ca="1"/>
        <v>15</v>
      </c>
      <c r="BO28" s="3">
        <f ca="1"/>
        <v>2</v>
      </c>
      <c r="BP28" s="3">
        <f ca="1"/>
        <v>2</v>
      </c>
      <c r="BR28" s="3">
        <f ca="1"/>
        <v>2.333333333333333</v>
      </c>
      <c r="BS28" s="3">
        <f ca="1"/>
        <v>3</v>
      </c>
      <c r="BT28" s="3">
        <f ca="1"/>
        <v>0.77777777777777768</v>
      </c>
      <c r="BU28" s="3" t="b">
        <f ca="1"/>
        <v>1</v>
      </c>
      <c r="CD28" s="3" cm="1">
        <f t="array" ref="CD28">ROW()-ROW(recommendedCutoffTable[#Headers])</f>
        <v>26</v>
      </c>
      <c r="CE28" s="192">
        <f>(recommendedCutoffTable[[#This Row],[index]] - 1) / 100</f>
        <v>0.25</v>
      </c>
      <c r="CF28" s="3" cm="1">
        <f t="array" aca="1" ref="CF28" ca="1">ABS(
    numScores
  - 2 * SUMPRODUCT((behaviourScore &lt;&gt; "") * (behaviourScore &lt; recommendedCutoffTable[[#This Row],[cutoffLevel]]))
  )</f>
        <v>236</v>
      </c>
      <c r="CM28" s="186" cm="1">
        <f t="array" ref="CM28">ROW()-ROW(factorsTable[#Headers])</f>
        <v>26</v>
      </c>
      <c r="CN28" s="186" t="str" cm="1">
        <f t="array" ref="CN28">KeepBlanksFunction(
    _xlfn.XLOOKUP(
      factorsTable[[#This Row],[index]],
      factorsConfigTable[index],
      factorsConfigTable[factorHeader],#REF!,
      0
    )
  )</f>
        <v/>
      </c>
      <c r="CO28" s="186" t="str">
        <f>IF(
    factorsTable[[#This Row],[factorHeader]] = "",
    "",
    _xlfn.IFNA(
      MATCH(factorsTable[[#This Row],[factorHeader]], dataHeaders, 0),
      _xlfn.IFNA(
        MATCH("*/" &amp; factorsTable[[#This Row],[factorHeader]], dataHeaders, 0),
        MATCH("*-" &amp; factorsTable[[#This Row],[factorHeader]], dataHeaders, 0)
      )
    )
  )</f>
        <v/>
      </c>
      <c r="CP28" s="186" t="str">
        <f>IF(
    factorsTable[[#This Row],[factorHeader]] = "",
    "",
    _xlfn.LET(
      _xlpm.tableValue,
      _xlfn.XLOOKUP(
        factorsTable[[#This Row],[index]],
        factorsConfigTable[index],
        factorsConfigTable[minScore],#REF!,
        0
      ),
      _xlpm.storedValue,
      IF(
        _xlpm.tableValue = "",
        NA(),
        _xlpm.tableValue
      ),
      _xlpm.storedValue
    )
  )</f>
        <v/>
      </c>
      <c r="CQ28" s="186" t="str">
        <f>IF(
    factorsTable[[#This Row],[factorHeader]] = "",
    "",
    _xlfn.LET(
      _xlpm.tableValue,
      _xlfn.XLOOKUP(
        factorsTable[[#This Row],[index]],
        factorsConfigTable[index],
        factorsConfigTable[maxScore],#REF!,
        0
      ),
      _xlpm.storedValue,
      IF(
        _xlpm.tableValue = "",
        NA(),
        _xlpm.tableValue
      ),
      _xlpm.storedValue
    )
  )</f>
        <v/>
      </c>
      <c r="CR28" s="186" t="str">
        <f>IF(
    factorsTable[[#This Row],[factorHeader]] = "",
    "",
    IF(
      ISERROR(factorsTable[[#This Row],[factorColNum]]),
      NA(),
      IF(
        ISNA(INDEX(dataRange,1,1)),
        NA(),
        MIN(INDEX(dataRange, , factorsTable[[#This Row],[factorColNum]]))
      )
    )
  )</f>
        <v/>
      </c>
      <c r="CS28" s="186" t="str">
        <f>IF(
    factorsTable[[#This Row],[factorHeader]] = "",
    "",
    IF(
      ISERROR(factorsTable[[#This Row],[factorColNum]]),
      NA(),
      IF(
        ISNA(INDEX(dataRange,1,1)),
        NA(),
        MAX(INDEX(dataRange, , factorsTable[[#This Row],[factorColNum]]))
      )
    )
  )</f>
        <v/>
      </c>
      <c r="CT28" s="186" t="b" cm="1">
        <f t="array" aca="1" ref="CT28" ca="1">AND(
    NOT(errorNoDataSheet),
    factorsTable[[#This Row],[factorHeader]] &lt;&gt; "",
    NOT(ISERROR(factorsTable[[#This Row],[factorColNum]])),
    IFERROR(factorsTable[[#This Row],[display]], FALSE),
    IFERROR(factorsTable[[#This Row],[minValue]] &lt; factorsTable[[#This Row],[minScore]], FALSE)
  )</f>
        <v>0</v>
      </c>
      <c r="CU28" s="186" t="b" cm="1">
        <f t="array" aca="1" ref="CU28" ca="1">AND(
    NOT(errorNoDataSheet),
    factorsTable[[#This Row],[factorHeader]] &lt;&gt; "",
    NOT(ISERROR(factorsTable[[#This Row],[factorColNum]])),
    IFERROR(factorsTable[[#This Row],[display]], FALSE),
    IFERROR(factorsTable[[#This Row],[maxValue]] &gt; factorsTable[[#This Row],[maxScore]], FALSE)
  )</f>
        <v>0</v>
      </c>
      <c r="CV28" s="186" t="str" cm="1">
        <f t="array" ref="CV28">IF(
    factorsTable[[#This Row],[factorHeader]] = "",
    "",
    IF(
      ISNA(INDEX(dataRange,1,1)),
      NA(),
      SUMPRODUCT(
          IF(isDoer = "", 0, NOT(isDoer))
        * (INDEX(dataRange, , factorsTable[[#This Row],[factorColNum]]) &lt;&gt; "")
      )
    )
  )</f>
        <v/>
      </c>
      <c r="CW28" s="186" t="str" cm="1">
        <f t="array" ref="CW28">IF(
    factorsTable[[#This Row],[factorHeader]] = "",
    "",
    IF(
      ISNA(INDEX(dataRange,1,1)),
      NA(),
      SUMPRODUCT(
          IF(isDoer = "", 0, isDoer)
        * (INDEX(dataRange, , factorsTable[[#This Row],[factorColNum]]) &lt;&gt; "")
      )
    )
  )</f>
        <v/>
      </c>
      <c r="CX28" s="186" t="str" cm="1">
        <f t="array" ref="CX28">IF(
    factorsTable[[#This Row],[factorHeader]] = "",
    "",
    IF(
      ISERROR(factorsTable[[#This Row],[factorColNum]]),
      UITranslateForValueTable("dataNotFound", UITranslationTable[tag], UITranslationTable[], UITranslationTable[#Headers]),
      factorsTable[[#This Row],[numDoers]] + factorsTable[[#This Row],[numNondoers]]
    )
  )</f>
        <v/>
      </c>
      <c r="CY28" s="186" t="str" cm="1">
        <f t="array" ref="CY28">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8" s="186" t="str" cm="1">
        <f t="array" ref="CZ28">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8" s="186" t="str">
        <f>IF(
    factorsTable[[#This Row],[factorHeader]] = "",
    "",
    factorsTable[[#This Row],[doers]] - factorsTable[[#This Row],[nondoers]]
  )</f>
        <v/>
      </c>
      <c r="DB28" s="186" t="str">
        <f>IF(
    factorsTable[[#This Row],[factorHeader]] = "",
    "",
    _xlfn.XLOOKUP(
      _xlfn.XLOOKUP(
        factorsTable[[#This Row],[index]],
        factorsConfigTable[index],
        factorsConfigTable[displayConfig],#REF!,
        0
      ),
      yesNoTable[label],
      yesNoTable[tag],
      "",
      0
    )
  )</f>
        <v/>
      </c>
      <c r="DC28" s="186" t="b">
        <f>IF(
    factorsTable[[#This Row],[factorHeader]] = "",
    FALSE,
    IF(
      factorsTable[[#This Row],[displayConfig]] = "yes",
      TRUE,
      IF(
        factorsTable[[#This Row],[displayConfig]] = "no",
        FALSE,
        NA()
      )
    )
  )</f>
        <v>0</v>
      </c>
      <c r="DD28" s="186" t="str" cm="1">
        <f t="array" ref="DD28">FilterTrueColumn(factorsTable[[#This Row],[index]], factorsTable[index], factorsTable[filteredIndex], factorsTable[display])</f>
        <v/>
      </c>
      <c r="DE28" s="186" t="str">
        <f>IF(
    factorsTable[[#This Row],[filteredIndex]] = "",
    "",
    _xlfn.IFNA(
      _xlfn.XLOOKUP(factorsTable[[#This Row],[filteredIndex]], factorsTable[index], factorsTable[difference]),
      -99
    )
  )</f>
        <v/>
      </c>
      <c r="DF28" s="186" t="str">
        <f>IF(
    factorsTable[[#This Row],[filteredIndex]] = "",
    "",
    IF(
      factorsTable[[#This Row],[relDiff]] = -99,
      -99,
      ABS(factorsTable[[#This Row],[relDiff]])
    )
  )</f>
        <v/>
      </c>
      <c r="DG28" s="186" t="str">
        <f>IF(
    factorsTable[[#This Row],[filteredIndex]] = "",
    "",
    _xlfn.XLOOKUP(
      _xlfn.XLOOKUP(
        factorsTable[[#This Row],[filteredIndex]],
        factorsConfigTable[index],
        factorsConfigTable[RANASBlock],#REF!,
        0
      ),
      RANASBlocksTable[label],
      RANASBlocksTable[index],
      6,
      0
    )
  )</f>
        <v/>
      </c>
      <c r="DH28" s="186" t="str">
        <f>IF(
    factorsTable[[#This Row],[filteredIndex]] = "",
    "",
    _xlfn.RANK.EQ(factorsTable[[#This Row],[relDiff]], factorsTable[relDiff], 0)
  )</f>
        <v/>
      </c>
      <c r="DI28" s="186" t="str">
        <f>IF(
    factorsTable[[#This Row],[filteredIndex]] = "",
    "",
    _xlfn.RANK.EQ(factorsTable[[#This Row],[absDiff]], factorsTable[absDiff], 0)
  )</f>
        <v/>
      </c>
      <c r="DJ28" s="186" t="str">
        <f>IF(
    factorsTable[[#This Row],[filteredIndex]] = "",
    "",
    _xlfn.RANK.EQ(factorsTable[[#This Row],[RANASIndex]], factorsTable[RANASIndex], 1)
  )</f>
        <v/>
      </c>
      <c r="DK28" s="186" t="str" cm="1">
        <f t="array" ref="DK28">_xlfn.SWITCH(
    sortingMethodTag,
    "none", factorsTable[[#This Row],[filteredIndex]],
    "relDiff", factorsTable[[#This Row],[relDiffRank]],
    "absDiff", factorsTable[[#This Row],[absDiffRank]],
    "RANAS", factorsTable[[#This Row],[RANASRank]],
    factorsTable[[#This Row],[filteredIndex]]
  )</f>
        <v/>
      </c>
      <c r="DL28" s="186" t="str">
        <f>IF(
    factorsTable[[#This Row],[filteredIndex]] = "",
    "",
    factorsTable[[#This Row],[selectedRank]]
      + COUNTIF(INDEX(factorsTable[selectedRank], 1):INDEX(factorsTable[selectedRank], factorsTable[[#This Row],[index]]), factorsTable[[#This Row],[selectedRank]])
      - 1
  )</f>
        <v/>
      </c>
      <c r="DM28" s="186" t="str">
        <f>IF(
    factorsTable[[#This Row],[filteredIndex]] = "",
    "",
    _xlfn.XLOOKUP(
      factorsTable[[#This Row],[index]],
      factorsTable[uniqueRank],
      factorsTable[filteredIndex],#REF!,
      0
    )
  )</f>
        <v/>
      </c>
      <c r="DN28" s="186" t="str" cm="1">
        <f t="array" ref="DN28">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28" s="186" t="str" cm="1">
        <f t="array" ref="DO28">IF(
    factorsTable[[#This Row],[sortedIndex]] = "",
    "",
    IF(
      factorsTable[[#This Row],[langSpecFactor]] = "",
      UITranslateForValueTable("noTranslation", UITranslationTable[tag], UITranslationTable[], UITranslationTable[#Headers]),
      factorsTable[[#This Row],[langSpecFactor]]
    )
  )</f>
        <v/>
      </c>
      <c r="DP28" s="186" t="str">
        <f>IF(
    factorsTable[[#This Row],[sortedIndex]] = "",
    "",
    _xlfn.XLOOKUP(
      _xlfn.XLOOKUP(
        factorsTable[[#This Row],[sortedIndex]],
        factorsConfigTable[index],
        factorsConfigTable[RANASBlock],#REF!,
        0
      ),
      RANASBlocksTable[label],
      RANASBlocksTable[tag],
      NA(),
      0
    )
  )</f>
        <v/>
      </c>
      <c r="DQ28" s="186" t="str" cm="1">
        <f t="array" ref="DQ28">IF(
    factorsTable[[#This Row],[sortedIndex]] = "",
    "",
    _xlfn.IFNA(
      _xlfn.XLOOKUP(factorsTable[[#This Row],[RANASTag]], RANASBlocksTable[tag], RANASBlocksTable[langSpecLabel]),
      UITranslateForValueTable("noRANASBlock", UITranslationTable[tag], UITranslationTable[], UITranslationTable[#Headers])
    )
  )</f>
        <v/>
      </c>
      <c r="DR28" s="186"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28" s="186" t="str">
        <f>IF(
    factorsTable[[#This Row],[sortedIndex]] = "",
    "",
    _xlfn.XLOOKUP(factorsTable[[#This Row],[sortedIndex]], factorsTable[index], factorsTable[numTotal])
  )</f>
        <v/>
      </c>
      <c r="DT28" s="186" t="str">
        <f>IF(
    factorsTable[[#This Row],[sortedIndex]] = "",
    "",
    _xlfn.XLOOKUP(factorsTable[[#This Row],[sortedIndex]], factorsTable[index], factorsTable[nondoers])
  )</f>
        <v/>
      </c>
      <c r="DU28" s="186" t="str">
        <f>IF(
    factorsTable[[#This Row],[sortedIndex]] = "",
    "",
    _xlfn.XLOOKUP(factorsTable[[#This Row],[sortedIndex]], factorsTable[index], factorsTable[doers])
  )</f>
        <v/>
      </c>
      <c r="DV28" s="186" t="str">
        <f>IF(
    factorsTable[[#This Row],[sortedIndex]] = "",
    "",
    _xlfn.XLOOKUP(factorsTable[[#This Row],[sortedIndex]], factorsTable[index], factorsTable[difference])
  )</f>
        <v/>
      </c>
    </row>
    <row r="29" spans="5:126" ht="14.4" customHeight="1" x14ac:dyDescent="0.3">
      <c r="E29" s="196" cm="1">
        <f t="array" ref="E29">ROW()-ROW(UITranslationTable[#Headers])</f>
        <v>27</v>
      </c>
      <c r="F29" s="11" t="s">
        <v>813</v>
      </c>
      <c r="G29" s="185" t="str">
        <f>"The target behaviour is measured by a behaviour score for each respondent, based on their answers to ""behaviour"" questions in the survey. Up to 5 questions can be defined in the table below to calculate the behaviour score" &amp; " (or groups of questions that have been precomputed within the questionnaire by averaging several questions). The RANAS Analyser will compute the behaviour score of each respondent by normalising their score for every question on a 0" &amp; CHAR(173) &amp; "100% scale and averaging them."</f>
        <v>The target behaviour is measured by a behaviour score for each respondent, based on their answers to "behaviour" questions in the survey. Up to 5 questions can be defined in the table below to calculate the behaviour score (or groups of questions that have been precomputed within the questionnaire by averaging several questions). The RANAS Analyser will compute the behaviour score of each respondent by normalising their score for every question on a 0­100% scale and averaging them.</v>
      </c>
      <c r="H29" s="185" t="s">
        <v>814</v>
      </c>
      <c r="W29" s="186" cm="1">
        <f t="array" ref="W29">ROW()-ROW(structuredFormulaeTable[#Headers])</f>
        <v>27</v>
      </c>
      <c r="X29" s="3" t="s">
        <v>1063</v>
      </c>
      <c r="Y29" s="3" t="s">
        <v>970</v>
      </c>
      <c r="AA29" s="187" t="s">
        <v>1282</v>
      </c>
      <c r="AB29" s="187"/>
      <c r="BM29" s="3">
        <f ca="1"/>
        <v>5</v>
      </c>
      <c r="BN29" s="3">
        <f ca="1"/>
        <v>15</v>
      </c>
      <c r="BO29" s="3">
        <f ca="1"/>
        <v>1</v>
      </c>
      <c r="BP29" s="3">
        <f ca="1"/>
        <v>3</v>
      </c>
      <c r="BR29" s="3">
        <f ca="1"/>
        <v>1.9999999999999998</v>
      </c>
      <c r="BS29" s="3">
        <f ca="1"/>
        <v>3</v>
      </c>
      <c r="BT29" s="3">
        <f ca="1"/>
        <v>0.66666666666666663</v>
      </c>
      <c r="BU29" s="3" t="b">
        <f ca="1"/>
        <v>1</v>
      </c>
      <c r="CD29" s="3" cm="1">
        <f t="array" ref="CD29">ROW()-ROW(recommendedCutoffTable[#Headers])</f>
        <v>27</v>
      </c>
      <c r="CE29" s="192">
        <f>(recommendedCutoffTable[[#This Row],[index]] - 1) / 100</f>
        <v>0.26</v>
      </c>
      <c r="CF29" s="3" cm="1">
        <f t="array" aca="1" ref="CF29" ca="1">ABS(
    numScores
  - 2 * SUMPRODUCT((behaviourScore &lt;&gt; "") * (behaviourScore &lt; recommendedCutoffTable[[#This Row],[cutoffLevel]]))
  )</f>
        <v>228</v>
      </c>
      <c r="CM29" s="186" cm="1">
        <f t="array" ref="CM29">ROW()-ROW(factorsTable[#Headers])</f>
        <v>27</v>
      </c>
      <c r="CN29" s="186" t="str" cm="1">
        <f t="array" ref="CN29">KeepBlanksFunction(
    _xlfn.XLOOKUP(
      factorsTable[[#This Row],[index]],
      factorsConfigTable[index],
      factorsConfigTable[factorHeader],#REF!,
      0
    )
  )</f>
        <v/>
      </c>
      <c r="CO29" s="186" t="str">
        <f>IF(
    factorsTable[[#This Row],[factorHeader]] = "",
    "",
    _xlfn.IFNA(
      MATCH(factorsTable[[#This Row],[factorHeader]], dataHeaders, 0),
      _xlfn.IFNA(
        MATCH("*/" &amp; factorsTable[[#This Row],[factorHeader]], dataHeaders, 0),
        MATCH("*-" &amp; factorsTable[[#This Row],[factorHeader]], dataHeaders, 0)
      )
    )
  )</f>
        <v/>
      </c>
      <c r="CP29" s="186" t="str">
        <f>IF(
    factorsTable[[#This Row],[factorHeader]] = "",
    "",
    _xlfn.LET(
      _xlpm.tableValue,
      _xlfn.XLOOKUP(
        factorsTable[[#This Row],[index]],
        factorsConfigTable[index],
        factorsConfigTable[minScore],#REF!,
        0
      ),
      _xlpm.storedValue,
      IF(
        _xlpm.tableValue = "",
        NA(),
        _xlpm.tableValue
      ),
      _xlpm.storedValue
    )
  )</f>
        <v/>
      </c>
      <c r="CQ29" s="186" t="str">
        <f>IF(
    factorsTable[[#This Row],[factorHeader]] = "",
    "",
    _xlfn.LET(
      _xlpm.tableValue,
      _xlfn.XLOOKUP(
        factorsTable[[#This Row],[index]],
        factorsConfigTable[index],
        factorsConfigTable[maxScore],#REF!,
        0
      ),
      _xlpm.storedValue,
      IF(
        _xlpm.tableValue = "",
        NA(),
        _xlpm.tableValue
      ),
      _xlpm.storedValue
    )
  )</f>
        <v/>
      </c>
      <c r="CR29" s="186" t="str">
        <f>IF(
    factorsTable[[#This Row],[factorHeader]] = "",
    "",
    IF(
      ISERROR(factorsTable[[#This Row],[factorColNum]]),
      NA(),
      IF(
        ISNA(INDEX(dataRange,1,1)),
        NA(),
        MIN(INDEX(dataRange, , factorsTable[[#This Row],[factorColNum]]))
      )
    )
  )</f>
        <v/>
      </c>
      <c r="CS29" s="186" t="str">
        <f>IF(
    factorsTable[[#This Row],[factorHeader]] = "",
    "",
    IF(
      ISERROR(factorsTable[[#This Row],[factorColNum]]),
      NA(),
      IF(
        ISNA(INDEX(dataRange,1,1)),
        NA(),
        MAX(INDEX(dataRange, , factorsTable[[#This Row],[factorColNum]]))
      )
    )
  )</f>
        <v/>
      </c>
      <c r="CT29" s="186" t="b" cm="1">
        <f t="array" aca="1" ref="CT29" ca="1">AND(
    NOT(errorNoDataSheet),
    factorsTable[[#This Row],[factorHeader]] &lt;&gt; "",
    NOT(ISERROR(factorsTable[[#This Row],[factorColNum]])),
    IFERROR(factorsTable[[#This Row],[display]], FALSE),
    IFERROR(factorsTable[[#This Row],[minValue]] &lt; factorsTable[[#This Row],[minScore]], FALSE)
  )</f>
        <v>0</v>
      </c>
      <c r="CU29" s="186" t="b" cm="1">
        <f t="array" aca="1" ref="CU29" ca="1">AND(
    NOT(errorNoDataSheet),
    factorsTable[[#This Row],[factorHeader]] &lt;&gt; "",
    NOT(ISERROR(factorsTable[[#This Row],[factorColNum]])),
    IFERROR(factorsTable[[#This Row],[display]], FALSE),
    IFERROR(factorsTable[[#This Row],[maxValue]] &gt; factorsTable[[#This Row],[maxScore]], FALSE)
  )</f>
        <v>0</v>
      </c>
      <c r="CV29" s="186" t="str" cm="1">
        <f t="array" ref="CV29">IF(
    factorsTable[[#This Row],[factorHeader]] = "",
    "",
    IF(
      ISNA(INDEX(dataRange,1,1)),
      NA(),
      SUMPRODUCT(
          IF(isDoer = "", 0, NOT(isDoer))
        * (INDEX(dataRange, , factorsTable[[#This Row],[factorColNum]]) &lt;&gt; "")
      )
    )
  )</f>
        <v/>
      </c>
      <c r="CW29" s="186" t="str" cm="1">
        <f t="array" ref="CW29">IF(
    factorsTable[[#This Row],[factorHeader]] = "",
    "",
    IF(
      ISNA(INDEX(dataRange,1,1)),
      NA(),
      SUMPRODUCT(
          IF(isDoer = "", 0, isDoer)
        * (INDEX(dataRange, , factorsTable[[#This Row],[factorColNum]]) &lt;&gt; "")
      )
    )
  )</f>
        <v/>
      </c>
      <c r="CX29" s="186" t="str" cm="1">
        <f t="array" ref="CX29">IF(
    factorsTable[[#This Row],[factorHeader]] = "",
    "",
    IF(
      ISERROR(factorsTable[[#This Row],[factorColNum]]),
      UITranslateForValueTable("dataNotFound", UITranslationTable[tag], UITranslationTable[], UITranslationTable[#Headers]),
      factorsTable[[#This Row],[numDoers]] + factorsTable[[#This Row],[numNondoers]]
    )
  )</f>
        <v/>
      </c>
      <c r="CY29" s="186" t="str" cm="1">
        <f t="array" ref="CY29">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9" s="186" t="str" cm="1">
        <f t="array" ref="CZ29">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9" s="186" t="str">
        <f>IF(
    factorsTable[[#This Row],[factorHeader]] = "",
    "",
    factorsTable[[#This Row],[doers]] - factorsTable[[#This Row],[nondoers]]
  )</f>
        <v/>
      </c>
      <c r="DB29" s="186" t="str">
        <f>IF(
    factorsTable[[#This Row],[factorHeader]] = "",
    "",
    _xlfn.XLOOKUP(
      _xlfn.XLOOKUP(
        factorsTable[[#This Row],[index]],
        factorsConfigTable[index],
        factorsConfigTable[displayConfig],#REF!,
        0
      ),
      yesNoTable[label],
      yesNoTable[tag],
      "",
      0
    )
  )</f>
        <v/>
      </c>
      <c r="DC29" s="186" t="b">
        <f>IF(
    factorsTable[[#This Row],[factorHeader]] = "",
    FALSE,
    IF(
      factorsTable[[#This Row],[displayConfig]] = "yes",
      TRUE,
      IF(
        factorsTable[[#This Row],[displayConfig]] = "no",
        FALSE,
        NA()
      )
    )
  )</f>
        <v>0</v>
      </c>
      <c r="DD29" s="186" t="str" cm="1">
        <f t="array" ref="DD29">FilterTrueColumn(factorsTable[[#This Row],[index]], factorsTable[index], factorsTable[filteredIndex], factorsTable[display])</f>
        <v/>
      </c>
      <c r="DE29" s="186" t="str">
        <f>IF(
    factorsTable[[#This Row],[filteredIndex]] = "",
    "",
    _xlfn.IFNA(
      _xlfn.XLOOKUP(factorsTable[[#This Row],[filteredIndex]], factorsTable[index], factorsTable[difference]),
      -99
    )
  )</f>
        <v/>
      </c>
      <c r="DF29" s="186" t="str">
        <f>IF(
    factorsTable[[#This Row],[filteredIndex]] = "",
    "",
    IF(
      factorsTable[[#This Row],[relDiff]] = -99,
      -99,
      ABS(factorsTable[[#This Row],[relDiff]])
    )
  )</f>
        <v/>
      </c>
      <c r="DG29" s="186" t="str">
        <f>IF(
    factorsTable[[#This Row],[filteredIndex]] = "",
    "",
    _xlfn.XLOOKUP(
      _xlfn.XLOOKUP(
        factorsTable[[#This Row],[filteredIndex]],
        factorsConfigTable[index],
        factorsConfigTable[RANASBlock],#REF!,
        0
      ),
      RANASBlocksTable[label],
      RANASBlocksTable[index],
      6,
      0
    )
  )</f>
        <v/>
      </c>
      <c r="DH29" s="186" t="str">
        <f>IF(
    factorsTable[[#This Row],[filteredIndex]] = "",
    "",
    _xlfn.RANK.EQ(factorsTable[[#This Row],[relDiff]], factorsTable[relDiff], 0)
  )</f>
        <v/>
      </c>
      <c r="DI29" s="186" t="str">
        <f>IF(
    factorsTable[[#This Row],[filteredIndex]] = "",
    "",
    _xlfn.RANK.EQ(factorsTable[[#This Row],[absDiff]], factorsTable[absDiff], 0)
  )</f>
        <v/>
      </c>
      <c r="DJ29" s="186" t="str">
        <f>IF(
    factorsTable[[#This Row],[filteredIndex]] = "",
    "",
    _xlfn.RANK.EQ(factorsTable[[#This Row],[RANASIndex]], factorsTable[RANASIndex], 1)
  )</f>
        <v/>
      </c>
      <c r="DK29" s="186" t="str" cm="1">
        <f t="array" ref="DK29">_xlfn.SWITCH(
    sortingMethodTag,
    "none", factorsTable[[#This Row],[filteredIndex]],
    "relDiff", factorsTable[[#This Row],[relDiffRank]],
    "absDiff", factorsTable[[#This Row],[absDiffRank]],
    "RANAS", factorsTable[[#This Row],[RANASRank]],
    factorsTable[[#This Row],[filteredIndex]]
  )</f>
        <v/>
      </c>
      <c r="DL29" s="186" t="str">
        <f>IF(
    factorsTable[[#This Row],[filteredIndex]] = "",
    "",
    factorsTable[[#This Row],[selectedRank]]
      + COUNTIF(INDEX(factorsTable[selectedRank], 1):INDEX(factorsTable[selectedRank], factorsTable[[#This Row],[index]]), factorsTable[[#This Row],[selectedRank]])
      - 1
  )</f>
        <v/>
      </c>
      <c r="DM29" s="186" t="str">
        <f>IF(
    factorsTable[[#This Row],[filteredIndex]] = "",
    "",
    _xlfn.XLOOKUP(
      factorsTable[[#This Row],[index]],
      factorsTable[uniqueRank],
      factorsTable[filteredIndex],#REF!,
      0
    )
  )</f>
        <v/>
      </c>
      <c r="DN29" s="186" t="str" cm="1">
        <f t="array" ref="DN29">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29" s="186" t="str" cm="1">
        <f t="array" ref="DO29">IF(
    factorsTable[[#This Row],[sortedIndex]] = "",
    "",
    IF(
      factorsTable[[#This Row],[langSpecFactor]] = "",
      UITranslateForValueTable("noTranslation", UITranslationTable[tag], UITranslationTable[], UITranslationTable[#Headers]),
      factorsTable[[#This Row],[langSpecFactor]]
    )
  )</f>
        <v/>
      </c>
      <c r="DP29" s="186" t="str">
        <f>IF(
    factorsTable[[#This Row],[sortedIndex]] = "",
    "",
    _xlfn.XLOOKUP(
      _xlfn.XLOOKUP(
        factorsTable[[#This Row],[sortedIndex]],
        factorsConfigTable[index],
        factorsConfigTable[RANASBlock],#REF!,
        0
      ),
      RANASBlocksTable[label],
      RANASBlocksTable[tag],
      NA(),
      0
    )
  )</f>
        <v/>
      </c>
      <c r="DQ29" s="186" t="str" cm="1">
        <f t="array" ref="DQ29">IF(
    factorsTable[[#This Row],[sortedIndex]] = "",
    "",
    _xlfn.IFNA(
      _xlfn.XLOOKUP(factorsTable[[#This Row],[RANASTag]], RANASBlocksTable[tag], RANASBlocksTable[langSpecLabel]),
      UITranslateForValueTable("noRANASBlock", UITranslationTable[tag], UITranslationTable[], UITranslationTable[#Headers])
    )
  )</f>
        <v/>
      </c>
      <c r="DR29" s="186"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29" s="186" t="str">
        <f>IF(
    factorsTable[[#This Row],[sortedIndex]] = "",
    "",
    _xlfn.XLOOKUP(factorsTable[[#This Row],[sortedIndex]], factorsTable[index], factorsTable[numTotal])
  )</f>
        <v/>
      </c>
      <c r="DT29" s="186" t="str">
        <f>IF(
    factorsTable[[#This Row],[sortedIndex]] = "",
    "",
    _xlfn.XLOOKUP(factorsTable[[#This Row],[sortedIndex]], factorsTable[index], factorsTable[nondoers])
  )</f>
        <v/>
      </c>
      <c r="DU29" s="186" t="str">
        <f>IF(
    factorsTable[[#This Row],[sortedIndex]] = "",
    "",
    _xlfn.XLOOKUP(factorsTable[[#This Row],[sortedIndex]], factorsTable[index], factorsTable[doers])
  )</f>
        <v/>
      </c>
      <c r="DV29" s="186" t="str">
        <f>IF(
    factorsTable[[#This Row],[sortedIndex]] = "",
    "",
    _xlfn.XLOOKUP(factorsTable[[#This Row],[sortedIndex]], factorsTable[index], factorsTable[difference])
  )</f>
        <v/>
      </c>
    </row>
    <row r="30" spans="5:126" ht="14.4" customHeight="1" x14ac:dyDescent="0.3">
      <c r="E30" s="196" cm="1">
        <f t="array" ref="E30">ROW()-ROW(UITranslationTable[#Headers])</f>
        <v>28</v>
      </c>
      <c r="F30" s="11" t="s">
        <v>849</v>
      </c>
      <c r="G30" s="185" t="s">
        <v>620</v>
      </c>
      <c r="H30" s="185" t="s">
        <v>631</v>
      </c>
      <c r="W30" s="186" cm="1">
        <f t="array" ref="W30">ROW()-ROW(structuredFormulaeTable[#Headers])</f>
        <v>28</v>
      </c>
      <c r="X30" s="3" t="s">
        <v>1063</v>
      </c>
      <c r="Y30" s="3" t="s">
        <v>971</v>
      </c>
      <c r="AA30" s="187" t="s">
        <v>1283</v>
      </c>
      <c r="AB30" s="187"/>
      <c r="BM30" s="3">
        <f ca="1"/>
        <v>5</v>
      </c>
      <c r="BN30" s="3">
        <f ca="1"/>
        <v>5</v>
      </c>
      <c r="BO30" s="3">
        <f ca="1"/>
        <v>1</v>
      </c>
      <c r="BP30" s="3">
        <f ca="1"/>
        <v>2</v>
      </c>
      <c r="BR30" s="3">
        <f ca="1"/>
        <v>1.3333333333333333</v>
      </c>
      <c r="BS30" s="3">
        <f ca="1"/>
        <v>3</v>
      </c>
      <c r="BT30" s="3">
        <f ca="1"/>
        <v>0.44444444444444442</v>
      </c>
      <c r="BU30" s="3" t="b">
        <f ca="1"/>
        <v>0</v>
      </c>
      <c r="CD30" s="3" cm="1">
        <f t="array" ref="CD30">ROW()-ROW(recommendedCutoffTable[#Headers])</f>
        <v>28</v>
      </c>
      <c r="CE30" s="192">
        <f>(recommendedCutoffTable[[#This Row],[index]] - 1) / 100</f>
        <v>0.27</v>
      </c>
      <c r="CF30" s="3" cm="1">
        <f t="array" aca="1" ref="CF30" ca="1">ABS(
    numScores
  - 2 * SUMPRODUCT((behaviourScore &lt;&gt; "") * (behaviourScore &lt; recommendedCutoffTable[[#This Row],[cutoffLevel]]))
  )</f>
        <v>228</v>
      </c>
      <c r="CM30" s="186" cm="1">
        <f t="array" ref="CM30">ROW()-ROW(factorsTable[#Headers])</f>
        <v>28</v>
      </c>
      <c r="CN30" s="186" t="str" cm="1">
        <f t="array" ref="CN30">KeepBlanksFunction(
    _xlfn.XLOOKUP(
      factorsTable[[#This Row],[index]],
      factorsConfigTable[index],
      factorsConfigTable[factorHeader],#REF!,
      0
    )
  )</f>
        <v/>
      </c>
      <c r="CO30" s="186" t="str">
        <f>IF(
    factorsTable[[#This Row],[factorHeader]] = "",
    "",
    _xlfn.IFNA(
      MATCH(factorsTable[[#This Row],[factorHeader]], dataHeaders, 0),
      _xlfn.IFNA(
        MATCH("*/" &amp; factorsTable[[#This Row],[factorHeader]], dataHeaders, 0),
        MATCH("*-" &amp; factorsTable[[#This Row],[factorHeader]], dataHeaders, 0)
      )
    )
  )</f>
        <v/>
      </c>
      <c r="CP30" s="186" t="str">
        <f>IF(
    factorsTable[[#This Row],[factorHeader]] = "",
    "",
    _xlfn.LET(
      _xlpm.tableValue,
      _xlfn.XLOOKUP(
        factorsTable[[#This Row],[index]],
        factorsConfigTable[index],
        factorsConfigTable[minScore],#REF!,
        0
      ),
      _xlpm.storedValue,
      IF(
        _xlpm.tableValue = "",
        NA(),
        _xlpm.tableValue
      ),
      _xlpm.storedValue
    )
  )</f>
        <v/>
      </c>
      <c r="CQ30" s="186" t="str">
        <f>IF(
    factorsTable[[#This Row],[factorHeader]] = "",
    "",
    _xlfn.LET(
      _xlpm.tableValue,
      _xlfn.XLOOKUP(
        factorsTable[[#This Row],[index]],
        factorsConfigTable[index],
        factorsConfigTable[maxScore],#REF!,
        0
      ),
      _xlpm.storedValue,
      IF(
        _xlpm.tableValue = "",
        NA(),
        _xlpm.tableValue
      ),
      _xlpm.storedValue
    )
  )</f>
        <v/>
      </c>
      <c r="CR30" s="186" t="str">
        <f>IF(
    factorsTable[[#This Row],[factorHeader]] = "",
    "",
    IF(
      ISERROR(factorsTable[[#This Row],[factorColNum]]),
      NA(),
      IF(
        ISNA(INDEX(dataRange,1,1)),
        NA(),
        MIN(INDEX(dataRange, , factorsTable[[#This Row],[factorColNum]]))
      )
    )
  )</f>
        <v/>
      </c>
      <c r="CS30" s="186" t="str">
        <f>IF(
    factorsTable[[#This Row],[factorHeader]] = "",
    "",
    IF(
      ISERROR(factorsTable[[#This Row],[factorColNum]]),
      NA(),
      IF(
        ISNA(INDEX(dataRange,1,1)),
        NA(),
        MAX(INDEX(dataRange, , factorsTable[[#This Row],[factorColNum]]))
      )
    )
  )</f>
        <v/>
      </c>
      <c r="CT30" s="186" t="b" cm="1">
        <f t="array" aca="1" ref="CT30" ca="1">AND(
    NOT(errorNoDataSheet),
    factorsTable[[#This Row],[factorHeader]] &lt;&gt; "",
    NOT(ISERROR(factorsTable[[#This Row],[factorColNum]])),
    IFERROR(factorsTable[[#This Row],[display]], FALSE),
    IFERROR(factorsTable[[#This Row],[minValue]] &lt; factorsTable[[#This Row],[minScore]], FALSE)
  )</f>
        <v>0</v>
      </c>
      <c r="CU30" s="186" t="b" cm="1">
        <f t="array" aca="1" ref="CU30" ca="1">AND(
    NOT(errorNoDataSheet),
    factorsTable[[#This Row],[factorHeader]] &lt;&gt; "",
    NOT(ISERROR(factorsTable[[#This Row],[factorColNum]])),
    IFERROR(factorsTable[[#This Row],[display]], FALSE),
    IFERROR(factorsTable[[#This Row],[maxValue]] &gt; factorsTable[[#This Row],[maxScore]], FALSE)
  )</f>
        <v>0</v>
      </c>
      <c r="CV30" s="186" t="str" cm="1">
        <f t="array" ref="CV30">IF(
    factorsTable[[#This Row],[factorHeader]] = "",
    "",
    IF(
      ISNA(INDEX(dataRange,1,1)),
      NA(),
      SUMPRODUCT(
          IF(isDoer = "", 0, NOT(isDoer))
        * (INDEX(dataRange, , factorsTable[[#This Row],[factorColNum]]) &lt;&gt; "")
      )
    )
  )</f>
        <v/>
      </c>
      <c r="CW30" s="186" t="str" cm="1">
        <f t="array" ref="CW30">IF(
    factorsTable[[#This Row],[factorHeader]] = "",
    "",
    IF(
      ISNA(INDEX(dataRange,1,1)),
      NA(),
      SUMPRODUCT(
          IF(isDoer = "", 0, isDoer)
        * (INDEX(dataRange, , factorsTable[[#This Row],[factorColNum]]) &lt;&gt; "")
      )
    )
  )</f>
        <v/>
      </c>
      <c r="CX30" s="186" t="str" cm="1">
        <f t="array" ref="CX30">IF(
    factorsTable[[#This Row],[factorHeader]] = "",
    "",
    IF(
      ISERROR(factorsTable[[#This Row],[factorColNum]]),
      UITranslateForValueTable("dataNotFound", UITranslationTable[tag], UITranslationTable[], UITranslationTable[#Headers]),
      factorsTable[[#This Row],[numDoers]] + factorsTable[[#This Row],[numNondoers]]
    )
  )</f>
        <v/>
      </c>
      <c r="CY30" s="186" t="str" cm="1">
        <f t="array" ref="CY30">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30" s="186" t="str" cm="1">
        <f t="array" ref="CZ30">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30" s="186" t="str">
        <f>IF(
    factorsTable[[#This Row],[factorHeader]] = "",
    "",
    factorsTable[[#This Row],[doers]] - factorsTable[[#This Row],[nondoers]]
  )</f>
        <v/>
      </c>
      <c r="DB30" s="186" t="str">
        <f>IF(
    factorsTable[[#This Row],[factorHeader]] = "",
    "",
    _xlfn.XLOOKUP(
      _xlfn.XLOOKUP(
        factorsTable[[#This Row],[index]],
        factorsConfigTable[index],
        factorsConfigTable[displayConfig],#REF!,
        0
      ),
      yesNoTable[label],
      yesNoTable[tag],
      "",
      0
    )
  )</f>
        <v/>
      </c>
      <c r="DC30" s="186" t="b">
        <f>IF(
    factorsTable[[#This Row],[factorHeader]] = "",
    FALSE,
    IF(
      factorsTable[[#This Row],[displayConfig]] = "yes",
      TRUE,
      IF(
        factorsTable[[#This Row],[displayConfig]] = "no",
        FALSE,
        NA()
      )
    )
  )</f>
        <v>0</v>
      </c>
      <c r="DD30" s="186" t="str" cm="1">
        <f t="array" ref="DD30">FilterTrueColumn(factorsTable[[#This Row],[index]], factorsTable[index], factorsTable[filteredIndex], factorsTable[display])</f>
        <v/>
      </c>
      <c r="DE30" s="186" t="str">
        <f>IF(
    factorsTable[[#This Row],[filteredIndex]] = "",
    "",
    _xlfn.IFNA(
      _xlfn.XLOOKUP(factorsTable[[#This Row],[filteredIndex]], factorsTable[index], factorsTable[difference]),
      -99
    )
  )</f>
        <v/>
      </c>
      <c r="DF30" s="186" t="str">
        <f>IF(
    factorsTable[[#This Row],[filteredIndex]] = "",
    "",
    IF(
      factorsTable[[#This Row],[relDiff]] = -99,
      -99,
      ABS(factorsTable[[#This Row],[relDiff]])
    )
  )</f>
        <v/>
      </c>
      <c r="DG30" s="186" t="str">
        <f>IF(
    factorsTable[[#This Row],[filteredIndex]] = "",
    "",
    _xlfn.XLOOKUP(
      _xlfn.XLOOKUP(
        factorsTable[[#This Row],[filteredIndex]],
        factorsConfigTable[index],
        factorsConfigTable[RANASBlock],#REF!,
        0
      ),
      RANASBlocksTable[label],
      RANASBlocksTable[index],
      6,
      0
    )
  )</f>
        <v/>
      </c>
      <c r="DH30" s="186" t="str">
        <f>IF(
    factorsTable[[#This Row],[filteredIndex]] = "",
    "",
    _xlfn.RANK.EQ(factorsTable[[#This Row],[relDiff]], factorsTable[relDiff], 0)
  )</f>
        <v/>
      </c>
      <c r="DI30" s="186" t="str">
        <f>IF(
    factorsTable[[#This Row],[filteredIndex]] = "",
    "",
    _xlfn.RANK.EQ(factorsTable[[#This Row],[absDiff]], factorsTable[absDiff], 0)
  )</f>
        <v/>
      </c>
      <c r="DJ30" s="186" t="str">
        <f>IF(
    factorsTable[[#This Row],[filteredIndex]] = "",
    "",
    _xlfn.RANK.EQ(factorsTable[[#This Row],[RANASIndex]], factorsTable[RANASIndex], 1)
  )</f>
        <v/>
      </c>
      <c r="DK30" s="186" t="str" cm="1">
        <f t="array" ref="DK30">_xlfn.SWITCH(
    sortingMethodTag,
    "none", factorsTable[[#This Row],[filteredIndex]],
    "relDiff", factorsTable[[#This Row],[relDiffRank]],
    "absDiff", factorsTable[[#This Row],[absDiffRank]],
    "RANAS", factorsTable[[#This Row],[RANASRank]],
    factorsTable[[#This Row],[filteredIndex]]
  )</f>
        <v/>
      </c>
      <c r="DL30" s="186" t="str">
        <f>IF(
    factorsTable[[#This Row],[filteredIndex]] = "",
    "",
    factorsTable[[#This Row],[selectedRank]]
      + COUNTIF(INDEX(factorsTable[selectedRank], 1):INDEX(factorsTable[selectedRank], factorsTable[[#This Row],[index]]), factorsTable[[#This Row],[selectedRank]])
      - 1
  )</f>
        <v/>
      </c>
      <c r="DM30" s="186" t="str">
        <f>IF(
    factorsTable[[#This Row],[filteredIndex]] = "",
    "",
    _xlfn.XLOOKUP(
      factorsTable[[#This Row],[index]],
      factorsTable[uniqueRank],
      factorsTable[filteredIndex],#REF!,
      0
    )
  )</f>
        <v/>
      </c>
      <c r="DN30" s="186" t="str" cm="1">
        <f t="array" ref="DN30">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30" s="186" t="str" cm="1">
        <f t="array" ref="DO30">IF(
    factorsTable[[#This Row],[sortedIndex]] = "",
    "",
    IF(
      factorsTable[[#This Row],[langSpecFactor]] = "",
      UITranslateForValueTable("noTranslation", UITranslationTable[tag], UITranslationTable[], UITranslationTable[#Headers]),
      factorsTable[[#This Row],[langSpecFactor]]
    )
  )</f>
        <v/>
      </c>
      <c r="DP30" s="186" t="str">
        <f>IF(
    factorsTable[[#This Row],[sortedIndex]] = "",
    "",
    _xlfn.XLOOKUP(
      _xlfn.XLOOKUP(
        factorsTable[[#This Row],[sortedIndex]],
        factorsConfigTable[index],
        factorsConfigTable[RANASBlock],#REF!,
        0
      ),
      RANASBlocksTable[label],
      RANASBlocksTable[tag],
      NA(),
      0
    )
  )</f>
        <v/>
      </c>
      <c r="DQ30" s="186" t="str" cm="1">
        <f t="array" ref="DQ30">IF(
    factorsTable[[#This Row],[sortedIndex]] = "",
    "",
    _xlfn.IFNA(
      _xlfn.XLOOKUP(factorsTable[[#This Row],[RANASTag]], RANASBlocksTable[tag], RANASBlocksTable[langSpecLabel]),
      UITranslateForValueTable("noRANASBlock", UITranslationTable[tag], UITranslationTable[], UITranslationTable[#Headers])
    )
  )</f>
        <v/>
      </c>
      <c r="DR30" s="186"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30" s="186" t="str">
        <f>IF(
    factorsTable[[#This Row],[sortedIndex]] = "",
    "",
    _xlfn.XLOOKUP(factorsTable[[#This Row],[sortedIndex]], factorsTable[index], factorsTable[numTotal])
  )</f>
        <v/>
      </c>
      <c r="DT30" s="186" t="str">
        <f>IF(
    factorsTable[[#This Row],[sortedIndex]] = "",
    "",
    _xlfn.XLOOKUP(factorsTable[[#This Row],[sortedIndex]], factorsTable[index], factorsTable[nondoers])
  )</f>
        <v/>
      </c>
      <c r="DU30" s="186" t="str">
        <f>IF(
    factorsTable[[#This Row],[sortedIndex]] = "",
    "",
    _xlfn.XLOOKUP(factorsTable[[#This Row],[sortedIndex]], factorsTable[index], factorsTable[doers])
  )</f>
        <v/>
      </c>
      <c r="DV30" s="186" t="str">
        <f>IF(
    factorsTable[[#This Row],[sortedIndex]] = "",
    "",
    _xlfn.XLOOKUP(factorsTable[[#This Row],[sortedIndex]], factorsTable[index], factorsTable[difference])
  )</f>
        <v/>
      </c>
    </row>
    <row r="31" spans="5:126" ht="14.4" customHeight="1" x14ac:dyDescent="0.3">
      <c r="E31" s="196" cm="1">
        <f t="array" ref="E31">ROW()-ROW(UITranslationTable[#Headers])</f>
        <v>29</v>
      </c>
      <c r="F31" s="11" t="s">
        <v>815</v>
      </c>
      <c r="G31" s="185" t="str" cm="1">
        <f t="array" ref="G31">"a. You MUST enter the data headers for the (groups of) questions that you want to include in the behaviour score, EXACTLY as they appear in your """ &amp; sheetNameData &amp; """ sheet."</f>
        <v>a. You MUST enter the data headers for the (groups of) questions that you want to include in the behaviour score, EXACTLY as they appear in your "data" sheet.</v>
      </c>
      <c r="H31" s="185" t="str" cm="1">
        <f t="array" ref="H31">"a. Vous DEVEZ saisir les en-têtes de données pour les (groupes de) questions que vous souhaitez inclure dans le score de comportement, EXACTEMENT comme ils apparaissent dans votre feuille «" &amp; sheetNameData &amp; "»."</f>
        <v>a. Vous DEVEZ saisir les en-têtes de données pour les (groupes de) questions que vous souhaitez inclure dans le score de comportement, EXACTEMENT comme ils apparaissent dans votre feuille «data».</v>
      </c>
      <c r="W31" s="186" cm="1">
        <f t="array" ref="W31">ROW()-ROW(structuredFormulaeTable[#Headers])</f>
        <v>29</v>
      </c>
      <c r="X31" s="3" t="s">
        <v>1063</v>
      </c>
      <c r="Y31" s="3" t="s">
        <v>972</v>
      </c>
      <c r="AA31" s="187" t="s">
        <v>1284</v>
      </c>
      <c r="AB31" s="187"/>
      <c r="BM31" s="3">
        <f ca="1"/>
        <v>5</v>
      </c>
      <c r="BN31" s="3">
        <f ca="1"/>
        <v>10</v>
      </c>
      <c r="BO31" s="3">
        <f ca="1"/>
        <v>2</v>
      </c>
      <c r="BP31" s="3">
        <f ca="1"/>
        <v>2</v>
      </c>
      <c r="BR31" s="3">
        <f ca="1"/>
        <v>2</v>
      </c>
      <c r="BS31" s="3">
        <f ca="1"/>
        <v>3</v>
      </c>
      <c r="BT31" s="3">
        <f ca="1"/>
        <v>0.66666666666666663</v>
      </c>
      <c r="BU31" s="3" t="b">
        <f ca="1"/>
        <v>1</v>
      </c>
      <c r="CD31" s="3" cm="1">
        <f t="array" ref="CD31">ROW()-ROW(recommendedCutoffTable[#Headers])</f>
        <v>29</v>
      </c>
      <c r="CE31" s="192">
        <f>(recommendedCutoffTable[[#This Row],[index]] - 1) / 100</f>
        <v>0.28000000000000003</v>
      </c>
      <c r="CF31" s="3" cm="1">
        <f t="array" aca="1" ref="CF31" ca="1">ABS(
    numScores
  - 2 * SUMPRODUCT((behaviourScore &lt;&gt; "") * (behaviourScore &lt; recommendedCutoffTable[[#This Row],[cutoffLevel]]))
  )</f>
        <v>206</v>
      </c>
      <c r="CM31" s="186" cm="1">
        <f t="array" ref="CM31">ROW()-ROW(factorsTable[#Headers])</f>
        <v>29</v>
      </c>
      <c r="CN31" s="186" t="str" cm="1">
        <f t="array" ref="CN31">KeepBlanksFunction(
    _xlfn.XLOOKUP(
      factorsTable[[#This Row],[index]],
      factorsConfigTable[index],
      factorsConfigTable[factorHeader],#REF!,
      0
    )
  )</f>
        <v/>
      </c>
      <c r="CO31" s="186" t="str">
        <f>IF(
    factorsTable[[#This Row],[factorHeader]] = "",
    "",
    _xlfn.IFNA(
      MATCH(factorsTable[[#This Row],[factorHeader]], dataHeaders, 0),
      _xlfn.IFNA(
        MATCH("*/" &amp; factorsTable[[#This Row],[factorHeader]], dataHeaders, 0),
        MATCH("*-" &amp; factorsTable[[#This Row],[factorHeader]], dataHeaders, 0)
      )
    )
  )</f>
        <v/>
      </c>
      <c r="CP31" s="186" t="str">
        <f>IF(
    factorsTable[[#This Row],[factorHeader]] = "",
    "",
    _xlfn.LET(
      _xlpm.tableValue,
      _xlfn.XLOOKUP(
        factorsTable[[#This Row],[index]],
        factorsConfigTable[index],
        factorsConfigTable[minScore],#REF!,
        0
      ),
      _xlpm.storedValue,
      IF(
        _xlpm.tableValue = "",
        NA(),
        _xlpm.tableValue
      ),
      _xlpm.storedValue
    )
  )</f>
        <v/>
      </c>
      <c r="CQ31" s="186" t="str">
        <f>IF(
    factorsTable[[#This Row],[factorHeader]] = "",
    "",
    _xlfn.LET(
      _xlpm.tableValue,
      _xlfn.XLOOKUP(
        factorsTable[[#This Row],[index]],
        factorsConfigTable[index],
        factorsConfigTable[maxScore],#REF!,
        0
      ),
      _xlpm.storedValue,
      IF(
        _xlpm.tableValue = "",
        NA(),
        _xlpm.tableValue
      ),
      _xlpm.storedValue
    )
  )</f>
        <v/>
      </c>
      <c r="CR31" s="186" t="str">
        <f>IF(
    factorsTable[[#This Row],[factorHeader]] = "",
    "",
    IF(
      ISERROR(factorsTable[[#This Row],[factorColNum]]),
      NA(),
      IF(
        ISNA(INDEX(dataRange,1,1)),
        NA(),
        MIN(INDEX(dataRange, , factorsTable[[#This Row],[factorColNum]]))
      )
    )
  )</f>
        <v/>
      </c>
      <c r="CS31" s="186" t="str">
        <f>IF(
    factorsTable[[#This Row],[factorHeader]] = "",
    "",
    IF(
      ISERROR(factorsTable[[#This Row],[factorColNum]]),
      NA(),
      IF(
        ISNA(INDEX(dataRange,1,1)),
        NA(),
        MAX(INDEX(dataRange, , factorsTable[[#This Row],[factorColNum]]))
      )
    )
  )</f>
        <v/>
      </c>
      <c r="CT31" s="186" t="b" cm="1">
        <f t="array" aca="1" ref="CT31" ca="1">AND(
    NOT(errorNoDataSheet),
    factorsTable[[#This Row],[factorHeader]] &lt;&gt; "",
    NOT(ISERROR(factorsTable[[#This Row],[factorColNum]])),
    IFERROR(factorsTable[[#This Row],[display]], FALSE),
    IFERROR(factorsTable[[#This Row],[minValue]] &lt; factorsTable[[#This Row],[minScore]], FALSE)
  )</f>
        <v>0</v>
      </c>
      <c r="CU31" s="186" t="b" cm="1">
        <f t="array" aca="1" ref="CU31" ca="1">AND(
    NOT(errorNoDataSheet),
    factorsTable[[#This Row],[factorHeader]] &lt;&gt; "",
    NOT(ISERROR(factorsTable[[#This Row],[factorColNum]])),
    IFERROR(factorsTable[[#This Row],[display]], FALSE),
    IFERROR(factorsTable[[#This Row],[maxValue]] &gt; factorsTable[[#This Row],[maxScore]], FALSE)
  )</f>
        <v>0</v>
      </c>
      <c r="CV31" s="186" t="str" cm="1">
        <f t="array" ref="CV31">IF(
    factorsTable[[#This Row],[factorHeader]] = "",
    "",
    IF(
      ISNA(INDEX(dataRange,1,1)),
      NA(),
      SUMPRODUCT(
          IF(isDoer = "", 0, NOT(isDoer))
        * (INDEX(dataRange, , factorsTable[[#This Row],[factorColNum]]) &lt;&gt; "")
      )
    )
  )</f>
        <v/>
      </c>
      <c r="CW31" s="186" t="str" cm="1">
        <f t="array" ref="CW31">IF(
    factorsTable[[#This Row],[factorHeader]] = "",
    "",
    IF(
      ISNA(INDEX(dataRange,1,1)),
      NA(),
      SUMPRODUCT(
          IF(isDoer = "", 0, isDoer)
        * (INDEX(dataRange, , factorsTable[[#This Row],[factorColNum]]) &lt;&gt; "")
      )
    )
  )</f>
        <v/>
      </c>
      <c r="CX31" s="186" t="str" cm="1">
        <f t="array" ref="CX31">IF(
    factorsTable[[#This Row],[factorHeader]] = "",
    "",
    IF(
      ISERROR(factorsTable[[#This Row],[factorColNum]]),
      UITranslateForValueTable("dataNotFound", UITranslationTable[tag], UITranslationTable[], UITranslationTable[#Headers]),
      factorsTable[[#This Row],[numDoers]] + factorsTable[[#This Row],[numNondoers]]
    )
  )</f>
        <v/>
      </c>
      <c r="CY31" s="186" t="str" cm="1">
        <f t="array" ref="CY3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31" s="186" t="str" cm="1">
        <f t="array" ref="CZ3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31" s="186" t="str">
        <f>IF(
    factorsTable[[#This Row],[factorHeader]] = "",
    "",
    factorsTable[[#This Row],[doers]] - factorsTable[[#This Row],[nondoers]]
  )</f>
        <v/>
      </c>
      <c r="DB31" s="186" t="str">
        <f>IF(
    factorsTable[[#This Row],[factorHeader]] = "",
    "",
    _xlfn.XLOOKUP(
      _xlfn.XLOOKUP(
        factorsTable[[#This Row],[index]],
        factorsConfigTable[index],
        factorsConfigTable[displayConfig],#REF!,
        0
      ),
      yesNoTable[label],
      yesNoTable[tag],
      "",
      0
    )
  )</f>
        <v/>
      </c>
      <c r="DC31" s="186" t="b">
        <f>IF(
    factorsTable[[#This Row],[factorHeader]] = "",
    FALSE,
    IF(
      factorsTable[[#This Row],[displayConfig]] = "yes",
      TRUE,
      IF(
        factorsTable[[#This Row],[displayConfig]] = "no",
        FALSE,
        NA()
      )
    )
  )</f>
        <v>0</v>
      </c>
      <c r="DD31" s="186" t="str" cm="1">
        <f t="array" ref="DD31">FilterTrueColumn(factorsTable[[#This Row],[index]], factorsTable[index], factorsTable[filteredIndex], factorsTable[display])</f>
        <v/>
      </c>
      <c r="DE31" s="186" t="str">
        <f>IF(
    factorsTable[[#This Row],[filteredIndex]] = "",
    "",
    _xlfn.IFNA(
      _xlfn.XLOOKUP(factorsTable[[#This Row],[filteredIndex]], factorsTable[index], factorsTable[difference]),
      -99
    )
  )</f>
        <v/>
      </c>
      <c r="DF31" s="186" t="str">
        <f>IF(
    factorsTable[[#This Row],[filteredIndex]] = "",
    "",
    IF(
      factorsTable[[#This Row],[relDiff]] = -99,
      -99,
      ABS(factorsTable[[#This Row],[relDiff]])
    )
  )</f>
        <v/>
      </c>
      <c r="DG31" s="186" t="str">
        <f>IF(
    factorsTable[[#This Row],[filteredIndex]] = "",
    "",
    _xlfn.XLOOKUP(
      _xlfn.XLOOKUP(
        factorsTable[[#This Row],[filteredIndex]],
        factorsConfigTable[index],
        factorsConfigTable[RANASBlock],#REF!,
        0
      ),
      RANASBlocksTable[label],
      RANASBlocksTable[index],
      6,
      0
    )
  )</f>
        <v/>
      </c>
      <c r="DH31" s="186" t="str">
        <f>IF(
    factorsTable[[#This Row],[filteredIndex]] = "",
    "",
    _xlfn.RANK.EQ(factorsTable[[#This Row],[relDiff]], factorsTable[relDiff], 0)
  )</f>
        <v/>
      </c>
      <c r="DI31" s="186" t="str">
        <f>IF(
    factorsTable[[#This Row],[filteredIndex]] = "",
    "",
    _xlfn.RANK.EQ(factorsTable[[#This Row],[absDiff]], factorsTable[absDiff], 0)
  )</f>
        <v/>
      </c>
      <c r="DJ31" s="186" t="str">
        <f>IF(
    factorsTable[[#This Row],[filteredIndex]] = "",
    "",
    _xlfn.RANK.EQ(factorsTable[[#This Row],[RANASIndex]], factorsTable[RANASIndex], 1)
  )</f>
        <v/>
      </c>
      <c r="DK31" s="186" t="str" cm="1">
        <f t="array" ref="DK31">_xlfn.SWITCH(
    sortingMethodTag,
    "none", factorsTable[[#This Row],[filteredIndex]],
    "relDiff", factorsTable[[#This Row],[relDiffRank]],
    "absDiff", factorsTable[[#This Row],[absDiffRank]],
    "RANAS", factorsTable[[#This Row],[RANASRank]],
    factorsTable[[#This Row],[filteredIndex]]
  )</f>
        <v/>
      </c>
      <c r="DL31" s="186" t="str">
        <f>IF(
    factorsTable[[#This Row],[filteredIndex]] = "",
    "",
    factorsTable[[#This Row],[selectedRank]]
      + COUNTIF(INDEX(factorsTable[selectedRank], 1):INDEX(factorsTable[selectedRank], factorsTable[[#This Row],[index]]), factorsTable[[#This Row],[selectedRank]])
      - 1
  )</f>
        <v/>
      </c>
      <c r="DM31" s="186" t="str">
        <f>IF(
    factorsTable[[#This Row],[filteredIndex]] = "",
    "",
    _xlfn.XLOOKUP(
      factorsTable[[#This Row],[index]],
      factorsTable[uniqueRank],
      factorsTable[filteredIndex],#REF!,
      0
    )
  )</f>
        <v/>
      </c>
      <c r="DN31" s="186" t="str" cm="1">
        <f t="array" ref="DN31">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31" s="186" t="str" cm="1">
        <f t="array" ref="DO31">IF(
    factorsTable[[#This Row],[sortedIndex]] = "",
    "",
    IF(
      factorsTable[[#This Row],[langSpecFactor]] = "",
      UITranslateForValueTable("noTranslation", UITranslationTable[tag], UITranslationTable[], UITranslationTable[#Headers]),
      factorsTable[[#This Row],[langSpecFactor]]
    )
  )</f>
        <v/>
      </c>
      <c r="DP31" s="186" t="str">
        <f>IF(
    factorsTable[[#This Row],[sortedIndex]] = "",
    "",
    _xlfn.XLOOKUP(
      _xlfn.XLOOKUP(
        factorsTable[[#This Row],[sortedIndex]],
        factorsConfigTable[index],
        factorsConfigTable[RANASBlock],#REF!,
        0
      ),
      RANASBlocksTable[label],
      RANASBlocksTable[tag],
      NA(),
      0
    )
  )</f>
        <v/>
      </c>
      <c r="DQ31" s="186" t="str" cm="1">
        <f t="array" ref="DQ31">IF(
    factorsTable[[#This Row],[sortedIndex]] = "",
    "",
    _xlfn.IFNA(
      _xlfn.XLOOKUP(factorsTable[[#This Row],[RANASTag]], RANASBlocksTable[tag], RANASBlocksTable[langSpecLabel]),
      UITranslateForValueTable("noRANASBlock", UITranslationTable[tag], UITranslationTable[], UITranslationTable[#Headers])
    )
  )</f>
        <v/>
      </c>
      <c r="DR31" s="186"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31" s="186" t="str">
        <f>IF(
    factorsTable[[#This Row],[sortedIndex]] = "",
    "",
    _xlfn.XLOOKUP(factorsTable[[#This Row],[sortedIndex]], factorsTable[index], factorsTable[numTotal])
  )</f>
        <v/>
      </c>
      <c r="DT31" s="186" t="str">
        <f>IF(
    factorsTable[[#This Row],[sortedIndex]] = "",
    "",
    _xlfn.XLOOKUP(factorsTable[[#This Row],[sortedIndex]], factorsTable[index], factorsTable[nondoers])
  )</f>
        <v/>
      </c>
      <c r="DU31" s="186" t="str">
        <f>IF(
    factorsTable[[#This Row],[sortedIndex]] = "",
    "",
    _xlfn.XLOOKUP(factorsTable[[#This Row],[sortedIndex]], factorsTable[index], factorsTable[doers])
  )</f>
        <v/>
      </c>
      <c r="DV31" s="186" t="str">
        <f>IF(
    factorsTable[[#This Row],[sortedIndex]] = "",
    "",
    _xlfn.XLOOKUP(factorsTable[[#This Row],[sortedIndex]], factorsTable[index], factorsTable[difference])
  )</f>
        <v/>
      </c>
    </row>
    <row r="32" spans="5:126" ht="14.4" customHeight="1" x14ac:dyDescent="0.3">
      <c r="E32" s="196" cm="1">
        <f t="array" ref="E32">ROW()-ROW(UITranslationTable[#Headers])</f>
        <v>30</v>
      </c>
      <c r="F32" s="11" t="s">
        <v>816</v>
      </c>
      <c r="G32" s="185" t="str">
        <f>"b. You MUST enter, for each one, the minimum and maximum possible scores. Be careful! A single question on a 1" &amp; CHAR(173) &amp; "5 scale would have: Min." &amp; CHAR(160) &amp; "=" &amp; CHAR(160) &amp; "1 and Max." &amp; CHAR(160) &amp; "=" &amp; CHAR(160) &amp; "5. A group summing 4 questions on a 1" &amp; CHAR(173) &amp; "5 scale would have: Min." &amp; CHAR(160) &amp; "=" &amp; CHAR(160) &amp; "4 and Max." &amp; CHAR(160) &amp; "=" &amp; CHAR(160) &amp; "20. A group of questions already pre-normalised in the questionnaire on a 0" &amp; CHAR(173) &amp; "1 scale would have: Min." &amp; CHAR(160) &amp; "=" &amp; CHAR(160) &amp; "0 and Max." &amp; CHAR(160) &amp; "=" &amp; CHAR(160) &amp; "1."</f>
        <v>b. You MUST enter, for each one, the minimum and maximum possible scores. Be careful! A single question on a 1­5 scale would have: Min. = 1 and Max. = 5. A group summing 4 questions on a 1­5 scale would have: Min. = 4 and Max. = 20. A group of questions already pre-normalised in the questionnaire on a 0­1 scale would have: Min. = 0 and Max. = 1.</v>
      </c>
      <c r="H32" s="185" t="str">
        <f>"b. Vous DEVEZ saisir, pour chacun d'eux, les scores minimum et maximum possibles. Soyez rigoureux! Une question sur une échelle de 1 à 5 aurait: min." &amp; CHAR(160) &amp; "=" &amp; CHAR(160) &amp; "1 et max." &amp; CHAR(160) &amp; "=" &amp; CHAR(160) &amp; "5. Un groupe additionnant 4 questions sur une échelle de 1 à 5 aurait: min." &amp; CHAR(160) &amp; "=" &amp; CHAR(160) &amp; "4 et max." &amp; CHAR(160) &amp; "=" &amp; CHAR(160) &amp; "20. Un groupe de questions déjà prénormalisé dans le questionnaire sur une échelle de 0 à 1 aurait: min." &amp; CHAR(160) &amp; "=" &amp; CHAR(160) &amp; "0 et max." &amp; CHAR(160) &amp; "=" &amp; CHAR(160) &amp; "1."</f>
        <v>b. Vous DEVEZ saisir, pour chacun d'eux, les scores minimum et maximum possibles. Soyez rigoureux! Une question sur une échelle de 1 à 5 aurait: min. = 1 et max. = 5. Un groupe additionnant 4 questions sur une échelle de 1 à 5 aurait: min. = 4 et max. = 20. Un groupe de questions déjà prénormalisé dans le questionnaire sur une échelle de 0 à 1 aurait: min. = 0 et max. = 1.</v>
      </c>
      <c r="W32" s="186" cm="1">
        <f t="array" ref="W32">ROW()-ROW(structuredFormulaeTable[#Headers])</f>
        <v>30</v>
      </c>
      <c r="X32" s="3" t="s">
        <v>1063</v>
      </c>
      <c r="Y32" s="3" t="s">
        <v>973</v>
      </c>
      <c r="AA32" s="187" t="s">
        <v>1285</v>
      </c>
      <c r="AB32" s="187"/>
      <c r="BM32" s="3">
        <f ca="1"/>
        <v>2.5</v>
      </c>
      <c r="BN32" s="3">
        <f ca="1"/>
        <v>10</v>
      </c>
      <c r="BO32" s="3">
        <f ca="1"/>
        <v>1</v>
      </c>
      <c r="BP32" s="3">
        <f ca="1"/>
        <v>2</v>
      </c>
      <c r="BR32" s="3">
        <f ca="1"/>
        <v>1.4166666666666665</v>
      </c>
      <c r="BS32" s="3">
        <f ca="1"/>
        <v>3</v>
      </c>
      <c r="BT32" s="3">
        <f ca="1"/>
        <v>0.47222222222222215</v>
      </c>
      <c r="BU32" s="3" t="b">
        <f ca="1"/>
        <v>0</v>
      </c>
      <c r="CD32" s="3" cm="1">
        <f t="array" ref="CD32">ROW()-ROW(recommendedCutoffTable[#Headers])</f>
        <v>30</v>
      </c>
      <c r="CE32" s="192">
        <f>(recommendedCutoffTable[[#This Row],[index]] - 1) / 100</f>
        <v>0.28999999999999998</v>
      </c>
      <c r="CF32" s="3" cm="1">
        <f t="array" aca="1" ref="CF32" ca="1">ABS(
    numScores
  - 2 * SUMPRODUCT((behaviourScore &lt;&gt; "") * (behaviourScore &lt; recommendedCutoffTable[[#This Row],[cutoffLevel]]))
  )</f>
        <v>206</v>
      </c>
      <c r="CM32" s="186" cm="1">
        <f t="array" ref="CM32">ROW()-ROW(factorsTable[#Headers])</f>
        <v>30</v>
      </c>
      <c r="CN32" s="186" t="str" cm="1">
        <f t="array" ref="CN32">KeepBlanksFunction(
    _xlfn.XLOOKUP(
      factorsTable[[#This Row],[index]],
      factorsConfigTable[index],
      factorsConfigTable[factorHeader],#REF!,
      0
    )
  )</f>
        <v/>
      </c>
      <c r="CO32" s="186" t="str">
        <f>IF(
    factorsTable[[#This Row],[factorHeader]] = "",
    "",
    _xlfn.IFNA(
      MATCH(factorsTable[[#This Row],[factorHeader]], dataHeaders, 0),
      _xlfn.IFNA(
        MATCH("*/" &amp; factorsTable[[#This Row],[factorHeader]], dataHeaders, 0),
        MATCH("*-" &amp; factorsTable[[#This Row],[factorHeader]], dataHeaders, 0)
      )
    )
  )</f>
        <v/>
      </c>
      <c r="CP32" s="186" t="str">
        <f>IF(
    factorsTable[[#This Row],[factorHeader]] = "",
    "",
    _xlfn.LET(
      _xlpm.tableValue,
      _xlfn.XLOOKUP(
        factorsTable[[#This Row],[index]],
        factorsConfigTable[index],
        factorsConfigTable[minScore],#REF!,
        0
      ),
      _xlpm.storedValue,
      IF(
        _xlpm.tableValue = "",
        NA(),
        _xlpm.tableValue
      ),
      _xlpm.storedValue
    )
  )</f>
        <v/>
      </c>
      <c r="CQ32" s="186" t="str">
        <f>IF(
    factorsTable[[#This Row],[factorHeader]] = "",
    "",
    _xlfn.LET(
      _xlpm.tableValue,
      _xlfn.XLOOKUP(
        factorsTable[[#This Row],[index]],
        factorsConfigTable[index],
        factorsConfigTable[maxScore],#REF!,
        0
      ),
      _xlpm.storedValue,
      IF(
        _xlpm.tableValue = "",
        NA(),
        _xlpm.tableValue
      ),
      _xlpm.storedValue
    )
  )</f>
        <v/>
      </c>
      <c r="CR32" s="186" t="str">
        <f>IF(
    factorsTable[[#This Row],[factorHeader]] = "",
    "",
    IF(
      ISERROR(factorsTable[[#This Row],[factorColNum]]),
      NA(),
      IF(
        ISNA(INDEX(dataRange,1,1)),
        NA(),
        MIN(INDEX(dataRange, , factorsTable[[#This Row],[factorColNum]]))
      )
    )
  )</f>
        <v/>
      </c>
      <c r="CS32" s="186" t="str">
        <f>IF(
    factorsTable[[#This Row],[factorHeader]] = "",
    "",
    IF(
      ISERROR(factorsTable[[#This Row],[factorColNum]]),
      NA(),
      IF(
        ISNA(INDEX(dataRange,1,1)),
        NA(),
        MAX(INDEX(dataRange, , factorsTable[[#This Row],[factorColNum]]))
      )
    )
  )</f>
        <v/>
      </c>
      <c r="CT32" s="186" t="b" cm="1">
        <f t="array" aca="1" ref="CT32" ca="1">AND(
    NOT(errorNoDataSheet),
    factorsTable[[#This Row],[factorHeader]] &lt;&gt; "",
    NOT(ISERROR(factorsTable[[#This Row],[factorColNum]])),
    IFERROR(factorsTable[[#This Row],[display]], FALSE),
    IFERROR(factorsTable[[#This Row],[minValue]] &lt; factorsTable[[#This Row],[minScore]], FALSE)
  )</f>
        <v>0</v>
      </c>
      <c r="CU32" s="186" t="b" cm="1">
        <f t="array" aca="1" ref="CU32" ca="1">AND(
    NOT(errorNoDataSheet),
    factorsTable[[#This Row],[factorHeader]] &lt;&gt; "",
    NOT(ISERROR(factorsTable[[#This Row],[factorColNum]])),
    IFERROR(factorsTable[[#This Row],[display]], FALSE),
    IFERROR(factorsTable[[#This Row],[maxValue]] &gt; factorsTable[[#This Row],[maxScore]], FALSE)
  )</f>
        <v>0</v>
      </c>
      <c r="CV32" s="186" t="str" cm="1">
        <f t="array" ref="CV32">IF(
    factorsTable[[#This Row],[factorHeader]] = "",
    "",
    IF(
      ISNA(INDEX(dataRange,1,1)),
      NA(),
      SUMPRODUCT(
          IF(isDoer = "", 0, NOT(isDoer))
        * (INDEX(dataRange, , factorsTable[[#This Row],[factorColNum]]) &lt;&gt; "")
      )
    )
  )</f>
        <v/>
      </c>
      <c r="CW32" s="186" t="str" cm="1">
        <f t="array" ref="CW32">IF(
    factorsTable[[#This Row],[factorHeader]] = "",
    "",
    IF(
      ISNA(INDEX(dataRange,1,1)),
      NA(),
      SUMPRODUCT(
          IF(isDoer = "", 0, isDoer)
        * (INDEX(dataRange, , factorsTable[[#This Row],[factorColNum]]) &lt;&gt; "")
      )
    )
  )</f>
        <v/>
      </c>
      <c r="CX32" s="186" t="str" cm="1">
        <f t="array" ref="CX32">IF(
    factorsTable[[#This Row],[factorHeader]] = "",
    "",
    IF(
      ISERROR(factorsTable[[#This Row],[factorColNum]]),
      UITranslateForValueTable("dataNotFound", UITranslationTable[tag], UITranslationTable[], UITranslationTable[#Headers]),
      factorsTable[[#This Row],[numDoers]] + factorsTable[[#This Row],[numNondoers]]
    )
  )</f>
        <v/>
      </c>
      <c r="CY32" s="186" t="str" cm="1">
        <f t="array" ref="CY32">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32" s="186" t="str" cm="1">
        <f t="array" ref="CZ32">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32" s="186" t="str">
        <f>IF(
    factorsTable[[#This Row],[factorHeader]] = "",
    "",
    factorsTable[[#This Row],[doers]] - factorsTable[[#This Row],[nondoers]]
  )</f>
        <v/>
      </c>
      <c r="DB32" s="186" t="str">
        <f>IF(
    factorsTable[[#This Row],[factorHeader]] = "",
    "",
    _xlfn.XLOOKUP(
      _xlfn.XLOOKUP(
        factorsTable[[#This Row],[index]],
        factorsConfigTable[index],
        factorsConfigTable[displayConfig],#REF!,
        0
      ),
      yesNoTable[label],
      yesNoTable[tag],
      "",
      0
    )
  )</f>
        <v/>
      </c>
      <c r="DC32" s="186" t="b">
        <f>IF(
    factorsTable[[#This Row],[factorHeader]] = "",
    FALSE,
    IF(
      factorsTable[[#This Row],[displayConfig]] = "yes",
      TRUE,
      IF(
        factorsTable[[#This Row],[displayConfig]] = "no",
        FALSE,
        NA()
      )
    )
  )</f>
        <v>0</v>
      </c>
      <c r="DD32" s="186" t="str" cm="1">
        <f t="array" ref="DD32">FilterTrueColumn(factorsTable[[#This Row],[index]], factorsTable[index], factorsTable[filteredIndex], factorsTable[display])</f>
        <v/>
      </c>
      <c r="DE32" s="186" t="str">
        <f>IF(
    factorsTable[[#This Row],[filteredIndex]] = "",
    "",
    _xlfn.IFNA(
      _xlfn.XLOOKUP(factorsTable[[#This Row],[filteredIndex]], factorsTable[index], factorsTable[difference]),
      -99
    )
  )</f>
        <v/>
      </c>
      <c r="DF32" s="186" t="str">
        <f>IF(
    factorsTable[[#This Row],[filteredIndex]] = "",
    "",
    IF(
      factorsTable[[#This Row],[relDiff]] = -99,
      -99,
      ABS(factorsTable[[#This Row],[relDiff]])
    )
  )</f>
        <v/>
      </c>
      <c r="DG32" s="186" t="str">
        <f>IF(
    factorsTable[[#This Row],[filteredIndex]] = "",
    "",
    _xlfn.XLOOKUP(
      _xlfn.XLOOKUP(
        factorsTable[[#This Row],[filteredIndex]],
        factorsConfigTable[index],
        factorsConfigTable[RANASBlock],#REF!,
        0
      ),
      RANASBlocksTable[label],
      RANASBlocksTable[index],
      6,
      0
    )
  )</f>
        <v/>
      </c>
      <c r="DH32" s="186" t="str">
        <f>IF(
    factorsTable[[#This Row],[filteredIndex]] = "",
    "",
    _xlfn.RANK.EQ(factorsTable[[#This Row],[relDiff]], factorsTable[relDiff], 0)
  )</f>
        <v/>
      </c>
      <c r="DI32" s="186" t="str">
        <f>IF(
    factorsTable[[#This Row],[filteredIndex]] = "",
    "",
    _xlfn.RANK.EQ(factorsTable[[#This Row],[absDiff]], factorsTable[absDiff], 0)
  )</f>
        <v/>
      </c>
      <c r="DJ32" s="186" t="str">
        <f>IF(
    factorsTable[[#This Row],[filteredIndex]] = "",
    "",
    _xlfn.RANK.EQ(factorsTable[[#This Row],[RANASIndex]], factorsTable[RANASIndex], 1)
  )</f>
        <v/>
      </c>
      <c r="DK32" s="186" t="str" cm="1">
        <f t="array" ref="DK32">_xlfn.SWITCH(
    sortingMethodTag,
    "none", factorsTable[[#This Row],[filteredIndex]],
    "relDiff", factorsTable[[#This Row],[relDiffRank]],
    "absDiff", factorsTable[[#This Row],[absDiffRank]],
    "RANAS", factorsTable[[#This Row],[RANASRank]],
    factorsTable[[#This Row],[filteredIndex]]
  )</f>
        <v/>
      </c>
      <c r="DL32" s="186" t="str">
        <f>IF(
    factorsTable[[#This Row],[filteredIndex]] = "",
    "",
    factorsTable[[#This Row],[selectedRank]]
      + COUNTIF(INDEX(factorsTable[selectedRank], 1):INDEX(factorsTable[selectedRank], factorsTable[[#This Row],[index]]), factorsTable[[#This Row],[selectedRank]])
      - 1
  )</f>
        <v/>
      </c>
      <c r="DM32" s="186" t="str">
        <f>IF(
    factorsTable[[#This Row],[filteredIndex]] = "",
    "",
    _xlfn.XLOOKUP(
      factorsTable[[#This Row],[index]],
      factorsTable[uniqueRank],
      factorsTable[filteredIndex],#REF!,
      0
    )
  )</f>
        <v/>
      </c>
      <c r="DN32" s="186" t="str" cm="1">
        <f t="array" ref="DN32">IF(
    factorsTable[[#This Row],[sortedIndex]] = "",
    "",
    KeepBlanksFunction(
      _xlfn.XLOOKUP(
        factorsTable[[#This Row],[sortedIndex]],
        factorsConfigTable[index],
        INDEX(
          factorsConfigTable[],
          0,
          MATCH(
            chartLanguage,
            languageHeadersList,
            0
          )
          + MATCH(factorsConfigTable[[#Headers],[lang1]], factorsConfigTable[#Headers], 0)
          - 1
        ),#REF!,
        0
      )
    )
  )</f>
        <v/>
      </c>
      <c r="DO32" s="186" t="str" cm="1">
        <f t="array" ref="DO32">IF(
    factorsTable[[#This Row],[sortedIndex]] = "",
    "",
    IF(
      factorsTable[[#This Row],[langSpecFactor]] = "",
      UITranslateForValueTable("noTranslation", UITranslationTable[tag], UITranslationTable[], UITranslationTable[#Headers]),
      factorsTable[[#This Row],[langSpecFactor]]
    )
  )</f>
        <v/>
      </c>
      <c r="DP32" s="186" t="str">
        <f>IF(
    factorsTable[[#This Row],[sortedIndex]] = "",
    "",
    _xlfn.XLOOKUP(
      _xlfn.XLOOKUP(
        factorsTable[[#This Row],[sortedIndex]],
        factorsConfigTable[index],
        factorsConfigTable[RANASBlock],#REF!,
        0
      ),
      RANASBlocksTable[label],
      RANASBlocksTable[tag],
      NA(),
      0
    )
  )</f>
        <v/>
      </c>
      <c r="DQ32" s="186" t="str" cm="1">
        <f t="array" ref="DQ32">IF(
    factorsTable[[#This Row],[sortedIndex]] = "",
    "",
    _xlfn.IFNA(
      _xlfn.XLOOKUP(factorsTable[[#This Row],[RANASTag]], RANASBlocksTable[tag], RANASBlocksTable[langSpecLabel]),
      UITranslateForValueTable("noRANASBlock", UITranslationTable[tag], UITranslationTable[], UITranslationTable[#Headers])
    )
  )</f>
        <v/>
      </c>
      <c r="DR32" s="186" t="str">
        <f>IF(
    factorsTable[[#This Row],[sortedIndex]] = "",
    "",
    factorsTable[[#This Row],[displayedFactor]] &amp; CHAR(10)
    &amp; SUBSTITUTE(
        IF(
          ISNA(factorsTable[[#This Row],[RANASTag]]),
          "*",
          IF(
            _xlfn.XLOOKUP(factorsTable[[#This Row],[RANASTag]], chartTranslationTable[tag], chartTranslationTable[langSpecText]) = "",
            "*",
            "[*]"
          )
        ),
        "*",
        factorsTable[[#This Row],[displayedRANASBlock]]
      )
  )</f>
        <v/>
      </c>
      <c r="DS32" s="186" t="str">
        <f>IF(
    factorsTable[[#This Row],[sortedIndex]] = "",
    "",
    _xlfn.XLOOKUP(factorsTable[[#This Row],[sortedIndex]], factorsTable[index], factorsTable[numTotal])
  )</f>
        <v/>
      </c>
      <c r="DT32" s="186" t="str">
        <f>IF(
    factorsTable[[#This Row],[sortedIndex]] = "",
    "",
    _xlfn.XLOOKUP(factorsTable[[#This Row],[sortedIndex]], factorsTable[index], factorsTable[nondoers])
  )</f>
        <v/>
      </c>
      <c r="DU32" s="186" t="str">
        <f>IF(
    factorsTable[[#This Row],[sortedIndex]] = "",
    "",
    _xlfn.XLOOKUP(factorsTable[[#This Row],[sortedIndex]], factorsTable[index], factorsTable[doers])
  )</f>
        <v/>
      </c>
      <c r="DV32" s="186" t="str">
        <f>IF(
    factorsTable[[#This Row],[sortedIndex]] = "",
    "",
    _xlfn.XLOOKUP(factorsTable[[#This Row],[sortedIndex]], factorsTable[index], factorsTable[difference])
  )</f>
        <v/>
      </c>
    </row>
    <row r="33" spans="5:126" ht="14.4" customHeight="1" x14ac:dyDescent="0.3">
      <c r="E33" s="196" cm="1">
        <f t="array" ref="E33">ROW()-ROW(UITranslationTable[#Headers])</f>
        <v>31</v>
      </c>
      <c r="F33" s="11" t="s">
        <v>817</v>
      </c>
      <c r="G33" s="185" t="str" cm="1">
        <f t="array" ref="G33">"c. You MUST use the drop-down menu in the ""Include?"" column to select (" &amp; yesLabel &amp; ") or deselect (" &amp; noLabel &amp; ") each entry in the table. Only the selected entries will be used to compute the behaviour score. This allows you to test different combinations of questions."</f>
        <v>c. You MUST use the drop-down menu in the "Include?" column to select (✔) or deselect (✘) each entry in the table. Only the selected entries will be used to compute the behaviour score. This allows you to test different combinations of questions.</v>
      </c>
      <c r="H33" s="185" t="str" cm="1">
        <f t="array" ref="H33">"c. Vous DEVEZ utiliser le menu déroulant de la colonne «Inclure?» pour sélectionner (" &amp; yesLabel &amp; ") ou désélectionner (" &amp; noLabel &amp; ") chaque entrée du tableau. Seules les entrées sélectionnées seront utilisées pour calculer le score de comportement. Cela vous permet de tester différentes combinaisons de questions."</f>
        <v>c. Vous DEVEZ utiliser le menu déroulant de la colonne «Inclure?» pour sélectionner (✔) ou désélectionner (✘) chaque entrée du tableau. Seules les entrées sélectionnées seront utilisées pour calculer le score de comportement. Cela vous permet de tester différentes combinaisons de questions.</v>
      </c>
      <c r="W33" s="186" cm="1">
        <f t="array" ref="W33">ROW()-ROW(structuredFormulaeTable[#Headers])</f>
        <v>31</v>
      </c>
      <c r="X33" s="3" t="s">
        <v>1063</v>
      </c>
      <c r="Y33" s="3" t="s">
        <v>974</v>
      </c>
      <c r="AA33" s="187" t="s">
        <v>1286</v>
      </c>
      <c r="AB33" s="187"/>
      <c r="BM33" s="3">
        <f ca="1"/>
        <v>0</v>
      </c>
      <c r="BN33" s="3">
        <f ca="1"/>
        <v>5</v>
      </c>
      <c r="BO33" s="3">
        <f ca="1"/>
        <v>0</v>
      </c>
      <c r="BP33" s="3">
        <f ca="1"/>
        <v>1</v>
      </c>
      <c r="BR33" s="3">
        <f ca="1"/>
        <v>0.5</v>
      </c>
      <c r="BS33" s="3">
        <f ca="1"/>
        <v>3</v>
      </c>
      <c r="BT33" s="3">
        <f ca="1"/>
        <v>0.16666666666666666</v>
      </c>
      <c r="BU33" s="3" t="b">
        <f ca="1"/>
        <v>0</v>
      </c>
      <c r="CD33" s="3" cm="1">
        <f t="array" ref="CD33">ROW()-ROW(recommendedCutoffTable[#Headers])</f>
        <v>31</v>
      </c>
      <c r="CE33" s="192">
        <f>(recommendedCutoffTable[[#This Row],[index]] - 1) / 100</f>
        <v>0.3</v>
      </c>
      <c r="CF33" s="3" cm="1">
        <f t="array" aca="1" ref="CF33" ca="1">ABS(
    numScores
  - 2 * SUMPRODUCT((behaviourScore &lt;&gt; "") * (behaviourScore &lt; recommendedCutoffTable[[#This Row],[cutoffLevel]]))
  )</f>
        <v>206</v>
      </c>
    </row>
    <row r="34" spans="5:126" ht="14.4" customHeight="1" x14ac:dyDescent="0.3">
      <c r="E34" s="11" cm="1">
        <f t="array" ref="E34">ROW()-ROW(UITranslationTable[#Headers])</f>
        <v>32</v>
      </c>
      <c r="F34" s="11" t="s">
        <v>787</v>
      </c>
      <c r="G34" s="185" t="s">
        <v>743</v>
      </c>
      <c r="H34" s="185" t="s">
        <v>788</v>
      </c>
      <c r="W34" s="186" cm="1">
        <f t="array" ref="W34">ROW()-ROW(structuredFormulaeTable[#Headers])</f>
        <v>32</v>
      </c>
      <c r="X34" s="3" t="s">
        <v>1063</v>
      </c>
      <c r="Y34" s="3" t="s">
        <v>975</v>
      </c>
      <c r="AA34" s="187" t="s">
        <v>1287</v>
      </c>
      <c r="AB34" s="187"/>
      <c r="BM34" s="3">
        <f ca="1"/>
        <v>2.5</v>
      </c>
      <c r="BN34" s="3">
        <f ca="1"/>
        <v>5</v>
      </c>
      <c r="BO34" s="3">
        <f ca="1"/>
        <v>1</v>
      </c>
      <c r="BP34" s="3">
        <f ca="1"/>
        <v>2</v>
      </c>
      <c r="BR34" s="3">
        <f ca="1"/>
        <v>1.0833333333333333</v>
      </c>
      <c r="BS34" s="3">
        <f ca="1"/>
        <v>3</v>
      </c>
      <c r="BT34" s="3">
        <f ca="1"/>
        <v>0.3611111111111111</v>
      </c>
      <c r="BU34" s="3" t="b">
        <f ca="1"/>
        <v>0</v>
      </c>
      <c r="CD34" s="3" cm="1">
        <f t="array" ref="CD34">ROW()-ROW(recommendedCutoffTable[#Headers])</f>
        <v>32</v>
      </c>
      <c r="CE34" s="192">
        <f>(recommendedCutoffTable[[#This Row],[index]] - 1) / 100</f>
        <v>0.31</v>
      </c>
      <c r="CF34" s="3" cm="1">
        <f t="array" aca="1" ref="CF34" ca="1">ABS(
    numScores
  - 2 * SUMPRODUCT((behaviourScore &lt;&gt; "") * (behaviourScore &lt; recommendedCutoffTable[[#This Row],[cutoffLevel]]))
  )</f>
        <v>204</v>
      </c>
      <c r="CN34" s="172" t="s">
        <v>1103</v>
      </c>
      <c r="CP34" s="172" t="s">
        <v>1137</v>
      </c>
      <c r="CQ34" s="172" t="s">
        <v>1138</v>
      </c>
      <c r="CX34" s="172" t="s">
        <v>1131</v>
      </c>
      <c r="DB34" s="172" t="s">
        <v>1132</v>
      </c>
      <c r="DD34" s="172" t="s">
        <v>1088</v>
      </c>
      <c r="DE34" s="172" t="s">
        <v>1133</v>
      </c>
      <c r="DG34" s="172" t="s">
        <v>1134</v>
      </c>
      <c r="DK34" s="172" t="s">
        <v>1101</v>
      </c>
      <c r="DM34" s="172" t="s">
        <v>1136</v>
      </c>
      <c r="DN34" s="172" t="s">
        <v>1303</v>
      </c>
      <c r="DO34" s="172" t="s">
        <v>1135</v>
      </c>
      <c r="DP34" s="172" t="s">
        <v>1141</v>
      </c>
      <c r="DQ34" s="172" t="s">
        <v>1142</v>
      </c>
      <c r="DR34" s="172" t="s">
        <v>1144</v>
      </c>
      <c r="DS34" s="172" t="s">
        <v>1145</v>
      </c>
      <c r="DT34" s="172" t="s">
        <v>1146</v>
      </c>
      <c r="DU34" s="172" t="s">
        <v>1147</v>
      </c>
      <c r="DV34" s="172" t="s">
        <v>1148</v>
      </c>
    </row>
    <row r="35" spans="5:126" ht="14.4" customHeight="1" x14ac:dyDescent="0.3">
      <c r="E35" s="11" cm="1">
        <f t="array" ref="E35">ROW()-ROW(UITranslationTable[#Headers])</f>
        <v>33</v>
      </c>
      <c r="F35" s="11" t="s">
        <v>643</v>
      </c>
      <c r="G35" s="185" t="s">
        <v>644</v>
      </c>
      <c r="H35" s="185" t="s">
        <v>805</v>
      </c>
      <c r="W35" s="186" cm="1">
        <f t="array" ref="W35">ROW()-ROW(structuredFormulaeTable[#Headers])</f>
        <v>33</v>
      </c>
      <c r="X35" s="3" t="s">
        <v>1063</v>
      </c>
      <c r="Y35" s="3" t="s">
        <v>677</v>
      </c>
      <c r="Z35" s="3" cm="1">
        <f t="array" aca="1" ref="Z35" ca="1">cutoffLevelRecommended</f>
        <v>0.56999999999999995</v>
      </c>
      <c r="AA35" s="187" t="s">
        <v>1130</v>
      </c>
      <c r="AB35" s="172" t="s">
        <v>1129</v>
      </c>
      <c r="BM35" s="3">
        <f ca="1"/>
        <v>5</v>
      </c>
      <c r="BN35" s="3">
        <f ca="1"/>
        <v>10</v>
      </c>
      <c r="BO35" s="3">
        <f ca="1"/>
        <v>1</v>
      </c>
      <c r="BP35" s="3">
        <f ca="1"/>
        <v>2</v>
      </c>
      <c r="BR35" s="3">
        <f ca="1"/>
        <v>1.6666666666666665</v>
      </c>
      <c r="BS35" s="3">
        <f ca="1"/>
        <v>3</v>
      </c>
      <c r="BT35" s="3">
        <f ca="1"/>
        <v>0.55555555555555547</v>
      </c>
      <c r="BU35" s="3" t="b">
        <f ca="1"/>
        <v>0</v>
      </c>
      <c r="CD35" s="3" cm="1">
        <f t="array" ref="CD35">ROW()-ROW(recommendedCutoffTable[#Headers])</f>
        <v>33</v>
      </c>
      <c r="CE35" s="192">
        <f>(recommendedCutoffTable[[#This Row],[index]] - 1) / 100</f>
        <v>0.32</v>
      </c>
      <c r="CF35" s="3" cm="1">
        <f t="array" aca="1" ref="CF35" ca="1">ABS(
    numScores
  - 2 * SUMPRODUCT((behaviourScore &lt;&gt; "") * (behaviourScore &lt; recommendedCutoffTable[[#This Row],[cutoffLevel]]))
  )</f>
        <v>204</v>
      </c>
    </row>
    <row r="36" spans="5:126" ht="14.4" customHeight="1" x14ac:dyDescent="0.3">
      <c r="E36" s="11" cm="1">
        <f t="array" ref="E36">ROW()-ROW(UITranslationTable[#Headers])</f>
        <v>34</v>
      </c>
      <c r="F36" s="11" t="s">
        <v>621</v>
      </c>
      <c r="G36" s="185" t="s">
        <v>576</v>
      </c>
      <c r="H36" s="185" t="s">
        <v>636</v>
      </c>
      <c r="W36" s="186" cm="1">
        <f t="array" ref="W36">ROW()-ROW(structuredFormulaeTable[#Headers])</f>
        <v>34</v>
      </c>
      <c r="X36" s="3" t="s">
        <v>1063</v>
      </c>
      <c r="Y36" s="3" t="s">
        <v>1194</v>
      </c>
      <c r="Z36" s="3" cm="1">
        <f t="array" aca="1" ref="Z36" ca="1">dataLastColNum</f>
        <v>30</v>
      </c>
      <c r="AA36" s="187" t="s">
        <v>1311</v>
      </c>
      <c r="BM36" s="3">
        <f ca="1"/>
        <v>0</v>
      </c>
      <c r="BN36" s="3">
        <f ca="1"/>
        <v>10</v>
      </c>
      <c r="BO36" s="3">
        <f ca="1"/>
        <v>2</v>
      </c>
      <c r="BP36" s="3">
        <f ca="1"/>
        <v>2</v>
      </c>
      <c r="BR36" s="3">
        <f ca="1"/>
        <v>1.5</v>
      </c>
      <c r="BS36" s="3">
        <f ca="1"/>
        <v>3</v>
      </c>
      <c r="BT36" s="3">
        <f ca="1"/>
        <v>0.5</v>
      </c>
      <c r="BU36" s="3" t="b">
        <f ca="1"/>
        <v>0</v>
      </c>
      <c r="CD36" s="3" cm="1">
        <f t="array" ref="CD36">ROW()-ROW(recommendedCutoffTable[#Headers])</f>
        <v>34</v>
      </c>
      <c r="CE36" s="192">
        <f>(recommendedCutoffTable[[#This Row],[index]] - 1) / 100</f>
        <v>0.33</v>
      </c>
      <c r="CF36" s="3" cm="1">
        <f t="array" aca="1" ref="CF36" ca="1">ABS(
    numScores
  - 2 * SUMPRODUCT((behaviourScore &lt;&gt; "") * (behaviourScore &lt; recommendedCutoffTable[[#This Row],[cutoffLevel]]))
  )</f>
        <v>204</v>
      </c>
    </row>
    <row r="37" spans="5:126" ht="14.4" customHeight="1" x14ac:dyDescent="0.3">
      <c r="E37" s="11" cm="1">
        <f t="array" ref="E37">ROW()-ROW(UITranslationTable[#Headers])</f>
        <v>35</v>
      </c>
      <c r="F37" s="11" t="s">
        <v>645</v>
      </c>
      <c r="G37" s="185" t="s">
        <v>649</v>
      </c>
      <c r="H37" s="185" t="s">
        <v>648</v>
      </c>
      <c r="W37" s="186" cm="1">
        <f t="array" ref="W37">ROW()-ROW(structuredFormulaeTable[#Headers])</f>
        <v>35</v>
      </c>
      <c r="X37" s="3" t="s">
        <v>1063</v>
      </c>
      <c r="Y37" s="3" t="s">
        <v>664</v>
      </c>
      <c r="Z37" s="3" cm="1">
        <f t="array" aca="1" ref="Z37" ca="1">dataRefColNum</f>
        <v>30</v>
      </c>
      <c r="AA37" s="187" t="s">
        <v>1309</v>
      </c>
      <c r="AB37" s="187"/>
      <c r="BM37" s="3">
        <f ca="1"/>
        <v>5</v>
      </c>
      <c r="BN37" s="3">
        <f ca="1"/>
        <v>10</v>
      </c>
      <c r="BO37" s="3">
        <f ca="1"/>
        <v>2</v>
      </c>
      <c r="BP37" s="3">
        <f ca="1"/>
        <v>3</v>
      </c>
      <c r="BR37" s="3">
        <f ca="1"/>
        <v>2</v>
      </c>
      <c r="BS37" s="3">
        <f ca="1"/>
        <v>3</v>
      </c>
      <c r="BT37" s="3">
        <f ca="1"/>
        <v>0.66666666666666663</v>
      </c>
      <c r="BU37" s="3" t="b">
        <f ca="1"/>
        <v>1</v>
      </c>
      <c r="CD37" s="3" cm="1">
        <f t="array" ref="CD37">ROW()-ROW(recommendedCutoffTable[#Headers])</f>
        <v>35</v>
      </c>
      <c r="CE37" s="192">
        <f>(recommendedCutoffTable[[#This Row],[index]] - 1) / 100</f>
        <v>0.34</v>
      </c>
      <c r="CF37" s="3" cm="1">
        <f t="array" aca="1" ref="CF37" ca="1">ABS(
    numScores
  - 2 * SUMPRODUCT((behaviourScore &lt;&gt; "") * (behaviourScore &lt; recommendedCutoffTable[[#This Row],[cutoffLevel]]))
  )</f>
        <v>190</v>
      </c>
    </row>
    <row r="38" spans="5:126" ht="14.4" customHeight="1" x14ac:dyDescent="0.3">
      <c r="E38" s="11" cm="1">
        <f t="array" ref="E38">ROW()-ROW(UITranslationTable[#Headers])</f>
        <v>36</v>
      </c>
      <c r="F38" s="11" t="s">
        <v>646</v>
      </c>
      <c r="G38" s="185" t="s">
        <v>650</v>
      </c>
      <c r="H38" s="185" t="s">
        <v>651</v>
      </c>
      <c r="W38" s="186" cm="1">
        <f t="array" ref="W38">ROW()-ROW(structuredFormulaeTable[#Headers])</f>
        <v>36</v>
      </c>
      <c r="X38" s="3" t="s">
        <v>1063</v>
      </c>
      <c r="Y38" s="3" t="s">
        <v>976</v>
      </c>
      <c r="AA38" s="187" t="s">
        <v>977</v>
      </c>
      <c r="AB38" s="187"/>
      <c r="BM38" s="3">
        <f ca="1"/>
        <v>-2.5</v>
      </c>
      <c r="BN38" s="3">
        <f ca="1"/>
        <v>10</v>
      </c>
      <c r="BO38" s="3">
        <f ca="1"/>
        <v>1</v>
      </c>
      <c r="BP38" s="3">
        <f ca="1"/>
        <v>2</v>
      </c>
      <c r="BR38" s="3">
        <f ca="1"/>
        <v>0.91666666666666652</v>
      </c>
      <c r="BS38" s="3">
        <f ca="1"/>
        <v>3</v>
      </c>
      <c r="BT38" s="3">
        <f ca="1"/>
        <v>0.30555555555555552</v>
      </c>
      <c r="BU38" s="3" t="b">
        <f ca="1"/>
        <v>0</v>
      </c>
      <c r="CD38" s="3" cm="1">
        <f t="array" ref="CD38">ROW()-ROW(recommendedCutoffTable[#Headers])</f>
        <v>36</v>
      </c>
      <c r="CE38" s="192">
        <f>(recommendedCutoffTable[[#This Row],[index]] - 1) / 100</f>
        <v>0.35</v>
      </c>
      <c r="CF38" s="3" cm="1">
        <f t="array" aca="1" ref="CF38" ca="1">ABS(
    numScores
  - 2 * SUMPRODUCT((behaviourScore &lt;&gt; "") * (behaviourScore &lt; recommendedCutoffTable[[#This Row],[cutoffLevel]]))
  )</f>
        <v>190</v>
      </c>
    </row>
    <row r="39" spans="5:126" ht="14.4" customHeight="1" x14ac:dyDescent="0.3">
      <c r="E39" s="11" cm="1">
        <f t="array" ref="E39">ROW()-ROW(UITranslationTable[#Headers])</f>
        <v>37</v>
      </c>
      <c r="F39" s="11" t="s">
        <v>647</v>
      </c>
      <c r="G39" s="185" t="s">
        <v>605</v>
      </c>
      <c r="H39" s="185" t="s">
        <v>574</v>
      </c>
      <c r="W39" s="186" cm="1">
        <f t="array" ref="W39">ROW()-ROW(structuredFormulaeTable[#Headers])</f>
        <v>37</v>
      </c>
      <c r="X39" s="3" t="s">
        <v>1063</v>
      </c>
      <c r="Y39" s="3" t="s">
        <v>1069</v>
      </c>
      <c r="Z39" s="3" t="b" cm="1">
        <f t="array" aca="1" ref="Z39" ca="1">errorBehaviourHeader</f>
        <v>0</v>
      </c>
      <c r="AA39" s="187" t="s">
        <v>1124</v>
      </c>
      <c r="AB39" s="187"/>
      <c r="BM39" s="3">
        <f ca="1"/>
        <v>2.5</v>
      </c>
      <c r="BN39" s="3">
        <f ca="1"/>
        <v>10</v>
      </c>
      <c r="BO39" s="3">
        <f ca="1"/>
        <v>0</v>
      </c>
      <c r="BP39" s="3">
        <f ca="1"/>
        <v>1</v>
      </c>
      <c r="BR39" s="3">
        <f ca="1"/>
        <v>1.0833333333333333</v>
      </c>
      <c r="BS39" s="3">
        <f ca="1"/>
        <v>3</v>
      </c>
      <c r="BT39" s="3">
        <f ca="1"/>
        <v>0.3611111111111111</v>
      </c>
      <c r="BU39" s="3" t="b">
        <f ca="1"/>
        <v>0</v>
      </c>
      <c r="CD39" s="3" cm="1">
        <f t="array" ref="CD39">ROW()-ROW(recommendedCutoffTable[#Headers])</f>
        <v>37</v>
      </c>
      <c r="CE39" s="192">
        <f>(recommendedCutoffTable[[#This Row],[index]] - 1) / 100</f>
        <v>0.36</v>
      </c>
      <c r="CF39" s="3" cm="1">
        <f t="array" aca="1" ref="CF39" ca="1">ABS(
    numScores
  - 2 * SUMPRODUCT((behaviourScore &lt;&gt; "") * (behaviourScore &lt; recommendedCutoffTable[[#This Row],[cutoffLevel]]))
  )</f>
        <v>190</v>
      </c>
    </row>
    <row r="40" spans="5:126" ht="14.4" customHeight="1" x14ac:dyDescent="0.3">
      <c r="E40" s="11" cm="1">
        <f t="array" ref="E40">ROW()-ROW(UITranslationTable[#Headers])</f>
        <v>38</v>
      </c>
      <c r="F40" s="11" t="s">
        <v>655</v>
      </c>
      <c r="G40" s="185" t="s">
        <v>656</v>
      </c>
      <c r="H40" s="185" t="s">
        <v>657</v>
      </c>
      <c r="W40" s="186" cm="1">
        <f t="array" ref="W40">ROW()-ROW(structuredFormulaeTable[#Headers])</f>
        <v>38</v>
      </c>
      <c r="X40" s="3" t="s">
        <v>1063</v>
      </c>
      <c r="Y40" s="3" t="s">
        <v>1070</v>
      </c>
      <c r="Z40" s="3" t="b" cm="1">
        <f t="array" aca="1" ref="Z40" ca="1">errorBehaviourInclude</f>
        <v>0</v>
      </c>
      <c r="AA40" s="187" t="s">
        <v>1125</v>
      </c>
      <c r="AB40" s="187"/>
      <c r="BM40" s="3">
        <f ca="1"/>
        <v>-2.5</v>
      </c>
      <c r="BN40" s="3">
        <f ca="1"/>
        <v>10</v>
      </c>
      <c r="BO40" s="3">
        <f ca="1"/>
        <v>0</v>
      </c>
      <c r="BP40" s="3">
        <f ca="1"/>
        <v>1</v>
      </c>
      <c r="BR40" s="3">
        <f ca="1"/>
        <v>0.58333333333333326</v>
      </c>
      <c r="BS40" s="3">
        <f ca="1"/>
        <v>3</v>
      </c>
      <c r="BT40" s="3">
        <f ca="1"/>
        <v>0.19444444444444442</v>
      </c>
      <c r="BU40" s="3" t="b">
        <f ca="1"/>
        <v>0</v>
      </c>
      <c r="CD40" s="3" cm="1">
        <f t="array" ref="CD40">ROW()-ROW(recommendedCutoffTable[#Headers])</f>
        <v>38</v>
      </c>
      <c r="CE40" s="192">
        <f>(recommendedCutoffTable[[#This Row],[index]] - 1) / 100</f>
        <v>0.37</v>
      </c>
      <c r="CF40" s="3" cm="1">
        <f t="array" aca="1" ref="CF40" ca="1">ABS(
    numScores
  - 2 * SUMPRODUCT((behaviourScore &lt;&gt; "") * (behaviourScore &lt; recommendedCutoffTable[[#This Row],[cutoffLevel]]))
  )</f>
        <v>166</v>
      </c>
    </row>
    <row r="41" spans="5:126" ht="14.4" customHeight="1" x14ac:dyDescent="0.3">
      <c r="E41" s="11" cm="1">
        <f t="array" ref="E41">ROW()-ROW(UITranslationTable[#Headers])</f>
        <v>39</v>
      </c>
      <c r="F41" s="11" t="s">
        <v>790</v>
      </c>
      <c r="G41" s="185" t="s">
        <v>666</v>
      </c>
      <c r="H41" s="185" t="s">
        <v>791</v>
      </c>
      <c r="W41" s="186" cm="1">
        <f t="array" ref="W41">ROW()-ROW(structuredFormulaeTable[#Headers])</f>
        <v>39</v>
      </c>
      <c r="X41" s="3" t="s">
        <v>1063</v>
      </c>
      <c r="Y41" s="3" t="s">
        <v>1072</v>
      </c>
      <c r="Z41" s="3" t="b" cm="1">
        <f t="array" aca="1" ref="Z41" ca="1">errorBehaviourMinMaxInvalid</f>
        <v>0</v>
      </c>
      <c r="AA41" s="187" t="s">
        <v>1185</v>
      </c>
      <c r="AB41" s="187"/>
      <c r="BM41" s="3">
        <f ca="1"/>
        <v>0</v>
      </c>
      <c r="BN41" s="3">
        <f ca="1"/>
        <v>5</v>
      </c>
      <c r="BO41" s="3">
        <f ca="1"/>
        <v>1</v>
      </c>
      <c r="BP41" s="3">
        <f ca="1"/>
        <v>2</v>
      </c>
      <c r="BR41" s="3">
        <f ca="1"/>
        <v>0.83333333333333326</v>
      </c>
      <c r="BS41" s="3">
        <f ca="1"/>
        <v>3</v>
      </c>
      <c r="BT41" s="3">
        <f ca="1"/>
        <v>0.27777777777777773</v>
      </c>
      <c r="BU41" s="3" t="b">
        <f ca="1"/>
        <v>0</v>
      </c>
      <c r="CD41" s="3" cm="1">
        <f t="array" ref="CD41">ROW()-ROW(recommendedCutoffTable[#Headers])</f>
        <v>39</v>
      </c>
      <c r="CE41" s="192">
        <f>(recommendedCutoffTable[[#This Row],[index]] - 1) / 100</f>
        <v>0.38</v>
      </c>
      <c r="CF41" s="3" cm="1">
        <f t="array" aca="1" ref="CF41" ca="1">ABS(
    numScores
  - 2 * SUMPRODUCT((behaviourScore &lt;&gt; "") * (behaviourScore &lt; recommendedCutoffTable[[#This Row],[cutoffLevel]]))
  )</f>
        <v>166</v>
      </c>
    </row>
    <row r="42" spans="5:126" ht="14.4" customHeight="1" x14ac:dyDescent="0.3">
      <c r="E42" s="11" cm="1">
        <f t="array" ref="E42">ROW()-ROW(UITranslationTable[#Headers])</f>
        <v>40</v>
      </c>
      <c r="F42" s="11" t="s">
        <v>658</v>
      </c>
      <c r="G42" s="185" t="s">
        <v>660</v>
      </c>
      <c r="H42" s="185" t="s">
        <v>661</v>
      </c>
      <c r="W42" s="186" cm="1">
        <f t="array" ref="W42">ROW()-ROW(structuredFormulaeTable[#Headers])</f>
        <v>40</v>
      </c>
      <c r="X42" s="3" t="s">
        <v>1063</v>
      </c>
      <c r="Y42" s="3" t="s">
        <v>1071</v>
      </c>
      <c r="Z42" s="3" t="b" cm="1">
        <f t="array" aca="1" ref="Z42" ca="1">errorBehaviourNoneSelected</f>
        <v>0</v>
      </c>
      <c r="AA42" s="187" t="s">
        <v>1126</v>
      </c>
      <c r="AB42" s="187"/>
      <c r="BM42" s="3">
        <f ca="1"/>
        <v>2.5</v>
      </c>
      <c r="BN42" s="3">
        <f ca="1"/>
        <v>5</v>
      </c>
      <c r="BO42" s="3">
        <f ca="1"/>
        <v>1</v>
      </c>
      <c r="BP42" s="3">
        <f ca="1"/>
        <v>1</v>
      </c>
      <c r="BR42" s="3">
        <f ca="1"/>
        <v>1.0833333333333333</v>
      </c>
      <c r="BS42" s="3">
        <f ca="1"/>
        <v>3</v>
      </c>
      <c r="BT42" s="3">
        <f ca="1"/>
        <v>0.3611111111111111</v>
      </c>
      <c r="BU42" s="3" t="b">
        <f ca="1"/>
        <v>0</v>
      </c>
      <c r="CD42" s="3" cm="1">
        <f t="array" ref="CD42">ROW()-ROW(recommendedCutoffTable[#Headers])</f>
        <v>40</v>
      </c>
      <c r="CE42" s="192">
        <f>(recommendedCutoffTable[[#This Row],[index]] - 1) / 100</f>
        <v>0.39</v>
      </c>
      <c r="CF42" s="3" cm="1">
        <f t="array" aca="1" ref="CF42" ca="1">ABS(
    numScores
  - 2 * SUMPRODUCT((behaviourScore &lt;&gt; "") * (behaviourScore &lt; recommendedCutoffTable[[#This Row],[cutoffLevel]]))
  )</f>
        <v>148</v>
      </c>
    </row>
    <row r="43" spans="5:126" ht="14.4" customHeight="1" x14ac:dyDescent="0.3">
      <c r="E43" s="11" cm="1">
        <f t="array" ref="E43">ROW()-ROW(UITranslationTable[#Headers])</f>
        <v>41</v>
      </c>
      <c r="F43" s="11" t="s">
        <v>659</v>
      </c>
      <c r="G43" s="185" t="s">
        <v>662</v>
      </c>
      <c r="H43" s="185" t="s">
        <v>663</v>
      </c>
      <c r="W43" s="186" cm="1">
        <f t="array" ref="W43">ROW()-ROW(structuredFormulaeTable[#Headers])</f>
        <v>41</v>
      </c>
      <c r="X43" s="3" t="s">
        <v>1063</v>
      </c>
      <c r="Y43" s="3" t="s">
        <v>1073</v>
      </c>
      <c r="Z43" s="3" t="b" cm="1">
        <f t="array" aca="1" ref="Z43" ca="1">errorBehaviourOutOfRange</f>
        <v>0</v>
      </c>
      <c r="AA43" s="187" t="s">
        <v>1102</v>
      </c>
      <c r="AB43" s="187"/>
      <c r="BM43" s="3">
        <f ca="1"/>
        <v>5</v>
      </c>
      <c r="BN43" s="3">
        <f ca="1"/>
        <v>5</v>
      </c>
      <c r="BO43" s="3">
        <f ca="1"/>
        <v>0</v>
      </c>
      <c r="BP43" s="3">
        <f ca="1"/>
        <v>1</v>
      </c>
      <c r="BR43" s="3">
        <f ca="1"/>
        <v>1</v>
      </c>
      <c r="BS43" s="3">
        <f ca="1"/>
        <v>3</v>
      </c>
      <c r="BT43" s="3">
        <f ca="1"/>
        <v>0.33333333333333331</v>
      </c>
      <c r="BU43" s="3" t="b">
        <f ca="1"/>
        <v>0</v>
      </c>
      <c r="CD43" s="3" cm="1">
        <f t="array" ref="CD43">ROW()-ROW(recommendedCutoffTable[#Headers])</f>
        <v>41</v>
      </c>
      <c r="CE43" s="192">
        <f>(recommendedCutoffTable[[#This Row],[index]] - 1) / 100</f>
        <v>0.4</v>
      </c>
      <c r="CF43" s="3" cm="1">
        <f t="array" aca="1" ref="CF43" ca="1">ABS(
    numScores
  - 2 * SUMPRODUCT((behaviourScore &lt;&gt; "") * (behaviourScore &lt; recommendedCutoffTable[[#This Row],[cutoffLevel]]))
  )</f>
        <v>148</v>
      </c>
    </row>
    <row r="44" spans="5:126" ht="14.4" customHeight="1" x14ac:dyDescent="0.3">
      <c r="E44" s="11" cm="1">
        <f t="array" ref="E44">ROW()-ROW(UITranslationTable[#Headers])</f>
        <v>42</v>
      </c>
      <c r="F44" s="11" t="s">
        <v>792</v>
      </c>
      <c r="G44" s="185" t="s">
        <v>883</v>
      </c>
      <c r="H44" s="185" t="s">
        <v>884</v>
      </c>
      <c r="W44" s="186" cm="1">
        <f t="array" ref="W44">ROW()-ROW(structuredFormulaeTable[#Headers])</f>
        <v>42</v>
      </c>
      <c r="X44" s="3" t="s">
        <v>1063</v>
      </c>
      <c r="Y44" s="3" t="s">
        <v>1079</v>
      </c>
      <c r="Z44" s="3" t="b" cm="1">
        <f t="array" ref="Z44">errorChartLanguage</f>
        <v>0</v>
      </c>
      <c r="AA44" s="187" t="s">
        <v>1187</v>
      </c>
      <c r="AB44" s="187"/>
      <c r="BM44" s="3">
        <f ca="1"/>
        <v>5</v>
      </c>
      <c r="BN44" s="3">
        <f ca="1"/>
        <v>10</v>
      </c>
      <c r="BO44" s="3">
        <f ca="1"/>
        <v>2</v>
      </c>
      <c r="BP44" s="3">
        <f ca="1"/>
        <v>2</v>
      </c>
      <c r="BR44" s="3">
        <f ca="1"/>
        <v>2</v>
      </c>
      <c r="BS44" s="3">
        <f ca="1"/>
        <v>3</v>
      </c>
      <c r="BT44" s="3">
        <f ca="1"/>
        <v>0.66666666666666663</v>
      </c>
      <c r="BU44" s="3" t="b">
        <f ca="1"/>
        <v>1</v>
      </c>
      <c r="CD44" s="3" cm="1">
        <f t="array" ref="CD44">ROW()-ROW(recommendedCutoffTable[#Headers])</f>
        <v>42</v>
      </c>
      <c r="CE44" s="192">
        <f>(recommendedCutoffTable[[#This Row],[index]] - 1) / 100</f>
        <v>0.41</v>
      </c>
      <c r="CF44" s="3" cm="1">
        <f t="array" aca="1" ref="CF44" ca="1">ABS(
    numScores
  - 2 * SUMPRODUCT((behaviourScore &lt;&gt; "") * (behaviourScore &lt; recommendedCutoffTable[[#This Row],[cutoffLevel]]))
  )</f>
        <v>148</v>
      </c>
    </row>
    <row r="45" spans="5:126" ht="14.4" customHeight="1" x14ac:dyDescent="0.3">
      <c r="E45" s="11" cm="1">
        <f t="array" ref="E45">ROW()-ROW(UITranslationTable[#Headers])</f>
        <v>43</v>
      </c>
      <c r="F45" s="11" t="s">
        <v>797</v>
      </c>
      <c r="G45" s="185" t="s">
        <v>798</v>
      </c>
      <c r="H45" s="185" t="s">
        <v>799</v>
      </c>
      <c r="W45" s="186" cm="1">
        <f t="array" ref="W45">ROW()-ROW(structuredFormulaeTable[#Headers])</f>
        <v>43</v>
      </c>
      <c r="X45" s="3" t="s">
        <v>1063</v>
      </c>
      <c r="Y45" s="3" t="s">
        <v>1084</v>
      </c>
      <c r="Z45" s="3" t="b" cm="1">
        <f t="array" aca="1" ref="Z45" ca="1">errorChartTranslationMissing</f>
        <v>0</v>
      </c>
      <c r="AA45" s="187" t="s">
        <v>1192</v>
      </c>
      <c r="AB45" s="187"/>
      <c r="BM45" s="3">
        <f ca="1"/>
        <v>2.5</v>
      </c>
      <c r="BN45" s="3">
        <f ca="1"/>
        <v>5</v>
      </c>
      <c r="BO45" s="3">
        <f ca="1"/>
        <v>1</v>
      </c>
      <c r="BP45" s="3">
        <f ca="1"/>
        <v>2</v>
      </c>
      <c r="BR45" s="3">
        <f ca="1"/>
        <v>1.0833333333333333</v>
      </c>
      <c r="BS45" s="3">
        <f ca="1"/>
        <v>3</v>
      </c>
      <c r="BT45" s="3">
        <f ca="1"/>
        <v>0.3611111111111111</v>
      </c>
      <c r="BU45" s="3" t="b">
        <f ca="1"/>
        <v>0</v>
      </c>
      <c r="CD45" s="3" cm="1">
        <f t="array" ref="CD45">ROW()-ROW(recommendedCutoffTable[#Headers])</f>
        <v>43</v>
      </c>
      <c r="CE45" s="192">
        <f>(recommendedCutoffTable[[#This Row],[index]] - 1) / 100</f>
        <v>0.42</v>
      </c>
      <c r="CF45" s="3" cm="1">
        <f t="array" aca="1" ref="CF45" ca="1">ABS(
    numScores
  - 2 * SUMPRODUCT((behaviourScore &lt;&gt; "") * (behaviourScore &lt; recommendedCutoffTable[[#This Row],[cutoffLevel]]))
  )</f>
        <v>148</v>
      </c>
    </row>
    <row r="46" spans="5:126" ht="14.4" customHeight="1" x14ac:dyDescent="0.3">
      <c r="E46" s="196" cm="1">
        <f t="array" ref="E46">ROW()-ROW(UITranslationTable[#Headers])</f>
        <v>44</v>
      </c>
      <c r="F46" s="11" t="s">
        <v>818</v>
      </c>
      <c r="G46" s="185" t="str">
        <f>"3." &amp; CHAR(160) &amp; "RANAS factors"</f>
        <v>3. RANAS factors</v>
      </c>
      <c r="H46" s="185" t="str">
        <f>"3." &amp; CHAR(160) &amp; "Facteurs RANAS"</f>
        <v>3. Facteurs RANAS</v>
      </c>
      <c r="W46" s="186" cm="1">
        <f t="array" ref="W46">ROW()-ROW(structuredFormulaeTable[#Headers])</f>
        <v>44</v>
      </c>
      <c r="X46" s="3" t="s">
        <v>1063</v>
      </c>
      <c r="Y46" s="3" t="s">
        <v>1081</v>
      </c>
      <c r="Z46" s="3" t="b" cm="1">
        <f t="array" aca="1" ref="Z46" ca="1">errorCutoffLevel</f>
        <v>0</v>
      </c>
      <c r="AA46" s="187" t="s">
        <v>1270</v>
      </c>
      <c r="AB46" s="187"/>
      <c r="BM46" s="3">
        <f ca="1"/>
        <v>0</v>
      </c>
      <c r="BN46" s="3">
        <f ca="1"/>
        <v>10</v>
      </c>
      <c r="BO46" s="3">
        <f ca="1"/>
        <v>2</v>
      </c>
      <c r="BP46" s="3">
        <f ca="1"/>
        <v>1</v>
      </c>
      <c r="BR46" s="3">
        <f ca="1"/>
        <v>1.5</v>
      </c>
      <c r="BS46" s="3">
        <f ca="1"/>
        <v>3</v>
      </c>
      <c r="BT46" s="3">
        <f ca="1"/>
        <v>0.5</v>
      </c>
      <c r="BU46" s="3" t="b">
        <f ca="1"/>
        <v>0</v>
      </c>
      <c r="CD46" s="3" cm="1">
        <f t="array" ref="CD46">ROW()-ROW(recommendedCutoffTable[#Headers])</f>
        <v>44</v>
      </c>
      <c r="CE46" s="192">
        <f>(recommendedCutoffTable[[#This Row],[index]] - 1) / 100</f>
        <v>0.43</v>
      </c>
      <c r="CF46" s="3" cm="1">
        <f t="array" aca="1" ref="CF46" ca="1">ABS(
    numScores
  - 2 * SUMPRODUCT((behaviourScore &lt;&gt; "") * (behaviourScore &lt; recommendedCutoffTable[[#This Row],[cutoffLevel]]))
  )</f>
        <v>148</v>
      </c>
    </row>
    <row r="47" spans="5:126" ht="14.4" customHeight="1" x14ac:dyDescent="0.3">
      <c r="E47" s="196" cm="1">
        <f t="array" ref="E47">ROW()-ROW(UITranslationTable[#Headers])</f>
        <v>45</v>
      </c>
      <c r="F47" s="11" t="s">
        <v>819</v>
      </c>
      <c r="G47" s="185" t="s">
        <v>955</v>
      </c>
      <c r="H47" s="185" t="s">
        <v>956</v>
      </c>
      <c r="W47" s="186" cm="1">
        <f t="array" ref="W47">ROW()-ROW(structuredFormulaeTable[#Headers])</f>
        <v>45</v>
      </c>
      <c r="X47" s="3" t="s">
        <v>1063</v>
      </c>
      <c r="Y47" s="3" t="s">
        <v>1068</v>
      </c>
      <c r="Z47" s="3" t="b" cm="1">
        <f t="array" aca="1" ref="Z47" ca="1">errorDataHeaderSpace</f>
        <v>0</v>
      </c>
      <c r="AA47" s="187" t="s">
        <v>1196</v>
      </c>
      <c r="AB47" s="187"/>
      <c r="BM47" s="3">
        <f ca="1"/>
        <v>5</v>
      </c>
      <c r="BN47" s="3">
        <f ca="1"/>
        <v>15</v>
      </c>
      <c r="BO47" s="3">
        <f ca="1"/>
        <v>1</v>
      </c>
      <c r="BP47" s="3">
        <f ca="1"/>
        <v>2</v>
      </c>
      <c r="BR47" s="3">
        <f ca="1"/>
        <v>1.9999999999999998</v>
      </c>
      <c r="BS47" s="3">
        <f ca="1"/>
        <v>3</v>
      </c>
      <c r="BT47" s="3">
        <f ca="1"/>
        <v>0.66666666666666663</v>
      </c>
      <c r="BU47" s="3" t="b">
        <f ca="1"/>
        <v>1</v>
      </c>
      <c r="CD47" s="3" cm="1">
        <f t="array" ref="CD47">ROW()-ROW(recommendedCutoffTable[#Headers])</f>
        <v>45</v>
      </c>
      <c r="CE47" s="192">
        <f>(recommendedCutoffTable[[#This Row],[index]] - 1) / 100</f>
        <v>0.44</v>
      </c>
      <c r="CF47" s="3" cm="1">
        <f t="array" aca="1" ref="CF47" ca="1">ABS(
    numScores
  - 2 * SUMPRODUCT((behaviourScore &lt;&gt; "") * (behaviourScore &lt; recommendedCutoffTable[[#This Row],[cutoffLevel]]))
  )</f>
        <v>148</v>
      </c>
    </row>
    <row r="48" spans="5:126" ht="14.4" customHeight="1" x14ac:dyDescent="0.3">
      <c r="E48" s="196" cm="1">
        <f t="array" ref="E48">ROW()-ROW(UITranslationTable[#Headers])</f>
        <v>46</v>
      </c>
      <c r="F48" s="11" t="s">
        <v>820</v>
      </c>
      <c r="G48" s="185" t="str" cm="1">
        <f t="array" ref="G48">"a. You MUST enter the data headers for the factors that you want to analyse, EXACTLY as they appear in your """ &amp; sheetNameData &amp; """ sheet."</f>
        <v>a. You MUST enter the data headers for the factors that you want to analyse, EXACTLY as they appear in your "data" sheet.</v>
      </c>
      <c r="H48" s="185" t="str" cm="1">
        <f t="array" ref="H48">"a. Vous DEVEZ saisir les en-têtes de données pour les facteurs à analyser, EXACTEMENT comme ils apparaissent dans votre feuille «" &amp; sheetNameData &amp; "»."</f>
        <v>a. Vous DEVEZ saisir les en-têtes de données pour les facteurs à analyser, EXACTEMENT comme ils apparaissent dans votre feuille «data».</v>
      </c>
      <c r="W48" s="186" cm="1">
        <f t="array" ref="W48">ROW()-ROW(structuredFormulaeTable[#Headers])</f>
        <v>46</v>
      </c>
      <c r="X48" s="3" t="s">
        <v>1063</v>
      </c>
      <c r="Y48" s="3" t="s">
        <v>1082</v>
      </c>
      <c r="Z48" s="3" t="b" cm="1">
        <f t="array" aca="1" ref="Z48" ca="1">errorDataSorting</f>
        <v>0</v>
      </c>
      <c r="AA48" s="187" t="s">
        <v>1193</v>
      </c>
      <c r="AB48" s="187"/>
      <c r="BM48" s="3">
        <f ca="1"/>
        <v>2.5</v>
      </c>
      <c r="BN48" s="3">
        <f ca="1"/>
        <v>10</v>
      </c>
      <c r="BO48" s="3">
        <f ca="1"/>
        <v>1</v>
      </c>
      <c r="BP48" s="3">
        <f ca="1"/>
        <v>1</v>
      </c>
      <c r="BR48" s="3">
        <f ca="1"/>
        <v>1.4166666666666665</v>
      </c>
      <c r="BS48" s="3">
        <f ca="1"/>
        <v>3</v>
      </c>
      <c r="BT48" s="3">
        <f ca="1"/>
        <v>0.47222222222222215</v>
      </c>
      <c r="BU48" s="3" t="b">
        <f ca="1"/>
        <v>0</v>
      </c>
      <c r="CD48" s="3" cm="1">
        <f t="array" ref="CD48">ROW()-ROW(recommendedCutoffTable[#Headers])</f>
        <v>46</v>
      </c>
      <c r="CE48" s="192">
        <f>(recommendedCutoffTable[[#This Row],[index]] - 1) / 100</f>
        <v>0.45</v>
      </c>
      <c r="CF48" s="3" cm="1">
        <f t="array" aca="1" ref="CF48" ca="1">ABS(
    numScores
  - 2 * SUMPRODUCT((behaviourScore &lt;&gt; "") * (behaviourScore &lt; recommendedCutoffTable[[#This Row],[cutoffLevel]]))
  )</f>
        <v>106</v>
      </c>
    </row>
    <row r="49" spans="5:84" ht="14.4" customHeight="1" x14ac:dyDescent="0.3">
      <c r="E49" s="196" cm="1">
        <f t="array" ref="E49">ROW()-ROW(UITranslationTable[#Headers])</f>
        <v>47</v>
      </c>
      <c r="F49" s="11" t="s">
        <v>821</v>
      </c>
      <c r="G49" s="185" t="str">
        <f>"b. You MUST enter, for each one, the minimum and maximum possible scores. Be careful to enter the appropriate values. (See the examples given above in " &amp; _xlfn.XLOOKUP("configBehaviourTitle", UITranslationTable[tag], UITranslationTable[English]) &amp; CHAR(160) &amp; "&gt;" &amp; CHAR(160) &amp; "b."")"</f>
        <v>b. You MUST enter, for each one, the minimum and maximum possible scores. Be careful to enter the appropriate values. (See the examples given above in 2. Behaviour &gt; b.")</v>
      </c>
      <c r="H49" s="185" t="str">
        <f>"b. Vous DEVEZ saisir, pour chacun d'eux, les scores minimum et maximum possibles. Veillez à saisir les valeurs appropriées. (Voir les exemples donnés ci-dessus dans «" &amp; _xlfn.XLOOKUP("configBehaviourTitle", UITranslationTable[tag], UITranslationTable[Français]) &amp; CHAR(160) &amp; "&gt;" &amp; CHAR(160) &amp; "b.»)"</f>
        <v>b. Vous DEVEZ saisir, pour chacun d'eux, les scores minimum et maximum possibles. Veillez à saisir les valeurs appropriées. (Voir les exemples donnés ci-dessus dans «2. Comportement &gt; b.»)</v>
      </c>
      <c r="W49" s="186" cm="1">
        <f t="array" ref="W49">ROW()-ROW(structuredFormulaeTable[#Headers])</f>
        <v>47</v>
      </c>
      <c r="X49" s="3" t="s">
        <v>1063</v>
      </c>
      <c r="Y49" s="3" t="s">
        <v>1075</v>
      </c>
      <c r="Z49" s="3" t="b" cm="1">
        <f t="array" aca="1" ref="Z49" ca="1">errorFactorDisplay</f>
        <v>0</v>
      </c>
      <c r="AA49" s="187" t="s">
        <v>1150</v>
      </c>
      <c r="AB49" s="187"/>
      <c r="BM49" s="3">
        <f ca="1"/>
        <v>-2.5</v>
      </c>
      <c r="BN49" s="3">
        <f ca="1"/>
        <v>5</v>
      </c>
      <c r="BO49" s="3">
        <f ca="1"/>
        <v>1</v>
      </c>
      <c r="BP49" s="3">
        <f ca="1"/>
        <v>1</v>
      </c>
      <c r="BR49" s="3">
        <f ca="1"/>
        <v>0.58333333333333326</v>
      </c>
      <c r="BS49" s="3">
        <f ca="1"/>
        <v>3</v>
      </c>
      <c r="BT49" s="3">
        <f ca="1"/>
        <v>0.19444444444444442</v>
      </c>
      <c r="BU49" s="3" t="b">
        <f ca="1"/>
        <v>0</v>
      </c>
      <c r="CD49" s="3" cm="1">
        <f t="array" ref="CD49">ROW()-ROW(recommendedCutoffTable[#Headers])</f>
        <v>47</v>
      </c>
      <c r="CE49" s="192">
        <f>(recommendedCutoffTable[[#This Row],[index]] - 1) / 100</f>
        <v>0.46</v>
      </c>
      <c r="CF49" s="3" cm="1">
        <f t="array" aca="1" ref="CF49" ca="1">ABS(
    numScores
  - 2 * SUMPRODUCT((behaviourScore &lt;&gt; "") * (behaviourScore &lt; recommendedCutoffTable[[#This Row],[cutoffLevel]]))
  )</f>
        <v>106</v>
      </c>
    </row>
    <row r="50" spans="5:84" ht="14.4" customHeight="1" x14ac:dyDescent="0.3">
      <c r="E50" s="196" cm="1">
        <f t="array" ref="E50">ROW()-ROW(UITranslationTable[#Headers])</f>
        <v>48</v>
      </c>
      <c r="F50" s="11" t="s">
        <v>822</v>
      </c>
      <c r="G50" s="185" t="s">
        <v>806</v>
      </c>
      <c r="H50" s="185" t="s">
        <v>823</v>
      </c>
      <c r="W50" s="186" cm="1">
        <f t="array" ref="W50">ROW()-ROW(structuredFormulaeTable[#Headers])</f>
        <v>48</v>
      </c>
      <c r="X50" s="3" t="s">
        <v>1063</v>
      </c>
      <c r="Y50" s="3" t="s">
        <v>1074</v>
      </c>
      <c r="Z50" s="3" t="b" cm="1">
        <f t="array" aca="1" ref="Z50" ca="1">errorFactorHeader</f>
        <v>0</v>
      </c>
      <c r="AA50" s="187" t="s">
        <v>1149</v>
      </c>
      <c r="AB50" s="187"/>
      <c r="BM50" s="3">
        <f ca="1"/>
        <v>2.5</v>
      </c>
      <c r="BN50" s="3">
        <f ca="1"/>
        <v>5</v>
      </c>
      <c r="BO50" s="3">
        <f ca="1"/>
        <v>0</v>
      </c>
      <c r="BP50" s="3">
        <f ca="1"/>
        <v>1</v>
      </c>
      <c r="BR50" s="3">
        <f ca="1"/>
        <v>0.75</v>
      </c>
      <c r="BS50" s="3">
        <f ca="1"/>
        <v>3</v>
      </c>
      <c r="BT50" s="3">
        <f ca="1"/>
        <v>0.25</v>
      </c>
      <c r="BU50" s="3" t="b">
        <f ca="1"/>
        <v>0</v>
      </c>
      <c r="CD50" s="3" cm="1">
        <f t="array" ref="CD50">ROW()-ROW(recommendedCutoffTable[#Headers])</f>
        <v>48</v>
      </c>
      <c r="CE50" s="192">
        <f>(recommendedCutoffTable[[#This Row],[index]] - 1) / 100</f>
        <v>0.47</v>
      </c>
      <c r="CF50" s="3" cm="1">
        <f t="array" aca="1" ref="CF50" ca="1">ABS(
    numScores
  - 2 * SUMPRODUCT((behaviourScore &lt;&gt; "") * (behaviourScore &lt; recommendedCutoffTable[[#This Row],[cutoffLevel]]))
  )</f>
        <v>106</v>
      </c>
    </row>
    <row r="51" spans="5:84" ht="14.4" customHeight="1" x14ac:dyDescent="0.3">
      <c r="E51" s="196" cm="1">
        <f t="array" ref="E51">ROW()-ROW(UITranslationTable[#Headers])</f>
        <v>49</v>
      </c>
      <c r="F51" s="11" t="s">
        <v>824</v>
      </c>
      <c r="G51" s="185" t="str" cm="1">
        <f t="array" ref="G51">"d. You MUST use the drop-down menus in the ""Display?"" column to select (" &amp; yesLabel &amp; ") or deselect (" &amp; noLabel &amp; ") each factor in the table. Only the selected factors will be displayed in the analysis charts and table. This allows you to customise your charts."</f>
        <v>d. You MUST use the drop-down menus in the "Display?" column to select (✔) or deselect (✘) each factor in the table. Only the selected factors will be displayed in the analysis charts and table. This allows you to customise your charts.</v>
      </c>
      <c r="H51" s="185" t="str" cm="1">
        <f t="array" ref="H51">"d. Vous DEVEZ utiliser le menu déroulant de la colonne «Afficher?» pour sélectionner (" &amp; yesLabel &amp; ") ou désélectionner (" &amp; noLabel &amp; ") chaque facteur. Seuls les facteurs sélectionnés seront affichés dans les graphiques et le tableau d'analyse. Cela vous permet de personnaliser vos graphiques."</f>
        <v>d. Vous DEVEZ utiliser le menu déroulant de la colonne «Afficher?» pour sélectionner (✔) ou désélectionner (✘) chaque facteur. Seuls les facteurs sélectionnés seront affichés dans les graphiques et le tableau d'analyse. Cela vous permet de personnaliser vos graphiques.</v>
      </c>
      <c r="W51" s="186" cm="1">
        <f t="array" ref="W51">ROW()-ROW(structuredFormulaeTable[#Headers])</f>
        <v>49</v>
      </c>
      <c r="X51" s="3" t="s">
        <v>1063</v>
      </c>
      <c r="Y51" s="3" t="s">
        <v>1077</v>
      </c>
      <c r="Z51" s="3" t="b" cm="1">
        <f t="array" aca="1" ref="Z51" ca="1">errorFactorMinMaxInvalid</f>
        <v>0</v>
      </c>
      <c r="AA51" s="187" t="s">
        <v>1184</v>
      </c>
      <c r="AB51" s="187"/>
      <c r="BM51" s="3">
        <f ca="1"/>
        <v>0</v>
      </c>
      <c r="BN51" s="3">
        <f ca="1"/>
        <v>5</v>
      </c>
      <c r="BO51" s="3">
        <f ca="1"/>
        <v>1</v>
      </c>
      <c r="BP51" s="3">
        <f ca="1"/>
        <v>2</v>
      </c>
      <c r="BR51" s="3">
        <f ca="1"/>
        <v>0.83333333333333326</v>
      </c>
      <c r="BS51" s="3">
        <f ca="1"/>
        <v>3</v>
      </c>
      <c r="BT51" s="3">
        <f ca="1"/>
        <v>0.27777777777777773</v>
      </c>
      <c r="BU51" s="3" t="b">
        <f ca="1"/>
        <v>0</v>
      </c>
      <c r="CD51" s="3" cm="1">
        <f t="array" ref="CD51">ROW()-ROW(recommendedCutoffTable[#Headers])</f>
        <v>49</v>
      </c>
      <c r="CE51" s="192">
        <f>(recommendedCutoffTable[[#This Row],[index]] - 1) / 100</f>
        <v>0.48</v>
      </c>
      <c r="CF51" s="3" cm="1">
        <f t="array" aca="1" ref="CF51" ca="1">ABS(
    numScores
  - 2 * SUMPRODUCT((behaviourScore &lt;&gt; "") * (behaviourScore &lt; recommendedCutoffTable[[#This Row],[cutoffLevel]]))
  )</f>
        <v>60</v>
      </c>
    </row>
    <row r="52" spans="5:84" ht="14.4" customHeight="1" x14ac:dyDescent="0.3">
      <c r="E52" s="196" cm="1">
        <f t="array" ref="E52">ROW()-ROW(UITranslationTable[#Headers])</f>
        <v>50</v>
      </c>
      <c r="F52" s="11" t="s">
        <v>825</v>
      </c>
      <c r="G52" s="185" t="str" cm="1">
        <f t="array" aca="1" ref="G52" ca="1">"e. You CAN define, in the yellow cells of the top row, additional languages that you want to use to display results in the charts and tables." &amp; " They will then be available for selection in the ""Chart language"" menu of the """ &amp; sheetNameIntroduction &amp; """ sheet."</f>
        <v>e. You CAN define, in the yellow cells of the top row, additional languages that you want to use to display results in the charts and tables. They will then be available for selection in the "Chart language" menu of the "Introduction" sheet.</v>
      </c>
      <c r="H52" s="185" t="str" cm="1">
        <f t="array" aca="1" ref="H52" ca="1">"e. Vous POUVEZ définir, dans les cellules jaunes de la ligne supérieure, des langues supplémentaires que vous souhaitez utiliser pour afficher les résultats dans les graphiques et les tableaux." &amp; " Elles seront alors disponibles dans le menu «Langue des graphiques» de la feuille «" &amp; sheetNameIntroduction &amp; "»."</f>
        <v>e. Vous POUVEZ définir, dans les cellules jaunes de la ligne supérieure, des langues supplémentaires que vous souhaitez utiliser pour afficher les résultats dans les graphiques et les tableaux. Elles seront alors disponibles dans le menu «Langue des graphiques» de la feuille «Introduction».</v>
      </c>
      <c r="W52" s="186" cm="1">
        <f t="array" ref="W52">ROW()-ROW(structuredFormulaeTable[#Headers])</f>
        <v>50</v>
      </c>
      <c r="X52" s="3" t="s">
        <v>1063</v>
      </c>
      <c r="Y52" s="3" t="s">
        <v>1076</v>
      </c>
      <c r="Z52" s="3" t="b" cm="1">
        <f t="array" aca="1" ref="Z52" ca="1">errorFactorNoneSelected</f>
        <v>0</v>
      </c>
      <c r="AA52" s="187" t="s">
        <v>1151</v>
      </c>
      <c r="AB52" s="187"/>
      <c r="BM52" s="3">
        <f ca="1"/>
        <v>0</v>
      </c>
      <c r="BN52" s="3">
        <f ca="1"/>
        <v>15</v>
      </c>
      <c r="BO52" s="3">
        <f ca="1"/>
        <v>2</v>
      </c>
      <c r="BP52" s="3">
        <f ca="1"/>
        <v>2</v>
      </c>
      <c r="BR52" s="3">
        <f ca="1"/>
        <v>1.833333333333333</v>
      </c>
      <c r="BS52" s="3">
        <f ca="1"/>
        <v>3</v>
      </c>
      <c r="BT52" s="3">
        <f ca="1"/>
        <v>0.61111111111111105</v>
      </c>
      <c r="BU52" s="3" t="b">
        <f ca="1"/>
        <v>1</v>
      </c>
      <c r="CD52" s="3" cm="1">
        <f t="array" ref="CD52">ROW()-ROW(recommendedCutoffTable[#Headers])</f>
        <v>50</v>
      </c>
      <c r="CE52" s="192">
        <f>(recommendedCutoffTable[[#This Row],[index]] - 1) / 100</f>
        <v>0.49</v>
      </c>
      <c r="CF52" s="3" cm="1">
        <f t="array" aca="1" ref="CF52" ca="1">ABS(
    numScores
  - 2 * SUMPRODUCT((behaviourScore &lt;&gt; "") * (behaviourScore &lt; recommendedCutoffTable[[#This Row],[cutoffLevel]]))
  )</f>
        <v>60</v>
      </c>
    </row>
    <row r="53" spans="5:84" ht="14.4" customHeight="1" x14ac:dyDescent="0.3">
      <c r="E53" s="196" cm="1">
        <f t="array" ref="E53">ROW()-ROW(UITranslationTable[#Headers])</f>
        <v>51</v>
      </c>
      <c r="F53" s="11" t="s">
        <v>826</v>
      </c>
      <c r="G53" s="185" t="str" cm="1">
        <f t="array" aca="1" ref="G53" ca="1">"f. You MUST provide translations for all factors defined in the ""Data header"" column, at least for the ""Chart language"" selected in the """ &amp; sheetNameIntroduction &amp; """ sheet."</f>
        <v>f. You MUST provide translations for all factors defined in the "Data header" column, at least for the "Chart language" selected in the "Introduction" sheet.</v>
      </c>
      <c r="H53" s="185" t="str" cm="1">
        <f t="array" aca="1" ref="H53" ca="1">"f. Vous DEVEZ fournir des traductions pour tous les facteurs définis dans la colonne «En-tête de données», au moins pour la «Langue des graphiques» sélectionnée sur la feuille «" &amp; sheetNameIntroduction &amp; "»."</f>
        <v>f. Vous DEVEZ fournir des traductions pour tous les facteurs définis dans la colonne «En-tête de données», au moins pour la «Langue des graphiques» sélectionnée sur la feuille «Introduction».</v>
      </c>
      <c r="W53" s="186" cm="1">
        <f t="array" ref="W53">ROW()-ROW(structuredFormulaeTable[#Headers])</f>
        <v>51</v>
      </c>
      <c r="X53" s="3" t="s">
        <v>1063</v>
      </c>
      <c r="Y53" s="3" t="s">
        <v>1078</v>
      </c>
      <c r="Z53" s="3" t="b" cm="1">
        <f t="array" aca="1" ref="Z53" ca="1">errorFactorOutOfRange</f>
        <v>0</v>
      </c>
      <c r="AA53" s="187" t="s">
        <v>1186</v>
      </c>
      <c r="AB53" s="187"/>
      <c r="BM53" s="3">
        <f ca="1"/>
        <v>2.5</v>
      </c>
      <c r="BN53" s="3">
        <f ca="1"/>
        <v>15</v>
      </c>
      <c r="BO53" s="3">
        <f ca="1"/>
        <v>1</v>
      </c>
      <c r="BP53" s="3">
        <f ca="1"/>
        <v>2</v>
      </c>
      <c r="BR53" s="3">
        <f ca="1"/>
        <v>1.7499999999999998</v>
      </c>
      <c r="BS53" s="3">
        <f ca="1"/>
        <v>3</v>
      </c>
      <c r="BT53" s="3">
        <f ca="1"/>
        <v>0.58333333333333326</v>
      </c>
      <c r="BU53" s="3" t="b">
        <f ca="1"/>
        <v>1</v>
      </c>
      <c r="CD53" s="3" cm="1">
        <f t="array" ref="CD53">ROW()-ROW(recommendedCutoffTable[#Headers])</f>
        <v>51</v>
      </c>
      <c r="CE53" s="192">
        <f>(recommendedCutoffTable[[#This Row],[index]] - 1) / 100</f>
        <v>0.5</v>
      </c>
      <c r="CF53" s="3" cm="1">
        <f t="array" aca="1" ref="CF53" ca="1">ABS(
    numScores
  - 2 * SUMPRODUCT((behaviourScore &lt;&gt; "") * (behaviourScore &lt; recommendedCutoffTable[[#This Row],[cutoffLevel]]))
  )</f>
        <v>60</v>
      </c>
    </row>
    <row r="54" spans="5:84" ht="14.4" customHeight="1" x14ac:dyDescent="0.3">
      <c r="E54" s="11" cm="1">
        <f t="array" ref="E54">ROW()-ROW(UITranslationTable[#Headers])</f>
        <v>52</v>
      </c>
      <c r="F54" s="185" t="s">
        <v>850</v>
      </c>
      <c r="G54" s="185" t="s">
        <v>713</v>
      </c>
      <c r="H54" s="185" t="s">
        <v>789</v>
      </c>
      <c r="W54" s="186" cm="1">
        <f t="array" ref="W54">ROW()-ROW(structuredFormulaeTable[#Headers])</f>
        <v>52</v>
      </c>
      <c r="X54" s="3" t="s">
        <v>1063</v>
      </c>
      <c r="Y54" s="3" t="s">
        <v>1083</v>
      </c>
      <c r="Z54" s="3" t="b" cm="1">
        <f t="array" aca="1" ref="Z54" ca="1">errorFactorTranslationMissing</f>
        <v>0</v>
      </c>
      <c r="AA54" s="187" t="s">
        <v>1189</v>
      </c>
      <c r="AB54" s="187"/>
      <c r="AE54" s="201"/>
      <c r="BM54" s="3">
        <f ca="1"/>
        <v>2.5</v>
      </c>
      <c r="BN54" s="3">
        <f ca="1"/>
        <v>10</v>
      </c>
      <c r="BO54" s="3">
        <f ca="1"/>
        <v>1</v>
      </c>
      <c r="BP54" s="3">
        <f ca="1"/>
        <v>2</v>
      </c>
      <c r="BR54" s="3">
        <f ca="1"/>
        <v>1.4166666666666665</v>
      </c>
      <c r="BS54" s="3">
        <f ca="1"/>
        <v>3</v>
      </c>
      <c r="BT54" s="3">
        <f ca="1"/>
        <v>0.47222222222222215</v>
      </c>
      <c r="BU54" s="3" t="b">
        <f ca="1"/>
        <v>0</v>
      </c>
      <c r="CD54" s="3" cm="1">
        <f t="array" ref="CD54">ROW()-ROW(recommendedCutoffTable[#Headers])</f>
        <v>52</v>
      </c>
      <c r="CE54" s="192">
        <f>(recommendedCutoffTable[[#This Row],[index]] - 1) / 100</f>
        <v>0.51</v>
      </c>
      <c r="CF54" s="3" cm="1">
        <f t="array" aca="1" ref="CF54" ca="1">ABS(
    numScores
  - 2 * SUMPRODUCT((behaviourScore &lt;&gt; "") * (behaviourScore &lt; recommendedCutoffTable[[#This Row],[cutoffLevel]]))
  )</f>
        <v>50</v>
      </c>
    </row>
    <row r="55" spans="5:84" ht="14.4" customHeight="1" x14ac:dyDescent="0.3">
      <c r="E55" s="11" cm="1">
        <f t="array" ref="E55">ROW()-ROW(UITranslationTable[#Headers])</f>
        <v>53</v>
      </c>
      <c r="F55" s="185" t="s">
        <v>851</v>
      </c>
      <c r="G55" s="185" t="s">
        <v>628</v>
      </c>
      <c r="H55" s="185" t="s">
        <v>635</v>
      </c>
      <c r="W55" s="186" cm="1">
        <f t="array" ref="W55">ROW()-ROW(structuredFormulaeTable[#Headers])</f>
        <v>53</v>
      </c>
      <c r="X55" s="3" t="s">
        <v>1063</v>
      </c>
      <c r="Y55" s="3" t="s">
        <v>784</v>
      </c>
      <c r="Z55" s="3" t="str" cm="1">
        <f t="array" aca="1" ref="Z55" ca="1">errorMessages</f>
        <v/>
      </c>
      <c r="AA55" s="187" t="s">
        <v>1043</v>
      </c>
      <c r="AB55" s="172" t="s">
        <v>1056</v>
      </c>
      <c r="BM55" s="3">
        <f ca="1"/>
        <v>0</v>
      </c>
      <c r="BN55" s="3">
        <f ca="1"/>
        <v>10</v>
      </c>
      <c r="BO55" s="3">
        <f ca="1"/>
        <v>1</v>
      </c>
      <c r="BP55" s="3">
        <f ca="1"/>
        <v>2</v>
      </c>
      <c r="BR55" s="3">
        <f ca="1"/>
        <v>1.1666666666666665</v>
      </c>
      <c r="BS55" s="3">
        <f ca="1"/>
        <v>3</v>
      </c>
      <c r="BT55" s="3">
        <f ca="1"/>
        <v>0.38888888888888884</v>
      </c>
      <c r="BU55" s="3" t="b">
        <f ca="1"/>
        <v>0</v>
      </c>
      <c r="CD55" s="3" cm="1">
        <f t="array" ref="CD55">ROW()-ROW(recommendedCutoffTable[#Headers])</f>
        <v>53</v>
      </c>
      <c r="CE55" s="192">
        <f>(recommendedCutoffTable[[#This Row],[index]] - 1) / 100</f>
        <v>0.52</v>
      </c>
      <c r="CF55" s="3" cm="1">
        <f t="array" aca="1" ref="CF55" ca="1">ABS(
    numScores
  - 2 * SUMPRODUCT((behaviourScore &lt;&gt; "") * (behaviourScore &lt; recommendedCutoffTable[[#This Row],[cutoffLevel]]))
  )</f>
        <v>50</v>
      </c>
    </row>
    <row r="56" spans="5:84" ht="14.4" customHeight="1" x14ac:dyDescent="0.3">
      <c r="E56" s="11" cm="1">
        <f t="array" ref="E56">ROW()-ROW(UITranslationTable[#Headers])</f>
        <v>54</v>
      </c>
      <c r="F56" s="11" t="s">
        <v>783</v>
      </c>
      <c r="G56" s="185" t="s">
        <v>756</v>
      </c>
      <c r="H56" s="185" t="s">
        <v>757</v>
      </c>
      <c r="W56" s="186" cm="1">
        <f t="array" ref="W56">ROW()-ROW(structuredFormulaeTable[#Headers])</f>
        <v>54</v>
      </c>
      <c r="X56" s="3" t="s">
        <v>1063</v>
      </c>
      <c r="Y56" s="3" t="s">
        <v>1067</v>
      </c>
      <c r="Z56" s="3" t="b" cm="1">
        <f t="array" aca="1" ref="Z56" ca="1">errorNoDataRefCol</f>
        <v>0</v>
      </c>
      <c r="AA56" s="187" t="s">
        <v>1090</v>
      </c>
      <c r="AB56" s="187"/>
      <c r="BM56" s="3">
        <f ca="1"/>
        <v>2.5</v>
      </c>
      <c r="BN56" s="3">
        <f ca="1"/>
        <v>10</v>
      </c>
      <c r="BO56" s="3">
        <f ca="1"/>
        <v>0</v>
      </c>
      <c r="BP56" s="3">
        <f ca="1"/>
        <v>2</v>
      </c>
      <c r="BR56" s="3">
        <f ca="1"/>
        <v>1.0833333333333333</v>
      </c>
      <c r="BS56" s="3">
        <f ca="1"/>
        <v>3</v>
      </c>
      <c r="BT56" s="3">
        <f ca="1"/>
        <v>0.3611111111111111</v>
      </c>
      <c r="BU56" s="3" t="b">
        <f ca="1"/>
        <v>0</v>
      </c>
      <c r="CD56" s="3" cm="1">
        <f t="array" ref="CD56">ROW()-ROW(recommendedCutoffTable[#Headers])</f>
        <v>54</v>
      </c>
      <c r="CE56" s="192">
        <f>(recommendedCutoffTable[[#This Row],[index]] - 1) / 100</f>
        <v>0.53</v>
      </c>
      <c r="CF56" s="3" cm="1">
        <f t="array" aca="1" ref="CF56" ca="1">ABS(
    numScores
  - 2 * SUMPRODUCT((behaviourScore &lt;&gt; "") * (behaviourScore &lt; recommendedCutoffTable[[#This Row],[cutoffLevel]]))
  )</f>
        <v>50</v>
      </c>
    </row>
    <row r="57" spans="5:84" ht="14.4" customHeight="1" x14ac:dyDescent="0.3">
      <c r="E57" s="196" cm="1">
        <f t="array" ref="E57">ROW()-ROW(UITranslationTable[#Headers])</f>
        <v>55</v>
      </c>
      <c r="F57" s="11" t="s">
        <v>827</v>
      </c>
      <c r="G57" s="185" t="str">
        <f>"4." &amp; CHAR(160) &amp; "Translations for charts and data tables"</f>
        <v>4. Translations for charts and data tables</v>
      </c>
      <c r="H57" s="185" t="str">
        <f>"4." &amp; CHAR(160) &amp; "Traductions pour les graphiques et les tableaux de données"</f>
        <v>4. Traductions pour les graphiques et les tableaux de données</v>
      </c>
      <c r="W57" s="186" cm="1">
        <f t="array" ref="W57">ROW()-ROW(structuredFormulaeTable[#Headers])</f>
        <v>55</v>
      </c>
      <c r="X57" s="3" t="s">
        <v>1063</v>
      </c>
      <c r="Y57" s="3" t="s">
        <v>1065</v>
      </c>
      <c r="Z57" s="3" t="b" cm="1">
        <f t="array" aca="1" ref="Z57" ca="1">errorNoDataSheet</f>
        <v>0</v>
      </c>
      <c r="AA57" s="187" t="s">
        <v>1313</v>
      </c>
      <c r="AB57" s="187"/>
      <c r="BM57" s="3">
        <f ca="1"/>
        <v>2.5</v>
      </c>
      <c r="BN57" s="3">
        <f ca="1"/>
        <v>10</v>
      </c>
      <c r="BO57" s="3">
        <f ca="1"/>
        <v>1</v>
      </c>
      <c r="BP57" s="3">
        <f ca="1"/>
        <v>2</v>
      </c>
      <c r="BR57" s="3">
        <f ca="1"/>
        <v>1.4166666666666665</v>
      </c>
      <c r="BS57" s="3">
        <f ca="1"/>
        <v>3</v>
      </c>
      <c r="BT57" s="3">
        <f ca="1"/>
        <v>0.47222222222222215</v>
      </c>
      <c r="BU57" s="3" t="b">
        <f ca="1"/>
        <v>0</v>
      </c>
      <c r="CD57" s="3" cm="1">
        <f t="array" ref="CD57">ROW()-ROW(recommendedCutoffTable[#Headers])</f>
        <v>55</v>
      </c>
      <c r="CE57" s="192">
        <f>(recommendedCutoffTable[[#This Row],[index]] - 1) / 100</f>
        <v>0.54</v>
      </c>
      <c r="CF57" s="3" cm="1">
        <f t="array" aca="1" ref="CF57" ca="1">ABS(
    numScores
  - 2 * SUMPRODUCT((behaviourScore &lt;&gt; "") * (behaviourScore &lt; recommendedCutoffTable[[#This Row],[cutoffLevel]]))
  )</f>
        <v>50</v>
      </c>
    </row>
    <row r="58" spans="5:84" ht="14.4" customHeight="1" x14ac:dyDescent="0.3">
      <c r="E58" s="196" cm="1">
        <f t="array" ref="E58">ROW()-ROW(UITranslationTable[#Headers])</f>
        <v>56</v>
      </c>
      <c r="F58" s="11" t="s">
        <v>828</v>
      </c>
      <c r="G58" s="185" t="s">
        <v>830</v>
      </c>
      <c r="H58" s="185" t="s">
        <v>829</v>
      </c>
      <c r="W58" s="186" cm="1">
        <f t="array" ref="W58">ROW()-ROW(structuredFormulaeTable[#Headers])</f>
        <v>56</v>
      </c>
      <c r="X58" s="3" t="s">
        <v>1063</v>
      </c>
      <c r="Y58" s="3" t="s">
        <v>1080</v>
      </c>
      <c r="Z58" s="3" t="b" cm="1">
        <f t="array" aca="1" ref="Z58" ca="1">errorRANASBlockMissing</f>
        <v>0</v>
      </c>
      <c r="AA58" s="187" t="s">
        <v>1188</v>
      </c>
      <c r="AB58" s="11"/>
      <c r="BM58" s="3">
        <f ca="1"/>
        <v>5</v>
      </c>
      <c r="BN58" s="3">
        <f ca="1"/>
        <v>10</v>
      </c>
      <c r="BO58" s="3">
        <f ca="1"/>
        <v>1</v>
      </c>
      <c r="BP58" s="3">
        <f ca="1"/>
        <v>2</v>
      </c>
      <c r="BR58" s="3">
        <f ca="1"/>
        <v>1.6666666666666665</v>
      </c>
      <c r="BS58" s="3">
        <f ca="1"/>
        <v>3</v>
      </c>
      <c r="BT58" s="3">
        <f ca="1"/>
        <v>0.55555555555555547</v>
      </c>
      <c r="BU58" s="3" t="b">
        <f ca="1"/>
        <v>0</v>
      </c>
      <c r="CD58" s="3" cm="1">
        <f t="array" ref="CD58">ROW()-ROW(recommendedCutoffTable[#Headers])</f>
        <v>56</v>
      </c>
      <c r="CE58" s="192">
        <f>(recommendedCutoffTable[[#This Row],[index]] - 1) / 100</f>
        <v>0.55000000000000004</v>
      </c>
      <c r="CF58" s="3" cm="1">
        <f t="array" aca="1" ref="CF58" ca="1">ABS(
    numScores
  - 2 * SUMPRODUCT((behaviourScore &lt;&gt; "") * (behaviourScore &lt; recommendedCutoffTable[[#This Row],[cutoffLevel]]))
  )</f>
        <v>50</v>
      </c>
    </row>
    <row r="59" spans="5:84" ht="14.4" customHeight="1" x14ac:dyDescent="0.3">
      <c r="E59" s="196" cm="1">
        <f t="array" ref="E59">ROW()-ROW(UITranslationTable[#Headers])</f>
        <v>57</v>
      </c>
      <c r="F59" s="11"/>
      <c r="G59" s="185"/>
      <c r="H59" s="185"/>
      <c r="W59" s="186" cm="1">
        <f t="array" ref="W59">ROW()-ROW(structuredFormulaeTable[#Headers])</f>
        <v>57</v>
      </c>
      <c r="X59" s="3" t="s">
        <v>1063</v>
      </c>
      <c r="Y59" s="3" t="s">
        <v>1066</v>
      </c>
      <c r="Z59" s="3" t="b" cm="1">
        <f t="array" ref="Z59">errorUILanguage</f>
        <v>0</v>
      </c>
      <c r="AA59" s="187" t="s">
        <v>1182</v>
      </c>
      <c r="AB59" s="11"/>
      <c r="BM59" s="3">
        <f ca="1"/>
        <v>5</v>
      </c>
      <c r="BN59" s="3">
        <f ca="1"/>
        <v>10</v>
      </c>
      <c r="BO59" s="3">
        <f ca="1"/>
        <v>0</v>
      </c>
      <c r="BP59" s="3">
        <f ca="1"/>
        <v>1</v>
      </c>
      <c r="BR59" s="3">
        <f ca="1"/>
        <v>1.3333333333333333</v>
      </c>
      <c r="BS59" s="3">
        <f ca="1"/>
        <v>3</v>
      </c>
      <c r="BT59" s="3">
        <f ca="1"/>
        <v>0.44444444444444442</v>
      </c>
      <c r="BU59" s="3" t="b">
        <f ca="1"/>
        <v>0</v>
      </c>
      <c r="CD59" s="3" cm="1">
        <f t="array" ref="CD59">ROW()-ROW(recommendedCutoffTable[#Headers])</f>
        <v>57</v>
      </c>
      <c r="CE59" s="192">
        <f>(recommendedCutoffTable[[#This Row],[index]] - 1) / 100</f>
        <v>0.56000000000000005</v>
      </c>
      <c r="CF59" s="3" cm="1">
        <f t="array" aca="1" ref="CF59" ca="1">ABS(
    numScores
  - 2 * SUMPRODUCT((behaviourScore &lt;&gt; "") * (behaviourScore &lt; recommendedCutoffTable[[#This Row],[cutoffLevel]]))
  )</f>
        <v>36</v>
      </c>
    </row>
    <row r="60" spans="5:84" ht="14.4" customHeight="1" x14ac:dyDescent="0.3">
      <c r="E60" s="196" cm="1">
        <f t="array" ref="E60">ROW()-ROW(UITranslationTable[#Headers])</f>
        <v>58</v>
      </c>
      <c r="F60" s="11" t="s">
        <v>795</v>
      </c>
      <c r="G60" s="185" t="s">
        <v>831</v>
      </c>
      <c r="H60" s="185" t="s">
        <v>832</v>
      </c>
      <c r="W60" s="186" cm="1">
        <f t="array" ref="W60">ROW()-ROW(structuredFormulaeTable[#Headers])</f>
        <v>58</v>
      </c>
      <c r="X60" s="3" t="s">
        <v>1063</v>
      </c>
      <c r="Y60" s="3" t="s">
        <v>682</v>
      </c>
      <c r="Z60" s="3" t="str" cm="1">
        <f t="array" ref="Z60">langSpecBehaviourScore</f>
        <v>Nota de comportamiento</v>
      </c>
      <c r="AA60" s="187" t="s">
        <v>1203</v>
      </c>
      <c r="AB60" s="202" t="s">
        <v>1052</v>
      </c>
      <c r="BM60" s="3">
        <f ca="1"/>
        <v>5</v>
      </c>
      <c r="BN60" s="3">
        <f ca="1"/>
        <v>10</v>
      </c>
      <c r="BO60" s="3">
        <f ca="1"/>
        <v>1</v>
      </c>
      <c r="BP60" s="3">
        <f ca="1"/>
        <v>2</v>
      </c>
      <c r="BR60" s="3">
        <f ca="1"/>
        <v>1.6666666666666665</v>
      </c>
      <c r="BS60" s="3">
        <f ca="1"/>
        <v>3</v>
      </c>
      <c r="BT60" s="3">
        <f ca="1"/>
        <v>0.55555555555555547</v>
      </c>
      <c r="BU60" s="3" t="b">
        <f ca="1"/>
        <v>0</v>
      </c>
      <c r="CD60" s="3" cm="1">
        <f t="array" ref="CD60">ROW()-ROW(recommendedCutoffTable[#Headers])</f>
        <v>58</v>
      </c>
      <c r="CE60" s="192">
        <f>(recommendedCutoffTable[[#This Row],[index]] - 1) / 100</f>
        <v>0.56999999999999995</v>
      </c>
      <c r="CF60" s="3" cm="1">
        <f t="array" aca="1" ref="CF60" ca="1">ABS(
    numScores
  - 2 * SUMPRODUCT((behaviourScore &lt;&gt; "") * (behaviourScore &lt; recommendedCutoffTable[[#This Row],[cutoffLevel]]))
  )</f>
        <v>36</v>
      </c>
    </row>
    <row r="61" spans="5:84" ht="14.4" customHeight="1" x14ac:dyDescent="0.3">
      <c r="E61" s="196" cm="1">
        <f t="array" ref="E61">ROW()-ROW(UITranslationTable[#Headers])</f>
        <v>59</v>
      </c>
      <c r="F61" s="11" t="s">
        <v>833</v>
      </c>
      <c r="G61" s="185" t="s">
        <v>834</v>
      </c>
      <c r="H61" s="185" t="s">
        <v>835</v>
      </c>
      <c r="W61" s="186" cm="1">
        <f t="array" ref="W61">ROW()-ROW(structuredFormulaeTable[#Headers])</f>
        <v>59</v>
      </c>
      <c r="X61" s="3" t="s">
        <v>1063</v>
      </c>
      <c r="Y61" s="3" t="s">
        <v>623</v>
      </c>
      <c r="Z61" s="3" t="str" cm="1">
        <f t="array" ref="Z61">langSpecCutoff</f>
        <v>Nivel límite</v>
      </c>
      <c r="AA61" s="187" t="s">
        <v>1202</v>
      </c>
      <c r="AB61" s="202" t="s">
        <v>1051</v>
      </c>
      <c r="BM61" s="3">
        <f ca="1"/>
        <v>5</v>
      </c>
      <c r="BN61" s="3">
        <f ca="1"/>
        <v>5</v>
      </c>
      <c r="BO61" s="3">
        <f ca="1"/>
        <v>1</v>
      </c>
      <c r="BP61" s="3">
        <f ca="1"/>
        <v>1</v>
      </c>
      <c r="BR61" s="3">
        <f ca="1"/>
        <v>1.3333333333333333</v>
      </c>
      <c r="BS61" s="3">
        <f ca="1"/>
        <v>3</v>
      </c>
      <c r="BT61" s="3">
        <f ca="1"/>
        <v>0.44444444444444442</v>
      </c>
      <c r="BU61" s="3" t="b">
        <f ca="1"/>
        <v>0</v>
      </c>
      <c r="CD61" s="3" cm="1">
        <f t="array" ref="CD61">ROW()-ROW(recommendedCutoffTable[#Headers])</f>
        <v>59</v>
      </c>
      <c r="CE61" s="192">
        <f>(recommendedCutoffTable[[#This Row],[index]] - 1) / 100</f>
        <v>0.57999999999999996</v>
      </c>
      <c r="CF61" s="3" cm="1">
        <f t="array" aca="1" ref="CF61" ca="1">ABS(
    numScores
  - 2 * SUMPRODUCT((behaviourScore &lt;&gt; "") * (behaviourScore &lt; recommendedCutoffTable[[#This Row],[cutoffLevel]]))
  )</f>
        <v>36</v>
      </c>
    </row>
    <row r="62" spans="5:84" ht="14.4" customHeight="1" x14ac:dyDescent="0.3">
      <c r="E62" s="196" cm="1">
        <f t="array" ref="E62">ROW()-ROW(UITranslationTable[#Headers])</f>
        <v>60</v>
      </c>
      <c r="F62" s="11" t="s">
        <v>836</v>
      </c>
      <c r="G62" s="185" t="s">
        <v>915</v>
      </c>
      <c r="H62" s="185" t="s">
        <v>916</v>
      </c>
      <c r="W62" s="186" cm="1">
        <f t="array" ref="W62">ROW()-ROW(structuredFormulaeTable[#Headers])</f>
        <v>60</v>
      </c>
      <c r="X62" s="3" t="s">
        <v>1063</v>
      </c>
      <c r="Y62" s="3" t="s">
        <v>776</v>
      </c>
      <c r="Z62" s="3" t="str" cm="1">
        <f t="array" ref="Z62">langSpecMeanScore</f>
        <v>Nota media normalizada (0‑100%)</v>
      </c>
      <c r="AA62" s="187" t="s">
        <v>1205</v>
      </c>
      <c r="AB62" s="202" t="s">
        <v>1204</v>
      </c>
      <c r="BM62" s="3">
        <f ca="1"/>
        <v>5</v>
      </c>
      <c r="BN62" s="3">
        <f ca="1"/>
        <v>10</v>
      </c>
      <c r="BO62" s="3">
        <f ca="1"/>
        <v>1</v>
      </c>
      <c r="BP62" s="3">
        <f ca="1"/>
        <v>2</v>
      </c>
      <c r="BR62" s="3">
        <f ca="1"/>
        <v>1.6666666666666665</v>
      </c>
      <c r="BS62" s="3">
        <f ca="1"/>
        <v>3</v>
      </c>
      <c r="BT62" s="3">
        <f ca="1"/>
        <v>0.55555555555555547</v>
      </c>
      <c r="BU62" s="3" t="b">
        <f ca="1"/>
        <v>0</v>
      </c>
      <c r="CD62" s="3" cm="1">
        <f t="array" ref="CD62">ROW()-ROW(recommendedCutoffTable[#Headers])</f>
        <v>60</v>
      </c>
      <c r="CE62" s="192">
        <f>(recommendedCutoffTable[[#This Row],[index]] - 1) / 100</f>
        <v>0.59</v>
      </c>
      <c r="CF62" s="3" cm="1">
        <f t="array" aca="1" ref="CF62" ca="1">ABS(
    numScores
  - 2 * SUMPRODUCT((behaviourScore &lt;&gt; "") * (behaviourScore &lt; recommendedCutoffTable[[#This Row],[cutoffLevel]]))
  )</f>
        <v>50</v>
      </c>
    </row>
    <row r="63" spans="5:84" ht="14.4" customHeight="1" x14ac:dyDescent="0.3">
      <c r="E63" s="196" cm="1">
        <f t="array" ref="E63">ROW()-ROW(UITranslationTable[#Headers])</f>
        <v>61</v>
      </c>
      <c r="F63" s="11" t="s">
        <v>837</v>
      </c>
      <c r="G63" s="185" t="s">
        <v>839</v>
      </c>
      <c r="H63" s="185" t="s">
        <v>838</v>
      </c>
      <c r="W63" s="186" cm="1">
        <f t="array" ref="W63">ROW()-ROW(structuredFormulaeTable[#Headers])</f>
        <v>61</v>
      </c>
      <c r="X63" s="3" t="s">
        <v>1063</v>
      </c>
      <c r="Y63" s="3" t="s">
        <v>686</v>
      </c>
      <c r="Z63" s="3" t="str" cm="1">
        <f t="array" ref="Z63">langSpecNumResponses</f>
        <v>Nº de respuestas</v>
      </c>
      <c r="AA63" s="187" t="s">
        <v>1206</v>
      </c>
      <c r="AB63" s="202" t="s">
        <v>1053</v>
      </c>
      <c r="BM63" s="3">
        <f ca="1"/>
        <v>2.5</v>
      </c>
      <c r="BN63" s="3">
        <f ca="1"/>
        <v>20</v>
      </c>
      <c r="BO63" s="3">
        <f ca="1"/>
        <v>2</v>
      </c>
      <c r="BP63" s="3">
        <f ca="1"/>
        <v>2</v>
      </c>
      <c r="BR63" s="3">
        <f ca="1"/>
        <v>2.4166666666666665</v>
      </c>
      <c r="BS63" s="3">
        <f ca="1"/>
        <v>3</v>
      </c>
      <c r="BT63" s="3">
        <f ca="1"/>
        <v>0.80555555555555547</v>
      </c>
      <c r="BU63" s="3" t="b">
        <f ca="1"/>
        <v>1</v>
      </c>
      <c r="CD63" s="3" cm="1">
        <f t="array" ref="CD63">ROW()-ROW(recommendedCutoffTable[#Headers])</f>
        <v>61</v>
      </c>
      <c r="CE63" s="192">
        <f>(recommendedCutoffTable[[#This Row],[index]] - 1) / 100</f>
        <v>0.6</v>
      </c>
      <c r="CF63" s="3" cm="1">
        <f t="array" aca="1" ref="CF63" ca="1">ABS(
    numScores
  - 2 * SUMPRODUCT((behaviourScore &lt;&gt; "") * (behaviourScore &lt; recommendedCutoffTable[[#This Row],[cutoffLevel]]))
  )</f>
        <v>50</v>
      </c>
    </row>
    <row r="64" spans="5:84" ht="14.4" customHeight="1" x14ac:dyDescent="0.3">
      <c r="E64" s="11" cm="1">
        <f t="array" ref="E64">ROW()-ROW(UITranslationTable[#Headers])</f>
        <v>62</v>
      </c>
      <c r="F64" s="11" t="s">
        <v>622</v>
      </c>
      <c r="G64" s="185" t="s">
        <v>991</v>
      </c>
      <c r="H64" s="185" t="s">
        <v>992</v>
      </c>
      <c r="W64" s="186" cm="1">
        <f t="array" ref="W64">ROW()-ROW(structuredFormulaeTable[#Headers])</f>
        <v>62</v>
      </c>
      <c r="X64" s="3" t="s">
        <v>1063</v>
      </c>
      <c r="Y64" s="3" t="s">
        <v>687</v>
      </c>
      <c r="Z64" s="3" t="str" cm="1">
        <f t="array" ref="Z64">langSpecPercentResponses</f>
        <v>% de respuestas</v>
      </c>
      <c r="AA64" s="187" t="s">
        <v>1207</v>
      </c>
      <c r="AB64" s="202" t="s">
        <v>1054</v>
      </c>
      <c r="BM64" s="3">
        <f ca="1"/>
        <v>5</v>
      </c>
      <c r="BN64" s="3">
        <f ca="1"/>
        <v>15</v>
      </c>
      <c r="BO64" s="3">
        <f ca="1"/>
        <v>2</v>
      </c>
      <c r="BP64" s="3">
        <f ca="1"/>
        <v>3</v>
      </c>
      <c r="BR64" s="3">
        <f ca="1"/>
        <v>2.333333333333333</v>
      </c>
      <c r="BS64" s="3">
        <f ca="1"/>
        <v>3</v>
      </c>
      <c r="BT64" s="3">
        <f ca="1"/>
        <v>0.77777777777777768</v>
      </c>
      <c r="BU64" s="3" t="b">
        <f ca="1"/>
        <v>1</v>
      </c>
      <c r="CD64" s="3" cm="1">
        <f t="array" ref="CD64">ROW()-ROW(recommendedCutoffTable[#Headers])</f>
        <v>62</v>
      </c>
      <c r="CE64" s="192">
        <f>(recommendedCutoffTable[[#This Row],[index]] - 1) / 100</f>
        <v>0.61</v>
      </c>
      <c r="CF64" s="3" cm="1">
        <f t="array" aca="1" ref="CF64" ca="1">ABS(
    numScores
  - 2 * SUMPRODUCT((behaviourScore &lt;&gt; "") * (behaviourScore &lt; recommendedCutoffTable[[#This Row],[cutoffLevel]]))
  )</f>
        <v>50</v>
      </c>
    </row>
    <row r="65" spans="5:84" ht="14.4" customHeight="1" x14ac:dyDescent="0.3">
      <c r="E65" s="11" cm="1">
        <f t="array" ref="E65">ROW()-ROW(UITranslationTable[#Headers])</f>
        <v>63</v>
      </c>
      <c r="F65" s="11" t="s">
        <v>678</v>
      </c>
      <c r="G65" s="185" t="str" cm="1">
        <f t="array" aca="1" ref="G65" ca="1">"ⓘ Recommended cutoff level: " &amp; TEXT(cutoffLevelRecommended, "0%")</f>
        <v>ⓘ Recommended cutoff level: 57%</v>
      </c>
      <c r="H65" s="185" t="str" cm="1">
        <f t="array" aca="1" ref="H65" ca="1">"ⓘ Niveau de seuil conseillé: " &amp; TEXT(cutoffLevelRecommended, "0%")</f>
        <v>ⓘ Niveau de seuil conseillé: 57%</v>
      </c>
      <c r="W65" s="186" cm="1">
        <f t="array" ref="W65">ROW()-ROW(structuredFormulaeTable[#Headers])</f>
        <v>63</v>
      </c>
      <c r="X65" s="3" t="s">
        <v>1063</v>
      </c>
      <c r="Y65" s="3" t="s">
        <v>978</v>
      </c>
      <c r="AA65" s="187" t="s">
        <v>979</v>
      </c>
      <c r="AB65" s="11"/>
      <c r="BM65" s="3">
        <f ca="1"/>
        <v>5</v>
      </c>
      <c r="BN65" s="3">
        <f ca="1"/>
        <v>20</v>
      </c>
      <c r="BO65" s="3">
        <f ca="1"/>
        <v>2</v>
      </c>
      <c r="BP65" s="3">
        <f ca="1"/>
        <v>3</v>
      </c>
      <c r="BR65" s="3">
        <f ca="1"/>
        <v>2.6666666666666665</v>
      </c>
      <c r="BS65" s="3">
        <f ca="1"/>
        <v>3</v>
      </c>
      <c r="BT65" s="3">
        <f ca="1"/>
        <v>0.88888888888888884</v>
      </c>
      <c r="BU65" s="3" t="b">
        <f ca="1"/>
        <v>1</v>
      </c>
      <c r="CD65" s="3" cm="1">
        <f t="array" ref="CD65">ROW()-ROW(recommendedCutoffTable[#Headers])</f>
        <v>63</v>
      </c>
      <c r="CE65" s="192">
        <f>(recommendedCutoffTable[[#This Row],[index]] - 1) / 100</f>
        <v>0.62</v>
      </c>
      <c r="CF65" s="3" cm="1">
        <f t="array" aca="1" ref="CF65" ca="1">ABS(
    numScores
  - 2 * SUMPRODUCT((behaviourScore &lt;&gt; "") * (behaviourScore &lt; recommendedCutoffTable[[#This Row],[cutoffLevel]]))
  )</f>
        <v>54</v>
      </c>
    </row>
    <row r="66" spans="5:84" ht="14.4" customHeight="1" x14ac:dyDescent="0.3">
      <c r="E66" s="11" cm="1">
        <f t="array" ref="E66">ROW()-ROW(UITranslationTable[#Headers])</f>
        <v>64</v>
      </c>
      <c r="F66" s="11" t="s">
        <v>804</v>
      </c>
      <c r="G66" s="185" t="str" cm="1">
        <f t="array" aca="1" ref="G66" ca="1">"Some error has been detected. Please refer to one of the ""Error messages"" boards in the """ &amp; sheetNameConfiguration &amp; """ sheet for detailed explanations."</f>
        <v>Some error has been detected. Please refer to one of the "Error messages" boards in the "Configuration" sheet for detailed explanations.</v>
      </c>
      <c r="H66" s="185" t="str" cm="1">
        <f t="array" aca="1" ref="H66" ca="1">"Une erreur a été détectée. Veuillez vous référer à l'un des panneaux «Messages d'erreur» de la feuille «" &amp; sheetNameConfiguration &amp; "» pour des explications détaillées."</f>
        <v>Une erreur a été détectée. Veuillez vous référer à l'un des panneaux «Messages d'erreur» de la feuille «Configuration» pour des explications détaillées.</v>
      </c>
      <c r="W66" s="186" cm="1">
        <f t="array" ref="W66">ROW()-ROW(structuredFormulaeTable[#Headers])</f>
        <v>64</v>
      </c>
      <c r="X66" s="3" t="s">
        <v>1063</v>
      </c>
      <c r="Y66" s="3" t="s">
        <v>889</v>
      </c>
      <c r="Z66" s="3" t="str" cm="1">
        <f t="array" aca="1" ref="Z66" ca="1">localAddressParameter</f>
        <v>address</v>
      </c>
      <c r="AA66" s="187" t="s">
        <v>1037</v>
      </c>
      <c r="AB66" s="11"/>
      <c r="BM66" s="3">
        <f ca="1"/>
        <v>5</v>
      </c>
      <c r="BN66" s="3">
        <f ca="1"/>
        <v>15</v>
      </c>
      <c r="BO66" s="3">
        <f ca="1"/>
        <v>2</v>
      </c>
      <c r="BP66" s="3">
        <f ca="1"/>
        <v>2</v>
      </c>
      <c r="BR66" s="3">
        <f ca="1"/>
        <v>2.333333333333333</v>
      </c>
      <c r="BS66" s="3">
        <f ca="1"/>
        <v>3</v>
      </c>
      <c r="BT66" s="3">
        <f ca="1"/>
        <v>0.77777777777777768</v>
      </c>
      <c r="BU66" s="3" t="b">
        <f ca="1"/>
        <v>1</v>
      </c>
      <c r="CD66" s="3" cm="1">
        <f t="array" ref="CD66">ROW()-ROW(recommendedCutoffTable[#Headers])</f>
        <v>64</v>
      </c>
      <c r="CE66" s="192">
        <f>(recommendedCutoffTable[[#This Row],[index]] - 1) / 100</f>
        <v>0.63</v>
      </c>
      <c r="CF66" s="3" cm="1">
        <f t="array" aca="1" ref="CF66" ca="1">ABS(
    numScores
  - 2 * SUMPRODUCT((behaviourScore &lt;&gt; "") * (behaviourScore &lt; recommendedCutoffTable[[#This Row],[cutoffLevel]]))
  )</f>
        <v>54</v>
      </c>
    </row>
    <row r="67" spans="5:84" ht="14.4" customHeight="1" x14ac:dyDescent="0.3">
      <c r="E67" s="11" cm="1">
        <f t="array" ref="E67">ROW()-ROW(UITranslationTable[#Headers])</f>
        <v>65</v>
      </c>
      <c r="F67" s="11" t="s">
        <v>966</v>
      </c>
      <c r="G67" s="185" t="s">
        <v>896</v>
      </c>
      <c r="H67" s="185" t="s">
        <v>894</v>
      </c>
      <c r="W67" s="186" cm="1">
        <f t="array" ref="W67">ROW()-ROW(structuredFormulaeTable[#Headers])</f>
        <v>65</v>
      </c>
      <c r="X67" s="3" t="s">
        <v>1063</v>
      </c>
      <c r="Y67" s="3" t="s">
        <v>617</v>
      </c>
      <c r="Z67" s="3" cm="1">
        <f t="array" aca="1" ref="Z67" ca="1">maxAbsDiff</f>
        <v>0.19900953778429936</v>
      </c>
      <c r="AA67" s="187" t="s">
        <v>1042</v>
      </c>
      <c r="AB67" s="11"/>
      <c r="BM67" s="3">
        <f ca="1"/>
        <v>5</v>
      </c>
      <c r="BN67" s="3">
        <f ca="1"/>
        <v>15</v>
      </c>
      <c r="BO67" s="3">
        <f ca="1"/>
        <v>2</v>
      </c>
      <c r="BP67" s="3">
        <f ca="1"/>
        <v>3</v>
      </c>
      <c r="BR67" s="3">
        <f ca="1"/>
        <v>2.333333333333333</v>
      </c>
      <c r="BS67" s="3">
        <f ca="1"/>
        <v>3</v>
      </c>
      <c r="BT67" s="3">
        <f ca="1"/>
        <v>0.77777777777777768</v>
      </c>
      <c r="BU67" s="3" t="b">
        <f ca="1"/>
        <v>1</v>
      </c>
      <c r="CD67" s="3" cm="1">
        <f t="array" ref="CD67">ROW()-ROW(recommendedCutoffTable[#Headers])</f>
        <v>65</v>
      </c>
      <c r="CE67" s="192">
        <f>(recommendedCutoffTable[[#This Row],[index]] - 1) / 100</f>
        <v>0.64</v>
      </c>
      <c r="CF67" s="3" cm="1">
        <f t="array" aca="1" ref="CF67" ca="1">ABS(
    numScores
  - 2 * SUMPRODUCT((behaviourScore &lt;&gt; "") * (behaviourScore &lt; recommendedCutoffTable[[#This Row],[cutoffLevel]]))
  )</f>
        <v>54</v>
      </c>
    </row>
    <row r="68" spans="5:84" ht="14.4" customHeight="1" x14ac:dyDescent="0.3">
      <c r="E68" s="11" cm="1">
        <f t="array" ref="E68">ROW()-ROW(UITranslationTable[#Headers])</f>
        <v>66</v>
      </c>
      <c r="F68" s="11" t="s">
        <v>891</v>
      </c>
      <c r="G68" s="185" t="s">
        <v>895</v>
      </c>
      <c r="H68" s="185" t="s">
        <v>897</v>
      </c>
      <c r="W68" s="186" cm="1">
        <f t="array" ref="W68">ROW()-ROW(structuredFormulaeTable[#Headers])</f>
        <v>66</v>
      </c>
      <c r="X68" s="3" t="s">
        <v>1063</v>
      </c>
      <c r="Y68" s="3" t="s">
        <v>981</v>
      </c>
      <c r="Z68" s="3" t="str" cm="1">
        <f t="array" ref="Z68">noLabel</f>
        <v>✘</v>
      </c>
      <c r="AA68" s="187" t="s">
        <v>980</v>
      </c>
      <c r="AB68" s="172" t="s">
        <v>1304</v>
      </c>
      <c r="BM68" s="3">
        <f ca="1"/>
        <v>5</v>
      </c>
      <c r="BN68" s="3">
        <f ca="1"/>
        <v>10</v>
      </c>
      <c r="BO68" s="3">
        <f ca="1"/>
        <v>2</v>
      </c>
      <c r="BP68" s="3">
        <f ca="1"/>
        <v>3</v>
      </c>
      <c r="BR68" s="3">
        <f ca="1"/>
        <v>2</v>
      </c>
      <c r="BS68" s="3">
        <f ca="1"/>
        <v>3</v>
      </c>
      <c r="BT68" s="3">
        <f ca="1"/>
        <v>0.66666666666666663</v>
      </c>
      <c r="BU68" s="3" t="b">
        <f ca="1"/>
        <v>1</v>
      </c>
      <c r="CD68" s="3" cm="1">
        <f t="array" ref="CD68">ROW()-ROW(recommendedCutoffTable[#Headers])</f>
        <v>66</v>
      </c>
      <c r="CE68" s="192">
        <f>(recommendedCutoffTable[[#This Row],[index]] - 1) / 100</f>
        <v>0.65</v>
      </c>
      <c r="CF68" s="3" cm="1">
        <f t="array" aca="1" ref="CF68" ca="1">ABS(
    numScores
  - 2 * SUMPRODUCT((behaviourScore &lt;&gt; "") * (behaviourScore &lt; recommendedCutoffTable[[#This Row],[cutoffLevel]]))
  )</f>
        <v>54</v>
      </c>
    </row>
    <row r="69" spans="5:84" ht="14.4" customHeight="1" x14ac:dyDescent="0.3">
      <c r="E69" s="196" cm="1">
        <f t="array" ref="E69">ROW()-ROW(UITranslationTable[#Headers])</f>
        <v>67</v>
      </c>
      <c r="F69" s="11"/>
      <c r="G69" s="185"/>
      <c r="H69" s="185"/>
      <c r="W69" s="3" cm="1">
        <f t="array" ref="W69">ROW()-ROW(structuredFormulaeTable[#Headers])</f>
        <v>67</v>
      </c>
      <c r="X69" s="3" t="s">
        <v>1063</v>
      </c>
      <c r="Y69" s="3" t="s">
        <v>665</v>
      </c>
      <c r="Z69" s="3" cm="1">
        <f t="array" aca="1" ref="Z69" ca="1">numEntries</f>
        <v>258</v>
      </c>
      <c r="AA69" s="187" t="s">
        <v>1314</v>
      </c>
      <c r="BM69" s="3">
        <f ca="1"/>
        <v>5</v>
      </c>
      <c r="BN69" s="3">
        <f ca="1"/>
        <v>15</v>
      </c>
      <c r="BO69" s="3">
        <f ca="1"/>
        <v>2</v>
      </c>
      <c r="BP69" s="3">
        <f ca="1"/>
        <v>4</v>
      </c>
      <c r="BR69" s="3">
        <f ca="1"/>
        <v>2.333333333333333</v>
      </c>
      <c r="BS69" s="3">
        <f ca="1"/>
        <v>3</v>
      </c>
      <c r="BT69" s="3">
        <f ca="1"/>
        <v>0.77777777777777768</v>
      </c>
      <c r="BU69" s="3" t="b">
        <f ca="1"/>
        <v>1</v>
      </c>
      <c r="CD69" s="3" cm="1">
        <f t="array" ref="CD69">ROW()-ROW(recommendedCutoffTable[#Headers])</f>
        <v>67</v>
      </c>
      <c r="CE69" s="192">
        <f>(recommendedCutoffTable[[#This Row],[index]] - 1) / 100</f>
        <v>0.66</v>
      </c>
      <c r="CF69" s="3" cm="1">
        <f t="array" aca="1" ref="CF69" ca="1">ABS(
    numScores
  - 2 * SUMPRODUCT((behaviourScore &lt;&gt; "") * (behaviourScore &lt; recommendedCutoffTable[[#This Row],[cutoffLevel]]))
  )</f>
        <v>54</v>
      </c>
    </row>
    <row r="70" spans="5:84" ht="14.4" customHeight="1" x14ac:dyDescent="0.3">
      <c r="E70" s="196" cm="1">
        <f t="array" ref="E70">ROW()-ROW(UITranslationTable[#Headers])</f>
        <v>68</v>
      </c>
      <c r="F70" s="11" t="s">
        <v>796</v>
      </c>
      <c r="G70" s="185" t="s">
        <v>840</v>
      </c>
      <c r="H70" s="185" t="s">
        <v>841</v>
      </c>
      <c r="W70" s="3" cm="1">
        <f t="array" ref="W70">ROW()-ROW(structuredFormulaeTable[#Headers])</f>
        <v>68</v>
      </c>
      <c r="X70" s="3" t="s">
        <v>1063</v>
      </c>
      <c r="Y70" s="3" t="s">
        <v>630</v>
      </c>
      <c r="Z70" s="3" cm="1">
        <f t="array" aca="1" ref="Z70" ca="1">numFactors</f>
        <v>17</v>
      </c>
      <c r="AA70" s="11" t="s">
        <v>1197</v>
      </c>
      <c r="BM70" s="3">
        <f ca="1"/>
        <v>5</v>
      </c>
      <c r="BN70" s="3">
        <f ca="1"/>
        <v>15</v>
      </c>
      <c r="BO70" s="3">
        <f ca="1"/>
        <v>3</v>
      </c>
      <c r="BP70" s="3">
        <f ca="1"/>
        <v>3</v>
      </c>
      <c r="BR70" s="3">
        <f ca="1"/>
        <v>2.6666666666666665</v>
      </c>
      <c r="BS70" s="3">
        <f ca="1"/>
        <v>3</v>
      </c>
      <c r="BT70" s="3">
        <f ca="1"/>
        <v>0.88888888888888884</v>
      </c>
      <c r="BU70" s="3" t="b">
        <f ca="1"/>
        <v>1</v>
      </c>
      <c r="CD70" s="3" cm="1">
        <f t="array" ref="CD70">ROW()-ROW(recommendedCutoffTable[#Headers])</f>
        <v>68</v>
      </c>
      <c r="CE70" s="192">
        <f>(recommendedCutoffTable[[#This Row],[index]] - 1) / 100</f>
        <v>0.67</v>
      </c>
      <c r="CF70" s="3" cm="1">
        <f t="array" aca="1" ref="CF70" ca="1">ABS(
    numScores
  - 2 * SUMPRODUCT((behaviourScore &lt;&gt; "") * (behaviourScore &lt; recommendedCutoffTable[[#This Row],[cutoffLevel]]))
  )</f>
        <v>160</v>
      </c>
    </row>
    <row r="71" spans="5:84" ht="14.4" customHeight="1" x14ac:dyDescent="0.3">
      <c r="E71" s="196" cm="1">
        <f t="array" ref="E71">ROW()-ROW(UITranslationTable[#Headers])</f>
        <v>69</v>
      </c>
      <c r="F71" s="11" t="s">
        <v>842</v>
      </c>
      <c r="G71" s="185" t="s">
        <v>958</v>
      </c>
      <c r="H71" s="185" t="s">
        <v>959</v>
      </c>
      <c r="W71" s="3" cm="1">
        <f t="array" ref="W71">ROW()-ROW(structuredFormulaeTable[#Headers])</f>
        <v>69</v>
      </c>
      <c r="X71" s="3" t="s">
        <v>1063</v>
      </c>
      <c r="Y71" s="3" t="s">
        <v>771</v>
      </c>
      <c r="Z71" s="3" cm="1">
        <f t="array" aca="1" ref="Z71" ca="1">numFactorsChart1</f>
        <v>9</v>
      </c>
      <c r="AA71" s="11" t="s">
        <v>1198</v>
      </c>
      <c r="BM71" s="3">
        <f ca="1"/>
        <v>5</v>
      </c>
      <c r="BN71" s="3">
        <f ca="1"/>
        <v>15</v>
      </c>
      <c r="BO71" s="3">
        <f ca="1"/>
        <v>2</v>
      </c>
      <c r="BP71" s="3">
        <f ca="1"/>
        <v>3</v>
      </c>
      <c r="BR71" s="3">
        <f ca="1"/>
        <v>2.333333333333333</v>
      </c>
      <c r="BS71" s="3">
        <f ca="1"/>
        <v>3</v>
      </c>
      <c r="BT71" s="3">
        <f ca="1"/>
        <v>0.77777777777777768</v>
      </c>
      <c r="BU71" s="3" t="b">
        <f ca="1"/>
        <v>1</v>
      </c>
      <c r="CD71" s="3" cm="1">
        <f t="array" ref="CD71">ROW()-ROW(recommendedCutoffTable[#Headers])</f>
        <v>69</v>
      </c>
      <c r="CE71" s="192">
        <f>(recommendedCutoffTable[[#This Row],[index]] - 1) / 100</f>
        <v>0.68</v>
      </c>
      <c r="CF71" s="3" cm="1">
        <f t="array" aca="1" ref="CF71" ca="1">ABS(
    numScores
  - 2 * SUMPRODUCT((behaviourScore &lt;&gt; "") * (behaviourScore &lt; recommendedCutoffTable[[#This Row],[cutoffLevel]]))
  )</f>
        <v>160</v>
      </c>
    </row>
    <row r="72" spans="5:84" ht="14.4" customHeight="1" x14ac:dyDescent="0.3">
      <c r="E72" s="196" cm="1">
        <f t="array" ref="E72">ROW()-ROW(UITranslationTable[#Headers])</f>
        <v>70</v>
      </c>
      <c r="F72" s="11" t="s">
        <v>843</v>
      </c>
      <c r="G72" s="185" t="s">
        <v>844</v>
      </c>
      <c r="H72" s="185" t="s">
        <v>845</v>
      </c>
      <c r="W72" s="3" cm="1">
        <f t="array" ref="W72">ROW()-ROW(structuredFormulaeTable[#Headers])</f>
        <v>70</v>
      </c>
      <c r="X72" s="3" t="s">
        <v>1063</v>
      </c>
      <c r="Y72" s="3" t="s">
        <v>772</v>
      </c>
      <c r="Z72" s="3" cm="1">
        <f t="array" aca="1" ref="Z72" ca="1">numFactorsChart2</f>
        <v>8</v>
      </c>
      <c r="AA72" s="11" t="s">
        <v>1199</v>
      </c>
      <c r="BM72" s="3">
        <f ca="1"/>
        <v>5</v>
      </c>
      <c r="BN72" s="3">
        <f ca="1"/>
        <v>15</v>
      </c>
      <c r="BO72" s="3">
        <f ca="1"/>
        <v>2</v>
      </c>
      <c r="BP72" s="3">
        <f ca="1"/>
        <v>3</v>
      </c>
      <c r="BR72" s="3">
        <f ca="1"/>
        <v>2.333333333333333</v>
      </c>
      <c r="BS72" s="3">
        <f ca="1"/>
        <v>3</v>
      </c>
      <c r="BT72" s="3">
        <f ca="1"/>
        <v>0.77777777777777768</v>
      </c>
      <c r="BU72" s="3" t="b">
        <f ca="1"/>
        <v>1</v>
      </c>
      <c r="CD72" s="3" cm="1">
        <f t="array" ref="CD72">ROW()-ROW(recommendedCutoffTable[#Headers])</f>
        <v>70</v>
      </c>
      <c r="CE72" s="192">
        <f>(recommendedCutoffTable[[#This Row],[index]] - 1) / 100</f>
        <v>0.69</v>
      </c>
      <c r="CF72" s="3" cm="1">
        <f t="array" aca="1" ref="CF72" ca="1">ABS(
    numScores
  - 2 * SUMPRODUCT((behaviourScore &lt;&gt; "") * (behaviourScore &lt; recommendedCutoffTable[[#This Row],[cutoffLevel]]))
  )</f>
        <v>160</v>
      </c>
    </row>
    <row r="73" spans="5:84" ht="14.4" customHeight="1" x14ac:dyDescent="0.3">
      <c r="E73" s="196" cm="1">
        <f t="array" ref="E73">ROW()-ROW(UITranslationTable[#Headers])</f>
        <v>71</v>
      </c>
      <c r="F73" s="11" t="s">
        <v>846</v>
      </c>
      <c r="G73" s="185" t="s">
        <v>847</v>
      </c>
      <c r="H73" s="185" t="s">
        <v>848</v>
      </c>
      <c r="W73" s="3" cm="1">
        <f t="array" ref="W73">ROW()-ROW(structuredFormulaeTable[#Headers])</f>
        <v>71</v>
      </c>
      <c r="X73" s="3" t="s">
        <v>1063</v>
      </c>
      <c r="Y73" s="3" t="s">
        <v>614</v>
      </c>
      <c r="Z73" s="3" cm="1">
        <f t="array" ref="Z73">numLanguages</f>
        <v>3</v>
      </c>
      <c r="AA73" s="11" t="s">
        <v>1200</v>
      </c>
      <c r="BM73" s="3">
        <f ca="1"/>
        <v>5</v>
      </c>
      <c r="BN73" s="3">
        <f ca="1"/>
        <v>10</v>
      </c>
      <c r="BO73" s="3">
        <f ca="1"/>
        <v>3</v>
      </c>
      <c r="BP73" s="3">
        <f ca="1"/>
        <v>3</v>
      </c>
      <c r="BR73" s="3">
        <f ca="1"/>
        <v>2.333333333333333</v>
      </c>
      <c r="BS73" s="3">
        <f ca="1"/>
        <v>3</v>
      </c>
      <c r="BT73" s="3">
        <f ca="1"/>
        <v>0.77777777777777768</v>
      </c>
      <c r="BU73" s="3" t="b">
        <f ca="1"/>
        <v>1</v>
      </c>
      <c r="CD73" s="3" cm="1">
        <f t="array" ref="CD73">ROW()-ROW(recommendedCutoffTable[#Headers])</f>
        <v>71</v>
      </c>
      <c r="CE73" s="192">
        <f>(recommendedCutoffTable[[#This Row],[index]] - 1) / 100</f>
        <v>0.7</v>
      </c>
      <c r="CF73" s="3" cm="1">
        <f t="array" aca="1" ref="CF73" ca="1">ABS(
    numScores
  - 2 * SUMPRODUCT((behaviourScore &lt;&gt; "") * (behaviourScore &lt; recommendedCutoffTable[[#This Row],[cutoffLevel]]))
  )</f>
        <v>168</v>
      </c>
    </row>
    <row r="74" spans="5:84" ht="14.4" customHeight="1" x14ac:dyDescent="0.3">
      <c r="E74" s="196" cm="1">
        <f t="array" ref="E74">ROW()-ROW(UITranslationTable[#Headers])</f>
        <v>72</v>
      </c>
      <c r="F74" s="11" t="s">
        <v>859</v>
      </c>
      <c r="G74" s="185" t="s">
        <v>882</v>
      </c>
      <c r="H74" s="185" t="s">
        <v>881</v>
      </c>
      <c r="W74" s="3" cm="1">
        <f t="array" ref="W74">ROW()-ROW(structuredFormulaeTable[#Headers])</f>
        <v>72</v>
      </c>
      <c r="X74" s="3" t="s">
        <v>1063</v>
      </c>
      <c r="Y74" s="3" t="s">
        <v>653</v>
      </c>
      <c r="Z74" s="3" cm="1">
        <f t="array" aca="1" ref="Z74" ca="1">numScores</f>
        <v>258</v>
      </c>
      <c r="AA74" s="11" t="s">
        <v>1121</v>
      </c>
      <c r="BM74" s="3">
        <f ca="1"/>
        <v>5</v>
      </c>
      <c r="BN74" s="3">
        <f ca="1"/>
        <v>15</v>
      </c>
      <c r="BO74" s="3">
        <f ca="1"/>
        <v>2</v>
      </c>
      <c r="BP74" s="3">
        <f ca="1"/>
        <v>3</v>
      </c>
      <c r="BR74" s="3">
        <f ca="1"/>
        <v>2.333333333333333</v>
      </c>
      <c r="BS74" s="3">
        <f ca="1"/>
        <v>3</v>
      </c>
      <c r="BT74" s="3">
        <f ca="1"/>
        <v>0.77777777777777768</v>
      </c>
      <c r="BU74" s="3" t="b">
        <f ca="1"/>
        <v>1</v>
      </c>
      <c r="CD74" s="3" cm="1">
        <f t="array" ref="CD74">ROW()-ROW(recommendedCutoffTable[#Headers])</f>
        <v>72</v>
      </c>
      <c r="CE74" s="192">
        <f>(recommendedCutoffTable[[#This Row],[index]] - 1) / 100</f>
        <v>0.71</v>
      </c>
      <c r="CF74" s="3" cm="1">
        <f t="array" aca="1" ref="CF74" ca="1">ABS(
    numScores
  - 2 * SUMPRODUCT((behaviourScore &lt;&gt; "") * (behaviourScore &lt; recommendedCutoffTable[[#This Row],[cutoffLevel]]))
  )</f>
        <v>168</v>
      </c>
    </row>
    <row r="75" spans="5:84" ht="14.4" customHeight="1" x14ac:dyDescent="0.3">
      <c r="E75" s="196" cm="1">
        <f t="array" ref="E75">ROW()-ROW(UITranslationTable[#Headers])</f>
        <v>73</v>
      </c>
      <c r="F75" s="11" t="s">
        <v>860</v>
      </c>
      <c r="G75" s="185" t="str" cm="1">
        <f t="array" aca="1" ref="G75" ca="1">"No sorting is applied. The factors are displayed in the same order as in the """ &amp; sheetNameConfiguration &amp; """ sheet."</f>
        <v>No sorting is applied. The factors are displayed in the same order as in the "Configuration" sheet.</v>
      </c>
      <c r="H75" s="185" t="str" cm="1">
        <f t="array" aca="1" ref="H75" ca="1">"Aucun tri n'est appliqué. Les facteurs sont affichés dans le même ordre que sur la feuille «" &amp; sheetNameConfiguration &amp; "»."</f>
        <v>Aucun tri n'est appliqué. Les facteurs sont affichés dans le même ordre que sur la feuille «Configuration».</v>
      </c>
      <c r="W75" s="3" cm="1">
        <f t="array" ref="W75">ROW()-ROW(structuredFormulaeTable[#Headers])</f>
        <v>73</v>
      </c>
      <c r="X75" s="3" t="s">
        <v>1063</v>
      </c>
      <c r="Y75" s="3" t="s">
        <v>983</v>
      </c>
      <c r="AA75" s="187" t="s">
        <v>982</v>
      </c>
      <c r="BM75" s="3">
        <f ca="1"/>
        <v>5</v>
      </c>
      <c r="BN75" s="3">
        <f ca="1"/>
        <v>15</v>
      </c>
      <c r="BO75" s="3">
        <f ca="1"/>
        <v>2</v>
      </c>
      <c r="BP75" s="3">
        <f ca="1"/>
        <v>2</v>
      </c>
      <c r="BR75" s="3">
        <f ca="1"/>
        <v>2.333333333333333</v>
      </c>
      <c r="BS75" s="3">
        <f ca="1"/>
        <v>3</v>
      </c>
      <c r="BT75" s="3">
        <f ca="1"/>
        <v>0.77777777777777768</v>
      </c>
      <c r="BU75" s="3" t="b">
        <f ca="1"/>
        <v>1</v>
      </c>
      <c r="CD75" s="3" cm="1">
        <f t="array" ref="CD75">ROW()-ROW(recommendedCutoffTable[#Headers])</f>
        <v>73</v>
      </c>
      <c r="CE75" s="192">
        <f>(recommendedCutoffTable[[#This Row],[index]] - 1) / 100</f>
        <v>0.72</v>
      </c>
      <c r="CF75" s="3" cm="1">
        <f t="array" aca="1" ref="CF75" ca="1">ABS(
    numScores
  - 2 * SUMPRODUCT((behaviourScore &lt;&gt; "") * (behaviourScore &lt; recommendedCutoffTable[[#This Row],[cutoffLevel]]))
  )</f>
        <v>168</v>
      </c>
    </row>
    <row r="76" spans="5:84" ht="14.4" customHeight="1" x14ac:dyDescent="0.3">
      <c r="E76" s="196" cm="1">
        <f t="array" ref="E76">ROW()-ROW(UITranslationTable[#Headers])</f>
        <v>74</v>
      </c>
      <c r="F76" s="11" t="s">
        <v>861</v>
      </c>
      <c r="G76" s="185" t="s">
        <v>864</v>
      </c>
      <c r="H76" s="185" t="s">
        <v>867</v>
      </c>
      <c r="W76" s="3" cm="1">
        <f t="array" ref="W76">ROW()-ROW(structuredFormulaeTable[#Headers])</f>
        <v>74</v>
      </c>
      <c r="X76" s="3" t="s">
        <v>1063</v>
      </c>
      <c r="Y76" s="3" t="s">
        <v>888</v>
      </c>
      <c r="Z76" s="3" t="str" cm="1">
        <f t="array" aca="1" ref="Z76" ca="1">sheetNameAnalysis</f>
        <v>Analysis</v>
      </c>
      <c r="AA76" s="187" t="s">
        <v>1041</v>
      </c>
      <c r="AB76" s="202" t="s">
        <v>1049</v>
      </c>
      <c r="BM76" s="3">
        <f ca="1"/>
        <v>5</v>
      </c>
      <c r="BN76" s="3">
        <f ca="1"/>
        <v>15</v>
      </c>
      <c r="BO76" s="3">
        <f ca="1"/>
        <v>2</v>
      </c>
      <c r="BP76" s="3">
        <f ca="1"/>
        <v>3</v>
      </c>
      <c r="BR76" s="3">
        <f ca="1"/>
        <v>2.333333333333333</v>
      </c>
      <c r="BS76" s="3">
        <f ca="1"/>
        <v>3</v>
      </c>
      <c r="BT76" s="3">
        <f ca="1"/>
        <v>0.77777777777777768</v>
      </c>
      <c r="BU76" s="3" t="b">
        <f ca="1"/>
        <v>1</v>
      </c>
      <c r="CD76" s="3" cm="1">
        <f t="array" ref="CD76">ROW()-ROW(recommendedCutoffTable[#Headers])</f>
        <v>74</v>
      </c>
      <c r="CE76" s="192">
        <f>(recommendedCutoffTable[[#This Row],[index]] - 1) / 100</f>
        <v>0.73</v>
      </c>
      <c r="CF76" s="3" cm="1">
        <f t="array" aca="1" ref="CF76" ca="1">ABS(
    numScores
  - 2 * SUMPRODUCT((behaviourScore &lt;&gt; "") * (behaviourScore &lt; recommendedCutoffTable[[#This Row],[cutoffLevel]]))
  )</f>
        <v>168</v>
      </c>
    </row>
    <row r="77" spans="5:84" ht="14.4" customHeight="1" x14ac:dyDescent="0.3">
      <c r="E77" s="196" cm="1">
        <f t="array" ref="E77">ROW()-ROW(UITranslationTable[#Headers])</f>
        <v>75</v>
      </c>
      <c r="F77" s="11" t="s">
        <v>862</v>
      </c>
      <c r="G77" s="185" t="s">
        <v>865</v>
      </c>
      <c r="H77" s="185" t="s">
        <v>868</v>
      </c>
      <c r="W77" s="3" cm="1">
        <f t="array" ref="W77">ROW()-ROW(structuredFormulaeTable[#Headers])</f>
        <v>75</v>
      </c>
      <c r="X77" s="3" t="s">
        <v>1063</v>
      </c>
      <c r="Y77" s="3" t="s">
        <v>886</v>
      </c>
      <c r="Z77" s="3" t="str" cm="1">
        <f t="array" aca="1" ref="Z77" ca="1">sheetNameConfiguration</f>
        <v>Configuration</v>
      </c>
      <c r="AA77" s="11" t="s">
        <v>1039</v>
      </c>
      <c r="AB77" s="202" t="s">
        <v>1047</v>
      </c>
      <c r="BM77" s="3">
        <f ca="1"/>
        <v>5</v>
      </c>
      <c r="BN77" s="3">
        <f ca="1"/>
        <v>10</v>
      </c>
      <c r="BO77" s="3">
        <f ca="1"/>
        <v>2</v>
      </c>
      <c r="BP77" s="3">
        <f ca="1"/>
        <v>3</v>
      </c>
      <c r="BR77" s="3">
        <f ca="1"/>
        <v>2</v>
      </c>
      <c r="BS77" s="3">
        <f ca="1"/>
        <v>3</v>
      </c>
      <c r="BT77" s="3">
        <f ca="1"/>
        <v>0.66666666666666663</v>
      </c>
      <c r="BU77" s="3" t="b">
        <f ca="1"/>
        <v>1</v>
      </c>
      <c r="CD77" s="3" cm="1">
        <f t="array" ref="CD77">ROW()-ROW(recommendedCutoffTable[#Headers])</f>
        <v>75</v>
      </c>
      <c r="CE77" s="192">
        <f>(recommendedCutoffTable[[#This Row],[index]] - 1) / 100</f>
        <v>0.74</v>
      </c>
      <c r="CF77" s="3" cm="1">
        <f t="array" aca="1" ref="CF77" ca="1">ABS(
    numScores
  - 2 * SUMPRODUCT((behaviourScore &lt;&gt; "") * (behaviourScore &lt; recommendedCutoffTable[[#This Row],[cutoffLevel]]))
  )</f>
        <v>168</v>
      </c>
    </row>
    <row r="78" spans="5:84" ht="14.4" customHeight="1" x14ac:dyDescent="0.3">
      <c r="E78" s="196" cm="1">
        <f t="array" ref="E78">ROW()-ROW(UITranslationTable[#Headers])</f>
        <v>76</v>
      </c>
      <c r="F78" s="11" t="s">
        <v>863</v>
      </c>
      <c r="G78" s="185" t="s">
        <v>866</v>
      </c>
      <c r="H78" s="185" t="s">
        <v>869</v>
      </c>
      <c r="W78" s="3" cm="1">
        <f t="array" ref="W78">ROW()-ROW(structuredFormulaeTable[#Headers])</f>
        <v>76</v>
      </c>
      <c r="X78" s="3" t="s">
        <v>1063</v>
      </c>
      <c r="Y78" s="3" t="s">
        <v>887</v>
      </c>
      <c r="Z78" s="3" t="str" cm="1">
        <f t="array" aca="1" ref="Z78" ca="1">sheetNameCutoff</f>
        <v>Cutoff - Seuil</v>
      </c>
      <c r="AA78" s="11" t="s">
        <v>1040</v>
      </c>
      <c r="AB78" s="202" t="s">
        <v>1048</v>
      </c>
      <c r="BM78" s="3">
        <f ca="1"/>
        <v>5</v>
      </c>
      <c r="BN78" s="3">
        <f ca="1"/>
        <v>15</v>
      </c>
      <c r="BO78" s="3">
        <f ca="1"/>
        <v>1</v>
      </c>
      <c r="BP78" s="3">
        <f ca="1"/>
        <v>2</v>
      </c>
      <c r="BR78" s="3">
        <f ca="1"/>
        <v>1.9999999999999998</v>
      </c>
      <c r="BS78" s="3">
        <f ca="1"/>
        <v>3</v>
      </c>
      <c r="BT78" s="3">
        <f ca="1"/>
        <v>0.66666666666666663</v>
      </c>
      <c r="BU78" s="3" t="b">
        <f ca="1"/>
        <v>1</v>
      </c>
      <c r="CD78" s="3" cm="1">
        <f t="array" ref="CD78">ROW()-ROW(recommendedCutoffTable[#Headers])</f>
        <v>76</v>
      </c>
      <c r="CE78" s="192">
        <f>(recommendedCutoffTable[[#This Row],[index]] - 1) / 100</f>
        <v>0.75</v>
      </c>
      <c r="CF78" s="3" cm="1">
        <f t="array" aca="1" ref="CF78" ca="1">ABS(
    numScores
  - 2 * SUMPRODUCT((behaviourScore &lt;&gt; "") * (behaviourScore &lt; recommendedCutoffTable[[#This Row],[cutoffLevel]]))
  )</f>
        <v>168</v>
      </c>
    </row>
    <row r="79" spans="5:84" ht="14.4" customHeight="1" x14ac:dyDescent="0.3">
      <c r="E79" s="196" cm="1">
        <f t="array" ref="E79">ROW()-ROW(UITranslationTable[#Headers])</f>
        <v>77</v>
      </c>
      <c r="F79" s="11" t="s">
        <v>793</v>
      </c>
      <c r="G79" s="185" t="s">
        <v>742</v>
      </c>
      <c r="H79" s="185" t="s">
        <v>794</v>
      </c>
      <c r="W79" s="3" cm="1">
        <f t="array" ref="W79">ROW()-ROW(structuredFormulaeTable[#Headers])</f>
        <v>77</v>
      </c>
      <c r="X79" s="3" t="s">
        <v>1063</v>
      </c>
      <c r="Y79" s="3" t="s">
        <v>885</v>
      </c>
      <c r="Z79" s="3" t="str" cm="1">
        <f t="array" aca="1" ref="Z79" ca="1">sheetNameHiddenTables</f>
        <v>HiddenTables</v>
      </c>
      <c r="AA79" s="11" t="s">
        <v>1122</v>
      </c>
      <c r="AB79" s="202" t="s">
        <v>1123</v>
      </c>
      <c r="BM79" s="3">
        <f ca="1"/>
        <v>5</v>
      </c>
      <c r="BN79" s="3">
        <f ca="1"/>
        <v>15</v>
      </c>
      <c r="BO79" s="3">
        <f ca="1"/>
        <v>2</v>
      </c>
      <c r="BP79" s="3">
        <f ca="1"/>
        <v>3</v>
      </c>
      <c r="BR79" s="3">
        <f ca="1"/>
        <v>2.333333333333333</v>
      </c>
      <c r="BS79" s="3">
        <f ca="1"/>
        <v>3</v>
      </c>
      <c r="BT79" s="3">
        <f ca="1"/>
        <v>0.77777777777777768</v>
      </c>
      <c r="BU79" s="3" t="b">
        <f ca="1"/>
        <v>1</v>
      </c>
      <c r="CD79" s="3" cm="1">
        <f t="array" ref="CD79">ROW()-ROW(recommendedCutoffTable[#Headers])</f>
        <v>77</v>
      </c>
      <c r="CE79" s="192">
        <f>(recommendedCutoffTable[[#This Row],[index]] - 1) / 100</f>
        <v>0.76</v>
      </c>
      <c r="CF79" s="3" cm="1">
        <f t="array" aca="1" ref="CF79" ca="1">ABS(
    numScores
  - 2 * SUMPRODUCT((behaviourScore &lt;&gt; "") * (behaviourScore &lt; recommendedCutoffTable[[#This Row],[cutoffLevel]]))
  )</f>
        <v>168</v>
      </c>
    </row>
    <row r="80" spans="5:84" ht="14.4" customHeight="1" x14ac:dyDescent="0.3">
      <c r="E80" s="196" cm="1">
        <f t="array" ref="E80">ROW()-ROW(UITranslationTable[#Headers])</f>
        <v>78</v>
      </c>
      <c r="F80" s="11"/>
      <c r="G80" s="185"/>
      <c r="H80" s="185"/>
      <c r="W80" s="3" cm="1">
        <f t="array" ref="W80">ROW()-ROW(structuredFormulaeTable[#Headers])</f>
        <v>78</v>
      </c>
      <c r="X80" s="3" t="s">
        <v>1063</v>
      </c>
      <c r="Y80" s="3" t="s">
        <v>957</v>
      </c>
      <c r="Z80" s="3" t="str" cm="1">
        <f t="array" aca="1" ref="Z80" ca="1">sheetNameIntroduction</f>
        <v>Introduction</v>
      </c>
      <c r="AA80" s="11" t="s">
        <v>1038</v>
      </c>
      <c r="AB80" s="202" t="s">
        <v>1046</v>
      </c>
      <c r="BM80" s="3">
        <f ca="1"/>
        <v>0</v>
      </c>
      <c r="BN80" s="3">
        <f ca="1"/>
        <v>15</v>
      </c>
      <c r="BO80" s="3">
        <f ca="1"/>
        <v>1</v>
      </c>
      <c r="BP80" s="3">
        <f ca="1"/>
        <v>2</v>
      </c>
      <c r="BR80" s="3">
        <f ca="1"/>
        <v>1.4999999999999998</v>
      </c>
      <c r="BS80" s="3">
        <f ca="1"/>
        <v>3</v>
      </c>
      <c r="BT80" s="3">
        <f ca="1"/>
        <v>0.49999999999999994</v>
      </c>
      <c r="BU80" s="3" t="b">
        <f ca="1"/>
        <v>0</v>
      </c>
      <c r="CD80" s="3" cm="1">
        <f t="array" ref="CD80">ROW()-ROW(recommendedCutoffTable[#Headers])</f>
        <v>78</v>
      </c>
      <c r="CE80" s="192">
        <f>(recommendedCutoffTable[[#This Row],[index]] - 1) / 100</f>
        <v>0.77</v>
      </c>
      <c r="CF80" s="3" cm="1">
        <f t="array" aca="1" ref="CF80" ca="1">ABS(
    numScores
  - 2 * SUMPRODUCT((behaviourScore &lt;&gt; "") * (behaviourScore &lt; recommendedCutoffTable[[#This Row],[cutoffLevel]]))
  )</f>
        <v>168</v>
      </c>
    </row>
    <row r="81" spans="5:84" ht="14.4" customHeight="1" x14ac:dyDescent="0.3">
      <c r="E81" s="196" cm="1">
        <f t="array" ref="E81">ROW()-ROW(UITranslationTable[#Headers])</f>
        <v>79</v>
      </c>
      <c r="F81" s="11" t="s">
        <v>993</v>
      </c>
      <c r="G81" s="185" t="s">
        <v>1005</v>
      </c>
      <c r="H81" s="185" t="s">
        <v>1006</v>
      </c>
      <c r="W81" s="3" cm="1">
        <f t="array" ref="W81">ROW()-ROW(structuredFormulaeTable[#Headers])</f>
        <v>79</v>
      </c>
      <c r="X81" s="3" t="s">
        <v>1063</v>
      </c>
      <c r="Y81" s="3" t="s">
        <v>774</v>
      </c>
      <c r="Z81" s="3" t="str" cm="1">
        <f t="array" ref="Z81">sortingMethodTag</f>
        <v>absDiff</v>
      </c>
      <c r="AA81" s="11" t="s">
        <v>1201</v>
      </c>
      <c r="AB81" s="202" t="s">
        <v>1050</v>
      </c>
      <c r="BM81" s="3">
        <f ca="1"/>
        <v>5</v>
      </c>
      <c r="BN81" s="3">
        <f ca="1"/>
        <v>10</v>
      </c>
      <c r="BO81" s="3">
        <f ca="1"/>
        <v>1</v>
      </c>
      <c r="BP81" s="3">
        <f ca="1"/>
        <v>3</v>
      </c>
      <c r="BR81" s="3">
        <f ca="1"/>
        <v>1.6666666666666665</v>
      </c>
      <c r="BS81" s="3">
        <f ca="1"/>
        <v>3</v>
      </c>
      <c r="BT81" s="3">
        <f ca="1"/>
        <v>0.55555555555555547</v>
      </c>
      <c r="BU81" s="3" t="b">
        <f ca="1"/>
        <v>0</v>
      </c>
      <c r="CD81" s="3" cm="1">
        <f t="array" ref="CD81">ROW()-ROW(recommendedCutoffTable[#Headers])</f>
        <v>79</v>
      </c>
      <c r="CE81" s="192">
        <f>(recommendedCutoffTable[[#This Row],[index]] - 1) / 100</f>
        <v>0.78</v>
      </c>
      <c r="CF81" s="3" cm="1">
        <f t="array" aca="1" ref="CF81" ca="1">ABS(
    numScores
  - 2 * SUMPRODUCT((behaviourScore &lt;&gt; "") * (behaviourScore &lt; recommendedCutoffTable[[#This Row],[cutoffLevel]]))
  )</f>
        <v>238</v>
      </c>
    </row>
    <row r="82" spans="5:84" ht="14.4" customHeight="1" x14ac:dyDescent="0.3">
      <c r="E82" s="196" cm="1">
        <f t="array" ref="E82">ROW()-ROW(UITranslationTable[#Headers])</f>
        <v>80</v>
      </c>
      <c r="F82" s="11" t="s">
        <v>994</v>
      </c>
      <c r="G82" s="185" t="str" cm="1">
        <f t="array" aca="1" ref="G82" ca="1">"In this demo file, an example of a dataset for a RANAS survey has already been imported in the """ &amp; sheetNameData &amp; """ spreadsheet, and the """ &amp; sheetNameConfiguration &amp; """ sheet has been filled accordingly. The goal is to illustrate how to use the RANAS Analyser based on a concrete example, by following the description below." &amp; " However, it remains important to carefully read the instructions given in each sheet, in order to configure and use the tool properly with your own dataset." &amp; CHAR(10) &amp; CHAR(10)
&amp; "In this dataset, each row corresponds to a respondent's answers to the RANAS questionnaire. The answers to a particular question appear in the corresponding column." &amp; " Note that, for the sake of clarity, only the data columns relevant to this demonstration have been kept in the dataset."</f>
        <v>In this demo file, an example of a dataset for a RANAS survey has already been imported in the "data" spreadsheet, and the "Configuration" sheet has been filled accordingly. The goal is to illustrate how to use the RANAS Analyser based on a concrete example, by following the description below. However, it remains important to carefully read the instructions given in each sheet, in order to configure and use the tool properly with your own dataset.
In this dataset, each row corresponds to a respondent's answers to the RANAS questionnaire. The answers to a particular question appear in the corresponding column. Note that, for the sake of clarity, only the data columns relevant to this demonstration have been kept in the dataset.</v>
      </c>
      <c r="H82" s="185" t="str" cm="1">
        <f t="array" aca="1" ref="H82" ca="1">"Dans ce fichier de démonstration, un exemple de jeu de données pour une enquête RANAS a déjà été importé dans la feuille «" &amp; sheetNameData &amp; "», et la feuille «" &amp; sheetNameConfiguration &amp; "» a été remplie en conséquence. Le but est d'illustrer à l'aide d'un exemple concret comment utiliser le RANAS Analyser, en suivant la description ci-dessous." &amp; " Il reste toutefois important de lire attentivement les instructions fournies sur chaque feuille, afin de configurer et d'utiliser l'outil correctement avec votre propre jeu de données." &amp; CHAR(10) &amp; CHAR(10)
&amp; "Dans ce jeu de données, chaque ligne correspond aux réponses d'un répondant au questionnaire RANAS. Les réponses à une question donnée apparaissent dans la colonne correspondante." &amp; " Notez que, par souci de clarté, seules les colonnes de données utiles à cette démonstration ont été conservées dans le jeu de données."</f>
        <v>Dans ce fichier de démonstration, un exemple de jeu de données pour une enquête RANAS a déjà été importé dans la feuille «data», et la feuille «Configuration» a été remplie en conséquence. Le but est d'illustrer à l'aide d'un exemple concret comment utiliser le RANAS Analyser, en suivant la description ci-dessous. Il reste toutefois important de lire attentivement les instructions fournies sur chaque feuille, afin de configurer et d'utiliser l'outil correctement avec votre propre jeu de données.
Dans ce jeu de données, chaque ligne correspond aux réponses d'un répondant au questionnaire RANAS. Les réponses à une question donnée apparaissent dans la colonne correspondante. Notez que, par souci de clarté, seules les colonnes de données utiles à cette démonstration ont été conservées dans le jeu de données.</v>
      </c>
      <c r="W82" s="3" cm="1">
        <f t="array" ref="W82">ROW()-ROW(structuredFormulaeTable[#Headers])</f>
        <v>80</v>
      </c>
      <c r="X82" s="3" t="s">
        <v>1063</v>
      </c>
      <c r="Y82" s="3" t="s">
        <v>985</v>
      </c>
      <c r="AA82" s="187" t="s">
        <v>984</v>
      </c>
      <c r="AB82" s="185"/>
      <c r="BM82" s="3">
        <f ca="1"/>
        <v>0</v>
      </c>
      <c r="BN82" s="3">
        <f ca="1"/>
        <v>10</v>
      </c>
      <c r="BO82" s="3">
        <f ca="1"/>
        <v>1</v>
      </c>
      <c r="BP82" s="3">
        <f ca="1"/>
        <v>2</v>
      </c>
      <c r="BR82" s="3">
        <f ca="1"/>
        <v>1.1666666666666665</v>
      </c>
      <c r="BS82" s="3">
        <f ca="1"/>
        <v>3</v>
      </c>
      <c r="BT82" s="3">
        <f ca="1"/>
        <v>0.38888888888888884</v>
      </c>
      <c r="BU82" s="3" t="b">
        <f ca="1"/>
        <v>0</v>
      </c>
      <c r="CD82" s="3" cm="1">
        <f t="array" ref="CD82">ROW()-ROW(recommendedCutoffTable[#Headers])</f>
        <v>80</v>
      </c>
      <c r="CE82" s="192">
        <f>(recommendedCutoffTable[[#This Row],[index]] - 1) / 100</f>
        <v>0.79</v>
      </c>
      <c r="CF82" s="3" cm="1">
        <f t="array" aca="1" ref="CF82" ca="1">ABS(
    numScores
  - 2 * SUMPRODUCT((behaviourScore &lt;&gt; "") * (behaviourScore &lt; recommendedCutoffTable[[#This Row],[cutoffLevel]]))
  )</f>
        <v>238</v>
      </c>
    </row>
    <row r="83" spans="5:84" ht="14.4" customHeight="1" x14ac:dyDescent="0.3">
      <c r="E83" s="196" cm="1">
        <f t="array" ref="E83">ROW()-ROW(UITranslationTable[#Headers])</f>
        <v>81</v>
      </c>
      <c r="F83" s="11" t="s">
        <v>995</v>
      </c>
      <c r="G83" s="185" t="str" cm="1">
        <f t="array" aca="1" ref="G83" ca="1">"Setting up the """ &amp; sheetNameConfiguration &amp; """ sheet"</f>
        <v>Setting up the "Configuration" sheet</v>
      </c>
      <c r="H83" s="185" t="str" cm="1">
        <f t="array" aca="1" ref="H83" ca="1">"Paramétrer la feuille «" &amp; sheetNameConfiguration &amp; "»"</f>
        <v>Paramétrer la feuille «Configuration»</v>
      </c>
      <c r="W83" s="3" cm="1">
        <f t="array" ref="W83">ROW()-ROW(structuredFormulaeTable[#Headers])</f>
        <v>81</v>
      </c>
      <c r="X83" s="3" t="s">
        <v>1063</v>
      </c>
      <c r="Y83" s="3" t="s">
        <v>986</v>
      </c>
      <c r="AA83" s="187" t="s">
        <v>1307</v>
      </c>
      <c r="AB83" s="185"/>
      <c r="BM83" s="3">
        <f ca="1"/>
        <v>5</v>
      </c>
      <c r="BN83" s="3">
        <f ca="1"/>
        <v>10</v>
      </c>
      <c r="BO83" s="3">
        <f ca="1"/>
        <v>2</v>
      </c>
      <c r="BP83" s="3">
        <f ca="1"/>
        <v>3</v>
      </c>
      <c r="BR83" s="3">
        <f ca="1"/>
        <v>2</v>
      </c>
      <c r="BS83" s="3">
        <f ca="1"/>
        <v>3</v>
      </c>
      <c r="BT83" s="3">
        <f ca="1"/>
        <v>0.66666666666666663</v>
      </c>
      <c r="BU83" s="3" t="b">
        <f ca="1"/>
        <v>1</v>
      </c>
      <c r="CD83" s="3" cm="1">
        <f t="array" ref="CD83">ROW()-ROW(recommendedCutoffTable[#Headers])</f>
        <v>81</v>
      </c>
      <c r="CE83" s="192">
        <f>(recommendedCutoffTable[[#This Row],[index]] - 1) / 100</f>
        <v>0.8</v>
      </c>
      <c r="CF83" s="3" cm="1">
        <f t="array" aca="1" ref="CF83" ca="1">ABS(
    numScores
  - 2 * SUMPRODUCT((behaviourScore &lt;&gt; "") * (behaviourScore &lt; recommendedCutoffTable[[#This Row],[cutoffLevel]]))
  )</f>
        <v>238</v>
      </c>
    </row>
    <row r="84" spans="5:84" ht="14.4" customHeight="1" x14ac:dyDescent="0.3">
      <c r="E84" s="196" cm="1">
        <f t="array" ref="E84">ROW()-ROW(UITranslationTable[#Headers])</f>
        <v>82</v>
      </c>
      <c r="F84" s="11" t="s">
        <v>996</v>
      </c>
      <c r="G84" s="185" t="str" cm="1">
        <f t="array" ref="G84">"In this example, 4 ""behaviour"" subscores have been computed in their own columns (highlighted in yellow in the """ &amp; sheetNameData &amp; """ sheet), based on certain behaviour questions:" &amp; CHAR(10)
&amp; "- behaviour1, based on questions B_b2 to B_b5, can range from -5 to 5" &amp; CHAR(10)
&amp; "- behaviour2, based on question B_b6, can range from 5 to 20" &amp; CHAR(10)
&amp; "- behaviour3, based on question B_b7, can range from 0 to 3" &amp; CHAR(10)
&amp; "- behaviour4, based on question B_b8, can range from 1 to 5"</f>
        <v>In this example, 4 "behaviour" subscores have been computed in their own columns (highlighted in yellow in the "data" sheet), based on certain behaviour questions:
- behaviour1, based on questions B_b2 to B_b5, can range from -5 to 5
- behaviour2, based on question B_b6, can range from 5 to 20
- behaviour3, based on question B_b7, can range from 0 to 3
- behaviour4, based on question B_b8, can range from 1 to 5</v>
      </c>
      <c r="H84" s="185" t="str" cm="1">
        <f t="array" ref="H84">"Dans cet exemple, 4 «sous-scores» ont été calculés dans leurs propres colonnes (colorées en jaune sur la feuille «" &amp; sheetNameData &amp; "» ), à partir de certaines questions «comportement»:" &amp; CHAR(10)
&amp; "- behaviour1, à partir des questions B_b2 à B_b5, peut être compris entre -5 et 5" &amp; CHAR(10)
&amp; "- behaviour2, à partir de la question B_b6, peut être compris entre 5 et 20" &amp; CHAR(10)
&amp; "- behaviour3, à partir de la question B_b7, peut être compris entre 0 et 3" &amp; CHAR(10)
&amp; "- behaviour4, à partir de la question B_b8, peut être compris entre 1 et 5"</f>
        <v>Dans cet exemple, 4 «sous-scores» ont été calculés dans leurs propres colonnes (colorées en jaune sur la feuille «data» ), à partir de certaines questions «comportement»:
- behaviour1, à partir des questions B_b2 à B_b5, peut être compris entre -5 et 5
- behaviour2, à partir de la question B_b6, peut être compris entre 5 et 20
- behaviour3, à partir de la question B_b7, peut être compris entre 0 et 3
- behaviour4, à partir de la question B_b8, peut être compris entre 1 et 5</v>
      </c>
      <c r="W84" s="186" cm="1">
        <f t="array" ref="W84">ROW()-ROW(structuredFormulaeTable[#Headers])</f>
        <v>82</v>
      </c>
      <c r="X84" s="3" t="s">
        <v>1063</v>
      </c>
      <c r="Y84" s="3" t="s">
        <v>988</v>
      </c>
      <c r="Z84" s="3" t="str" cm="1">
        <f t="array" ref="Z84">yesLabel</f>
        <v>✔</v>
      </c>
      <c r="AA84" s="187" t="s">
        <v>987</v>
      </c>
      <c r="AB84" s="172" t="s">
        <v>1305</v>
      </c>
      <c r="BM84" s="3">
        <f ca="1"/>
        <v>5</v>
      </c>
      <c r="BN84" s="3">
        <f ca="1"/>
        <v>10</v>
      </c>
      <c r="BO84" s="3">
        <f ca="1"/>
        <v>2</v>
      </c>
      <c r="BP84" s="3">
        <f ca="1"/>
        <v>3</v>
      </c>
      <c r="BR84" s="3">
        <f ca="1"/>
        <v>2</v>
      </c>
      <c r="BS84" s="3">
        <f ca="1"/>
        <v>3</v>
      </c>
      <c r="BT84" s="3">
        <f ca="1"/>
        <v>0.66666666666666663</v>
      </c>
      <c r="BU84" s="3" t="b">
        <f ca="1"/>
        <v>1</v>
      </c>
      <c r="CD84" s="3" cm="1">
        <f t="array" ref="CD84">ROW()-ROW(recommendedCutoffTable[#Headers])</f>
        <v>82</v>
      </c>
      <c r="CE84" s="192">
        <f>(recommendedCutoffTable[[#This Row],[index]] - 1) / 100</f>
        <v>0.81</v>
      </c>
      <c r="CF84" s="3" cm="1">
        <f t="array" aca="1" ref="CF84" ca="1">ABS(
    numScores
  - 2 * SUMPRODUCT((behaviourScore &lt;&gt; "") * (behaviourScore &lt; recommendedCutoffTable[[#This Row],[cutoffLevel]]))
  )</f>
        <v>240</v>
      </c>
    </row>
    <row r="85" spans="5:84" ht="14.4" customHeight="1" x14ac:dyDescent="0.3">
      <c r="E85" s="196" cm="1">
        <f t="array" ref="E85">ROW()-ROW(UITranslationTable[#Headers])</f>
        <v>83</v>
      </c>
      <c r="F85" s="11" t="s">
        <v>997</v>
      </c>
      <c r="G85" s="185" t="str" cm="1">
        <f t="array" aca="1" ref="G85" ca="1">"These 4 data headers and pairs of minimum and maximum scores are entered in the ""Behaviour"" table of the """ &amp; sheetNameConfiguration &amp; """ sheet. Note that each of these 4 columns could be either precomputed within the questionnaire, if its definition has been decided before the survey took place," &amp; " or defined and computed after data collection, by inserting a dedicated new column in the """ &amp; sheetNameData &amp; """ sheet."</f>
        <v>These 4 data headers and pairs of minimum and maximum scores are entered in the "Behaviour" table of the "Configuration" sheet. Note that each of these 4 columns could be either precomputed within the questionnaire, if its definition has been decided before the survey took place, or defined and computed after data collection, by inserting a dedicated new column in the "data" sheet.</v>
      </c>
      <c r="H85" s="185" t="str" cm="1">
        <f t="array" aca="1" ref="H85" ca="1">"Ces 4 en-têtes de données et paires de scores minimums et maximums sont saisis dans le tableau «Comportement» de la feuille «" &amp; sheetNameConfiguration &amp; "». Notez que chacune de ces 4 colonnes pourrait être soit précalculée au sein même du questionnaire, si sa définition a été établie avant que l'enquête soit faite," &amp; " soit définie et calculée après la collecte de données, en insérant une colonne dédiée sur la feuille «" &amp; sheetNameData &amp; "»."</f>
        <v>Ces 4 en-têtes de données et paires de scores minimums et maximums sont saisis dans le tableau «Comportement» de la feuille «Configuration». Notez que chacune de ces 4 colonnes pourrait être soit précalculée au sein même du questionnaire, si sa définition a été établie avant que l'enquête soit faite, soit définie et calculée après la collecte de données, en insérant une colonne dédiée sur la feuille «data».</v>
      </c>
      <c r="W85" s="186" cm="1">
        <f t="array" ref="W85">ROW()-ROW(structuredFormulaeTable[#Headers])</f>
        <v>83</v>
      </c>
      <c r="X85" s="3" t="s">
        <v>1063</v>
      </c>
      <c r="Y85" s="3" t="s">
        <v>990</v>
      </c>
      <c r="AA85" s="187" t="s">
        <v>989</v>
      </c>
      <c r="AB85" s="197"/>
      <c r="BM85" s="3">
        <f ca="1"/>
        <v>5</v>
      </c>
      <c r="BN85" s="3">
        <f ca="1"/>
        <v>10</v>
      </c>
      <c r="BO85" s="3">
        <f ca="1"/>
        <v>1</v>
      </c>
      <c r="BP85" s="3">
        <f ca="1"/>
        <v>2</v>
      </c>
      <c r="BR85" s="3">
        <f ca="1"/>
        <v>1.6666666666666665</v>
      </c>
      <c r="BS85" s="3">
        <f ca="1"/>
        <v>3</v>
      </c>
      <c r="BT85" s="3">
        <f ca="1"/>
        <v>0.55555555555555547</v>
      </c>
      <c r="BU85" s="3" t="b">
        <f ca="1"/>
        <v>0</v>
      </c>
      <c r="CD85" s="3" cm="1">
        <f t="array" ref="CD85">ROW()-ROW(recommendedCutoffTable[#Headers])</f>
        <v>83</v>
      </c>
      <c r="CE85" s="192">
        <f>(recommendedCutoffTable[[#This Row],[index]] - 1) / 100</f>
        <v>0.82</v>
      </c>
      <c r="CF85" s="3" cm="1">
        <f t="array" aca="1" ref="CF85" ca="1">ABS(
    numScores
  - 2 * SUMPRODUCT((behaviourScore &lt;&gt; "") * (behaviourScore &lt; recommendedCutoffTable[[#This Row],[cutoffLevel]]))
  )</f>
        <v>240</v>
      </c>
    </row>
    <row r="86" spans="5:84" ht="14.4" customHeight="1" x14ac:dyDescent="0.3">
      <c r="E86" s="196" cm="1">
        <f t="array" ref="E86">ROW()-ROW(UITranslationTable[#Headers])</f>
        <v>84</v>
      </c>
      <c r="F86" s="11" t="s">
        <v>998</v>
      </c>
      <c r="G86" s="185" t="str" cm="1">
        <f t="array" ref="G86">"The dataset also contains columns (highlighted in blue) for 17 RANAS factors, each displaying a score based on the answers to one or more questions related to that factor." &amp; " Here as well, each of these 17 scores could be precomputed within the questionnaire or computed afterwards within the """ &amp; sheetNameData &amp; """ sheet."</f>
        <v>The dataset also contains columns (highlighted in blue) for 17 RANAS factors, each displaying a score based on the answers to one or more questions related to that factor. Here as well, each of these 17 scores could be precomputed within the questionnaire or computed afterwards within the "data" sheet.</v>
      </c>
      <c r="H86" s="185" t="str" cm="1">
        <f t="array" ref="H86">"Le jeu de données contient aussi des colonnes (colorées en bleu) pour 17 facteurs RANAS, chacune affichant un score basé sur les réponses à une ou plusieurs questions en lien avec ce facteur." &amp; " Là aussi, chacun de ces 17 scores pourrait être précalculé au sein du questionnaire ou calculé par la suite sur la feuille «" &amp; sheetNameData &amp; "»."</f>
        <v>Le jeu de données contient aussi des colonnes (colorées en bleu) pour 17 facteurs RANAS, chacune affichant un score basé sur les réponses à une ou plusieurs questions en lien avec ce facteur. Là aussi, chacun de ces 17 scores pourrait être précalculé au sein du questionnaire ou calculé par la suite sur la feuille «data».</v>
      </c>
      <c r="W86" s="186" cm="1">
        <f t="array" ref="W86">ROW()-ROW(structuredFormulaeTable[#Headers])</f>
        <v>84</v>
      </c>
      <c r="X86" s="3" t="s">
        <v>1209</v>
      </c>
      <c r="Y86" s="3" t="s">
        <v>1210</v>
      </c>
      <c r="AA86" s="187" t="s">
        <v>1218</v>
      </c>
      <c r="AB86" s="11"/>
      <c r="BM86" s="3">
        <f ca="1"/>
        <v>5</v>
      </c>
      <c r="BN86" s="3">
        <f ca="1"/>
        <v>5</v>
      </c>
      <c r="BO86" s="3">
        <f ca="1"/>
        <v>2</v>
      </c>
      <c r="BP86" s="3">
        <f ca="1"/>
        <v>2</v>
      </c>
      <c r="BR86" s="3">
        <f ca="1"/>
        <v>1.6666666666666665</v>
      </c>
      <c r="BS86" s="3">
        <f ca="1"/>
        <v>3</v>
      </c>
      <c r="BT86" s="3">
        <f ca="1"/>
        <v>0.55555555555555547</v>
      </c>
      <c r="BU86" s="3" t="b">
        <f ca="1"/>
        <v>0</v>
      </c>
      <c r="CD86" s="3" cm="1">
        <f t="array" ref="CD86">ROW()-ROW(recommendedCutoffTable[#Headers])</f>
        <v>84</v>
      </c>
      <c r="CE86" s="192">
        <f>(recommendedCutoffTable[[#This Row],[index]] - 1) / 100</f>
        <v>0.83</v>
      </c>
      <c r="CF86" s="3" cm="1">
        <f t="array" aca="1" ref="CF86" ca="1">ABS(
    numScores
  - 2 * SUMPRODUCT((behaviourScore &lt;&gt; "") * (behaviourScore &lt; recommendedCutoffTable[[#This Row],[cutoffLevel]]))
  )</f>
        <v>240</v>
      </c>
    </row>
    <row r="87" spans="5:84" ht="14.4" customHeight="1" x14ac:dyDescent="0.3">
      <c r="E87" s="196" cm="1">
        <f t="array" ref="E87">ROW()-ROW(UITranslationTable[#Headers])</f>
        <v>85</v>
      </c>
      <c r="F87" s="11" t="s">
        <v>999</v>
      </c>
      <c r="G87" s="197" t="str" cm="1">
        <f t="array" aca="1" ref="G87" ca="1">"The data header and minimum and maximum possible scores for each factor are entered in the ""RANAS factors"" table of the """ &amp;sheetNameConfiguration &amp; """ sheet. Then, the appropriate ""RANAS block"" is selected from the drop-down menu in the corresponding column, and a label is provided for each factor in English and in French." &amp; " Finally, for the sake of example, ""Español"" is defined as a custom language and corresponding labels are entered, and the ""Español"" column in the table under """ &amp; _xlfn.XLOOKUP("configChartsTitle", UITranslationTable[tag], UITranslationTable[English]) &amp; """ is completed as well. As a result, ""Español"" is now available in the ""Chart language"" drop-down menu of the """ &amp; sheetNameIntroduction &amp; """ sheet: selecting it will change the text in charts and data tables accordingly." &amp; " Note that labels and translations for charts and tables MUST be provided at least for the selected ""Chart language""."</f>
        <v>The data header and minimum and maximum possible scores for each factor are entered in the "RANAS factors" table of the "Configuration" sheet. Then, the appropriate "RANAS block" is selected from the drop-down menu in the corresponding column, and a label is provided for each factor in English and in French. Finally, for the sake of example, "Español" is defined as a custom language and corresponding labels are entered, and the "Español" column in the table under "4. Translations for charts and data tables" is completed as well. As a result, "Español" is now available in the "Chart language" drop-down menu of the "Introduction" sheet: selecting it will change the text in charts and data tables accordingly. Note that labels and translations for charts and tables MUST be provided at least for the selected "Chart language".</v>
      </c>
      <c r="H87" s="185" t="str" cm="1">
        <f t="array" aca="1" ref="H87" ca="1">"L'en-tête de données et les scores minimum et maximum possibles sont saisis pour chaque facteur dans le tableau «Facteurs RANAS» de la feuille «" &amp;sheetNameConfiguration &amp; "». Puis, le bloc RANAS approprié est sélectionné dans le menu déroulant de la colonne correspondante, et une étiquette est saisie pour chaque facteur en anglais et en français." &amp; " Finalement, à titre d'exemple, «Español» est défini comme langue personnalisée et des étiquettes correspondantes sont saisies, et la colonne «Español» du tableau sous «" &amp; _xlfn.XLOOKUP("configChartsTitle", UITranslationTable[tag], UITranslationTable[Français]) &amp; "» est également complétée. Ainsi, «Español» est désormais disponible dans le menu déroulant «Langue des graphiques» de la feuille «" &amp; sheetNameIntroduction &amp; "»: en le sélectionnant, le texte des graphiques et des tableaux de données sera modifié en conséquence." &amp; " Notez que les étiquettes et les traductions pour les graphiques et tableaux DOIVENT être renseignées au moins pour la «Langue des graphiques» sélectionnée."</f>
        <v>L'en-tête de données et les scores minimum et maximum possibles sont saisis pour chaque facteur dans le tableau «Facteurs RANAS» de la feuille «Configuration». Puis, le bloc RANAS approprié est sélectionné dans le menu déroulant de la colonne correspondante, et une étiquette est saisie pour chaque facteur en anglais et en français. Finalement, à titre d'exemple, «Español» est défini comme langue personnalisée et des étiquettes correspondantes sont saisies, et la colonne «Español» du tableau sous «4. Traductions pour les graphiques et les tableaux de données» est également complétée. Ainsi, «Español» est désormais disponible dans le menu déroulant «Langue des graphiques» de la feuille «Introduction»: en le sélectionnant, le texte des graphiques et des tableaux de données sera modifié en conséquence. Notez que les étiquettes et les traductions pour les graphiques et tableaux DOIVENT être renseignées au moins pour la «Langue des graphiques» sélectionnée.</v>
      </c>
      <c r="W87" s="186" cm="1">
        <f t="array" ref="W87">ROW()-ROW(structuredFormulaeTable[#Headers])</f>
        <v>85</v>
      </c>
      <c r="X87" s="3" t="s">
        <v>1209</v>
      </c>
      <c r="Y87" s="3" t="s">
        <v>1211</v>
      </c>
      <c r="AA87" s="187" t="s">
        <v>1217</v>
      </c>
      <c r="AB87" s="11"/>
      <c r="BM87" s="3">
        <f ca="1"/>
        <v>5</v>
      </c>
      <c r="BN87" s="3">
        <f ca="1"/>
        <v>5</v>
      </c>
      <c r="BO87" s="3">
        <f ca="1"/>
        <v>2</v>
      </c>
      <c r="BP87" s="3">
        <f ca="1"/>
        <v>3</v>
      </c>
      <c r="BR87" s="3">
        <f ca="1"/>
        <v>1.6666666666666665</v>
      </c>
      <c r="BS87" s="3">
        <f ca="1"/>
        <v>3</v>
      </c>
      <c r="BT87" s="3">
        <f ca="1"/>
        <v>0.55555555555555547</v>
      </c>
      <c r="BU87" s="3" t="b">
        <f ca="1"/>
        <v>0</v>
      </c>
      <c r="CD87" s="3" cm="1">
        <f t="array" ref="CD87">ROW()-ROW(recommendedCutoffTable[#Headers])</f>
        <v>85</v>
      </c>
      <c r="CE87" s="192">
        <f>(recommendedCutoffTable[[#This Row],[index]] - 1) / 100</f>
        <v>0.84</v>
      </c>
      <c r="CF87" s="3" cm="1">
        <f t="array" aca="1" ref="CF87" ca="1">ABS(
    numScores
  - 2 * SUMPRODUCT((behaviourScore &lt;&gt; "") * (behaviourScore &lt; recommendedCutoffTable[[#This Row],[cutoffLevel]]))
  )</f>
        <v>240</v>
      </c>
    </row>
    <row r="88" spans="5:84" ht="14.4" customHeight="1" x14ac:dyDescent="0.3">
      <c r="E88" s="196" cm="1">
        <f t="array" ref="E88">ROW()-ROW(UITranslationTable[#Headers])</f>
        <v>86</v>
      </c>
      <c r="F88" s="11" t="s">
        <v>1000</v>
      </c>
      <c r="G88" s="185" t="str" cm="1">
        <f t="array" ref="G88">"Let's suppose that, based on various considerations, it has been decided that the target behaviour is well represented by the combination of the behaviour subscores behaviour1, behaviour2 and behaviour3. One then selects those 3 rows in the """ &amp; _xlfn.XLOOKUP("configBehaviourInclude", UITranslationTable[tag], UITranslationTable[English]) &amp; """ column of the ""Behaviour"" table (" &amp; yesLabel &amp; ") and deselects behaviour4 (" &amp; noLabel &amp; "). The global behaviour score is thus calculated as the average of the selected subscores and will be used to distinguish between doers and non-doers."</f>
        <v>Let's suppose that, based on various considerations, it has been decided that the target behaviour is well represented by the combination of the behaviour subscores behaviour1, behaviour2 and behaviour3. One then selects those 3 rows in the "Include?" column of the "Behaviour" table (✔) and deselects behaviour4 (✘). The global behaviour score is thus calculated as the average of the selected subscores and will be used to distinguish between doers and non-doers.</v>
      </c>
      <c r="H88" s="185" t="str" cm="1">
        <f t="array" ref="H88">"Supposons que, en fonction de différents critères, il ait été décidé que le comportement cible est adéquatement représenté par la combinaison des sous-scores behaviour1, behaviour2 et behaviour3. On sélectionne alors ces 3 lignes dans la colonne «" &amp; _xlfn.XLOOKUP("configBehaviourInclude", UITranslationTable[tag], UITranslationTable[Français]) &amp; "» du tableau «Comportement» (" &amp; yesLabel &amp; ") et on désélectionne behaviour4 (" &amp; noLabel &amp; "). Le score global de comportement est ainsi calculé comme la moyenne des sous-scores sélectionnés et sera utilisé pour distinguer les pratiquants des non-pratiquants."</f>
        <v>Supposons que, en fonction de différents critères, il ait été décidé que le comportement cible est adéquatement représenté par la combinaison des sous-scores behaviour1, behaviour2 et behaviour3. On sélectionne alors ces 3 lignes dans la colonne «Inclure?» du tableau «Comportement» (✔) et on désélectionne behaviour4 (✘). Le score global de comportement est ainsi calculé comme la moyenne des sous-scores sélectionnés et sera utilisé pour distinguer les pratiquants des non-pratiquants.</v>
      </c>
      <c r="W88" s="186" cm="1">
        <f t="array" ref="W88">ROW()-ROW(structuredFormulaeTable[#Headers])</f>
        <v>86</v>
      </c>
      <c r="X88" s="3" t="s">
        <v>1209</v>
      </c>
      <c r="Y88" s="3" t="s">
        <v>1212</v>
      </c>
      <c r="AA88" s="187" t="s">
        <v>1216</v>
      </c>
      <c r="AB88" s="11"/>
      <c r="BM88" s="3">
        <f ca="1"/>
        <v>0</v>
      </c>
      <c r="BN88" s="3">
        <f ca="1"/>
        <v>5</v>
      </c>
      <c r="BO88" s="3">
        <f ca="1"/>
        <v>0</v>
      </c>
      <c r="BP88" s="3">
        <f ca="1"/>
        <v>1</v>
      </c>
      <c r="BR88" s="3">
        <f ca="1"/>
        <v>0.5</v>
      </c>
      <c r="BS88" s="3">
        <f ca="1"/>
        <v>3</v>
      </c>
      <c r="BT88" s="3">
        <f ca="1"/>
        <v>0.16666666666666666</v>
      </c>
      <c r="BU88" s="3" t="b">
        <f ca="1"/>
        <v>0</v>
      </c>
      <c r="CD88" s="3" cm="1">
        <f t="array" ref="CD88">ROW()-ROW(recommendedCutoffTable[#Headers])</f>
        <v>86</v>
      </c>
      <c r="CE88" s="192">
        <f>(recommendedCutoffTable[[#This Row],[index]] - 1) / 100</f>
        <v>0.85</v>
      </c>
      <c r="CF88" s="3" cm="1">
        <f t="array" aca="1" ref="CF88" ca="1">ABS(
    numScores
  - 2 * SUMPRODUCT((behaviourScore &lt;&gt; "") * (behaviourScore &lt; recommendedCutoffTable[[#This Row],[cutoffLevel]]))
  )</f>
        <v>240</v>
      </c>
    </row>
    <row r="89" spans="5:84" ht="14.4" customHeight="1" x14ac:dyDescent="0.3">
      <c r="E89" s="196" cm="1">
        <f t="array" ref="E89">ROW()-ROW(UITranslationTable[#Headers])</f>
        <v>87</v>
      </c>
      <c r="F89" s="11" t="s">
        <v>1001</v>
      </c>
      <c r="G89" s="185" t="s">
        <v>831</v>
      </c>
      <c r="H89" s="185" t="s">
        <v>832</v>
      </c>
      <c r="W89" s="186" cm="1">
        <f t="array" ref="W89">ROW()-ROW(structuredFormulaeTable[#Headers])</f>
        <v>87</v>
      </c>
      <c r="X89" s="3" t="s">
        <v>1209</v>
      </c>
      <c r="Y89" s="3" t="s">
        <v>1213</v>
      </c>
      <c r="AA89" s="187" t="s">
        <v>1215</v>
      </c>
      <c r="AB89" s="11"/>
      <c r="BM89" s="3">
        <f ca="1"/>
        <v>5</v>
      </c>
      <c r="BN89" s="3">
        <f ca="1"/>
        <v>10</v>
      </c>
      <c r="BO89" s="3">
        <f ca="1"/>
        <v>2</v>
      </c>
      <c r="BP89" s="3">
        <f ca="1"/>
        <v>3</v>
      </c>
      <c r="BR89" s="3">
        <f ca="1"/>
        <v>2</v>
      </c>
      <c r="BS89" s="3">
        <f ca="1"/>
        <v>3</v>
      </c>
      <c r="BT89" s="3">
        <f ca="1"/>
        <v>0.66666666666666663</v>
      </c>
      <c r="BU89" s="3" t="b">
        <f ca="1"/>
        <v>1</v>
      </c>
      <c r="CD89" s="3" cm="1">
        <f t="array" ref="CD89">ROW()-ROW(recommendedCutoffTable[#Headers])</f>
        <v>87</v>
      </c>
      <c r="CE89" s="192">
        <f>(recommendedCutoffTable[[#This Row],[index]] - 1) / 100</f>
        <v>0.86</v>
      </c>
      <c r="CF89" s="3" cm="1">
        <f t="array" aca="1" ref="CF89" ca="1">ABS(
    numScores
  - 2 * SUMPRODUCT((behaviourScore &lt;&gt; "") * (behaviourScore &lt; recommendedCutoffTable[[#This Row],[cutoffLevel]]))
  )</f>
        <v>240</v>
      </c>
    </row>
    <row r="90" spans="5:84" ht="14.4" customHeight="1" x14ac:dyDescent="0.3">
      <c r="E90" s="196" cm="1">
        <f t="array" ref="E90">ROW()-ROW(UITranslationTable[#Headers])</f>
        <v>88</v>
      </c>
      <c r="F90" s="11" t="s">
        <v>1002</v>
      </c>
      <c r="G90" s="185" t="str" cm="1">
        <f t="array" aca="1" ref="G90" ca="1">"Once the behaviour score is defined, the next step is to decide on the cutoff level, i.e. the minimum score that a respondent must reach to be considered a doer. This is done in the """ &amp; sheetNameCutoff &amp; """ sheet, along with instructions on how to do this. In short, the goal is to use a cutoff level that generates groups of doers and non-doers of similar size." &amp; " For our current example, the recommended level is 57%, which splits the respondents between 57% non-doers (just a coincidence!) and 43% doers."</f>
        <v>Once the behaviour score is defined, the next step is to decide on the cutoff level, i.e. the minimum score that a respondent must reach to be considered a doer. This is done in the "Cutoff - Seuil" sheet, along with instructions on how to do this. In short, the goal is to use a cutoff level that generates groups of doers and non-doers of similar size. For our current example, the recommended level is 57%, which splits the respondents between 57% non-doers (just a coincidence!) and 43% doers.</v>
      </c>
      <c r="H90" s="185" t="str" cm="1">
        <f t="array" aca="1" ref="H90" ca="1">"Une fois le score de comportement défini, l'étape suivante consiste à déterminer le niveau de seuil, c'est-à-dire le score minimum qu'un répondant doit atteindre pour être considéré comme pratiquant. Cela se fait dans la feuille «" &amp; sheetNameCutoff &amp; "», qui contient également des instructions sur la manière de procéder. En bref, l'objectif est d'utiliser un niveau de seuil qui génère des groupes de pratiquants et de non-pratiquants de taille similaire." &amp; " Dans notre exemple, le niveau de seuil recommandé est de 57%, ce qui répartit les répondants entre 57% de non-pratiquants (simple coïncidence!) et 43% de pratiquants."</f>
        <v>Une fois le score de comportement défini, l'étape suivante consiste à déterminer le niveau de seuil, c'est-à-dire le score minimum qu'un répondant doit atteindre pour être considéré comme pratiquant. Cela se fait dans la feuille «Cutoff - Seuil», qui contient également des instructions sur la manière de procéder. En bref, l'objectif est d'utiliser un niveau de seuil qui génère des groupes de pratiquants et de non-pratiquants de taille similaire. Dans notre exemple, le niveau de seuil recommandé est de 57%, ce qui répartit les répondants entre 57% de non-pratiquants (simple coïncidence!) et 43% de pratiquants.</v>
      </c>
      <c r="W90" s="186" cm="1">
        <f t="array" ref="W90">ROW()-ROW(structuredFormulaeTable[#Headers])</f>
        <v>88</v>
      </c>
      <c r="X90" s="3" t="s">
        <v>1209</v>
      </c>
      <c r="Y90" s="3" t="s">
        <v>1219</v>
      </c>
      <c r="AA90" s="187" t="s">
        <v>1214</v>
      </c>
      <c r="AB90" s="11"/>
      <c r="BM90" s="3">
        <f ca="1"/>
        <v>5</v>
      </c>
      <c r="BN90" s="3">
        <f ca="1"/>
        <v>15</v>
      </c>
      <c r="BO90" s="3">
        <f ca="1"/>
        <v>1</v>
      </c>
      <c r="BP90" s="3">
        <f ca="1"/>
        <v>2</v>
      </c>
      <c r="BR90" s="3">
        <f ca="1"/>
        <v>1.9999999999999998</v>
      </c>
      <c r="BS90" s="3">
        <f ca="1"/>
        <v>3</v>
      </c>
      <c r="BT90" s="3">
        <f ca="1"/>
        <v>0.66666666666666663</v>
      </c>
      <c r="BU90" s="3" t="b">
        <f ca="1"/>
        <v>1</v>
      </c>
      <c r="CD90" s="3" cm="1">
        <f t="array" ref="CD90">ROW()-ROW(recommendedCutoffTable[#Headers])</f>
        <v>88</v>
      </c>
      <c r="CE90" s="192">
        <f>(recommendedCutoffTable[[#This Row],[index]] - 1) / 100</f>
        <v>0.87</v>
      </c>
      <c r="CF90" s="3" cm="1">
        <f t="array" aca="1" ref="CF90" ca="1">ABS(
    numScores
  - 2 * SUMPRODUCT((behaviourScore &lt;&gt; "") * (behaviourScore &lt; recommendedCutoffTable[[#This Row],[cutoffLevel]]))
  )</f>
        <v>240</v>
      </c>
    </row>
    <row r="91" spans="5:84" ht="14.4" customHeight="1" x14ac:dyDescent="0.3">
      <c r="E91" s="196" cm="1">
        <f t="array" ref="E91">ROW()-ROW(UITranslationTable[#Headers])</f>
        <v>89</v>
      </c>
      <c r="F91" s="11" t="s">
        <v>1003</v>
      </c>
      <c r="G91" s="185" t="s">
        <v>1008</v>
      </c>
      <c r="H91" s="185" t="s">
        <v>1009</v>
      </c>
      <c r="W91" s="186" cm="1">
        <f t="array" ref="W91">ROW()-ROW(structuredFormulaeTable[#Headers])</f>
        <v>89</v>
      </c>
      <c r="X91" s="3" t="s">
        <v>1209</v>
      </c>
      <c r="Y91" s="3" t="s">
        <v>1220</v>
      </c>
      <c r="AA91" s="187" t="s">
        <v>1221</v>
      </c>
      <c r="AB91" s="11"/>
      <c r="BM91" s="3">
        <f ca="1"/>
        <v>5</v>
      </c>
      <c r="BN91" s="3">
        <f ca="1"/>
        <v>10</v>
      </c>
      <c r="BO91" s="3">
        <f ca="1"/>
        <v>1</v>
      </c>
      <c r="BP91" s="3">
        <f ca="1"/>
        <v>2</v>
      </c>
      <c r="BR91" s="3">
        <f ca="1"/>
        <v>1.6666666666666665</v>
      </c>
      <c r="BS91" s="3">
        <f ca="1"/>
        <v>3</v>
      </c>
      <c r="BT91" s="3">
        <f ca="1"/>
        <v>0.55555555555555547</v>
      </c>
      <c r="BU91" s="3" t="b">
        <f ca="1"/>
        <v>0</v>
      </c>
      <c r="CD91" s="3" cm="1">
        <f t="array" ref="CD91">ROW()-ROW(recommendedCutoffTable[#Headers])</f>
        <v>89</v>
      </c>
      <c r="CE91" s="192">
        <f>(recommendedCutoffTable[[#This Row],[index]] - 1) / 100</f>
        <v>0.88</v>
      </c>
      <c r="CF91" s="3" cm="1">
        <f t="array" aca="1" ref="CF91" ca="1">ABS(
    numScores
  - 2 * SUMPRODUCT((behaviourScore &lt;&gt; "") * (behaviourScore &lt; recommendedCutoffTable[[#This Row],[cutoffLevel]]))
  )</f>
        <v>240</v>
      </c>
    </row>
    <row r="92" spans="5:84" ht="14.4" customHeight="1" x14ac:dyDescent="0.3">
      <c r="E92" s="196" cm="1">
        <f t="array" ref="E92">ROW()-ROW(UITranslationTable[#Headers])</f>
        <v>90</v>
      </c>
      <c r="F92" s="11" t="s">
        <v>1004</v>
      </c>
      <c r="G92" s="185" t="str" cm="1">
        <f t="array" aca="1" ref="G92" ca="1">"The analysis of the RANAS factors is done in the """ &amp; sheetNameAnalysis &amp; """ sheet, where you also find some instructions. Which factors are displayed can be customised in the ""RANAS factors"" table of the """ &amp; sheetNameConfiguration &amp; """ sheet by selecting (" &amp; yesLabel &amp; ") or deselecting (" &amp; noLabel &amp; ") them in the """ &amp; _xlfn.XLOOKUP("configFactorsDisplay", UITranslationTable[tag], UITranslationTable[English]) &amp; """ column. The ""Data sorting"" menu can be used to change the order in which the factors are displayed."</f>
        <v>The analysis of the RANAS factors is done in the "Analysis" sheet, where you also find some instructions. Which factors are displayed can be customised in the "RANAS factors" table of the "Configuration" sheet by selecting (✔) or deselecting (✘) them in the "Display?" column. The "Data sorting" menu can be used to change the order in which the factors are displayed.</v>
      </c>
      <c r="H92" s="185" t="str" cm="1">
        <f t="array" aca="1" ref="H92" ca="1">"L'analyse des facteurs RANAS est faite sur la feuille «" &amp; sheetNameAnalysis &amp; "», où vous trouverez aussi quelques instructions. On peut choisir quels facteurs afficher en les sélectionnant (" &amp; yesLabel &amp; ") ou désélectionnant (" &amp; noLabel &amp; ") dans la colonne «" &amp; _xlfn.XLOOKUP("configFactorsDisplay", UITranslationTable[tag], UITranslationTable[Français]) &amp; "» du tableau «Facteurs RANAS» sur la feuille «" &amp; sheetNameConfiguration &amp; "»." &amp; " Le menu «Tri des données» permet de changer l'ordre dans lequel les facteurs sont affichés."</f>
        <v>L'analyse des facteurs RANAS est faite sur la feuille «Analysis», où vous trouverez aussi quelques instructions. On peut choisir quels facteurs afficher en les sélectionnant (✔) ou désélectionnant (✘) dans la colonne «Afficher?» du tableau «Facteurs RANAS» sur la feuille «Configuration». Le menu «Tri des données» permet de changer l'ordre dans lequel les facteurs sont affichés.</v>
      </c>
      <c r="W92" s="186" cm="1">
        <f t="array" ref="W92">ROW()-ROW(structuredFormulaeTable[#Headers])</f>
        <v>90</v>
      </c>
      <c r="X92" s="3" t="s">
        <v>1209</v>
      </c>
      <c r="Y92" s="3" t="s">
        <v>1222</v>
      </c>
      <c r="AA92" s="187" t="s">
        <v>1223</v>
      </c>
      <c r="AB92" s="11"/>
      <c r="BM92" s="3">
        <f ca="1"/>
        <v>0</v>
      </c>
      <c r="BN92" s="3">
        <f ca="1"/>
        <v>10</v>
      </c>
      <c r="BO92" s="3">
        <f ca="1"/>
        <v>1</v>
      </c>
      <c r="BP92" s="3">
        <f ca="1"/>
        <v>1</v>
      </c>
      <c r="BR92" s="3">
        <f ca="1"/>
        <v>1.1666666666666665</v>
      </c>
      <c r="BS92" s="3">
        <f ca="1"/>
        <v>3</v>
      </c>
      <c r="BT92" s="3">
        <f ca="1"/>
        <v>0.38888888888888884</v>
      </c>
      <c r="BU92" s="3" t="b">
        <f ca="1"/>
        <v>0</v>
      </c>
      <c r="CD92" s="3" cm="1">
        <f t="array" ref="CD92">ROW()-ROW(recommendedCutoffTable[#Headers])</f>
        <v>90</v>
      </c>
      <c r="CE92" s="192">
        <f>(recommendedCutoffTable[[#This Row],[index]] - 1) / 100</f>
        <v>0.89</v>
      </c>
      <c r="CF92" s="3" cm="1">
        <f t="array" aca="1" ref="CF92" ca="1">ABS(
    numScores
  - 2 * SUMPRODUCT((behaviourScore &lt;&gt; "") * (behaviourScore &lt; recommendedCutoffTable[[#This Row],[cutoffLevel]]))
  )</f>
        <v>252</v>
      </c>
    </row>
    <row r="93" spans="5:84" ht="14.4" customHeight="1" x14ac:dyDescent="0.3">
      <c r="E93" s="196" cm="1">
        <f t="array" ref="E93">ROW()-ROW(UITranslationTable[#Headers])</f>
        <v>91</v>
      </c>
      <c r="F93" s="11" t="s">
        <v>1007</v>
      </c>
      <c r="G93" s="185" t="s">
        <v>1010</v>
      </c>
      <c r="H93" s="185" t="s">
        <v>1012</v>
      </c>
      <c r="W93" s="186" cm="1">
        <f t="array" ref="W93">ROW()-ROW(structuredFormulaeTable[#Headers])</f>
        <v>91</v>
      </c>
      <c r="X93" s="3" t="s">
        <v>1224</v>
      </c>
      <c r="Y93" s="3" t="s">
        <v>1226</v>
      </c>
      <c r="AA93" s="187" t="s">
        <v>1182</v>
      </c>
      <c r="AB93" s="11"/>
      <c r="BM93" s="3">
        <f ca="1"/>
        <v>5</v>
      </c>
      <c r="BN93" s="3">
        <f ca="1"/>
        <v>5</v>
      </c>
      <c r="BO93" s="3">
        <f ca="1"/>
        <v>1</v>
      </c>
      <c r="BP93" s="3">
        <f ca="1"/>
        <v>3</v>
      </c>
      <c r="BR93" s="3">
        <f ca="1"/>
        <v>1.3333333333333333</v>
      </c>
      <c r="BS93" s="3">
        <f ca="1"/>
        <v>3</v>
      </c>
      <c r="BT93" s="3">
        <f ca="1"/>
        <v>0.44444444444444442</v>
      </c>
      <c r="BU93" s="3" t="b">
        <f ca="1"/>
        <v>0</v>
      </c>
      <c r="CD93" s="3" cm="1">
        <f t="array" ref="CD93">ROW()-ROW(recommendedCutoffTable[#Headers])</f>
        <v>91</v>
      </c>
      <c r="CE93" s="192">
        <f>(recommendedCutoffTable[[#This Row],[index]] - 1) / 100</f>
        <v>0.9</v>
      </c>
      <c r="CF93" s="3" cm="1">
        <f t="array" aca="1" ref="CF93" ca="1">ABS(
    numScores
  - 2 * SUMPRODUCT((behaviourScore &lt;&gt; "") * (behaviourScore &lt; recommendedCutoffTable[[#This Row],[cutoffLevel]]))
  )</f>
        <v>252</v>
      </c>
    </row>
    <row r="94" spans="5:84" ht="14.4" customHeight="1" x14ac:dyDescent="0.3">
      <c r="W94" s="186" cm="1">
        <f t="array" ref="W94">ROW()-ROW(structuredFormulaeTable[#Headers])</f>
        <v>92</v>
      </c>
      <c r="X94" s="3" t="s">
        <v>1224</v>
      </c>
      <c r="Y94" s="3" t="s">
        <v>1225</v>
      </c>
      <c r="AA94" s="187" t="s">
        <v>1187</v>
      </c>
      <c r="AB94" s="11"/>
      <c r="BM94" s="3">
        <f ca="1"/>
        <v>5</v>
      </c>
      <c r="BN94" s="3">
        <f ca="1"/>
        <v>5</v>
      </c>
      <c r="BO94" s="3">
        <f ca="1"/>
        <v>1</v>
      </c>
      <c r="BP94" s="3">
        <f ca="1"/>
        <v>2</v>
      </c>
      <c r="BR94" s="3">
        <f ca="1"/>
        <v>1.3333333333333333</v>
      </c>
      <c r="BS94" s="3">
        <f ca="1"/>
        <v>3</v>
      </c>
      <c r="BT94" s="3">
        <f ca="1"/>
        <v>0.44444444444444442</v>
      </c>
      <c r="BU94" s="3" t="b">
        <f ca="1"/>
        <v>0</v>
      </c>
      <c r="CD94" s="3" cm="1">
        <f t="array" ref="CD94">ROW()-ROW(recommendedCutoffTable[#Headers])</f>
        <v>92</v>
      </c>
      <c r="CE94" s="192">
        <f>(recommendedCutoffTable[[#This Row],[index]] - 1) / 100</f>
        <v>0.91</v>
      </c>
      <c r="CF94" s="3" cm="1">
        <f t="array" aca="1" ref="CF94" ca="1">ABS(
    numScores
  - 2 * SUMPRODUCT((behaviourScore &lt;&gt; "") * (behaviourScore &lt; recommendedCutoffTable[[#This Row],[cutoffLevel]]))
  )</f>
        <v>252</v>
      </c>
    </row>
    <row r="95" spans="5:84" ht="14.4" customHeight="1" x14ac:dyDescent="0.3">
      <c r="W95" s="186" cm="1">
        <f t="array" ref="W95">ROW()-ROW(structuredFormulaeTable[#Headers])</f>
        <v>93</v>
      </c>
      <c r="X95" s="3" t="s">
        <v>1224</v>
      </c>
      <c r="Y95" s="3" t="s">
        <v>1229</v>
      </c>
      <c r="AA95" s="187" t="s">
        <v>1243</v>
      </c>
      <c r="AB95" s="11"/>
      <c r="BM95" s="3">
        <f ca="1"/>
        <v>5</v>
      </c>
      <c r="BN95" s="3">
        <f ca="1"/>
        <v>10</v>
      </c>
      <c r="BO95" s="3">
        <f ca="1"/>
        <v>2</v>
      </c>
      <c r="BP95" s="3">
        <f ca="1"/>
        <v>2</v>
      </c>
      <c r="BR95" s="3">
        <f ca="1"/>
        <v>2</v>
      </c>
      <c r="BS95" s="3">
        <f ca="1"/>
        <v>3</v>
      </c>
      <c r="BT95" s="3">
        <f ca="1"/>
        <v>0.66666666666666663</v>
      </c>
      <c r="BU95" s="3" t="b">
        <f ca="1"/>
        <v>1</v>
      </c>
      <c r="CD95" s="3" cm="1">
        <f t="array" ref="CD95">ROW()-ROW(recommendedCutoffTable[#Headers])</f>
        <v>93</v>
      </c>
      <c r="CE95" s="192">
        <f>(recommendedCutoffTable[[#This Row],[index]] - 1) / 100</f>
        <v>0.92</v>
      </c>
      <c r="CF95" s="3" cm="1">
        <f t="array" aca="1" ref="CF95" ca="1">ABS(
    numScores
  - 2 * SUMPRODUCT((behaviourScore &lt;&gt; "") * (behaviourScore &lt; recommendedCutoffTable[[#This Row],[cutoffLevel]]))
  )</f>
        <v>252</v>
      </c>
    </row>
    <row r="96" spans="5:84" ht="14.4" customHeight="1" x14ac:dyDescent="0.3">
      <c r="W96" s="186" cm="1">
        <f t="array" ref="W96">ROW()-ROW(structuredFormulaeTable[#Headers])</f>
        <v>94</v>
      </c>
      <c r="X96" s="3" t="s">
        <v>1224</v>
      </c>
      <c r="Y96" s="3" t="s">
        <v>1227</v>
      </c>
      <c r="AA96" s="187" t="s">
        <v>1244</v>
      </c>
      <c r="AB96" s="11"/>
      <c r="BM96" s="3">
        <f ca="1"/>
        <v>2.5</v>
      </c>
      <c r="BN96" s="3">
        <f ca="1"/>
        <v>5</v>
      </c>
      <c r="BO96" s="3">
        <f ca="1"/>
        <v>1</v>
      </c>
      <c r="BP96" s="3">
        <f ca="1"/>
        <v>1</v>
      </c>
      <c r="BR96" s="3">
        <f ca="1"/>
        <v>1.0833333333333333</v>
      </c>
      <c r="BS96" s="3">
        <f ca="1"/>
        <v>3</v>
      </c>
      <c r="BT96" s="3">
        <f ca="1"/>
        <v>0.3611111111111111</v>
      </c>
      <c r="BU96" s="3" t="b">
        <f ca="1"/>
        <v>0</v>
      </c>
      <c r="CD96" s="3" cm="1">
        <f t="array" ref="CD96">ROW()-ROW(recommendedCutoffTable[#Headers])</f>
        <v>94</v>
      </c>
      <c r="CE96" s="192">
        <f>(recommendedCutoffTable[[#This Row],[index]] - 1) / 100</f>
        <v>0.93</v>
      </c>
      <c r="CF96" s="3" cm="1">
        <f t="array" aca="1" ref="CF96" ca="1">ABS(
    numScores
  - 2 * SUMPRODUCT((behaviourScore &lt;&gt; "") * (behaviourScore &lt; recommendedCutoffTable[[#This Row],[cutoffLevel]]))
  )</f>
        <v>252</v>
      </c>
    </row>
    <row r="97" spans="23:84" ht="14.4" customHeight="1" x14ac:dyDescent="0.3">
      <c r="W97" s="186" cm="1">
        <f t="array" ref="W97">ROW()-ROW(structuredFormulaeTable[#Headers])</f>
        <v>95</v>
      </c>
      <c r="X97" s="3" t="s">
        <v>1224</v>
      </c>
      <c r="Y97" s="3" t="s">
        <v>1228</v>
      </c>
      <c r="AA97" s="187" t="s">
        <v>1245</v>
      </c>
      <c r="AB97" s="11"/>
      <c r="BM97" s="3">
        <f ca="1"/>
        <v>-2.5</v>
      </c>
      <c r="BN97" s="3">
        <f ca="1"/>
        <v>5</v>
      </c>
      <c r="BO97" s="3">
        <f ca="1"/>
        <v>1</v>
      </c>
      <c r="BP97" s="3">
        <f ca="1"/>
        <v>2</v>
      </c>
      <c r="BR97" s="3">
        <f ca="1"/>
        <v>0.58333333333333326</v>
      </c>
      <c r="BS97" s="3">
        <f ca="1"/>
        <v>3</v>
      </c>
      <c r="BT97" s="3">
        <f ca="1"/>
        <v>0.19444444444444442</v>
      </c>
      <c r="BU97" s="3" t="b">
        <f ca="1"/>
        <v>0</v>
      </c>
      <c r="CD97" s="3" cm="1">
        <f t="array" ref="CD97">ROW()-ROW(recommendedCutoffTable[#Headers])</f>
        <v>95</v>
      </c>
      <c r="CE97" s="192">
        <f>(recommendedCutoffTable[[#This Row],[index]] - 1) / 100</f>
        <v>0.94</v>
      </c>
      <c r="CF97" s="3" cm="1">
        <f t="array" aca="1" ref="CF97" ca="1">ABS(
    numScores
  - 2 * SUMPRODUCT((behaviourScore &lt;&gt; "") * (behaviourScore &lt; recommendedCutoffTable[[#This Row],[cutoffLevel]]))
  )</f>
        <v>252</v>
      </c>
    </row>
    <row r="98" spans="23:84" ht="14.4" customHeight="1" x14ac:dyDescent="0.3">
      <c r="W98" s="186" cm="1">
        <f t="array" ref="W98">ROW()-ROW(structuredFormulaeTable[#Headers])</f>
        <v>96</v>
      </c>
      <c r="X98" s="3" t="s">
        <v>1224</v>
      </c>
      <c r="Y98" s="3" t="s">
        <v>1230</v>
      </c>
      <c r="AA98" s="187" t="s">
        <v>1246</v>
      </c>
      <c r="AB98" s="11"/>
      <c r="BM98" s="3">
        <f ca="1"/>
        <v>0</v>
      </c>
      <c r="BN98" s="3">
        <f ca="1"/>
        <v>10</v>
      </c>
      <c r="BO98" s="3">
        <f ca="1"/>
        <v>1</v>
      </c>
      <c r="BP98" s="3">
        <f ca="1"/>
        <v>2</v>
      </c>
      <c r="BR98" s="3">
        <f ca="1"/>
        <v>1.1666666666666665</v>
      </c>
      <c r="BS98" s="3">
        <f ca="1"/>
        <v>3</v>
      </c>
      <c r="BT98" s="3">
        <f ca="1"/>
        <v>0.38888888888888884</v>
      </c>
      <c r="BU98" s="3" t="b">
        <f ca="1"/>
        <v>0</v>
      </c>
      <c r="CD98" s="3" cm="1">
        <f t="array" ref="CD98">ROW()-ROW(recommendedCutoffTable[#Headers])</f>
        <v>96</v>
      </c>
      <c r="CE98" s="192">
        <f>(recommendedCutoffTable[[#This Row],[index]] - 1) / 100</f>
        <v>0.95</v>
      </c>
      <c r="CF98" s="3" cm="1">
        <f t="array" aca="1" ref="CF98" ca="1">ABS(
    numScores
  - 2 * SUMPRODUCT((behaviourScore &lt;&gt; "") * (behaviourScore &lt; recommendedCutoffTable[[#This Row],[cutoffLevel]]))
  )</f>
        <v>252</v>
      </c>
    </row>
    <row r="99" spans="23:84" ht="14.4" customHeight="1" x14ac:dyDescent="0.3">
      <c r="W99" s="186" cm="1">
        <f t="array" ref="W99">ROW()-ROW(structuredFormulaeTable[#Headers])</f>
        <v>97</v>
      </c>
      <c r="X99" s="3" t="s">
        <v>1224</v>
      </c>
      <c r="Y99" s="3" t="s">
        <v>1231</v>
      </c>
      <c r="AA99" s="187" t="s">
        <v>1247</v>
      </c>
      <c r="AB99" s="11"/>
      <c r="BM99" s="3">
        <f ca="1"/>
        <v>5</v>
      </c>
      <c r="BN99" s="3">
        <f ca="1"/>
        <v>5</v>
      </c>
      <c r="BO99" s="3">
        <f ca="1"/>
        <v>0</v>
      </c>
      <c r="BP99" s="3">
        <f ca="1"/>
        <v>1</v>
      </c>
      <c r="BR99" s="3">
        <f ca="1"/>
        <v>1</v>
      </c>
      <c r="BS99" s="3">
        <f ca="1"/>
        <v>3</v>
      </c>
      <c r="BT99" s="3">
        <f ca="1"/>
        <v>0.33333333333333331</v>
      </c>
      <c r="BU99" s="3" t="b">
        <f ca="1"/>
        <v>0</v>
      </c>
      <c r="CD99" s="3" cm="1">
        <f t="array" ref="CD99">ROW()-ROW(recommendedCutoffTable[#Headers])</f>
        <v>97</v>
      </c>
      <c r="CE99" s="192">
        <f>(recommendedCutoffTable[[#This Row],[index]] - 1) / 100</f>
        <v>0.96</v>
      </c>
      <c r="CF99" s="3" cm="1">
        <f t="array" aca="1" ref="CF99" ca="1">ABS(
    numScores
  - 2 * SUMPRODUCT((behaviourScore &lt;&gt; "") * (behaviourScore &lt; recommendedCutoffTable[[#This Row],[cutoffLevel]]))
  )</f>
        <v>252</v>
      </c>
    </row>
    <row r="100" spans="23:84" ht="14.4" customHeight="1" x14ac:dyDescent="0.3">
      <c r="W100" s="186" cm="1">
        <f t="array" ref="W100">ROW()-ROW(structuredFormulaeTable[#Headers])</f>
        <v>98</v>
      </c>
      <c r="X100" s="3" t="s">
        <v>1224</v>
      </c>
      <c r="Y100" s="3" t="s">
        <v>1232</v>
      </c>
      <c r="AA100" s="187" t="s">
        <v>1248</v>
      </c>
      <c r="AB100" s="11"/>
      <c r="BM100" s="3">
        <f ca="1"/>
        <v>2.5</v>
      </c>
      <c r="BN100" s="3">
        <f ca="1"/>
        <v>5</v>
      </c>
      <c r="BO100" s="3">
        <f ca="1"/>
        <v>1</v>
      </c>
      <c r="BP100" s="3">
        <f ca="1"/>
        <v>2</v>
      </c>
      <c r="BR100" s="3">
        <f ca="1"/>
        <v>1.0833333333333333</v>
      </c>
      <c r="BS100" s="3">
        <f ca="1"/>
        <v>3</v>
      </c>
      <c r="BT100" s="3">
        <f ca="1"/>
        <v>0.3611111111111111</v>
      </c>
      <c r="BU100" s="3" t="b">
        <f ca="1"/>
        <v>0</v>
      </c>
      <c r="CD100" s="3" cm="1">
        <f t="array" ref="CD100">ROW()-ROW(recommendedCutoffTable[#Headers])</f>
        <v>98</v>
      </c>
      <c r="CE100" s="192">
        <f>(recommendedCutoffTable[[#This Row],[index]] - 1) / 100</f>
        <v>0.97</v>
      </c>
      <c r="CF100" s="3" cm="1">
        <f t="array" aca="1" ref="CF100" ca="1">ABS(
    numScores
  - 2 * SUMPRODUCT((behaviourScore &lt;&gt; "") * (behaviourScore &lt; recommendedCutoffTable[[#This Row],[cutoffLevel]]))
  )</f>
        <v>252</v>
      </c>
    </row>
    <row r="101" spans="23:84" ht="14.4" customHeight="1" x14ac:dyDescent="0.3">
      <c r="W101" s="186" cm="1">
        <f t="array" ref="W101">ROW()-ROW(structuredFormulaeTable[#Headers])</f>
        <v>99</v>
      </c>
      <c r="X101" s="3" t="s">
        <v>1224</v>
      </c>
      <c r="Y101" s="3" t="s">
        <v>1233</v>
      </c>
      <c r="AA101" s="187" t="s">
        <v>1249</v>
      </c>
      <c r="AB101" s="11"/>
      <c r="BM101" s="3">
        <f ca="1"/>
        <v>2.5</v>
      </c>
      <c r="BN101" s="3">
        <f ca="1"/>
        <v>10</v>
      </c>
      <c r="BO101" s="3">
        <f ca="1"/>
        <v>1</v>
      </c>
      <c r="BP101" s="3">
        <f ca="1"/>
        <v>1</v>
      </c>
      <c r="BR101" s="3">
        <f ca="1"/>
        <v>1.4166666666666665</v>
      </c>
      <c r="BS101" s="3">
        <f ca="1"/>
        <v>3</v>
      </c>
      <c r="BT101" s="3">
        <f ca="1"/>
        <v>0.47222222222222215</v>
      </c>
      <c r="BU101" s="3" t="b">
        <f ca="1"/>
        <v>0</v>
      </c>
      <c r="CD101" s="3" cm="1">
        <f t="array" ref="CD101">ROW()-ROW(recommendedCutoffTable[#Headers])</f>
        <v>99</v>
      </c>
      <c r="CE101" s="192">
        <f>(recommendedCutoffTable[[#This Row],[index]] - 1) / 100</f>
        <v>0.98</v>
      </c>
      <c r="CF101" s="3" cm="1">
        <f t="array" aca="1" ref="CF101" ca="1">ABS(
    numScores
  - 2 * SUMPRODUCT((behaviourScore &lt;&gt; "") * (behaviourScore &lt; recommendedCutoffTable[[#This Row],[cutoffLevel]]))
  )</f>
        <v>252</v>
      </c>
    </row>
    <row r="102" spans="23:84" ht="14.4" customHeight="1" x14ac:dyDescent="0.3">
      <c r="W102" s="186" cm="1">
        <f t="array" ref="W102">ROW()-ROW(structuredFormulaeTable[#Headers])</f>
        <v>100</v>
      </c>
      <c r="X102" s="3" t="s">
        <v>1224</v>
      </c>
      <c r="Y102" s="3" t="s">
        <v>1239</v>
      </c>
      <c r="AA102" s="187" t="s">
        <v>1250</v>
      </c>
      <c r="AB102" s="11"/>
      <c r="BM102" s="3">
        <f ca="1"/>
        <v>2.5</v>
      </c>
      <c r="BN102" s="3">
        <f ca="1"/>
        <v>5</v>
      </c>
      <c r="BO102" s="3">
        <f ca="1"/>
        <v>1</v>
      </c>
      <c r="BP102" s="3">
        <f ca="1"/>
        <v>2</v>
      </c>
      <c r="BR102" s="3">
        <f ca="1"/>
        <v>1.0833333333333333</v>
      </c>
      <c r="BS102" s="3">
        <f ca="1"/>
        <v>3</v>
      </c>
      <c r="BT102" s="3">
        <f ca="1"/>
        <v>0.3611111111111111</v>
      </c>
      <c r="BU102" s="3" t="b">
        <f ca="1"/>
        <v>0</v>
      </c>
      <c r="CD102" s="3" cm="1">
        <f t="array" ref="CD102">ROW()-ROW(recommendedCutoffTable[#Headers])</f>
        <v>100</v>
      </c>
      <c r="CE102" s="192">
        <f>(recommendedCutoffTable[[#This Row],[index]] - 1) / 100</f>
        <v>0.99</v>
      </c>
      <c r="CF102" s="3" cm="1">
        <f t="array" aca="1" ref="CF102" ca="1">ABS(
    numScores
  - 2 * SUMPRODUCT((behaviourScore &lt;&gt; "") * (behaviourScore &lt; recommendedCutoffTable[[#This Row],[cutoffLevel]]))
  )</f>
        <v>252</v>
      </c>
    </row>
    <row r="103" spans="23:84" ht="14.4" customHeight="1" x14ac:dyDescent="0.3">
      <c r="W103" s="186" cm="1">
        <f t="array" ref="W103">ROW()-ROW(structuredFormulaeTable[#Headers])</f>
        <v>101</v>
      </c>
      <c r="X103" s="3" t="s">
        <v>1224</v>
      </c>
      <c r="Y103" s="3" t="s">
        <v>1240</v>
      </c>
      <c r="AA103" s="187" t="s">
        <v>1251</v>
      </c>
      <c r="AB103" s="11"/>
      <c r="BM103" s="3">
        <f ca="1"/>
        <v>5</v>
      </c>
      <c r="BN103" s="3">
        <f ca="1"/>
        <v>5</v>
      </c>
      <c r="BO103" s="3">
        <f ca="1"/>
        <v>2</v>
      </c>
      <c r="BP103" s="3">
        <f ca="1"/>
        <v>2</v>
      </c>
      <c r="BR103" s="3">
        <f ca="1"/>
        <v>1.6666666666666665</v>
      </c>
      <c r="BS103" s="3">
        <f ca="1"/>
        <v>3</v>
      </c>
      <c r="BT103" s="3">
        <f ca="1"/>
        <v>0.55555555555555547</v>
      </c>
      <c r="BU103" s="3" t="b">
        <f ca="1"/>
        <v>0</v>
      </c>
      <c r="CD103" s="3" cm="1">
        <f t="array" ref="CD103">ROW()-ROW(recommendedCutoffTable[#Headers])</f>
        <v>101</v>
      </c>
      <c r="CE103" s="192">
        <f>(recommendedCutoffTable[[#This Row],[index]] - 1) / 100</f>
        <v>1</v>
      </c>
      <c r="CF103" s="186" cm="1">
        <f t="array" aca="1" ref="CF103" ca="1">ABS(
    numScores
  - 2 * SUMPRODUCT((behaviourScore &lt;&gt; "") * (behaviourScore &lt; recommendedCutoffTable[[#This Row],[cutoffLevel]]))
  )</f>
        <v>252</v>
      </c>
    </row>
    <row r="104" spans="23:84" ht="14.4" customHeight="1" x14ac:dyDescent="0.3">
      <c r="W104" s="186" cm="1">
        <f t="array" ref="W104">ROW()-ROW(structuredFormulaeTable[#Headers])</f>
        <v>102</v>
      </c>
      <c r="X104" s="3" t="s">
        <v>1224</v>
      </c>
      <c r="Y104" s="3" t="s">
        <v>1234</v>
      </c>
      <c r="AA104" s="187" t="s">
        <v>1252</v>
      </c>
      <c r="AB104" s="11"/>
      <c r="BM104" s="3">
        <f ca="1"/>
        <v>5</v>
      </c>
      <c r="BN104" s="3">
        <f ca="1"/>
        <v>10</v>
      </c>
      <c r="BO104" s="3">
        <f ca="1"/>
        <v>1</v>
      </c>
      <c r="BP104" s="3">
        <f ca="1"/>
        <v>1</v>
      </c>
      <c r="BR104" s="3">
        <f ca="1"/>
        <v>1.6666666666666665</v>
      </c>
      <c r="BS104" s="3">
        <f ca="1"/>
        <v>3</v>
      </c>
      <c r="BT104" s="3">
        <f ca="1"/>
        <v>0.55555555555555547</v>
      </c>
      <c r="BU104" s="3" t="b">
        <f ca="1"/>
        <v>0</v>
      </c>
    </row>
    <row r="105" spans="23:84" ht="14.4" customHeight="1" x14ac:dyDescent="0.3">
      <c r="W105" s="186" cm="1">
        <f t="array" ref="W105">ROW()-ROW(structuredFormulaeTable[#Headers])</f>
        <v>103</v>
      </c>
      <c r="X105" s="3" t="s">
        <v>1224</v>
      </c>
      <c r="Y105" s="3" t="s">
        <v>1235</v>
      </c>
      <c r="AA105" s="187" t="s">
        <v>1253</v>
      </c>
      <c r="AB105" s="11"/>
      <c r="BM105" s="3">
        <f ca="1"/>
        <v>5</v>
      </c>
      <c r="BN105" s="3">
        <f ca="1"/>
        <v>10</v>
      </c>
      <c r="BO105" s="3">
        <f ca="1"/>
        <v>1</v>
      </c>
      <c r="BP105" s="3">
        <f ca="1"/>
        <v>2</v>
      </c>
      <c r="BR105" s="3">
        <f ca="1"/>
        <v>1.6666666666666665</v>
      </c>
      <c r="BS105" s="3">
        <f ca="1"/>
        <v>3</v>
      </c>
      <c r="BT105" s="3">
        <f ca="1"/>
        <v>0.55555555555555547</v>
      </c>
      <c r="BU105" s="3" t="b">
        <f ca="1"/>
        <v>0</v>
      </c>
    </row>
    <row r="106" spans="23:84" ht="14.4" customHeight="1" x14ac:dyDescent="0.3">
      <c r="W106" s="186" cm="1">
        <f t="array" ref="W106">ROW()-ROW(structuredFormulaeTable[#Headers])</f>
        <v>104</v>
      </c>
      <c r="X106" s="3" t="s">
        <v>1224</v>
      </c>
      <c r="Y106" s="3" t="s">
        <v>1236</v>
      </c>
      <c r="AA106" s="187" t="s">
        <v>1254</v>
      </c>
      <c r="AB106" s="11"/>
      <c r="BM106" s="3">
        <f ca="1"/>
        <v>5</v>
      </c>
      <c r="BN106" s="3">
        <f ca="1"/>
        <v>15</v>
      </c>
      <c r="BO106" s="3">
        <f ca="1"/>
        <v>2</v>
      </c>
      <c r="BP106" s="3">
        <f ca="1"/>
        <v>2</v>
      </c>
      <c r="BR106" s="3">
        <f ca="1"/>
        <v>2.333333333333333</v>
      </c>
      <c r="BS106" s="3">
        <f ca="1"/>
        <v>3</v>
      </c>
      <c r="BT106" s="3">
        <f ca="1"/>
        <v>0.77777777777777768</v>
      </c>
      <c r="BU106" s="3" t="b">
        <f ca="1"/>
        <v>1</v>
      </c>
    </row>
    <row r="107" spans="23:84" ht="14.4" customHeight="1" x14ac:dyDescent="0.3">
      <c r="W107" s="186" cm="1">
        <f t="array" ref="W107">ROW()-ROW(structuredFormulaeTable[#Headers])</f>
        <v>105</v>
      </c>
      <c r="X107" s="3" t="s">
        <v>1224</v>
      </c>
      <c r="Y107" s="3" t="s">
        <v>1237</v>
      </c>
      <c r="AA107" s="187" t="s">
        <v>1255</v>
      </c>
      <c r="AB107" s="11"/>
      <c r="BM107" s="3">
        <f ca="1"/>
        <v>2.5</v>
      </c>
      <c r="BN107" s="3">
        <f ca="1"/>
        <v>10</v>
      </c>
      <c r="BO107" s="3">
        <f ca="1"/>
        <v>1</v>
      </c>
      <c r="BP107" s="3">
        <f ca="1"/>
        <v>2</v>
      </c>
      <c r="BR107" s="3">
        <f ca="1"/>
        <v>1.4166666666666665</v>
      </c>
      <c r="BS107" s="3">
        <f ca="1"/>
        <v>3</v>
      </c>
      <c r="BT107" s="3">
        <f ca="1"/>
        <v>0.47222222222222215</v>
      </c>
      <c r="BU107" s="3" t="b">
        <f ca="1"/>
        <v>0</v>
      </c>
    </row>
    <row r="108" spans="23:84" ht="14.4" customHeight="1" x14ac:dyDescent="0.3">
      <c r="W108" s="186" cm="1">
        <f t="array" ref="W108">ROW()-ROW(structuredFormulaeTable[#Headers])</f>
        <v>106</v>
      </c>
      <c r="X108" s="3" t="s">
        <v>1224</v>
      </c>
      <c r="Y108" s="3" t="s">
        <v>1238</v>
      </c>
      <c r="AA108" s="187" t="s">
        <v>1256</v>
      </c>
      <c r="AB108" s="11"/>
      <c r="BM108" s="3">
        <f ca="1"/>
        <v>5</v>
      </c>
      <c r="BN108" s="3">
        <f ca="1"/>
        <v>15</v>
      </c>
      <c r="BO108" s="3">
        <f ca="1"/>
        <v>1</v>
      </c>
      <c r="BP108" s="3">
        <f ca="1"/>
        <v>2</v>
      </c>
      <c r="BR108" s="3">
        <f ca="1"/>
        <v>1.9999999999999998</v>
      </c>
      <c r="BS108" s="3">
        <f ca="1"/>
        <v>3</v>
      </c>
      <c r="BT108" s="3">
        <f ca="1"/>
        <v>0.66666666666666663</v>
      </c>
      <c r="BU108" s="3" t="b">
        <f ca="1"/>
        <v>1</v>
      </c>
    </row>
    <row r="109" spans="23:84" ht="14.4" customHeight="1" x14ac:dyDescent="0.3">
      <c r="W109" s="186" cm="1">
        <f t="array" ref="W109">ROW()-ROW(structuredFormulaeTable[#Headers])</f>
        <v>107</v>
      </c>
      <c r="X109" s="3" t="s">
        <v>1224</v>
      </c>
      <c r="Y109" s="3" t="s">
        <v>1241</v>
      </c>
      <c r="AA109" s="187" t="s">
        <v>1257</v>
      </c>
      <c r="AB109" s="11"/>
      <c r="BM109" s="3">
        <f ca="1"/>
        <v>5</v>
      </c>
      <c r="BN109" s="3">
        <f ca="1"/>
        <v>10</v>
      </c>
      <c r="BO109" s="3">
        <f ca="1"/>
        <v>2</v>
      </c>
      <c r="BP109" s="3">
        <f ca="1"/>
        <v>3</v>
      </c>
      <c r="BR109" s="3">
        <f ca="1"/>
        <v>2</v>
      </c>
      <c r="BS109" s="3">
        <f ca="1"/>
        <v>3</v>
      </c>
      <c r="BT109" s="3">
        <f ca="1"/>
        <v>0.66666666666666663</v>
      </c>
      <c r="BU109" s="3" t="b">
        <f ca="1"/>
        <v>1</v>
      </c>
    </row>
    <row r="110" spans="23:84" ht="14.4" customHeight="1" x14ac:dyDescent="0.3">
      <c r="W110" s="186" cm="1">
        <f t="array" ref="W110">ROW()-ROW(structuredFormulaeTable[#Headers])</f>
        <v>108</v>
      </c>
      <c r="X110" s="3" t="s">
        <v>1224</v>
      </c>
      <c r="Y110" s="3" t="s">
        <v>1242</v>
      </c>
      <c r="AA110" s="187" t="s">
        <v>1258</v>
      </c>
      <c r="AB110" s="11"/>
      <c r="BM110" s="3">
        <f ca="1"/>
        <v>5</v>
      </c>
      <c r="BN110" s="3">
        <f ca="1"/>
        <v>10</v>
      </c>
      <c r="BO110" s="3">
        <f ca="1"/>
        <v>0</v>
      </c>
      <c r="BP110" s="3">
        <f ca="1"/>
        <v>1</v>
      </c>
      <c r="BR110" s="3">
        <f ca="1"/>
        <v>1.3333333333333333</v>
      </c>
      <c r="BS110" s="3">
        <f ca="1"/>
        <v>3</v>
      </c>
      <c r="BT110" s="3">
        <f ca="1"/>
        <v>0.44444444444444442</v>
      </c>
      <c r="BU110" s="3" t="b">
        <f ca="1"/>
        <v>0</v>
      </c>
    </row>
    <row r="111" spans="23:84" ht="14.4" customHeight="1" x14ac:dyDescent="0.3">
      <c r="W111" s="186" cm="1">
        <f t="array" ref="W111">ROW()-ROW(structuredFormulaeTable[#Headers])</f>
        <v>109</v>
      </c>
      <c r="X111" s="3" t="s">
        <v>1224</v>
      </c>
      <c r="Y111" s="3" t="s">
        <v>1259</v>
      </c>
      <c r="AA111" s="187" t="s">
        <v>1261</v>
      </c>
      <c r="AB111" s="11"/>
      <c r="BM111" s="3">
        <f ca="1"/>
        <v>2.5</v>
      </c>
      <c r="BN111" s="3">
        <f ca="1"/>
        <v>15</v>
      </c>
      <c r="BO111" s="3">
        <f ca="1"/>
        <v>2</v>
      </c>
      <c r="BP111" s="3">
        <f ca="1"/>
        <v>2</v>
      </c>
      <c r="BR111" s="3">
        <f ca="1"/>
        <v>2.083333333333333</v>
      </c>
      <c r="BS111" s="3">
        <f ca="1"/>
        <v>3</v>
      </c>
      <c r="BT111" s="3">
        <f ca="1"/>
        <v>0.69444444444444431</v>
      </c>
      <c r="BU111" s="3" t="b">
        <f ca="1"/>
        <v>1</v>
      </c>
    </row>
    <row r="112" spans="23:84" ht="14.4" customHeight="1" x14ac:dyDescent="0.3">
      <c r="W112" s="186" cm="1">
        <f t="array" ref="W112">ROW()-ROW(structuredFormulaeTable[#Headers])</f>
        <v>110</v>
      </c>
      <c r="X112" s="3" t="s">
        <v>1224</v>
      </c>
      <c r="Y112" s="3" t="s">
        <v>1260</v>
      </c>
      <c r="AA112" s="187" t="s">
        <v>1271</v>
      </c>
      <c r="AB112" s="11"/>
      <c r="BM112" s="3">
        <f ca="1"/>
        <v>2.5</v>
      </c>
      <c r="BN112" s="3">
        <f ca="1"/>
        <v>10</v>
      </c>
      <c r="BO112" s="3">
        <f ca="1"/>
        <v>1</v>
      </c>
      <c r="BP112" s="3">
        <f ca="1"/>
        <v>1</v>
      </c>
      <c r="BR112" s="3">
        <f ca="1"/>
        <v>1.4166666666666665</v>
      </c>
      <c r="BS112" s="3">
        <f ca="1"/>
        <v>3</v>
      </c>
      <c r="BT112" s="3">
        <f ca="1"/>
        <v>0.47222222222222215</v>
      </c>
      <c r="BU112" s="3" t="b">
        <f ca="1"/>
        <v>0</v>
      </c>
    </row>
    <row r="113" spans="23:73" ht="14.4" customHeight="1" x14ac:dyDescent="0.3">
      <c r="W113" s="186" cm="1">
        <f t="array" ref="W113">ROW()-ROW(structuredFormulaeTable[#Headers])</f>
        <v>111</v>
      </c>
      <c r="X113" s="3" t="s">
        <v>1224</v>
      </c>
      <c r="Y113" s="3" t="s">
        <v>1262</v>
      </c>
      <c r="AA113" s="187" t="s">
        <v>1263</v>
      </c>
      <c r="AB113" s="11"/>
      <c r="BM113" s="3">
        <f ca="1"/>
        <v>5</v>
      </c>
      <c r="BN113" s="3">
        <f ca="1"/>
        <v>10</v>
      </c>
      <c r="BO113" s="3">
        <f ca="1"/>
        <v>1</v>
      </c>
      <c r="BP113" s="3">
        <f ca="1"/>
        <v>2</v>
      </c>
      <c r="BR113" s="3">
        <f ca="1"/>
        <v>1.6666666666666665</v>
      </c>
      <c r="BS113" s="3">
        <f ca="1"/>
        <v>3</v>
      </c>
      <c r="BT113" s="3">
        <f ca="1"/>
        <v>0.55555555555555547</v>
      </c>
      <c r="BU113" s="3" t="b">
        <f ca="1"/>
        <v>0</v>
      </c>
    </row>
    <row r="114" spans="23:73" ht="14.4" customHeight="1" x14ac:dyDescent="0.3">
      <c r="W114" s="186" cm="1">
        <f t="array" ref="W114">ROW()-ROW(structuredFormulaeTable[#Headers])</f>
        <v>112</v>
      </c>
      <c r="X114" s="3" t="s">
        <v>1224</v>
      </c>
      <c r="Y114" s="3" t="s">
        <v>1265</v>
      </c>
      <c r="AA114" s="187" t="s">
        <v>1264</v>
      </c>
      <c r="AB114" s="11"/>
      <c r="BM114" s="3">
        <f ca="1"/>
        <v>5</v>
      </c>
      <c r="BN114" s="3">
        <f ca="1"/>
        <v>10</v>
      </c>
      <c r="BO114" s="3">
        <f ca="1"/>
        <v>1</v>
      </c>
      <c r="BP114" s="3">
        <f ca="1"/>
        <v>2</v>
      </c>
      <c r="BR114" s="3">
        <f ca="1"/>
        <v>1.6666666666666665</v>
      </c>
      <c r="BS114" s="3">
        <f ca="1"/>
        <v>3</v>
      </c>
      <c r="BT114" s="3">
        <f ca="1"/>
        <v>0.55555555555555547</v>
      </c>
      <c r="BU114" s="3" t="b">
        <f ca="1"/>
        <v>0</v>
      </c>
    </row>
    <row r="115" spans="23:73" ht="14.4" customHeight="1" x14ac:dyDescent="0.3">
      <c r="W115" s="186" cm="1">
        <f t="array" ref="W115">ROW()-ROW(structuredFormulaeTable[#Headers])</f>
        <v>113</v>
      </c>
      <c r="X115" s="3" t="s">
        <v>1224</v>
      </c>
      <c r="Y115" s="3" t="s">
        <v>1266</v>
      </c>
      <c r="AA115" s="187" t="s">
        <v>1267</v>
      </c>
      <c r="AB115" s="11"/>
      <c r="BM115" s="3">
        <f ca="1"/>
        <v>5</v>
      </c>
      <c r="BN115" s="3">
        <f ca="1"/>
        <v>10</v>
      </c>
      <c r="BO115" s="3">
        <f ca="1"/>
        <v>1</v>
      </c>
      <c r="BP115" s="3">
        <f ca="1"/>
        <v>2</v>
      </c>
      <c r="BR115" s="3">
        <f ca="1"/>
        <v>1.6666666666666665</v>
      </c>
      <c r="BS115" s="3">
        <f ca="1"/>
        <v>3</v>
      </c>
      <c r="BT115" s="3">
        <f ca="1"/>
        <v>0.55555555555555547</v>
      </c>
      <c r="BU115" s="3" t="b">
        <f ca="1"/>
        <v>0</v>
      </c>
    </row>
    <row r="116" spans="23:73" ht="14.4" customHeight="1" x14ac:dyDescent="0.3">
      <c r="W116" s="186" cm="1">
        <f t="array" ref="W116">ROW()-ROW(structuredFormulaeTable[#Headers])</f>
        <v>114</v>
      </c>
      <c r="X116" s="3" t="s">
        <v>1224</v>
      </c>
      <c r="Y116" s="3" t="s">
        <v>1268</v>
      </c>
      <c r="AA116" s="187" t="s">
        <v>1269</v>
      </c>
      <c r="AB116" s="11"/>
      <c r="BM116" s="3">
        <f ca="1"/>
        <v>5</v>
      </c>
      <c r="BN116" s="3">
        <f ca="1"/>
        <v>20</v>
      </c>
      <c r="BO116" s="3">
        <f ca="1"/>
        <v>2</v>
      </c>
      <c r="BP116" s="3">
        <f ca="1"/>
        <v>4</v>
      </c>
      <c r="BR116" s="3">
        <f ca="1"/>
        <v>2.6666666666666665</v>
      </c>
      <c r="BS116" s="3">
        <f ca="1"/>
        <v>3</v>
      </c>
      <c r="BT116" s="3">
        <f ca="1"/>
        <v>0.88888888888888884</v>
      </c>
      <c r="BU116" s="3" t="b">
        <f ca="1"/>
        <v>1</v>
      </c>
    </row>
    <row r="117" spans="23:73" ht="14.4" customHeight="1" x14ac:dyDescent="0.3">
      <c r="W117" s="186" cm="1">
        <f t="array" ref="W117">ROW()-ROW(structuredFormulaeTable[#Headers])</f>
        <v>115</v>
      </c>
      <c r="X117" s="3" t="s">
        <v>1224</v>
      </c>
      <c r="Y117" s="3" t="s">
        <v>1273</v>
      </c>
      <c r="AA117" s="187" t="s">
        <v>1272</v>
      </c>
      <c r="AB117" s="11"/>
      <c r="BM117" s="3">
        <f ca="1"/>
        <v>5</v>
      </c>
      <c r="BN117" s="3">
        <f ca="1"/>
        <v>20</v>
      </c>
      <c r="BO117" s="3">
        <f ca="1"/>
        <v>2</v>
      </c>
      <c r="BP117" s="3">
        <f ca="1"/>
        <v>4</v>
      </c>
      <c r="BR117" s="3">
        <f ca="1"/>
        <v>2.6666666666666665</v>
      </c>
      <c r="BS117" s="3">
        <f ca="1"/>
        <v>3</v>
      </c>
      <c r="BT117" s="3">
        <f ca="1"/>
        <v>0.88888888888888884</v>
      </c>
      <c r="BU117" s="3" t="b">
        <f ca="1"/>
        <v>1</v>
      </c>
    </row>
    <row r="118" spans="23:73" ht="14.4" customHeight="1" x14ac:dyDescent="0.3">
      <c r="W118" s="186" cm="1">
        <f t="array" ref="W118">ROW()-ROW(structuredFormulaeTable[#Headers])</f>
        <v>116</v>
      </c>
      <c r="X118" s="3" t="s">
        <v>1224</v>
      </c>
      <c r="Y118" s="3" t="s">
        <v>1274</v>
      </c>
      <c r="AA118" s="187" t="s">
        <v>1275</v>
      </c>
      <c r="AB118" s="11"/>
      <c r="BM118" s="3">
        <f ca="1"/>
        <v>5</v>
      </c>
      <c r="BN118" s="3">
        <f ca="1"/>
        <v>10</v>
      </c>
      <c r="BO118" s="3">
        <f ca="1"/>
        <v>2</v>
      </c>
      <c r="BP118" s="3">
        <f ca="1"/>
        <v>3</v>
      </c>
      <c r="BR118" s="3">
        <f ca="1"/>
        <v>2</v>
      </c>
      <c r="BS118" s="3">
        <f ca="1"/>
        <v>3</v>
      </c>
      <c r="BT118" s="3">
        <f ca="1"/>
        <v>0.66666666666666663</v>
      </c>
      <c r="BU118" s="3" t="b">
        <f ca="1"/>
        <v>1</v>
      </c>
    </row>
    <row r="119" spans="23:73" ht="14.4" customHeight="1" x14ac:dyDescent="0.3">
      <c r="BM119" s="3">
        <f ca="1"/>
        <v>5</v>
      </c>
      <c r="BN119" s="3">
        <f ca="1"/>
        <v>10</v>
      </c>
      <c r="BO119" s="3">
        <f ca="1"/>
        <v>2</v>
      </c>
      <c r="BP119" s="3">
        <f ca="1"/>
        <v>3</v>
      </c>
      <c r="BR119" s="3">
        <f ca="1"/>
        <v>2</v>
      </c>
      <c r="BS119" s="3">
        <f ca="1"/>
        <v>3</v>
      </c>
      <c r="BT119" s="3">
        <f ca="1"/>
        <v>0.66666666666666663</v>
      </c>
      <c r="BU119" s="3" t="b">
        <f ca="1"/>
        <v>1</v>
      </c>
    </row>
    <row r="120" spans="23:73" ht="14.4" customHeight="1" x14ac:dyDescent="0.3">
      <c r="BM120" s="3">
        <f ca="1"/>
        <v>5</v>
      </c>
      <c r="BN120" s="3">
        <f ca="1"/>
        <v>15</v>
      </c>
      <c r="BO120" s="3">
        <f ca="1"/>
        <v>2</v>
      </c>
      <c r="BP120" s="3">
        <f ca="1"/>
        <v>3</v>
      </c>
      <c r="BR120" s="3">
        <f ca="1"/>
        <v>2.333333333333333</v>
      </c>
      <c r="BS120" s="3">
        <f ca="1"/>
        <v>3</v>
      </c>
      <c r="BT120" s="3">
        <f ca="1"/>
        <v>0.77777777777777768</v>
      </c>
      <c r="BU120" s="3" t="b">
        <f ca="1"/>
        <v>1</v>
      </c>
    </row>
    <row r="121" spans="23:73" ht="14.4" customHeight="1" x14ac:dyDescent="0.3">
      <c r="BM121" s="3">
        <f ca="1"/>
        <v>5</v>
      </c>
      <c r="BN121" s="3">
        <f ca="1"/>
        <v>10</v>
      </c>
      <c r="BO121" s="3">
        <f ca="1"/>
        <v>2</v>
      </c>
      <c r="BP121" s="3">
        <f ca="1"/>
        <v>3</v>
      </c>
      <c r="BR121" s="3">
        <f ca="1"/>
        <v>2</v>
      </c>
      <c r="BS121" s="3">
        <f ca="1"/>
        <v>3</v>
      </c>
      <c r="BT121" s="3">
        <f ca="1"/>
        <v>0.66666666666666663</v>
      </c>
      <c r="BU121" s="3" t="b">
        <f ca="1"/>
        <v>1</v>
      </c>
    </row>
    <row r="122" spans="23:73" ht="14.4" customHeight="1" x14ac:dyDescent="0.3">
      <c r="BM122" s="3">
        <f ca="1"/>
        <v>5</v>
      </c>
      <c r="BN122" s="3">
        <f ca="1"/>
        <v>15</v>
      </c>
      <c r="BO122" s="3">
        <f ca="1"/>
        <v>2</v>
      </c>
      <c r="BP122" s="3">
        <f ca="1"/>
        <v>3</v>
      </c>
      <c r="BR122" s="3">
        <f ca="1"/>
        <v>2.333333333333333</v>
      </c>
      <c r="BS122" s="3">
        <f ca="1"/>
        <v>3</v>
      </c>
      <c r="BT122" s="3">
        <f ca="1"/>
        <v>0.77777777777777768</v>
      </c>
      <c r="BU122" s="3" t="b">
        <f ca="1"/>
        <v>1</v>
      </c>
    </row>
    <row r="123" spans="23:73" ht="14.4" customHeight="1" x14ac:dyDescent="0.3">
      <c r="BM123" s="3">
        <f ca="1"/>
        <v>5</v>
      </c>
      <c r="BN123" s="3">
        <f ca="1"/>
        <v>15</v>
      </c>
      <c r="BO123" s="3">
        <f ca="1"/>
        <v>2</v>
      </c>
      <c r="BP123" s="3">
        <f ca="1"/>
        <v>3</v>
      </c>
      <c r="BR123" s="3">
        <f ca="1"/>
        <v>2.333333333333333</v>
      </c>
      <c r="BS123" s="3">
        <f ca="1"/>
        <v>3</v>
      </c>
      <c r="BT123" s="3">
        <f ca="1"/>
        <v>0.77777777777777768</v>
      </c>
      <c r="BU123" s="3" t="b">
        <f ca="1"/>
        <v>1</v>
      </c>
    </row>
    <row r="124" spans="23:73" ht="14.4" customHeight="1" x14ac:dyDescent="0.3">
      <c r="BM124" s="3">
        <f ca="1"/>
        <v>5</v>
      </c>
      <c r="BN124" s="3">
        <f ca="1"/>
        <v>10</v>
      </c>
      <c r="BO124" s="3">
        <f ca="1"/>
        <v>2</v>
      </c>
      <c r="BP124" s="3">
        <f ca="1"/>
        <v>3</v>
      </c>
      <c r="BR124" s="3">
        <f ca="1"/>
        <v>2</v>
      </c>
      <c r="BS124" s="3">
        <f ca="1"/>
        <v>3</v>
      </c>
      <c r="BT124" s="3">
        <f ca="1"/>
        <v>0.66666666666666663</v>
      </c>
      <c r="BU124" s="3" t="b">
        <f ca="1"/>
        <v>1</v>
      </c>
    </row>
    <row r="125" spans="23:73" ht="14.4" customHeight="1" x14ac:dyDescent="0.3">
      <c r="BM125" s="3">
        <f ca="1"/>
        <v>5</v>
      </c>
      <c r="BN125" s="3">
        <f ca="1"/>
        <v>15</v>
      </c>
      <c r="BO125" s="3">
        <f ca="1"/>
        <v>1</v>
      </c>
      <c r="BP125" s="3">
        <f ca="1"/>
        <v>2</v>
      </c>
      <c r="BR125" s="3">
        <f ca="1"/>
        <v>1.9999999999999998</v>
      </c>
      <c r="BS125" s="3">
        <f ca="1"/>
        <v>3</v>
      </c>
      <c r="BT125" s="3">
        <f ca="1"/>
        <v>0.66666666666666663</v>
      </c>
      <c r="BU125" s="3" t="b">
        <f ca="1"/>
        <v>1</v>
      </c>
    </row>
    <row r="126" spans="23:73" ht="14.4" customHeight="1" x14ac:dyDescent="0.3">
      <c r="BM126" s="3">
        <f ca="1"/>
        <v>5</v>
      </c>
      <c r="BN126" s="3">
        <f ca="1"/>
        <v>10</v>
      </c>
      <c r="BO126" s="3">
        <f ca="1"/>
        <v>1</v>
      </c>
      <c r="BP126" s="3">
        <f ca="1"/>
        <v>3</v>
      </c>
      <c r="BR126" s="3">
        <f ca="1"/>
        <v>1.6666666666666665</v>
      </c>
      <c r="BS126" s="3">
        <f ca="1"/>
        <v>3</v>
      </c>
      <c r="BT126" s="3">
        <f ca="1"/>
        <v>0.55555555555555547</v>
      </c>
      <c r="BU126" s="3" t="b">
        <f ca="1"/>
        <v>0</v>
      </c>
    </row>
    <row r="127" spans="23:73" ht="14.4" customHeight="1" x14ac:dyDescent="0.3">
      <c r="BM127" s="3">
        <f ca="1"/>
        <v>5</v>
      </c>
      <c r="BN127" s="3">
        <f ca="1"/>
        <v>10</v>
      </c>
      <c r="BO127" s="3">
        <f ca="1"/>
        <v>2</v>
      </c>
      <c r="BP127" s="3">
        <f ca="1"/>
        <v>3</v>
      </c>
      <c r="BR127" s="3">
        <f ca="1"/>
        <v>2</v>
      </c>
      <c r="BS127" s="3">
        <f ca="1"/>
        <v>3</v>
      </c>
      <c r="BT127" s="3">
        <f ca="1"/>
        <v>0.66666666666666663</v>
      </c>
      <c r="BU127" s="3" t="b">
        <f ca="1"/>
        <v>1</v>
      </c>
    </row>
    <row r="128" spans="23:73" ht="14.4" customHeight="1" x14ac:dyDescent="0.3">
      <c r="BM128" s="3">
        <f ca="1"/>
        <v>5</v>
      </c>
      <c r="BN128" s="3">
        <f ca="1"/>
        <v>10</v>
      </c>
      <c r="BO128" s="3">
        <f ca="1"/>
        <v>2</v>
      </c>
      <c r="BP128" s="3">
        <f ca="1"/>
        <v>3</v>
      </c>
      <c r="BR128" s="3">
        <f ca="1"/>
        <v>2</v>
      </c>
      <c r="BS128" s="3">
        <f ca="1"/>
        <v>3</v>
      </c>
      <c r="BT128" s="3">
        <f ca="1"/>
        <v>0.66666666666666663</v>
      </c>
      <c r="BU128" s="3" t="b">
        <f ca="1"/>
        <v>1</v>
      </c>
    </row>
    <row r="129" spans="65:73" ht="14.4" customHeight="1" x14ac:dyDescent="0.3">
      <c r="BM129" s="3">
        <f ca="1"/>
        <v>5</v>
      </c>
      <c r="BN129" s="3">
        <f ca="1"/>
        <v>10</v>
      </c>
      <c r="BO129" s="3">
        <f ca="1"/>
        <v>2</v>
      </c>
      <c r="BP129" s="3">
        <f ca="1"/>
        <v>3</v>
      </c>
      <c r="BR129" s="3">
        <f ca="1"/>
        <v>2</v>
      </c>
      <c r="BS129" s="3">
        <f ca="1"/>
        <v>3</v>
      </c>
      <c r="BT129" s="3">
        <f ca="1"/>
        <v>0.66666666666666663</v>
      </c>
      <c r="BU129" s="3" t="b">
        <f ca="1"/>
        <v>1</v>
      </c>
    </row>
    <row r="130" spans="65:73" ht="14.4" customHeight="1" x14ac:dyDescent="0.3">
      <c r="BM130" s="3">
        <f ca="1"/>
        <v>2.5</v>
      </c>
      <c r="BN130" s="3">
        <f ca="1"/>
        <v>10</v>
      </c>
      <c r="BO130" s="3">
        <f ca="1"/>
        <v>1</v>
      </c>
      <c r="BP130" s="3">
        <f ca="1"/>
        <v>3</v>
      </c>
      <c r="BR130" s="3">
        <f ca="1"/>
        <v>1.4166666666666665</v>
      </c>
      <c r="BS130" s="3">
        <f ca="1"/>
        <v>3</v>
      </c>
      <c r="BT130" s="3">
        <f ca="1"/>
        <v>0.47222222222222215</v>
      </c>
      <c r="BU130" s="3" t="b">
        <f ca="1"/>
        <v>0</v>
      </c>
    </row>
    <row r="131" spans="65:73" ht="14.4" customHeight="1" x14ac:dyDescent="0.3">
      <c r="BM131" s="3">
        <f ca="1"/>
        <v>2.5</v>
      </c>
      <c r="BN131" s="3">
        <f ca="1"/>
        <v>15</v>
      </c>
      <c r="BO131" s="3">
        <f ca="1"/>
        <v>2</v>
      </c>
      <c r="BP131" s="3">
        <f ca="1"/>
        <v>2</v>
      </c>
      <c r="BR131" s="3">
        <f ca="1"/>
        <v>2.083333333333333</v>
      </c>
      <c r="BS131" s="3">
        <f ca="1"/>
        <v>3</v>
      </c>
      <c r="BT131" s="3">
        <f ca="1"/>
        <v>0.69444444444444431</v>
      </c>
      <c r="BU131" s="3" t="b">
        <f ca="1"/>
        <v>1</v>
      </c>
    </row>
    <row r="132" spans="65:73" ht="14.4" customHeight="1" x14ac:dyDescent="0.3">
      <c r="BM132" s="3">
        <f ca="1"/>
        <v>0</v>
      </c>
      <c r="BN132" s="3">
        <f ca="1"/>
        <v>15</v>
      </c>
      <c r="BO132" s="3">
        <f ca="1"/>
        <v>2</v>
      </c>
      <c r="BP132" s="3">
        <f ca="1"/>
        <v>2</v>
      </c>
      <c r="BR132" s="3">
        <f ca="1"/>
        <v>1.833333333333333</v>
      </c>
      <c r="BS132" s="3">
        <f ca="1"/>
        <v>3</v>
      </c>
      <c r="BT132" s="3">
        <f ca="1"/>
        <v>0.61111111111111105</v>
      </c>
      <c r="BU132" s="3" t="b">
        <f ca="1"/>
        <v>1</v>
      </c>
    </row>
    <row r="133" spans="65:73" ht="14.4" customHeight="1" x14ac:dyDescent="0.3">
      <c r="BM133" s="3">
        <f ca="1"/>
        <v>5</v>
      </c>
      <c r="BN133" s="3">
        <f ca="1"/>
        <v>10</v>
      </c>
      <c r="BO133" s="3">
        <f ca="1"/>
        <v>1</v>
      </c>
      <c r="BP133" s="3">
        <f ca="1"/>
        <v>2</v>
      </c>
      <c r="BR133" s="3">
        <f ca="1"/>
        <v>1.6666666666666665</v>
      </c>
      <c r="BS133" s="3">
        <f ca="1"/>
        <v>3</v>
      </c>
      <c r="BT133" s="3">
        <f ca="1"/>
        <v>0.55555555555555547</v>
      </c>
      <c r="BU133" s="3" t="b">
        <f ca="1"/>
        <v>0</v>
      </c>
    </row>
    <row r="134" spans="65:73" ht="14.4" customHeight="1" x14ac:dyDescent="0.3">
      <c r="BM134" s="3">
        <f ca="1"/>
        <v>5</v>
      </c>
      <c r="BN134" s="3">
        <f ca="1"/>
        <v>15</v>
      </c>
      <c r="BO134" s="3">
        <f ca="1"/>
        <v>1</v>
      </c>
      <c r="BP134" s="3">
        <f ca="1"/>
        <v>2</v>
      </c>
      <c r="BR134" s="3">
        <f ca="1"/>
        <v>1.9999999999999998</v>
      </c>
      <c r="BS134" s="3">
        <f ca="1"/>
        <v>3</v>
      </c>
      <c r="BT134" s="3">
        <f ca="1"/>
        <v>0.66666666666666663</v>
      </c>
      <c r="BU134" s="3" t="b">
        <f ca="1"/>
        <v>1</v>
      </c>
    </row>
    <row r="135" spans="65:73" ht="14.4" customHeight="1" x14ac:dyDescent="0.3">
      <c r="BM135" s="3">
        <f ca="1"/>
        <v>5</v>
      </c>
      <c r="BN135" s="3">
        <f ca="1"/>
        <v>5</v>
      </c>
      <c r="BO135" s="3">
        <f ca="1"/>
        <v>0</v>
      </c>
      <c r="BP135" s="3">
        <f ca="1"/>
        <v>1</v>
      </c>
      <c r="BR135" s="3">
        <f ca="1"/>
        <v>1</v>
      </c>
      <c r="BS135" s="3">
        <f ca="1"/>
        <v>3</v>
      </c>
      <c r="BT135" s="3">
        <f ca="1"/>
        <v>0.33333333333333331</v>
      </c>
      <c r="BU135" s="3" t="b">
        <f ca="1"/>
        <v>0</v>
      </c>
    </row>
    <row r="136" spans="65:73" ht="14.4" customHeight="1" x14ac:dyDescent="0.3">
      <c r="BM136" s="3">
        <f ca="1"/>
        <v>0</v>
      </c>
      <c r="BN136" s="3">
        <f ca="1"/>
        <v>5</v>
      </c>
      <c r="BO136" s="3">
        <f ca="1"/>
        <v>0</v>
      </c>
      <c r="BP136" s="3">
        <f ca="1"/>
        <v>1</v>
      </c>
      <c r="BR136" s="3">
        <f ca="1"/>
        <v>0.5</v>
      </c>
      <c r="BS136" s="3">
        <f ca="1"/>
        <v>3</v>
      </c>
      <c r="BT136" s="3">
        <f ca="1"/>
        <v>0.16666666666666666</v>
      </c>
      <c r="BU136" s="3" t="b">
        <f ca="1"/>
        <v>0</v>
      </c>
    </row>
    <row r="137" spans="65:73" ht="14.4" customHeight="1" x14ac:dyDescent="0.3">
      <c r="BM137" s="3">
        <f ca="1"/>
        <v>0</v>
      </c>
      <c r="BN137" s="3">
        <f ca="1"/>
        <v>10</v>
      </c>
      <c r="BO137" s="3">
        <f ca="1"/>
        <v>0</v>
      </c>
      <c r="BP137" s="3">
        <f ca="1"/>
        <v>1</v>
      </c>
      <c r="BR137" s="3">
        <f ca="1"/>
        <v>0.83333333333333326</v>
      </c>
      <c r="BS137" s="3">
        <f ca="1"/>
        <v>3</v>
      </c>
      <c r="BT137" s="3">
        <f ca="1"/>
        <v>0.27777777777777773</v>
      </c>
      <c r="BU137" s="3" t="b">
        <f ca="1"/>
        <v>0</v>
      </c>
    </row>
    <row r="138" spans="65:73" ht="14.4" customHeight="1" x14ac:dyDescent="0.3">
      <c r="BM138" s="3">
        <f ca="1"/>
        <v>5</v>
      </c>
      <c r="BN138" s="3">
        <f ca="1"/>
        <v>15</v>
      </c>
      <c r="BO138" s="3">
        <f ca="1"/>
        <v>2</v>
      </c>
      <c r="BP138" s="3">
        <f ca="1"/>
        <v>2</v>
      </c>
      <c r="BR138" s="3">
        <f ca="1"/>
        <v>2.333333333333333</v>
      </c>
      <c r="BS138" s="3">
        <f ca="1"/>
        <v>3</v>
      </c>
      <c r="BT138" s="3">
        <f ca="1"/>
        <v>0.77777777777777768</v>
      </c>
      <c r="BU138" s="3" t="b">
        <f ca="1"/>
        <v>1</v>
      </c>
    </row>
    <row r="139" spans="65:73" ht="14.4" customHeight="1" x14ac:dyDescent="0.3">
      <c r="BM139" s="3">
        <f ca="1"/>
        <v>5</v>
      </c>
      <c r="BN139" s="3">
        <f ca="1"/>
        <v>10</v>
      </c>
      <c r="BO139" s="3">
        <f ca="1"/>
        <v>2</v>
      </c>
      <c r="BP139" s="3">
        <f ca="1"/>
        <v>2</v>
      </c>
      <c r="BR139" s="3">
        <f ca="1"/>
        <v>2</v>
      </c>
      <c r="BS139" s="3">
        <f ca="1"/>
        <v>3</v>
      </c>
      <c r="BT139" s="3">
        <f ca="1"/>
        <v>0.66666666666666663</v>
      </c>
      <c r="BU139" s="3" t="b">
        <f ca="1"/>
        <v>1</v>
      </c>
    </row>
    <row r="140" spans="65:73" ht="14.4" customHeight="1" x14ac:dyDescent="0.3">
      <c r="BM140" s="3">
        <f ca="1"/>
        <v>5</v>
      </c>
      <c r="BN140" s="3">
        <f ca="1"/>
        <v>15</v>
      </c>
      <c r="BO140" s="3">
        <f ca="1"/>
        <v>1</v>
      </c>
      <c r="BP140" s="3">
        <f ca="1"/>
        <v>2</v>
      </c>
      <c r="BR140" s="3">
        <f ca="1"/>
        <v>1.9999999999999998</v>
      </c>
      <c r="BS140" s="3">
        <f ca="1"/>
        <v>3</v>
      </c>
      <c r="BT140" s="3">
        <f ca="1"/>
        <v>0.66666666666666663</v>
      </c>
      <c r="BU140" s="3" t="b">
        <f ca="1"/>
        <v>1</v>
      </c>
    </row>
    <row r="141" spans="65:73" ht="14.4" customHeight="1" x14ac:dyDescent="0.3">
      <c r="BM141" s="3">
        <f ca="1"/>
        <v>5</v>
      </c>
      <c r="BN141" s="3">
        <f ca="1"/>
        <v>10</v>
      </c>
      <c r="BO141" s="3">
        <f ca="1"/>
        <v>1</v>
      </c>
      <c r="BP141" s="3">
        <f ca="1"/>
        <v>2</v>
      </c>
      <c r="BR141" s="3">
        <f ca="1"/>
        <v>1.6666666666666665</v>
      </c>
      <c r="BS141" s="3">
        <f ca="1"/>
        <v>3</v>
      </c>
      <c r="BT141" s="3">
        <f ca="1"/>
        <v>0.55555555555555547</v>
      </c>
      <c r="BU141" s="3" t="b">
        <f ca="1"/>
        <v>0</v>
      </c>
    </row>
    <row r="142" spans="65:73" ht="14.4" customHeight="1" x14ac:dyDescent="0.3">
      <c r="BM142" s="3">
        <f ca="1"/>
        <v>0</v>
      </c>
      <c r="BN142" s="3">
        <f ca="1"/>
        <v>10</v>
      </c>
      <c r="BO142" s="3">
        <f ca="1"/>
        <v>1</v>
      </c>
      <c r="BP142" s="3">
        <f ca="1"/>
        <v>1</v>
      </c>
      <c r="BR142" s="3">
        <f ca="1"/>
        <v>1.1666666666666665</v>
      </c>
      <c r="BS142" s="3">
        <f ca="1"/>
        <v>3</v>
      </c>
      <c r="BT142" s="3">
        <f ca="1"/>
        <v>0.38888888888888884</v>
      </c>
      <c r="BU142" s="3" t="b">
        <f ca="1"/>
        <v>0</v>
      </c>
    </row>
    <row r="143" spans="65:73" ht="14.4" customHeight="1" x14ac:dyDescent="0.3">
      <c r="BM143" s="3">
        <f ca="1"/>
        <v>2.5</v>
      </c>
      <c r="BN143" s="3">
        <f ca="1"/>
        <v>5</v>
      </c>
      <c r="BO143" s="3">
        <f ca="1"/>
        <v>0</v>
      </c>
      <c r="BP143" s="3">
        <f ca="1"/>
        <v>1</v>
      </c>
      <c r="BR143" s="3">
        <f ca="1"/>
        <v>0.75</v>
      </c>
      <c r="BS143" s="3">
        <f ca="1"/>
        <v>3</v>
      </c>
      <c r="BT143" s="3">
        <f ca="1"/>
        <v>0.25</v>
      </c>
      <c r="BU143" s="3" t="b">
        <f ca="1"/>
        <v>0</v>
      </c>
    </row>
    <row r="144" spans="65:73" ht="14.4" customHeight="1" x14ac:dyDescent="0.3">
      <c r="BM144" s="3">
        <f ca="1"/>
        <v>0</v>
      </c>
      <c r="BN144" s="3">
        <f ca="1"/>
        <v>10</v>
      </c>
      <c r="BO144" s="3">
        <f ca="1"/>
        <v>0</v>
      </c>
      <c r="BP144" s="3">
        <f ca="1"/>
        <v>2</v>
      </c>
      <c r="BR144" s="3">
        <f ca="1"/>
        <v>0.83333333333333326</v>
      </c>
      <c r="BS144" s="3">
        <f ca="1"/>
        <v>3</v>
      </c>
      <c r="BT144" s="3">
        <f ca="1"/>
        <v>0.27777777777777773</v>
      </c>
      <c r="BU144" s="3" t="b">
        <f ca="1"/>
        <v>0</v>
      </c>
    </row>
    <row r="145" spans="65:73" ht="14.4" customHeight="1" x14ac:dyDescent="0.3">
      <c r="BM145" s="3">
        <f ca="1"/>
        <v>2.5</v>
      </c>
      <c r="BN145" s="3">
        <f ca="1"/>
        <v>5</v>
      </c>
      <c r="BO145" s="3">
        <f ca="1"/>
        <v>1</v>
      </c>
      <c r="BP145" s="3">
        <f ca="1"/>
        <v>1</v>
      </c>
      <c r="BR145" s="3">
        <f ca="1"/>
        <v>1.0833333333333333</v>
      </c>
      <c r="BS145" s="3">
        <f ca="1"/>
        <v>3</v>
      </c>
      <c r="BT145" s="3">
        <f ca="1"/>
        <v>0.3611111111111111</v>
      </c>
      <c r="BU145" s="3" t="b">
        <f ca="1"/>
        <v>0</v>
      </c>
    </row>
    <row r="146" spans="65:73" ht="14.4" customHeight="1" x14ac:dyDescent="0.3">
      <c r="BM146" s="3">
        <f ca="1"/>
        <v>5</v>
      </c>
      <c r="BN146" s="3">
        <f ca="1"/>
        <v>5</v>
      </c>
      <c r="BO146" s="3">
        <f ca="1"/>
        <v>1</v>
      </c>
      <c r="BP146" s="3">
        <f ca="1"/>
        <v>1</v>
      </c>
      <c r="BR146" s="3">
        <f ca="1"/>
        <v>1.3333333333333333</v>
      </c>
      <c r="BS146" s="3">
        <f ca="1"/>
        <v>3</v>
      </c>
      <c r="BT146" s="3">
        <f ca="1"/>
        <v>0.44444444444444442</v>
      </c>
      <c r="BU146" s="3" t="b">
        <f ca="1"/>
        <v>0</v>
      </c>
    </row>
    <row r="147" spans="65:73" ht="14.4" customHeight="1" x14ac:dyDescent="0.3">
      <c r="BM147" s="3">
        <f ca="1"/>
        <v>2.5</v>
      </c>
      <c r="BN147" s="3">
        <f ca="1"/>
        <v>10</v>
      </c>
      <c r="BO147" s="3">
        <f ca="1"/>
        <v>1</v>
      </c>
      <c r="BP147" s="3">
        <f ca="1"/>
        <v>2</v>
      </c>
      <c r="BR147" s="3">
        <f ca="1"/>
        <v>1.4166666666666665</v>
      </c>
      <c r="BS147" s="3">
        <f ca="1"/>
        <v>3</v>
      </c>
      <c r="BT147" s="3">
        <f ca="1"/>
        <v>0.47222222222222215</v>
      </c>
      <c r="BU147" s="3" t="b">
        <f ca="1"/>
        <v>0</v>
      </c>
    </row>
    <row r="148" spans="65:73" ht="14.4" customHeight="1" x14ac:dyDescent="0.3">
      <c r="BM148" s="3">
        <f ca="1"/>
        <v>-2.5</v>
      </c>
      <c r="BN148" s="3">
        <f ca="1"/>
        <v>5</v>
      </c>
      <c r="BO148" s="3">
        <f ca="1"/>
        <v>0</v>
      </c>
      <c r="BP148" s="3">
        <f ca="1"/>
        <v>1</v>
      </c>
      <c r="BR148" s="3">
        <f ca="1"/>
        <v>0.25</v>
      </c>
      <c r="BS148" s="3">
        <f ca="1"/>
        <v>3</v>
      </c>
      <c r="BT148" s="3">
        <f ca="1"/>
        <v>8.3333333333333329E-2</v>
      </c>
      <c r="BU148" s="3" t="b">
        <f ca="1"/>
        <v>0</v>
      </c>
    </row>
    <row r="149" spans="65:73" ht="14.4" customHeight="1" x14ac:dyDescent="0.3">
      <c r="BM149" s="3">
        <f ca="1"/>
        <v>2.5</v>
      </c>
      <c r="BN149" s="3">
        <f ca="1"/>
        <v>5</v>
      </c>
      <c r="BO149" s="3">
        <f ca="1"/>
        <v>2</v>
      </c>
      <c r="BP149" s="3">
        <f ca="1"/>
        <v>2</v>
      </c>
      <c r="BR149" s="3">
        <f ca="1"/>
        <v>1.4166666666666665</v>
      </c>
      <c r="BS149" s="3">
        <f ca="1"/>
        <v>3</v>
      </c>
      <c r="BT149" s="3">
        <f ca="1"/>
        <v>0.47222222222222215</v>
      </c>
      <c r="BU149" s="3" t="b">
        <f ca="1"/>
        <v>0</v>
      </c>
    </row>
    <row r="150" spans="65:73" ht="14.4" customHeight="1" x14ac:dyDescent="0.3">
      <c r="BM150" s="3">
        <f ca="1"/>
        <v>0</v>
      </c>
      <c r="BN150" s="3">
        <f ca="1"/>
        <v>5</v>
      </c>
      <c r="BO150" s="3">
        <f ca="1"/>
        <v>0</v>
      </c>
      <c r="BP150" s="3">
        <f ca="1"/>
        <v>1</v>
      </c>
      <c r="BR150" s="3">
        <f ca="1"/>
        <v>0.5</v>
      </c>
      <c r="BS150" s="3">
        <f ca="1"/>
        <v>3</v>
      </c>
      <c r="BT150" s="3">
        <f ca="1"/>
        <v>0.16666666666666666</v>
      </c>
      <c r="BU150" s="3" t="b">
        <f ca="1"/>
        <v>0</v>
      </c>
    </row>
    <row r="151" spans="65:73" ht="14.4" customHeight="1" x14ac:dyDescent="0.3">
      <c r="BM151" s="3">
        <f ca="1"/>
        <v>0</v>
      </c>
      <c r="BN151" s="3">
        <f ca="1"/>
        <v>10</v>
      </c>
      <c r="BO151" s="3">
        <f ca="1"/>
        <v>0</v>
      </c>
      <c r="BP151" s="3">
        <f ca="1"/>
        <v>1</v>
      </c>
      <c r="BR151" s="3">
        <f ca="1"/>
        <v>0.83333333333333326</v>
      </c>
      <c r="BS151" s="3">
        <f ca="1"/>
        <v>3</v>
      </c>
      <c r="BT151" s="3">
        <f ca="1"/>
        <v>0.27777777777777773</v>
      </c>
      <c r="BU151" s="3" t="b">
        <f ca="1"/>
        <v>0</v>
      </c>
    </row>
    <row r="152" spans="65:73" ht="14.4" customHeight="1" x14ac:dyDescent="0.3">
      <c r="BM152" s="3">
        <f ca="1"/>
        <v>2.5</v>
      </c>
      <c r="BN152" s="3">
        <f ca="1"/>
        <v>5</v>
      </c>
      <c r="BO152" s="3">
        <f ca="1"/>
        <v>0</v>
      </c>
      <c r="BP152" s="3">
        <f ca="1"/>
        <v>1</v>
      </c>
      <c r="BR152" s="3">
        <f ca="1"/>
        <v>0.75</v>
      </c>
      <c r="BS152" s="3">
        <f ca="1"/>
        <v>3</v>
      </c>
      <c r="BT152" s="3">
        <f ca="1"/>
        <v>0.25</v>
      </c>
      <c r="BU152" s="3" t="b">
        <f ca="1"/>
        <v>0</v>
      </c>
    </row>
    <row r="153" spans="65:73" ht="14.4" customHeight="1" x14ac:dyDescent="0.3">
      <c r="BM153" s="3">
        <f ca="1"/>
        <v>5</v>
      </c>
      <c r="BN153" s="3">
        <f ca="1"/>
        <v>5</v>
      </c>
      <c r="BO153" s="3">
        <f ca="1"/>
        <v>0</v>
      </c>
      <c r="BP153" s="3">
        <f ca="1"/>
        <v>1</v>
      </c>
      <c r="BR153" s="3">
        <f ca="1"/>
        <v>1</v>
      </c>
      <c r="BS153" s="3">
        <f ca="1"/>
        <v>3</v>
      </c>
      <c r="BT153" s="3">
        <f ca="1"/>
        <v>0.33333333333333331</v>
      </c>
      <c r="BU153" s="3" t="b">
        <f ca="1"/>
        <v>0</v>
      </c>
    </row>
    <row r="154" spans="65:73" ht="14.4" customHeight="1" x14ac:dyDescent="0.3">
      <c r="BM154" s="3">
        <f ca="1"/>
        <v>2.5</v>
      </c>
      <c r="BN154" s="3">
        <f ca="1"/>
        <v>15</v>
      </c>
      <c r="BO154" s="3">
        <f ca="1"/>
        <v>1</v>
      </c>
      <c r="BP154" s="3">
        <f ca="1"/>
        <v>2</v>
      </c>
      <c r="BR154" s="3">
        <f ca="1"/>
        <v>1.7499999999999998</v>
      </c>
      <c r="BS154" s="3">
        <f ca="1"/>
        <v>3</v>
      </c>
      <c r="BT154" s="3">
        <f ca="1"/>
        <v>0.58333333333333326</v>
      </c>
      <c r="BU154" s="3" t="b">
        <f ca="1"/>
        <v>1</v>
      </c>
    </row>
    <row r="155" spans="65:73" ht="14.4" customHeight="1" x14ac:dyDescent="0.3">
      <c r="BM155" s="3">
        <f ca="1"/>
        <v>2.5</v>
      </c>
      <c r="BN155" s="3">
        <f ca="1"/>
        <v>15</v>
      </c>
      <c r="BO155" s="3">
        <f ca="1"/>
        <v>1</v>
      </c>
      <c r="BP155" s="3">
        <f ca="1"/>
        <v>2</v>
      </c>
      <c r="BR155" s="3">
        <f ca="1"/>
        <v>1.7499999999999998</v>
      </c>
      <c r="BS155" s="3">
        <f ca="1"/>
        <v>3</v>
      </c>
      <c r="BT155" s="3">
        <f ca="1"/>
        <v>0.58333333333333326</v>
      </c>
      <c r="BU155" s="3" t="b">
        <f ca="1"/>
        <v>1</v>
      </c>
    </row>
    <row r="156" spans="65:73" ht="14.4" customHeight="1" x14ac:dyDescent="0.3">
      <c r="BM156" s="3">
        <f ca="1"/>
        <v>5</v>
      </c>
      <c r="BN156" s="3">
        <f ca="1"/>
        <v>10</v>
      </c>
      <c r="BO156" s="3">
        <f ca="1"/>
        <v>2</v>
      </c>
      <c r="BP156" s="3">
        <f ca="1"/>
        <v>2</v>
      </c>
      <c r="BR156" s="3">
        <f ca="1"/>
        <v>2</v>
      </c>
      <c r="BS156" s="3">
        <f ca="1"/>
        <v>3</v>
      </c>
      <c r="BT156" s="3">
        <f ca="1"/>
        <v>0.66666666666666663</v>
      </c>
      <c r="BU156" s="3" t="b">
        <f ca="1"/>
        <v>1</v>
      </c>
    </row>
    <row r="157" spans="65:73" ht="14.4" customHeight="1" x14ac:dyDescent="0.3">
      <c r="BM157" s="3">
        <f ca="1"/>
        <v>5</v>
      </c>
      <c r="BN157" s="3">
        <f ca="1"/>
        <v>5</v>
      </c>
      <c r="BO157" s="3">
        <f ca="1"/>
        <v>0</v>
      </c>
      <c r="BP157" s="3">
        <f ca="1"/>
        <v>1</v>
      </c>
      <c r="BR157" s="3">
        <f ca="1"/>
        <v>1</v>
      </c>
      <c r="BS157" s="3">
        <f ca="1"/>
        <v>3</v>
      </c>
      <c r="BT157" s="3">
        <f ca="1"/>
        <v>0.33333333333333331</v>
      </c>
      <c r="BU157" s="3" t="b">
        <f ca="1"/>
        <v>0</v>
      </c>
    </row>
    <row r="158" spans="65:73" ht="14.4" customHeight="1" x14ac:dyDescent="0.3">
      <c r="BM158" s="3">
        <f ca="1"/>
        <v>2.5</v>
      </c>
      <c r="BN158" s="3">
        <f ca="1"/>
        <v>15</v>
      </c>
      <c r="BO158" s="3">
        <f ca="1"/>
        <v>2</v>
      </c>
      <c r="BP158" s="3">
        <f ca="1"/>
        <v>3</v>
      </c>
      <c r="BR158" s="3">
        <f ca="1"/>
        <v>2.083333333333333</v>
      </c>
      <c r="BS158" s="3">
        <f ca="1"/>
        <v>3</v>
      </c>
      <c r="BT158" s="3">
        <f ca="1"/>
        <v>0.69444444444444431</v>
      </c>
      <c r="BU158" s="3" t="b">
        <f ca="1"/>
        <v>1</v>
      </c>
    </row>
    <row r="159" spans="65:73" ht="14.4" customHeight="1" x14ac:dyDescent="0.3">
      <c r="BM159" s="3">
        <f ca="1"/>
        <v>5</v>
      </c>
      <c r="BN159" s="3">
        <f ca="1"/>
        <v>10</v>
      </c>
      <c r="BO159" s="3">
        <f ca="1"/>
        <v>1</v>
      </c>
      <c r="BP159" s="3">
        <f ca="1"/>
        <v>2</v>
      </c>
      <c r="BR159" s="3">
        <f ca="1"/>
        <v>1.6666666666666665</v>
      </c>
      <c r="BS159" s="3">
        <f ca="1"/>
        <v>3</v>
      </c>
      <c r="BT159" s="3">
        <f ca="1"/>
        <v>0.55555555555555547</v>
      </c>
      <c r="BU159" s="3" t="b">
        <f ca="1"/>
        <v>0</v>
      </c>
    </row>
    <row r="160" spans="65:73" ht="14.4" customHeight="1" x14ac:dyDescent="0.3">
      <c r="BM160" s="3">
        <f ca="1"/>
        <v>5</v>
      </c>
      <c r="BN160" s="3">
        <f ca="1"/>
        <v>10</v>
      </c>
      <c r="BO160" s="3">
        <f ca="1"/>
        <v>1</v>
      </c>
      <c r="BP160" s="3">
        <f ca="1"/>
        <v>2</v>
      </c>
      <c r="BR160" s="3">
        <f ca="1"/>
        <v>1.6666666666666665</v>
      </c>
      <c r="BS160" s="3">
        <f ca="1"/>
        <v>3</v>
      </c>
      <c r="BT160" s="3">
        <f ca="1"/>
        <v>0.55555555555555547</v>
      </c>
      <c r="BU160" s="3" t="b">
        <f ca="1"/>
        <v>0</v>
      </c>
    </row>
    <row r="161" spans="65:73" ht="14.4" customHeight="1" x14ac:dyDescent="0.3">
      <c r="BM161" s="3">
        <f ca="1"/>
        <v>5</v>
      </c>
      <c r="BN161" s="3">
        <f ca="1"/>
        <v>10</v>
      </c>
      <c r="BO161" s="3">
        <f ca="1"/>
        <v>0</v>
      </c>
      <c r="BP161" s="3">
        <f ca="1"/>
        <v>2</v>
      </c>
      <c r="BR161" s="3">
        <f ca="1"/>
        <v>1.3333333333333333</v>
      </c>
      <c r="BS161" s="3">
        <f ca="1"/>
        <v>3</v>
      </c>
      <c r="BT161" s="3">
        <f ca="1"/>
        <v>0.44444444444444442</v>
      </c>
      <c r="BU161" s="3" t="b">
        <f ca="1"/>
        <v>0</v>
      </c>
    </row>
    <row r="162" spans="65:73" ht="14.4" customHeight="1" x14ac:dyDescent="0.3">
      <c r="BM162" s="3">
        <f ca="1"/>
        <v>5</v>
      </c>
      <c r="BN162" s="3">
        <f ca="1"/>
        <v>5</v>
      </c>
      <c r="BO162" s="3">
        <f ca="1"/>
        <v>0</v>
      </c>
      <c r="BP162" s="3">
        <f ca="1"/>
        <v>1</v>
      </c>
      <c r="BR162" s="3">
        <f ca="1"/>
        <v>1</v>
      </c>
      <c r="BS162" s="3">
        <f ca="1"/>
        <v>3</v>
      </c>
      <c r="BT162" s="3">
        <f ca="1"/>
        <v>0.33333333333333331</v>
      </c>
      <c r="BU162" s="3" t="b">
        <f ca="1"/>
        <v>0</v>
      </c>
    </row>
    <row r="163" spans="65:73" ht="14.4" customHeight="1" x14ac:dyDescent="0.3">
      <c r="BM163" s="3">
        <f ca="1"/>
        <v>5</v>
      </c>
      <c r="BN163" s="3">
        <f ca="1"/>
        <v>5</v>
      </c>
      <c r="BO163" s="3">
        <f ca="1"/>
        <v>1</v>
      </c>
      <c r="BP163" s="3">
        <f ca="1"/>
        <v>2</v>
      </c>
      <c r="BR163" s="3">
        <f ca="1"/>
        <v>1.3333333333333333</v>
      </c>
      <c r="BS163" s="3">
        <f ca="1"/>
        <v>3</v>
      </c>
      <c r="BT163" s="3">
        <f ca="1"/>
        <v>0.44444444444444442</v>
      </c>
      <c r="BU163" s="3" t="b">
        <f ca="1"/>
        <v>0</v>
      </c>
    </row>
    <row r="164" spans="65:73" ht="14.4" customHeight="1" x14ac:dyDescent="0.3">
      <c r="BM164" s="3">
        <f ca="1"/>
        <v>5</v>
      </c>
      <c r="BN164" s="3">
        <f ca="1"/>
        <v>10</v>
      </c>
      <c r="BO164" s="3">
        <f ca="1"/>
        <v>0</v>
      </c>
      <c r="BP164" s="3">
        <f ca="1"/>
        <v>1</v>
      </c>
      <c r="BR164" s="3">
        <f ca="1"/>
        <v>1.3333333333333333</v>
      </c>
      <c r="BS164" s="3">
        <f ca="1"/>
        <v>3</v>
      </c>
      <c r="BT164" s="3">
        <f ca="1"/>
        <v>0.44444444444444442</v>
      </c>
      <c r="BU164" s="3" t="b">
        <f ca="1"/>
        <v>0</v>
      </c>
    </row>
    <row r="165" spans="65:73" ht="14.4" customHeight="1" x14ac:dyDescent="0.3">
      <c r="BM165" s="3">
        <f ca="1"/>
        <v>5</v>
      </c>
      <c r="BN165" s="3">
        <f ca="1"/>
        <v>10</v>
      </c>
      <c r="BO165" s="3">
        <f ca="1"/>
        <v>2</v>
      </c>
      <c r="BP165" s="3">
        <f ca="1"/>
        <v>3</v>
      </c>
      <c r="BR165" s="3">
        <f ca="1"/>
        <v>2</v>
      </c>
      <c r="BS165" s="3">
        <f ca="1"/>
        <v>3</v>
      </c>
      <c r="BT165" s="3">
        <f ca="1"/>
        <v>0.66666666666666663</v>
      </c>
      <c r="BU165" s="3" t="b">
        <f ca="1"/>
        <v>1</v>
      </c>
    </row>
    <row r="166" spans="65:73" ht="14.4" customHeight="1" x14ac:dyDescent="0.3">
      <c r="BM166" s="3">
        <f ca="1"/>
        <v>5</v>
      </c>
      <c r="BN166" s="3">
        <f ca="1"/>
        <v>20</v>
      </c>
      <c r="BO166" s="3">
        <f ca="1"/>
        <v>3</v>
      </c>
      <c r="BP166" s="3">
        <f ca="1"/>
        <v>4</v>
      </c>
      <c r="BR166" s="3">
        <f ca="1"/>
        <v>3</v>
      </c>
      <c r="BS166" s="3">
        <f ca="1"/>
        <v>3</v>
      </c>
      <c r="BT166" s="3">
        <f ca="1"/>
        <v>1</v>
      </c>
      <c r="BU166" s="3" t="b">
        <f ca="1"/>
        <v>1</v>
      </c>
    </row>
    <row r="167" spans="65:73" ht="14.4" customHeight="1" x14ac:dyDescent="0.3">
      <c r="BM167" s="3">
        <f ca="1"/>
        <v>5</v>
      </c>
      <c r="BN167" s="3">
        <f ca="1"/>
        <v>20</v>
      </c>
      <c r="BO167" s="3">
        <f ca="1"/>
        <v>3</v>
      </c>
      <c r="BP167" s="3">
        <f ca="1"/>
        <v>4</v>
      </c>
      <c r="BR167" s="3">
        <f ca="1"/>
        <v>3</v>
      </c>
      <c r="BS167" s="3">
        <f ca="1"/>
        <v>3</v>
      </c>
      <c r="BT167" s="3">
        <f ca="1"/>
        <v>1</v>
      </c>
      <c r="BU167" s="3" t="b">
        <f ca="1"/>
        <v>1</v>
      </c>
    </row>
    <row r="168" spans="65:73" ht="14.4" customHeight="1" x14ac:dyDescent="0.3">
      <c r="BM168" s="3">
        <f ca="1"/>
        <v>5</v>
      </c>
      <c r="BN168" s="3">
        <f ca="1"/>
        <v>10</v>
      </c>
      <c r="BO168" s="3">
        <f ca="1"/>
        <v>1</v>
      </c>
      <c r="BP168" s="3">
        <f ca="1"/>
        <v>2</v>
      </c>
      <c r="BR168" s="3">
        <f ca="1"/>
        <v>1.6666666666666665</v>
      </c>
      <c r="BS168" s="3">
        <f ca="1"/>
        <v>3</v>
      </c>
      <c r="BT168" s="3">
        <f ca="1"/>
        <v>0.55555555555555547</v>
      </c>
      <c r="BU168" s="3" t="b">
        <f ca="1"/>
        <v>0</v>
      </c>
    </row>
    <row r="169" spans="65:73" ht="14.4" customHeight="1" x14ac:dyDescent="0.3">
      <c r="BM169" s="3">
        <f ca="1"/>
        <v>5</v>
      </c>
      <c r="BN169" s="3">
        <f ca="1"/>
        <v>10</v>
      </c>
      <c r="BO169" s="3">
        <f ca="1"/>
        <v>3</v>
      </c>
      <c r="BP169" s="3">
        <f ca="1"/>
        <v>3</v>
      </c>
      <c r="BR169" s="3">
        <f ca="1"/>
        <v>2.333333333333333</v>
      </c>
      <c r="BS169" s="3">
        <f ca="1"/>
        <v>3</v>
      </c>
      <c r="BT169" s="3">
        <f ca="1"/>
        <v>0.77777777777777768</v>
      </c>
      <c r="BU169" s="3" t="b">
        <f ca="1"/>
        <v>1</v>
      </c>
    </row>
    <row r="170" spans="65:73" ht="14.4" customHeight="1" x14ac:dyDescent="0.3">
      <c r="BM170" s="3">
        <f ca="1"/>
        <v>5</v>
      </c>
      <c r="BN170" s="3">
        <f ca="1"/>
        <v>15</v>
      </c>
      <c r="BO170" s="3">
        <f ca="1"/>
        <v>2</v>
      </c>
      <c r="BP170" s="3">
        <f ca="1"/>
        <v>3</v>
      </c>
      <c r="BR170" s="3">
        <f ca="1"/>
        <v>2.333333333333333</v>
      </c>
      <c r="BS170" s="3">
        <f ca="1"/>
        <v>3</v>
      </c>
      <c r="BT170" s="3">
        <f ca="1"/>
        <v>0.77777777777777768</v>
      </c>
      <c r="BU170" s="3" t="b">
        <f ca="1"/>
        <v>1</v>
      </c>
    </row>
    <row r="171" spans="65:73" ht="14.4" customHeight="1" x14ac:dyDescent="0.3">
      <c r="BM171" s="3">
        <f ca="1"/>
        <v>5</v>
      </c>
      <c r="BN171" s="3">
        <f ca="1"/>
        <v>10</v>
      </c>
      <c r="BO171" s="3">
        <f ca="1"/>
        <v>2</v>
      </c>
      <c r="BP171" s="3">
        <f ca="1"/>
        <v>3</v>
      </c>
      <c r="BR171" s="3">
        <f ca="1"/>
        <v>2</v>
      </c>
      <c r="BS171" s="3">
        <f ca="1"/>
        <v>3</v>
      </c>
      <c r="BT171" s="3">
        <f ca="1"/>
        <v>0.66666666666666663</v>
      </c>
      <c r="BU171" s="3" t="b">
        <f ca="1"/>
        <v>1</v>
      </c>
    </row>
    <row r="172" spans="65:73" ht="14.4" customHeight="1" x14ac:dyDescent="0.3">
      <c r="BM172" s="3">
        <f ca="1"/>
        <v>5</v>
      </c>
      <c r="BN172" s="3">
        <f ca="1"/>
        <v>15</v>
      </c>
      <c r="BO172" s="3">
        <f ca="1"/>
        <v>2</v>
      </c>
      <c r="BP172" s="3">
        <f ca="1"/>
        <v>3</v>
      </c>
      <c r="BR172" s="3">
        <f ca="1"/>
        <v>2.333333333333333</v>
      </c>
      <c r="BS172" s="3">
        <f ca="1"/>
        <v>3</v>
      </c>
      <c r="BT172" s="3">
        <f ca="1"/>
        <v>0.77777777777777768</v>
      </c>
      <c r="BU172" s="3" t="b">
        <f ca="1"/>
        <v>1</v>
      </c>
    </row>
    <row r="173" spans="65:73" ht="14.4" customHeight="1" x14ac:dyDescent="0.3">
      <c r="BM173" s="3">
        <f ca="1"/>
        <v>5</v>
      </c>
      <c r="BN173" s="3">
        <f ca="1"/>
        <v>15</v>
      </c>
      <c r="BO173" s="3">
        <f ca="1"/>
        <v>2</v>
      </c>
      <c r="BP173" s="3">
        <f ca="1"/>
        <v>3</v>
      </c>
      <c r="BR173" s="3">
        <f ca="1"/>
        <v>2.333333333333333</v>
      </c>
      <c r="BS173" s="3">
        <f ca="1"/>
        <v>3</v>
      </c>
      <c r="BT173" s="3">
        <f ca="1"/>
        <v>0.77777777777777768</v>
      </c>
      <c r="BU173" s="3" t="b">
        <f ca="1"/>
        <v>1</v>
      </c>
    </row>
    <row r="174" spans="65:73" ht="14.4" customHeight="1" x14ac:dyDescent="0.3">
      <c r="BM174" s="3">
        <f ca="1"/>
        <v>5</v>
      </c>
      <c r="BN174" s="3">
        <f ca="1"/>
        <v>10</v>
      </c>
      <c r="BO174" s="3">
        <f ca="1"/>
        <v>1</v>
      </c>
      <c r="BP174" s="3">
        <f ca="1"/>
        <v>3</v>
      </c>
      <c r="BR174" s="3">
        <f ca="1"/>
        <v>1.6666666666666665</v>
      </c>
      <c r="BS174" s="3">
        <f ca="1"/>
        <v>3</v>
      </c>
      <c r="BT174" s="3">
        <f ca="1"/>
        <v>0.55555555555555547</v>
      </c>
      <c r="BU174" s="3" t="b">
        <f ca="1"/>
        <v>0</v>
      </c>
    </row>
    <row r="175" spans="65:73" ht="14.4" customHeight="1" x14ac:dyDescent="0.3">
      <c r="BM175" s="3">
        <f ca="1"/>
        <v>5</v>
      </c>
      <c r="BN175" s="3">
        <f ca="1"/>
        <v>10</v>
      </c>
      <c r="BO175" s="3">
        <f ca="1"/>
        <v>1</v>
      </c>
      <c r="BP175" s="3">
        <f ca="1"/>
        <v>2</v>
      </c>
      <c r="BR175" s="3">
        <f ca="1"/>
        <v>1.6666666666666665</v>
      </c>
      <c r="BS175" s="3">
        <f ca="1"/>
        <v>3</v>
      </c>
      <c r="BT175" s="3">
        <f ca="1"/>
        <v>0.55555555555555547</v>
      </c>
      <c r="BU175" s="3" t="b">
        <f ca="1"/>
        <v>0</v>
      </c>
    </row>
    <row r="176" spans="65:73" ht="14.4" customHeight="1" x14ac:dyDescent="0.3">
      <c r="BM176" s="3">
        <f ca="1"/>
        <v>5</v>
      </c>
      <c r="BN176" s="3">
        <f ca="1"/>
        <v>15</v>
      </c>
      <c r="BO176" s="3">
        <f ca="1"/>
        <v>1</v>
      </c>
      <c r="BP176" s="3">
        <f ca="1"/>
        <v>3</v>
      </c>
      <c r="BR176" s="3">
        <f ca="1"/>
        <v>1.9999999999999998</v>
      </c>
      <c r="BS176" s="3">
        <f ca="1"/>
        <v>3</v>
      </c>
      <c r="BT176" s="3">
        <f ca="1"/>
        <v>0.66666666666666663</v>
      </c>
      <c r="BU176" s="3" t="b">
        <f ca="1"/>
        <v>1</v>
      </c>
    </row>
    <row r="177" spans="65:73" ht="14.4" customHeight="1" x14ac:dyDescent="0.3">
      <c r="BM177" s="3">
        <f ca="1"/>
        <v>5</v>
      </c>
      <c r="BN177" s="3">
        <f ca="1"/>
        <v>10</v>
      </c>
      <c r="BO177" s="3">
        <f ca="1"/>
        <v>2</v>
      </c>
      <c r="BP177" s="3">
        <f ca="1"/>
        <v>3</v>
      </c>
      <c r="BR177" s="3">
        <f ca="1"/>
        <v>2</v>
      </c>
      <c r="BS177" s="3">
        <f ca="1"/>
        <v>3</v>
      </c>
      <c r="BT177" s="3">
        <f ca="1"/>
        <v>0.66666666666666663</v>
      </c>
      <c r="BU177" s="3" t="b">
        <f ca="1"/>
        <v>1</v>
      </c>
    </row>
    <row r="178" spans="65:73" ht="14.4" customHeight="1" x14ac:dyDescent="0.3">
      <c r="BM178" s="3">
        <f ca="1"/>
        <v>5</v>
      </c>
      <c r="BN178" s="3">
        <f ca="1"/>
        <v>10</v>
      </c>
      <c r="BO178" s="3">
        <f ca="1"/>
        <v>1</v>
      </c>
      <c r="BP178" s="3">
        <f ca="1"/>
        <v>2</v>
      </c>
      <c r="BR178" s="3">
        <f ca="1"/>
        <v>1.6666666666666665</v>
      </c>
      <c r="BS178" s="3">
        <f ca="1"/>
        <v>3</v>
      </c>
      <c r="BT178" s="3">
        <f ca="1"/>
        <v>0.55555555555555547</v>
      </c>
      <c r="BU178" s="3" t="b">
        <f ca="1"/>
        <v>0</v>
      </c>
    </row>
    <row r="179" spans="65:73" ht="14.4" customHeight="1" x14ac:dyDescent="0.3">
      <c r="BM179" s="3">
        <f ca="1"/>
        <v>0</v>
      </c>
      <c r="BN179" s="3">
        <f ca="1"/>
        <v>5</v>
      </c>
      <c r="BO179" s="3">
        <f ca="1"/>
        <v>0</v>
      </c>
      <c r="BP179" s="3">
        <f ca="1"/>
        <v>1</v>
      </c>
      <c r="BR179" s="3">
        <f ca="1"/>
        <v>0.5</v>
      </c>
      <c r="BS179" s="3">
        <f ca="1"/>
        <v>3</v>
      </c>
      <c r="BT179" s="3">
        <f ca="1"/>
        <v>0.16666666666666666</v>
      </c>
      <c r="BU179" s="3" t="b">
        <f ca="1"/>
        <v>0</v>
      </c>
    </row>
    <row r="180" spans="65:73" ht="14.4" customHeight="1" x14ac:dyDescent="0.3">
      <c r="BM180" s="3">
        <f ca="1"/>
        <v>2.5</v>
      </c>
      <c r="BN180" s="3">
        <f ca="1"/>
        <v>10</v>
      </c>
      <c r="BO180" s="3">
        <f ca="1"/>
        <v>1</v>
      </c>
      <c r="BP180" s="3">
        <f ca="1"/>
        <v>3</v>
      </c>
      <c r="BR180" s="3">
        <f ca="1"/>
        <v>1.4166666666666665</v>
      </c>
      <c r="BS180" s="3">
        <f ca="1"/>
        <v>3</v>
      </c>
      <c r="BT180" s="3">
        <f ca="1"/>
        <v>0.47222222222222215</v>
      </c>
      <c r="BU180" s="3" t="b">
        <f ca="1"/>
        <v>0</v>
      </c>
    </row>
    <row r="181" spans="65:73" ht="14.4" customHeight="1" x14ac:dyDescent="0.3">
      <c r="BM181" s="3">
        <f ca="1"/>
        <v>5</v>
      </c>
      <c r="BN181" s="3">
        <f ca="1"/>
        <v>10</v>
      </c>
      <c r="BO181" s="3">
        <f ca="1"/>
        <v>2</v>
      </c>
      <c r="BP181" s="3">
        <f ca="1"/>
        <v>2</v>
      </c>
      <c r="BR181" s="3">
        <f ca="1"/>
        <v>2</v>
      </c>
      <c r="BS181" s="3">
        <f ca="1"/>
        <v>3</v>
      </c>
      <c r="BT181" s="3">
        <f ca="1"/>
        <v>0.66666666666666663</v>
      </c>
      <c r="BU181" s="3" t="b">
        <f ca="1"/>
        <v>1</v>
      </c>
    </row>
    <row r="182" spans="65:73" ht="14.4" customHeight="1" x14ac:dyDescent="0.3">
      <c r="BM182" s="3">
        <f ca="1"/>
        <v>5</v>
      </c>
      <c r="BN182" s="3">
        <f ca="1"/>
        <v>10</v>
      </c>
      <c r="BO182" s="3">
        <f ca="1"/>
        <v>1</v>
      </c>
      <c r="BP182" s="3">
        <f ca="1"/>
        <v>2</v>
      </c>
      <c r="BR182" s="3">
        <f ca="1"/>
        <v>1.6666666666666665</v>
      </c>
      <c r="BS182" s="3">
        <f ca="1"/>
        <v>3</v>
      </c>
      <c r="BT182" s="3">
        <f ca="1"/>
        <v>0.55555555555555547</v>
      </c>
      <c r="BU182" s="3" t="b">
        <f ca="1"/>
        <v>0</v>
      </c>
    </row>
    <row r="183" spans="65:73" ht="14.4" customHeight="1" x14ac:dyDescent="0.3">
      <c r="BM183" s="3">
        <f ca="1"/>
        <v>5</v>
      </c>
      <c r="BN183" s="3">
        <f ca="1"/>
        <v>10</v>
      </c>
      <c r="BO183" s="3">
        <f ca="1"/>
        <v>2</v>
      </c>
      <c r="BP183" s="3">
        <f ca="1"/>
        <v>3</v>
      </c>
      <c r="BR183" s="3">
        <f ca="1"/>
        <v>2</v>
      </c>
      <c r="BS183" s="3">
        <f ca="1"/>
        <v>3</v>
      </c>
      <c r="BT183" s="3">
        <f ca="1"/>
        <v>0.66666666666666663</v>
      </c>
      <c r="BU183" s="3" t="b">
        <f ca="1"/>
        <v>1</v>
      </c>
    </row>
    <row r="184" spans="65:73" ht="14.4" customHeight="1" x14ac:dyDescent="0.3">
      <c r="BM184" s="3">
        <f ca="1"/>
        <v>5</v>
      </c>
      <c r="BN184" s="3">
        <f ca="1"/>
        <v>15</v>
      </c>
      <c r="BO184" s="3">
        <f ca="1"/>
        <v>1</v>
      </c>
      <c r="BP184" s="3">
        <f ca="1"/>
        <v>2</v>
      </c>
      <c r="BR184" s="3">
        <f ca="1"/>
        <v>1.9999999999999998</v>
      </c>
      <c r="BS184" s="3">
        <f ca="1"/>
        <v>3</v>
      </c>
      <c r="BT184" s="3">
        <f ca="1"/>
        <v>0.66666666666666663</v>
      </c>
      <c r="BU184" s="3" t="b">
        <f ca="1"/>
        <v>1</v>
      </c>
    </row>
    <row r="185" spans="65:73" ht="14.4" customHeight="1" x14ac:dyDescent="0.3">
      <c r="BM185" s="3">
        <f ca="1"/>
        <v>2.5</v>
      </c>
      <c r="BN185" s="3">
        <f ca="1"/>
        <v>10</v>
      </c>
      <c r="BO185" s="3">
        <f ca="1"/>
        <v>1</v>
      </c>
      <c r="BP185" s="3">
        <f ca="1"/>
        <v>1</v>
      </c>
      <c r="BR185" s="3">
        <f ca="1"/>
        <v>1.4166666666666665</v>
      </c>
      <c r="BS185" s="3">
        <f ca="1"/>
        <v>3</v>
      </c>
      <c r="BT185" s="3">
        <f ca="1"/>
        <v>0.47222222222222215</v>
      </c>
      <c r="BU185" s="3" t="b">
        <f ca="1"/>
        <v>0</v>
      </c>
    </row>
    <row r="186" spans="65:73" ht="14.4" customHeight="1" x14ac:dyDescent="0.3">
      <c r="BM186" s="3">
        <f ca="1"/>
        <v>0</v>
      </c>
      <c r="BN186" s="3">
        <f ca="1"/>
        <v>5</v>
      </c>
      <c r="BO186" s="3">
        <f ca="1"/>
        <v>1</v>
      </c>
      <c r="BP186" s="3">
        <f ca="1"/>
        <v>1</v>
      </c>
      <c r="BR186" s="3">
        <f ca="1"/>
        <v>0.83333333333333326</v>
      </c>
      <c r="BS186" s="3">
        <f ca="1"/>
        <v>3</v>
      </c>
      <c r="BT186" s="3">
        <f ca="1"/>
        <v>0.27777777777777773</v>
      </c>
      <c r="BU186" s="3" t="b">
        <f ca="1"/>
        <v>0</v>
      </c>
    </row>
    <row r="187" spans="65:73" ht="14.4" customHeight="1" x14ac:dyDescent="0.3">
      <c r="BM187" s="3">
        <f ca="1"/>
        <v>2.5</v>
      </c>
      <c r="BN187" s="3">
        <f ca="1"/>
        <v>5</v>
      </c>
      <c r="BO187" s="3">
        <f ca="1"/>
        <v>1</v>
      </c>
      <c r="BP187" s="3">
        <f ca="1"/>
        <v>2</v>
      </c>
      <c r="BR187" s="3">
        <f ca="1"/>
        <v>1.0833333333333333</v>
      </c>
      <c r="BS187" s="3">
        <f ca="1"/>
        <v>3</v>
      </c>
      <c r="BT187" s="3">
        <f ca="1"/>
        <v>0.3611111111111111</v>
      </c>
      <c r="BU187" s="3" t="b">
        <f ca="1"/>
        <v>0</v>
      </c>
    </row>
    <row r="188" spans="65:73" ht="14.4" customHeight="1" x14ac:dyDescent="0.3">
      <c r="BM188" s="3">
        <f ca="1"/>
        <v>0</v>
      </c>
      <c r="BN188" s="3">
        <f ca="1"/>
        <v>10</v>
      </c>
      <c r="BO188" s="3">
        <f ca="1"/>
        <v>0</v>
      </c>
      <c r="BP188" s="3">
        <f ca="1"/>
        <v>1</v>
      </c>
      <c r="BR188" s="3">
        <f ca="1"/>
        <v>0.83333333333333326</v>
      </c>
      <c r="BS188" s="3">
        <f ca="1"/>
        <v>3</v>
      </c>
      <c r="BT188" s="3">
        <f ca="1"/>
        <v>0.27777777777777773</v>
      </c>
      <c r="BU188" s="3" t="b">
        <f ca="1"/>
        <v>0</v>
      </c>
    </row>
    <row r="189" spans="65:73" ht="14.4" customHeight="1" x14ac:dyDescent="0.3">
      <c r="BM189" s="3">
        <f ca="1"/>
        <v>5</v>
      </c>
      <c r="BN189" s="3">
        <f ca="1"/>
        <v>10</v>
      </c>
      <c r="BO189" s="3">
        <f ca="1"/>
        <v>1</v>
      </c>
      <c r="BP189" s="3">
        <f ca="1"/>
        <v>2</v>
      </c>
      <c r="BR189" s="3">
        <f ca="1"/>
        <v>1.6666666666666665</v>
      </c>
      <c r="BS189" s="3">
        <f ca="1"/>
        <v>3</v>
      </c>
      <c r="BT189" s="3">
        <f ca="1"/>
        <v>0.55555555555555547</v>
      </c>
      <c r="BU189" s="3" t="b">
        <f ca="1"/>
        <v>0</v>
      </c>
    </row>
    <row r="190" spans="65:73" ht="14.4" customHeight="1" x14ac:dyDescent="0.3">
      <c r="BM190" s="3">
        <f ca="1"/>
        <v>5</v>
      </c>
      <c r="BN190" s="3">
        <f ca="1"/>
        <v>10</v>
      </c>
      <c r="BO190" s="3">
        <f ca="1"/>
        <v>2</v>
      </c>
      <c r="BP190" s="3">
        <f ca="1"/>
        <v>3</v>
      </c>
      <c r="BR190" s="3">
        <f ca="1"/>
        <v>2</v>
      </c>
      <c r="BS190" s="3">
        <f ca="1"/>
        <v>3</v>
      </c>
      <c r="BT190" s="3">
        <f ca="1"/>
        <v>0.66666666666666663</v>
      </c>
      <c r="BU190" s="3" t="b">
        <f ca="1"/>
        <v>1</v>
      </c>
    </row>
    <row r="191" spans="65:73" ht="14.4" customHeight="1" x14ac:dyDescent="0.3">
      <c r="BM191" s="3">
        <f ca="1"/>
        <v>2.5</v>
      </c>
      <c r="BN191" s="3">
        <f ca="1"/>
        <v>10</v>
      </c>
      <c r="BO191" s="3">
        <f ca="1"/>
        <v>1</v>
      </c>
      <c r="BP191" s="3">
        <f ca="1"/>
        <v>1</v>
      </c>
      <c r="BR191" s="3">
        <f ca="1"/>
        <v>1.4166666666666665</v>
      </c>
      <c r="BS191" s="3">
        <f ca="1"/>
        <v>3</v>
      </c>
      <c r="BT191" s="3">
        <f ca="1"/>
        <v>0.47222222222222215</v>
      </c>
      <c r="BU191" s="3" t="b">
        <f ca="1"/>
        <v>0</v>
      </c>
    </row>
    <row r="192" spans="65:73" ht="14.4" customHeight="1" x14ac:dyDescent="0.3">
      <c r="BM192" s="3">
        <f ca="1"/>
        <v>2.5</v>
      </c>
      <c r="BN192" s="3">
        <f ca="1"/>
        <v>10</v>
      </c>
      <c r="BO192" s="3">
        <f ca="1"/>
        <v>1</v>
      </c>
      <c r="BP192" s="3">
        <f ca="1"/>
        <v>2</v>
      </c>
      <c r="BR192" s="3">
        <f ca="1"/>
        <v>1.4166666666666665</v>
      </c>
      <c r="BS192" s="3">
        <f ca="1"/>
        <v>3</v>
      </c>
      <c r="BT192" s="3">
        <f ca="1"/>
        <v>0.47222222222222215</v>
      </c>
      <c r="BU192" s="3" t="b">
        <f ca="1"/>
        <v>0</v>
      </c>
    </row>
    <row r="193" spans="65:73" ht="14.4" customHeight="1" x14ac:dyDescent="0.3">
      <c r="BM193" s="3">
        <f ca="1"/>
        <v>2.5</v>
      </c>
      <c r="BN193" s="3">
        <f ca="1"/>
        <v>10</v>
      </c>
      <c r="BO193" s="3">
        <f ca="1"/>
        <v>2</v>
      </c>
      <c r="BP193" s="3">
        <f ca="1"/>
        <v>2</v>
      </c>
      <c r="BR193" s="3">
        <f ca="1"/>
        <v>1.75</v>
      </c>
      <c r="BS193" s="3">
        <f ca="1"/>
        <v>3</v>
      </c>
      <c r="BT193" s="3">
        <f ca="1"/>
        <v>0.58333333333333337</v>
      </c>
      <c r="BU193" s="3" t="b">
        <f ca="1"/>
        <v>1</v>
      </c>
    </row>
    <row r="194" spans="65:73" ht="14.4" customHeight="1" x14ac:dyDescent="0.3">
      <c r="BM194" s="3">
        <f ca="1"/>
        <v>5</v>
      </c>
      <c r="BN194" s="3">
        <f ca="1"/>
        <v>10</v>
      </c>
      <c r="BO194" s="3">
        <f ca="1"/>
        <v>2</v>
      </c>
      <c r="BP194" s="3">
        <f ca="1"/>
        <v>3</v>
      </c>
      <c r="BR194" s="3">
        <f ca="1"/>
        <v>2</v>
      </c>
      <c r="BS194" s="3">
        <f ca="1"/>
        <v>3</v>
      </c>
      <c r="BT194" s="3">
        <f ca="1"/>
        <v>0.66666666666666663</v>
      </c>
      <c r="BU194" s="3" t="b">
        <f ca="1"/>
        <v>1</v>
      </c>
    </row>
    <row r="195" spans="65:73" ht="14.4" customHeight="1" x14ac:dyDescent="0.3">
      <c r="BM195" s="3">
        <f ca="1"/>
        <v>5</v>
      </c>
      <c r="BN195" s="3">
        <f ca="1"/>
        <v>5</v>
      </c>
      <c r="BO195" s="3">
        <f ca="1"/>
        <v>2</v>
      </c>
      <c r="BP195" s="3">
        <f ca="1"/>
        <v>2</v>
      </c>
      <c r="BR195" s="3">
        <f ca="1"/>
        <v>1.6666666666666665</v>
      </c>
      <c r="BS195" s="3">
        <f ca="1"/>
        <v>3</v>
      </c>
      <c r="BT195" s="3">
        <f ca="1"/>
        <v>0.55555555555555547</v>
      </c>
      <c r="BU195" s="3" t="b">
        <f ca="1"/>
        <v>0</v>
      </c>
    </row>
    <row r="196" spans="65:73" ht="14.4" customHeight="1" x14ac:dyDescent="0.3">
      <c r="BM196" s="3">
        <f ca="1"/>
        <v>0</v>
      </c>
      <c r="BN196" s="3">
        <f ca="1"/>
        <v>5</v>
      </c>
      <c r="BO196" s="3">
        <f ca="1"/>
        <v>1</v>
      </c>
      <c r="BP196" s="3">
        <f ca="1"/>
        <v>2</v>
      </c>
      <c r="BR196" s="3">
        <f ca="1"/>
        <v>0.83333333333333326</v>
      </c>
      <c r="BS196" s="3">
        <f ca="1"/>
        <v>3</v>
      </c>
      <c r="BT196" s="3">
        <f ca="1"/>
        <v>0.27777777777777773</v>
      </c>
      <c r="BU196" s="3" t="b">
        <f ca="1"/>
        <v>0</v>
      </c>
    </row>
    <row r="197" spans="65:73" ht="14.4" customHeight="1" x14ac:dyDescent="0.3">
      <c r="BM197" s="3">
        <f ca="1"/>
        <v>-2.5</v>
      </c>
      <c r="BN197" s="3">
        <f ca="1"/>
        <v>5</v>
      </c>
      <c r="BO197" s="3">
        <f ca="1"/>
        <v>0</v>
      </c>
      <c r="BP197" s="3">
        <f ca="1"/>
        <v>1</v>
      </c>
      <c r="BR197" s="3">
        <f ca="1"/>
        <v>0.25</v>
      </c>
      <c r="BS197" s="3">
        <f ca="1"/>
        <v>3</v>
      </c>
      <c r="BT197" s="3">
        <f ca="1"/>
        <v>8.3333333333333329E-2</v>
      </c>
      <c r="BU197" s="3" t="b">
        <f ca="1"/>
        <v>0</v>
      </c>
    </row>
    <row r="198" spans="65:73" ht="14.4" customHeight="1" x14ac:dyDescent="0.3">
      <c r="BM198" s="3">
        <f ca="1"/>
        <v>5</v>
      </c>
      <c r="BN198" s="3">
        <f ca="1"/>
        <v>5</v>
      </c>
      <c r="BO198" s="3">
        <f ca="1"/>
        <v>1</v>
      </c>
      <c r="BP198" s="3">
        <f ca="1"/>
        <v>1</v>
      </c>
      <c r="BR198" s="3">
        <f ca="1"/>
        <v>1.3333333333333333</v>
      </c>
      <c r="BS198" s="3">
        <f ca="1"/>
        <v>3</v>
      </c>
      <c r="BT198" s="3">
        <f ca="1"/>
        <v>0.44444444444444442</v>
      </c>
      <c r="BU198" s="3" t="b">
        <f ca="1"/>
        <v>0</v>
      </c>
    </row>
    <row r="199" spans="65:73" ht="14.4" customHeight="1" x14ac:dyDescent="0.3">
      <c r="BM199" s="3">
        <f ca="1"/>
        <v>5</v>
      </c>
      <c r="BN199" s="3">
        <f ca="1"/>
        <v>5</v>
      </c>
      <c r="BO199" s="3">
        <f ca="1"/>
        <v>1</v>
      </c>
      <c r="BP199" s="3">
        <f ca="1"/>
        <v>2</v>
      </c>
      <c r="BR199" s="3">
        <f ca="1"/>
        <v>1.3333333333333333</v>
      </c>
      <c r="BS199" s="3">
        <f ca="1"/>
        <v>3</v>
      </c>
      <c r="BT199" s="3">
        <f ca="1"/>
        <v>0.44444444444444442</v>
      </c>
      <c r="BU199" s="3" t="b">
        <f ca="1"/>
        <v>0</v>
      </c>
    </row>
    <row r="200" spans="65:73" ht="14.4" customHeight="1" x14ac:dyDescent="0.3">
      <c r="BM200" s="3">
        <f ca="1"/>
        <v>5</v>
      </c>
      <c r="BN200" s="3">
        <f ca="1"/>
        <v>10</v>
      </c>
      <c r="BO200" s="3">
        <f ca="1"/>
        <v>2</v>
      </c>
      <c r="BP200" s="3">
        <f ca="1"/>
        <v>1</v>
      </c>
      <c r="BR200" s="3">
        <f ca="1"/>
        <v>2</v>
      </c>
      <c r="BS200" s="3">
        <f ca="1"/>
        <v>3</v>
      </c>
      <c r="BT200" s="3">
        <f ca="1"/>
        <v>0.66666666666666663</v>
      </c>
      <c r="BU200" s="3" t="b">
        <f ca="1"/>
        <v>1</v>
      </c>
    </row>
    <row r="201" spans="65:73" ht="14.4" customHeight="1" x14ac:dyDescent="0.3">
      <c r="BM201" s="3">
        <f ca="1"/>
        <v>2.5</v>
      </c>
      <c r="BN201" s="3">
        <f ca="1"/>
        <v>5</v>
      </c>
      <c r="BO201" s="3">
        <f ca="1"/>
        <v>2</v>
      </c>
      <c r="BP201" s="3">
        <f ca="1"/>
        <v>2</v>
      </c>
      <c r="BR201" s="3">
        <f ca="1"/>
        <v>1.4166666666666665</v>
      </c>
      <c r="BS201" s="3">
        <f ca="1"/>
        <v>3</v>
      </c>
      <c r="BT201" s="3">
        <f ca="1"/>
        <v>0.47222222222222215</v>
      </c>
      <c r="BU201" s="3" t="b">
        <f ca="1"/>
        <v>0</v>
      </c>
    </row>
    <row r="202" spans="65:73" ht="14.4" customHeight="1" x14ac:dyDescent="0.3">
      <c r="BM202" s="3">
        <f ca="1"/>
        <v>5</v>
      </c>
      <c r="BN202" s="3">
        <f ca="1"/>
        <v>10</v>
      </c>
      <c r="BO202" s="3">
        <f ca="1"/>
        <v>2</v>
      </c>
      <c r="BP202" s="3">
        <f ca="1"/>
        <v>2</v>
      </c>
      <c r="BR202" s="3">
        <f ca="1"/>
        <v>2</v>
      </c>
      <c r="BS202" s="3">
        <f ca="1"/>
        <v>3</v>
      </c>
      <c r="BT202" s="3">
        <f ca="1"/>
        <v>0.66666666666666663</v>
      </c>
      <c r="BU202" s="3" t="b">
        <f ca="1"/>
        <v>1</v>
      </c>
    </row>
    <row r="203" spans="65:73" ht="14.4" customHeight="1" x14ac:dyDescent="0.3">
      <c r="BM203" s="3">
        <f ca="1"/>
        <v>2.5</v>
      </c>
      <c r="BN203" s="3">
        <f ca="1"/>
        <v>5</v>
      </c>
      <c r="BO203" s="3">
        <f ca="1"/>
        <v>1</v>
      </c>
      <c r="BP203" s="3">
        <f ca="1"/>
        <v>2</v>
      </c>
      <c r="BR203" s="3">
        <f ca="1"/>
        <v>1.0833333333333333</v>
      </c>
      <c r="BS203" s="3">
        <f ca="1"/>
        <v>3</v>
      </c>
      <c r="BT203" s="3">
        <f ca="1"/>
        <v>0.3611111111111111</v>
      </c>
      <c r="BU203" s="3" t="b">
        <f ca="1"/>
        <v>0</v>
      </c>
    </row>
    <row r="204" spans="65:73" ht="14.4" customHeight="1" x14ac:dyDescent="0.3">
      <c r="BM204" s="3">
        <f ca="1"/>
        <v>2.5</v>
      </c>
      <c r="BN204" s="3">
        <f ca="1"/>
        <v>10</v>
      </c>
      <c r="BO204" s="3">
        <f ca="1"/>
        <v>1</v>
      </c>
      <c r="BP204" s="3">
        <f ca="1"/>
        <v>3</v>
      </c>
      <c r="BR204" s="3">
        <f ca="1"/>
        <v>1.4166666666666665</v>
      </c>
      <c r="BS204" s="3">
        <f ca="1"/>
        <v>3</v>
      </c>
      <c r="BT204" s="3">
        <f ca="1"/>
        <v>0.47222222222222215</v>
      </c>
      <c r="BU204" s="3" t="b">
        <f ca="1"/>
        <v>0</v>
      </c>
    </row>
    <row r="205" spans="65:73" ht="14.4" customHeight="1" x14ac:dyDescent="0.3">
      <c r="BM205" s="3">
        <f ca="1"/>
        <v>2.5</v>
      </c>
      <c r="BN205" s="3">
        <f ca="1"/>
        <v>10</v>
      </c>
      <c r="BO205" s="3">
        <f ca="1"/>
        <v>1</v>
      </c>
      <c r="BP205" s="3">
        <f ca="1"/>
        <v>2</v>
      </c>
      <c r="BR205" s="3">
        <f ca="1"/>
        <v>1.4166666666666665</v>
      </c>
      <c r="BS205" s="3">
        <f ca="1"/>
        <v>3</v>
      </c>
      <c r="BT205" s="3">
        <f ca="1"/>
        <v>0.47222222222222215</v>
      </c>
      <c r="BU205" s="3" t="b">
        <f ca="1"/>
        <v>0</v>
      </c>
    </row>
    <row r="206" spans="65:73" ht="14.4" customHeight="1" x14ac:dyDescent="0.3">
      <c r="BM206" s="3">
        <f ca="1"/>
        <v>5</v>
      </c>
      <c r="BN206" s="3">
        <f ca="1"/>
        <v>15</v>
      </c>
      <c r="BO206" s="3">
        <f ca="1"/>
        <v>2</v>
      </c>
      <c r="BP206" s="3">
        <f ca="1"/>
        <v>2</v>
      </c>
      <c r="BR206" s="3">
        <f ca="1"/>
        <v>2.333333333333333</v>
      </c>
      <c r="BS206" s="3">
        <f ca="1"/>
        <v>3</v>
      </c>
      <c r="BT206" s="3">
        <f ca="1"/>
        <v>0.77777777777777768</v>
      </c>
      <c r="BU206" s="3" t="b">
        <f ca="1"/>
        <v>1</v>
      </c>
    </row>
    <row r="207" spans="65:73" ht="14.4" customHeight="1" x14ac:dyDescent="0.3">
      <c r="BM207" s="3">
        <f ca="1"/>
        <v>5</v>
      </c>
      <c r="BN207" s="3">
        <f ca="1"/>
        <v>10</v>
      </c>
      <c r="BO207" s="3">
        <f ca="1"/>
        <v>0</v>
      </c>
      <c r="BP207" s="3">
        <f ca="1"/>
        <v>2</v>
      </c>
      <c r="BR207" s="3">
        <f ca="1"/>
        <v>1.3333333333333333</v>
      </c>
      <c r="BS207" s="3">
        <f ca="1"/>
        <v>3</v>
      </c>
      <c r="BT207" s="3">
        <f ca="1"/>
        <v>0.44444444444444442</v>
      </c>
      <c r="BU207" s="3" t="b">
        <f ca="1"/>
        <v>0</v>
      </c>
    </row>
    <row r="208" spans="65:73" ht="14.4" customHeight="1" x14ac:dyDescent="0.3">
      <c r="BM208" s="3">
        <f ca="1"/>
        <v>5</v>
      </c>
      <c r="BN208" s="3">
        <f ca="1"/>
        <v>10</v>
      </c>
      <c r="BO208" s="3">
        <f ca="1"/>
        <v>0</v>
      </c>
      <c r="BP208" s="3">
        <f ca="1"/>
        <v>2</v>
      </c>
      <c r="BR208" s="3">
        <f ca="1"/>
        <v>1.3333333333333333</v>
      </c>
      <c r="BS208" s="3">
        <f ca="1"/>
        <v>3</v>
      </c>
      <c r="BT208" s="3">
        <f ca="1"/>
        <v>0.44444444444444442</v>
      </c>
      <c r="BU208" s="3" t="b">
        <f ca="1"/>
        <v>0</v>
      </c>
    </row>
    <row r="209" spans="65:73" ht="14.4" customHeight="1" x14ac:dyDescent="0.3">
      <c r="BM209" s="3">
        <f ca="1"/>
        <v>5</v>
      </c>
      <c r="BN209" s="3">
        <f ca="1"/>
        <v>10</v>
      </c>
      <c r="BO209" s="3">
        <f ca="1"/>
        <v>1</v>
      </c>
      <c r="BP209" s="3">
        <f ca="1"/>
        <v>2</v>
      </c>
      <c r="BR209" s="3">
        <f ca="1"/>
        <v>1.6666666666666665</v>
      </c>
      <c r="BS209" s="3">
        <f ca="1"/>
        <v>3</v>
      </c>
      <c r="BT209" s="3">
        <f ca="1"/>
        <v>0.55555555555555547</v>
      </c>
      <c r="BU209" s="3" t="b">
        <f ca="1"/>
        <v>0</v>
      </c>
    </row>
    <row r="210" spans="65:73" ht="14.4" customHeight="1" x14ac:dyDescent="0.3">
      <c r="BM210" s="3">
        <f ca="1"/>
        <v>5</v>
      </c>
      <c r="BN210" s="3">
        <f ca="1"/>
        <v>10</v>
      </c>
      <c r="BO210" s="3">
        <f ca="1"/>
        <v>0</v>
      </c>
      <c r="BP210" s="3">
        <f ca="1"/>
        <v>2</v>
      </c>
      <c r="BR210" s="3">
        <f ca="1"/>
        <v>1.3333333333333333</v>
      </c>
      <c r="BS210" s="3">
        <f ca="1"/>
        <v>3</v>
      </c>
      <c r="BT210" s="3">
        <f ca="1"/>
        <v>0.44444444444444442</v>
      </c>
      <c r="BU210" s="3" t="b">
        <f ca="1"/>
        <v>0</v>
      </c>
    </row>
    <row r="211" spans="65:73" ht="14.4" customHeight="1" x14ac:dyDescent="0.3">
      <c r="BM211" s="3">
        <f ca="1"/>
        <v>5</v>
      </c>
      <c r="BN211" s="3">
        <f ca="1"/>
        <v>10</v>
      </c>
      <c r="BO211" s="3">
        <f ca="1"/>
        <v>0</v>
      </c>
      <c r="BP211" s="3">
        <f ca="1"/>
        <v>2</v>
      </c>
      <c r="BR211" s="3">
        <f ca="1"/>
        <v>1.3333333333333333</v>
      </c>
      <c r="BS211" s="3">
        <f ca="1"/>
        <v>3</v>
      </c>
      <c r="BT211" s="3">
        <f ca="1"/>
        <v>0.44444444444444442</v>
      </c>
      <c r="BU211" s="3" t="b">
        <f ca="1"/>
        <v>0</v>
      </c>
    </row>
    <row r="212" spans="65:73" ht="14.4" customHeight="1" x14ac:dyDescent="0.3">
      <c r="BM212" s="3">
        <f ca="1"/>
        <v>5</v>
      </c>
      <c r="BN212" s="3">
        <f ca="1"/>
        <v>10</v>
      </c>
      <c r="BO212" s="3">
        <f ca="1"/>
        <v>1</v>
      </c>
      <c r="BP212" s="3">
        <f ca="1"/>
        <v>2</v>
      </c>
      <c r="BR212" s="3">
        <f ca="1"/>
        <v>1.6666666666666665</v>
      </c>
      <c r="BS212" s="3">
        <f ca="1"/>
        <v>3</v>
      </c>
      <c r="BT212" s="3">
        <f ca="1"/>
        <v>0.55555555555555547</v>
      </c>
      <c r="BU212" s="3" t="b">
        <f ca="1"/>
        <v>0</v>
      </c>
    </row>
    <row r="213" spans="65:73" ht="14.4" customHeight="1" x14ac:dyDescent="0.3">
      <c r="BM213" s="3">
        <f ca="1"/>
        <v>5</v>
      </c>
      <c r="BN213" s="3">
        <f ca="1"/>
        <v>10</v>
      </c>
      <c r="BO213" s="3">
        <f ca="1"/>
        <v>0</v>
      </c>
      <c r="BP213" s="3">
        <f ca="1"/>
        <v>1</v>
      </c>
      <c r="BR213" s="3">
        <f ca="1"/>
        <v>1.3333333333333333</v>
      </c>
      <c r="BS213" s="3">
        <f ca="1"/>
        <v>3</v>
      </c>
      <c r="BT213" s="3">
        <f ca="1"/>
        <v>0.44444444444444442</v>
      </c>
      <c r="BU213" s="3" t="b">
        <f ca="1"/>
        <v>0</v>
      </c>
    </row>
    <row r="214" spans="65:73" ht="14.4" customHeight="1" x14ac:dyDescent="0.3">
      <c r="BM214" s="3">
        <f ca="1"/>
        <v>5</v>
      </c>
      <c r="BN214" s="3">
        <f ca="1"/>
        <v>10</v>
      </c>
      <c r="BO214" s="3">
        <f ca="1"/>
        <v>1</v>
      </c>
      <c r="BP214" s="3">
        <f ca="1"/>
        <v>2</v>
      </c>
      <c r="BR214" s="3">
        <f ca="1"/>
        <v>1.6666666666666665</v>
      </c>
      <c r="BS214" s="3">
        <f ca="1"/>
        <v>3</v>
      </c>
      <c r="BT214" s="3">
        <f ca="1"/>
        <v>0.55555555555555547</v>
      </c>
      <c r="BU214" s="3" t="b">
        <f ca="1"/>
        <v>0</v>
      </c>
    </row>
    <row r="215" spans="65:73" ht="14.4" customHeight="1" x14ac:dyDescent="0.3">
      <c r="BM215" s="3">
        <f ca="1"/>
        <v>5</v>
      </c>
      <c r="BN215" s="3">
        <f ca="1"/>
        <v>10</v>
      </c>
      <c r="BO215" s="3">
        <f ca="1"/>
        <v>2</v>
      </c>
      <c r="BP215" s="3">
        <f ca="1"/>
        <v>3</v>
      </c>
      <c r="BR215" s="3">
        <f ca="1"/>
        <v>2</v>
      </c>
      <c r="BS215" s="3">
        <f ca="1"/>
        <v>3</v>
      </c>
      <c r="BT215" s="3">
        <f ca="1"/>
        <v>0.66666666666666663</v>
      </c>
      <c r="BU215" s="3" t="b">
        <f ca="1"/>
        <v>1</v>
      </c>
    </row>
    <row r="216" spans="65:73" ht="14.4" customHeight="1" x14ac:dyDescent="0.3">
      <c r="BM216" s="3">
        <f ca="1"/>
        <v>5</v>
      </c>
      <c r="BN216" s="3">
        <f ca="1"/>
        <v>5</v>
      </c>
      <c r="BO216" s="3">
        <f ca="1"/>
        <v>2</v>
      </c>
      <c r="BP216" s="3">
        <f ca="1"/>
        <v>2</v>
      </c>
      <c r="BR216" s="3">
        <f ca="1"/>
        <v>1.6666666666666665</v>
      </c>
      <c r="BS216" s="3">
        <f ca="1"/>
        <v>3</v>
      </c>
      <c r="BT216" s="3">
        <f ca="1"/>
        <v>0.55555555555555547</v>
      </c>
      <c r="BU216" s="3" t="b">
        <f ca="1"/>
        <v>0</v>
      </c>
    </row>
    <row r="217" spans="65:73" ht="14.4" customHeight="1" x14ac:dyDescent="0.3">
      <c r="BM217" s="3">
        <f ca="1"/>
        <v>5</v>
      </c>
      <c r="BN217" s="3">
        <f ca="1"/>
        <v>10</v>
      </c>
      <c r="BO217" s="3">
        <f ca="1"/>
        <v>2</v>
      </c>
      <c r="BP217" s="3">
        <f ca="1"/>
        <v>3</v>
      </c>
      <c r="BR217" s="3">
        <f ca="1"/>
        <v>2</v>
      </c>
      <c r="BS217" s="3">
        <f ca="1"/>
        <v>3</v>
      </c>
      <c r="BT217" s="3">
        <f ca="1"/>
        <v>0.66666666666666663</v>
      </c>
      <c r="BU217" s="3" t="b">
        <f ca="1"/>
        <v>1</v>
      </c>
    </row>
    <row r="218" spans="65:73" ht="14.4" customHeight="1" x14ac:dyDescent="0.3">
      <c r="BM218" s="3">
        <f ca="1"/>
        <v>5</v>
      </c>
      <c r="BN218" s="3">
        <f ca="1"/>
        <v>15</v>
      </c>
      <c r="BO218" s="3">
        <f ca="1"/>
        <v>1</v>
      </c>
      <c r="BP218" s="3">
        <f ca="1"/>
        <v>3</v>
      </c>
      <c r="BR218" s="3">
        <f ca="1"/>
        <v>1.9999999999999998</v>
      </c>
      <c r="BS218" s="3">
        <f ca="1"/>
        <v>3</v>
      </c>
      <c r="BT218" s="3">
        <f ca="1"/>
        <v>0.66666666666666663</v>
      </c>
      <c r="BU218" s="3" t="b">
        <f ca="1"/>
        <v>1</v>
      </c>
    </row>
    <row r="219" spans="65:73" ht="14.4" customHeight="1" x14ac:dyDescent="0.3">
      <c r="BM219" s="3">
        <f ca="1"/>
        <v>5</v>
      </c>
      <c r="BN219" s="3">
        <f ca="1"/>
        <v>10</v>
      </c>
      <c r="BO219" s="3">
        <f ca="1"/>
        <v>2</v>
      </c>
      <c r="BP219" s="3">
        <f ca="1"/>
        <v>3</v>
      </c>
      <c r="BR219" s="3">
        <f ca="1"/>
        <v>2</v>
      </c>
      <c r="BS219" s="3">
        <f ca="1"/>
        <v>3</v>
      </c>
      <c r="BT219" s="3">
        <f ca="1"/>
        <v>0.66666666666666663</v>
      </c>
      <c r="BU219" s="3" t="b">
        <f ca="1"/>
        <v>1</v>
      </c>
    </row>
    <row r="220" spans="65:73" ht="14.4" customHeight="1" x14ac:dyDescent="0.3">
      <c r="BM220" s="3">
        <f ca="1"/>
        <v>5</v>
      </c>
      <c r="BN220" s="3">
        <f ca="1"/>
        <v>15</v>
      </c>
      <c r="BO220" s="3">
        <f ca="1"/>
        <v>2</v>
      </c>
      <c r="BP220" s="3">
        <f ca="1"/>
        <v>3</v>
      </c>
      <c r="BR220" s="3">
        <f ca="1"/>
        <v>2.333333333333333</v>
      </c>
      <c r="BS220" s="3">
        <f ca="1"/>
        <v>3</v>
      </c>
      <c r="BT220" s="3">
        <f ca="1"/>
        <v>0.77777777777777768</v>
      </c>
      <c r="BU220" s="3" t="b">
        <f ca="1"/>
        <v>1</v>
      </c>
    </row>
    <row r="221" spans="65:73" ht="14.4" customHeight="1" x14ac:dyDescent="0.3">
      <c r="BM221" s="3">
        <f ca="1"/>
        <v>5</v>
      </c>
      <c r="BN221" s="3">
        <f ca="1"/>
        <v>15</v>
      </c>
      <c r="BO221" s="3">
        <f ca="1"/>
        <v>2</v>
      </c>
      <c r="BP221" s="3">
        <f ca="1"/>
        <v>3</v>
      </c>
      <c r="BR221" s="3">
        <f ca="1"/>
        <v>2.333333333333333</v>
      </c>
      <c r="BS221" s="3">
        <f ca="1"/>
        <v>3</v>
      </c>
      <c r="BT221" s="3">
        <f ca="1"/>
        <v>0.77777777777777768</v>
      </c>
      <c r="BU221" s="3" t="b">
        <f ca="1"/>
        <v>1</v>
      </c>
    </row>
    <row r="222" spans="65:73" ht="14.4" customHeight="1" x14ac:dyDescent="0.3">
      <c r="BM222" s="3">
        <f ca="1"/>
        <v>5</v>
      </c>
      <c r="BN222" s="3">
        <f ca="1"/>
        <v>10</v>
      </c>
      <c r="BO222" s="3">
        <f ca="1"/>
        <v>2</v>
      </c>
      <c r="BP222" s="3">
        <f ca="1"/>
        <v>3</v>
      </c>
      <c r="BR222" s="3">
        <f ca="1"/>
        <v>2</v>
      </c>
      <c r="BS222" s="3">
        <f ca="1"/>
        <v>3</v>
      </c>
      <c r="BT222" s="3">
        <f ca="1"/>
        <v>0.66666666666666663</v>
      </c>
      <c r="BU222" s="3" t="b">
        <f ca="1"/>
        <v>1</v>
      </c>
    </row>
    <row r="223" spans="65:73" ht="14.4" customHeight="1" x14ac:dyDescent="0.3">
      <c r="BM223" s="3">
        <f ca="1"/>
        <v>0</v>
      </c>
      <c r="BN223" s="3">
        <f ca="1"/>
        <v>10</v>
      </c>
      <c r="BO223" s="3">
        <f ca="1"/>
        <v>1</v>
      </c>
      <c r="BP223" s="3">
        <f ca="1"/>
        <v>2</v>
      </c>
      <c r="BR223" s="3">
        <f ca="1"/>
        <v>1.1666666666666665</v>
      </c>
      <c r="BS223" s="3">
        <f ca="1"/>
        <v>3</v>
      </c>
      <c r="BT223" s="3">
        <f ca="1"/>
        <v>0.38888888888888884</v>
      </c>
      <c r="BU223" s="3" t="b">
        <f ca="1"/>
        <v>0</v>
      </c>
    </row>
    <row r="224" spans="65:73" ht="14.4" customHeight="1" x14ac:dyDescent="0.3">
      <c r="BM224" s="3">
        <f ca="1"/>
        <v>5</v>
      </c>
      <c r="BN224" s="3">
        <f ca="1"/>
        <v>10</v>
      </c>
      <c r="BO224" s="3">
        <f ca="1"/>
        <v>2</v>
      </c>
      <c r="BP224" s="3">
        <f ca="1"/>
        <v>2</v>
      </c>
      <c r="BR224" s="3">
        <f ca="1"/>
        <v>2</v>
      </c>
      <c r="BS224" s="3">
        <f ca="1"/>
        <v>3</v>
      </c>
      <c r="BT224" s="3">
        <f ca="1"/>
        <v>0.66666666666666663</v>
      </c>
      <c r="BU224" s="3" t="b">
        <f ca="1"/>
        <v>1</v>
      </c>
    </row>
    <row r="225" spans="65:73" ht="14.4" customHeight="1" x14ac:dyDescent="0.3">
      <c r="BM225" s="3">
        <f ca="1"/>
        <v>5</v>
      </c>
      <c r="BN225" s="3">
        <f ca="1"/>
        <v>20</v>
      </c>
      <c r="BO225" s="3">
        <f ca="1"/>
        <v>1</v>
      </c>
      <c r="BP225" s="3">
        <f ca="1"/>
        <v>2</v>
      </c>
      <c r="BR225" s="3">
        <f ca="1"/>
        <v>2.3333333333333335</v>
      </c>
      <c r="BS225" s="3">
        <f ca="1"/>
        <v>3</v>
      </c>
      <c r="BT225" s="3">
        <f ca="1"/>
        <v>0.77777777777777779</v>
      </c>
      <c r="BU225" s="3" t="b">
        <f ca="1"/>
        <v>1</v>
      </c>
    </row>
    <row r="226" spans="65:73" ht="14.4" customHeight="1" x14ac:dyDescent="0.3">
      <c r="BM226" s="3">
        <f ca="1"/>
        <v>5</v>
      </c>
      <c r="BN226" s="3">
        <f ca="1"/>
        <v>10</v>
      </c>
      <c r="BO226" s="3">
        <f ca="1"/>
        <v>2</v>
      </c>
      <c r="BP226" s="3">
        <f ca="1"/>
        <v>2</v>
      </c>
      <c r="BR226" s="3">
        <f ca="1"/>
        <v>2</v>
      </c>
      <c r="BS226" s="3">
        <f ca="1"/>
        <v>3</v>
      </c>
      <c r="BT226" s="3">
        <f ca="1"/>
        <v>0.66666666666666663</v>
      </c>
      <c r="BU226" s="3" t="b">
        <f ca="1"/>
        <v>1</v>
      </c>
    </row>
    <row r="227" spans="65:73" ht="14.4" customHeight="1" x14ac:dyDescent="0.3">
      <c r="BM227" s="3">
        <f ca="1"/>
        <v>5</v>
      </c>
      <c r="BN227" s="3">
        <f ca="1"/>
        <v>15</v>
      </c>
      <c r="BO227" s="3">
        <f ca="1"/>
        <v>2</v>
      </c>
      <c r="BP227" s="3">
        <f ca="1"/>
        <v>3</v>
      </c>
      <c r="BR227" s="3">
        <f ca="1"/>
        <v>2.333333333333333</v>
      </c>
      <c r="BS227" s="3">
        <f ca="1"/>
        <v>3</v>
      </c>
      <c r="BT227" s="3">
        <f ca="1"/>
        <v>0.77777777777777768</v>
      </c>
      <c r="BU227" s="3" t="b">
        <f ca="1"/>
        <v>1</v>
      </c>
    </row>
    <row r="228" spans="65:73" ht="14.4" customHeight="1" x14ac:dyDescent="0.3">
      <c r="BM228" s="3">
        <f ca="1"/>
        <v>5</v>
      </c>
      <c r="BN228" s="3">
        <f ca="1"/>
        <v>10</v>
      </c>
      <c r="BO228" s="3">
        <f ca="1"/>
        <v>1</v>
      </c>
      <c r="BP228" s="3">
        <f ca="1"/>
        <v>2</v>
      </c>
      <c r="BR228" s="3">
        <f ca="1"/>
        <v>1.6666666666666665</v>
      </c>
      <c r="BS228" s="3">
        <f ca="1"/>
        <v>3</v>
      </c>
      <c r="BT228" s="3">
        <f ca="1"/>
        <v>0.55555555555555547</v>
      </c>
      <c r="BU228" s="3" t="b">
        <f ca="1"/>
        <v>0</v>
      </c>
    </row>
    <row r="229" spans="65:73" ht="14.4" customHeight="1" x14ac:dyDescent="0.3">
      <c r="BM229" s="3">
        <f ca="1"/>
        <v>0</v>
      </c>
      <c r="BN229" s="3">
        <f ca="1"/>
        <v>10</v>
      </c>
      <c r="BO229" s="3">
        <f ca="1"/>
        <v>0</v>
      </c>
      <c r="BP229" s="3">
        <f ca="1"/>
        <v>2</v>
      </c>
      <c r="BR229" s="3">
        <f ca="1"/>
        <v>0.83333333333333326</v>
      </c>
      <c r="BS229" s="3">
        <f ca="1"/>
        <v>3</v>
      </c>
      <c r="BT229" s="3">
        <f ca="1"/>
        <v>0.27777777777777773</v>
      </c>
      <c r="BU229" s="3" t="b">
        <f ca="1"/>
        <v>0</v>
      </c>
    </row>
    <row r="230" spans="65:73" ht="14.4" customHeight="1" x14ac:dyDescent="0.3">
      <c r="BM230" s="3">
        <f ca="1"/>
        <v>5</v>
      </c>
      <c r="BN230" s="3">
        <f ca="1"/>
        <v>5</v>
      </c>
      <c r="BO230" s="3">
        <f ca="1"/>
        <v>1</v>
      </c>
      <c r="BP230" s="3">
        <f ca="1"/>
        <v>2</v>
      </c>
      <c r="BR230" s="3">
        <f ca="1"/>
        <v>1.3333333333333333</v>
      </c>
      <c r="BS230" s="3">
        <f ca="1"/>
        <v>3</v>
      </c>
      <c r="BT230" s="3">
        <f ca="1"/>
        <v>0.44444444444444442</v>
      </c>
      <c r="BU230" s="3" t="b">
        <f ca="1"/>
        <v>0</v>
      </c>
    </row>
    <row r="231" spans="65:73" ht="14.4" customHeight="1" x14ac:dyDescent="0.3">
      <c r="BM231" s="3">
        <f ca="1"/>
        <v>0</v>
      </c>
      <c r="BN231" s="3">
        <f ca="1"/>
        <v>15</v>
      </c>
      <c r="BO231" s="3">
        <f ca="1"/>
        <v>1</v>
      </c>
      <c r="BP231" s="3">
        <f ca="1"/>
        <v>2</v>
      </c>
      <c r="BR231" s="3">
        <f ca="1"/>
        <v>1.4999999999999998</v>
      </c>
      <c r="BS231" s="3">
        <f ca="1"/>
        <v>3</v>
      </c>
      <c r="BT231" s="3">
        <f ca="1"/>
        <v>0.49999999999999994</v>
      </c>
      <c r="BU231" s="3" t="b">
        <f ca="1"/>
        <v>0</v>
      </c>
    </row>
    <row r="232" spans="65:73" ht="14.4" customHeight="1" x14ac:dyDescent="0.3">
      <c r="BM232" s="3">
        <f ca="1"/>
        <v>5</v>
      </c>
      <c r="BN232" s="3">
        <f ca="1"/>
        <v>10</v>
      </c>
      <c r="BO232" s="3">
        <f ca="1"/>
        <v>2</v>
      </c>
      <c r="BP232" s="3">
        <f ca="1"/>
        <v>3</v>
      </c>
      <c r="BR232" s="3">
        <f ca="1"/>
        <v>2</v>
      </c>
      <c r="BS232" s="3">
        <f ca="1"/>
        <v>3</v>
      </c>
      <c r="BT232" s="3">
        <f ca="1"/>
        <v>0.66666666666666663</v>
      </c>
      <c r="BU232" s="3" t="b">
        <f ca="1"/>
        <v>1</v>
      </c>
    </row>
    <row r="233" spans="65:73" ht="14.4" customHeight="1" x14ac:dyDescent="0.3">
      <c r="BM233" s="3">
        <f ca="1"/>
        <v>0</v>
      </c>
      <c r="BN233" s="3">
        <f ca="1"/>
        <v>5</v>
      </c>
      <c r="BO233" s="3">
        <f ca="1"/>
        <v>0</v>
      </c>
      <c r="BP233" s="3">
        <f ca="1"/>
        <v>1</v>
      </c>
      <c r="BR233" s="3">
        <f ca="1"/>
        <v>0.5</v>
      </c>
      <c r="BS233" s="3">
        <f ca="1"/>
        <v>3</v>
      </c>
      <c r="BT233" s="3">
        <f ca="1"/>
        <v>0.16666666666666666</v>
      </c>
      <c r="BU233" s="3" t="b">
        <f ca="1"/>
        <v>0</v>
      </c>
    </row>
    <row r="234" spans="65:73" ht="14.4" customHeight="1" x14ac:dyDescent="0.3">
      <c r="BM234" s="3">
        <f ca="1"/>
        <v>5</v>
      </c>
      <c r="BN234" s="3">
        <f ca="1"/>
        <v>10</v>
      </c>
      <c r="BO234" s="3">
        <f ca="1"/>
        <v>1</v>
      </c>
      <c r="BP234" s="3">
        <f ca="1"/>
        <v>1</v>
      </c>
      <c r="BR234" s="3">
        <f ca="1"/>
        <v>1.6666666666666665</v>
      </c>
      <c r="BS234" s="3">
        <f ca="1"/>
        <v>3</v>
      </c>
      <c r="BT234" s="3">
        <f ca="1"/>
        <v>0.55555555555555547</v>
      </c>
      <c r="BU234" s="3" t="b">
        <f ca="1"/>
        <v>0</v>
      </c>
    </row>
    <row r="235" spans="65:73" ht="14.4" customHeight="1" x14ac:dyDescent="0.3">
      <c r="BM235" s="3">
        <f ca="1"/>
        <v>5</v>
      </c>
      <c r="BN235" s="3">
        <f ca="1"/>
        <v>15</v>
      </c>
      <c r="BO235" s="3">
        <f ca="1"/>
        <v>2</v>
      </c>
      <c r="BP235" s="3">
        <f ca="1"/>
        <v>3</v>
      </c>
      <c r="BR235" s="3">
        <f ca="1"/>
        <v>2.333333333333333</v>
      </c>
      <c r="BS235" s="3">
        <f ca="1"/>
        <v>3</v>
      </c>
      <c r="BT235" s="3">
        <f ca="1"/>
        <v>0.77777777777777768</v>
      </c>
      <c r="BU235" s="3" t="b">
        <f ca="1"/>
        <v>1</v>
      </c>
    </row>
    <row r="236" spans="65:73" ht="14.4" customHeight="1" x14ac:dyDescent="0.3">
      <c r="BM236" s="3">
        <f ca="1"/>
        <v>0</v>
      </c>
      <c r="BN236" s="3">
        <f ca="1"/>
        <v>10</v>
      </c>
      <c r="BO236" s="3">
        <f ca="1"/>
        <v>1</v>
      </c>
      <c r="BP236" s="3">
        <f ca="1"/>
        <v>2</v>
      </c>
      <c r="BR236" s="3">
        <f ca="1"/>
        <v>1.1666666666666665</v>
      </c>
      <c r="BS236" s="3">
        <f ca="1"/>
        <v>3</v>
      </c>
      <c r="BT236" s="3">
        <f ca="1"/>
        <v>0.38888888888888884</v>
      </c>
      <c r="BU236" s="3" t="b">
        <f ca="1"/>
        <v>0</v>
      </c>
    </row>
    <row r="237" spans="65:73" ht="14.4" customHeight="1" x14ac:dyDescent="0.3">
      <c r="BM237" s="3">
        <f ca="1"/>
        <v>5</v>
      </c>
      <c r="BN237" s="3">
        <f ca="1"/>
        <v>10</v>
      </c>
      <c r="BO237" s="3">
        <f ca="1"/>
        <v>1</v>
      </c>
      <c r="BP237" s="3">
        <f ca="1"/>
        <v>2</v>
      </c>
      <c r="BR237" s="3">
        <f ca="1"/>
        <v>1.6666666666666665</v>
      </c>
      <c r="BS237" s="3">
        <f ca="1"/>
        <v>3</v>
      </c>
      <c r="BT237" s="3">
        <f ca="1"/>
        <v>0.55555555555555547</v>
      </c>
      <c r="BU237" s="3" t="b">
        <f ca="1"/>
        <v>0</v>
      </c>
    </row>
    <row r="238" spans="65:73" ht="14.4" customHeight="1" x14ac:dyDescent="0.3">
      <c r="BM238" s="3">
        <f ca="1"/>
        <v>2.5</v>
      </c>
      <c r="BN238" s="3">
        <f ca="1"/>
        <v>10</v>
      </c>
      <c r="BO238" s="3">
        <f ca="1"/>
        <v>1</v>
      </c>
      <c r="BP238" s="3">
        <f ca="1"/>
        <v>2</v>
      </c>
      <c r="BR238" s="3">
        <f ca="1"/>
        <v>1.4166666666666665</v>
      </c>
      <c r="BS238" s="3">
        <f ca="1"/>
        <v>3</v>
      </c>
      <c r="BT238" s="3">
        <f ca="1"/>
        <v>0.47222222222222215</v>
      </c>
      <c r="BU238" s="3" t="b">
        <f ca="1"/>
        <v>0</v>
      </c>
    </row>
    <row r="239" spans="65:73" ht="14.4" customHeight="1" x14ac:dyDescent="0.3">
      <c r="BM239" s="3">
        <f ca="1"/>
        <v>2.5</v>
      </c>
      <c r="BN239" s="3">
        <f ca="1"/>
        <v>10</v>
      </c>
      <c r="BO239" s="3">
        <f ca="1"/>
        <v>1</v>
      </c>
      <c r="BP239" s="3">
        <f ca="1"/>
        <v>2</v>
      </c>
      <c r="BR239" s="3">
        <f ca="1"/>
        <v>1.4166666666666665</v>
      </c>
      <c r="BS239" s="3">
        <f ca="1"/>
        <v>3</v>
      </c>
      <c r="BT239" s="3">
        <f ca="1"/>
        <v>0.47222222222222215</v>
      </c>
      <c r="BU239" s="3" t="b">
        <f ca="1"/>
        <v>0</v>
      </c>
    </row>
    <row r="240" spans="65:73" ht="14.4" customHeight="1" x14ac:dyDescent="0.3">
      <c r="BM240" s="3">
        <f ca="1"/>
        <v>5</v>
      </c>
      <c r="BN240" s="3">
        <f ca="1"/>
        <v>10</v>
      </c>
      <c r="BO240" s="3">
        <f ca="1"/>
        <v>1</v>
      </c>
      <c r="BP240" s="3">
        <f ca="1"/>
        <v>2</v>
      </c>
      <c r="BR240" s="3">
        <f ca="1"/>
        <v>1.6666666666666665</v>
      </c>
      <c r="BS240" s="3">
        <f ca="1"/>
        <v>3</v>
      </c>
      <c r="BT240" s="3">
        <f ca="1"/>
        <v>0.55555555555555547</v>
      </c>
      <c r="BU240" s="3" t="b">
        <f ca="1"/>
        <v>0</v>
      </c>
    </row>
    <row r="241" spans="65:73" ht="14.4" customHeight="1" x14ac:dyDescent="0.3">
      <c r="BM241" s="3">
        <f ca="1"/>
        <v>5</v>
      </c>
      <c r="BN241" s="3">
        <f ca="1"/>
        <v>10</v>
      </c>
      <c r="BO241" s="3">
        <f ca="1"/>
        <v>1</v>
      </c>
      <c r="BP241" s="3">
        <f ca="1"/>
        <v>2</v>
      </c>
      <c r="BR241" s="3">
        <f ca="1"/>
        <v>1.6666666666666665</v>
      </c>
      <c r="BS241" s="3">
        <f ca="1"/>
        <v>3</v>
      </c>
      <c r="BT241" s="3">
        <f ca="1"/>
        <v>0.55555555555555547</v>
      </c>
      <c r="BU241" s="3" t="b">
        <f ca="1"/>
        <v>0</v>
      </c>
    </row>
    <row r="242" spans="65:73" ht="14.4" customHeight="1" x14ac:dyDescent="0.3">
      <c r="BM242" s="3">
        <f ca="1"/>
        <v>2.5</v>
      </c>
      <c r="BN242" s="3">
        <f ca="1"/>
        <v>10</v>
      </c>
      <c r="BO242" s="3">
        <f ca="1"/>
        <v>2</v>
      </c>
      <c r="BP242" s="3">
        <f ca="1"/>
        <v>2</v>
      </c>
      <c r="BR242" s="3">
        <f ca="1"/>
        <v>1.75</v>
      </c>
      <c r="BS242" s="3">
        <f ca="1"/>
        <v>3</v>
      </c>
      <c r="BT242" s="3">
        <f ca="1"/>
        <v>0.58333333333333337</v>
      </c>
      <c r="BU242" s="3" t="b">
        <f ca="1"/>
        <v>1</v>
      </c>
    </row>
    <row r="243" spans="65:73" ht="14.4" customHeight="1" x14ac:dyDescent="0.3">
      <c r="BM243" s="3">
        <f ca="1"/>
        <v>5</v>
      </c>
      <c r="BN243" s="3">
        <f ca="1"/>
        <v>10</v>
      </c>
      <c r="BO243" s="3">
        <f ca="1"/>
        <v>2</v>
      </c>
      <c r="BP243" s="3">
        <f ca="1"/>
        <v>2</v>
      </c>
      <c r="BR243" s="3">
        <f ca="1"/>
        <v>2</v>
      </c>
      <c r="BS243" s="3">
        <f ca="1"/>
        <v>3</v>
      </c>
      <c r="BT243" s="3">
        <f ca="1"/>
        <v>0.66666666666666663</v>
      </c>
      <c r="BU243" s="3" t="b">
        <f ca="1"/>
        <v>1</v>
      </c>
    </row>
    <row r="244" spans="65:73" ht="14.4" customHeight="1" x14ac:dyDescent="0.3">
      <c r="BM244" s="3">
        <f ca="1"/>
        <v>5</v>
      </c>
      <c r="BN244" s="3">
        <f ca="1"/>
        <v>10</v>
      </c>
      <c r="BO244" s="3">
        <f ca="1"/>
        <v>0</v>
      </c>
      <c r="BP244" s="3">
        <f ca="1"/>
        <v>1</v>
      </c>
      <c r="BR244" s="3">
        <f ca="1"/>
        <v>1.3333333333333333</v>
      </c>
      <c r="BS244" s="3">
        <f ca="1"/>
        <v>3</v>
      </c>
      <c r="BT244" s="3">
        <f ca="1"/>
        <v>0.44444444444444442</v>
      </c>
      <c r="BU244" s="3" t="b">
        <f ca="1"/>
        <v>0</v>
      </c>
    </row>
    <row r="245" spans="65:73" ht="14.4" customHeight="1" x14ac:dyDescent="0.3">
      <c r="BM245" s="3">
        <f ca="1"/>
        <v>2.5</v>
      </c>
      <c r="BN245" s="3">
        <f ca="1"/>
        <v>10</v>
      </c>
      <c r="BO245" s="3">
        <f ca="1"/>
        <v>1</v>
      </c>
      <c r="BP245" s="3">
        <f ca="1"/>
        <v>1</v>
      </c>
      <c r="BR245" s="3">
        <f ca="1"/>
        <v>1.4166666666666665</v>
      </c>
      <c r="BS245" s="3">
        <f ca="1"/>
        <v>3</v>
      </c>
      <c r="BT245" s="3">
        <f ca="1"/>
        <v>0.47222222222222215</v>
      </c>
      <c r="BU245" s="3" t="b">
        <f ca="1"/>
        <v>0</v>
      </c>
    </row>
    <row r="246" spans="65:73" ht="14.4" customHeight="1" x14ac:dyDescent="0.3">
      <c r="BM246" s="3">
        <f ca="1"/>
        <v>2.5</v>
      </c>
      <c r="BN246" s="3">
        <f ca="1"/>
        <v>5</v>
      </c>
      <c r="BO246" s="3">
        <f ca="1"/>
        <v>1</v>
      </c>
      <c r="BP246" s="3">
        <f ca="1"/>
        <v>2</v>
      </c>
      <c r="BR246" s="3">
        <f ca="1"/>
        <v>1.0833333333333333</v>
      </c>
      <c r="BS246" s="3">
        <f ca="1"/>
        <v>3</v>
      </c>
      <c r="BT246" s="3">
        <f ca="1"/>
        <v>0.3611111111111111</v>
      </c>
      <c r="BU246" s="3" t="b">
        <f ca="1"/>
        <v>0</v>
      </c>
    </row>
    <row r="247" spans="65:73" ht="14.4" customHeight="1" x14ac:dyDescent="0.3">
      <c r="BM247" s="3">
        <f ca="1"/>
        <v>5</v>
      </c>
      <c r="BN247" s="3">
        <f ca="1"/>
        <v>5</v>
      </c>
      <c r="BO247" s="3">
        <f ca="1"/>
        <v>1</v>
      </c>
      <c r="BP247" s="3">
        <f ca="1"/>
        <v>2</v>
      </c>
      <c r="BR247" s="3">
        <f ca="1"/>
        <v>1.3333333333333333</v>
      </c>
      <c r="BS247" s="3">
        <f ca="1"/>
        <v>3</v>
      </c>
      <c r="BT247" s="3">
        <f ca="1"/>
        <v>0.44444444444444442</v>
      </c>
      <c r="BU247" s="3" t="b">
        <f ca="1"/>
        <v>0</v>
      </c>
    </row>
    <row r="248" spans="65:73" ht="14.4" customHeight="1" x14ac:dyDescent="0.3">
      <c r="BM248" s="3">
        <f ca="1"/>
        <v>2.5</v>
      </c>
      <c r="BN248" s="3">
        <f ca="1"/>
        <v>10</v>
      </c>
      <c r="BO248" s="3">
        <f ca="1"/>
        <v>2</v>
      </c>
      <c r="BP248" s="3">
        <f ca="1"/>
        <v>3</v>
      </c>
      <c r="BR248" s="3">
        <f ca="1"/>
        <v>1.75</v>
      </c>
      <c r="BS248" s="3">
        <f ca="1"/>
        <v>3</v>
      </c>
      <c r="BT248" s="3">
        <f ca="1"/>
        <v>0.58333333333333337</v>
      </c>
      <c r="BU248" s="3" t="b">
        <f ca="1"/>
        <v>1</v>
      </c>
    </row>
    <row r="249" spans="65:73" ht="14.4" customHeight="1" x14ac:dyDescent="0.3">
      <c r="BM249" s="3">
        <f ca="1"/>
        <v>2.5</v>
      </c>
      <c r="BN249" s="3">
        <f ca="1"/>
        <v>10</v>
      </c>
      <c r="BO249" s="3">
        <f ca="1"/>
        <v>1</v>
      </c>
      <c r="BP249" s="3">
        <f ca="1"/>
        <v>2</v>
      </c>
      <c r="BR249" s="3">
        <f ca="1"/>
        <v>1.4166666666666665</v>
      </c>
      <c r="BS249" s="3">
        <f ca="1"/>
        <v>3</v>
      </c>
      <c r="BT249" s="3">
        <f ca="1"/>
        <v>0.47222222222222215</v>
      </c>
      <c r="BU249" s="3" t="b">
        <f ca="1"/>
        <v>0</v>
      </c>
    </row>
    <row r="250" spans="65:73" ht="14.4" customHeight="1" x14ac:dyDescent="0.3">
      <c r="BM250" s="3">
        <f ca="1"/>
        <v>2.5</v>
      </c>
      <c r="BN250" s="3">
        <f ca="1"/>
        <v>5</v>
      </c>
      <c r="BO250" s="3">
        <f ca="1"/>
        <v>0</v>
      </c>
      <c r="BP250" s="3">
        <f ca="1"/>
        <v>1</v>
      </c>
      <c r="BR250" s="3">
        <f ca="1"/>
        <v>0.75</v>
      </c>
      <c r="BS250" s="3">
        <f ca="1"/>
        <v>3</v>
      </c>
      <c r="BT250" s="3">
        <f ca="1"/>
        <v>0.25</v>
      </c>
      <c r="BU250" s="3" t="b">
        <f ca="1"/>
        <v>0</v>
      </c>
    </row>
    <row r="251" spans="65:73" ht="14.4" customHeight="1" x14ac:dyDescent="0.3">
      <c r="BM251" s="3">
        <f ca="1"/>
        <v>2.5</v>
      </c>
      <c r="BN251" s="3">
        <f ca="1"/>
        <v>10</v>
      </c>
      <c r="BO251" s="3">
        <f ca="1"/>
        <v>1</v>
      </c>
      <c r="BP251" s="3">
        <f ca="1"/>
        <v>2</v>
      </c>
      <c r="BR251" s="3">
        <f ca="1"/>
        <v>1.4166666666666665</v>
      </c>
      <c r="BS251" s="3">
        <f ca="1"/>
        <v>3</v>
      </c>
      <c r="BT251" s="3">
        <f ca="1"/>
        <v>0.47222222222222215</v>
      </c>
      <c r="BU251" s="3" t="b">
        <f ca="1"/>
        <v>0</v>
      </c>
    </row>
    <row r="252" spans="65:73" ht="14.4" customHeight="1" x14ac:dyDescent="0.3">
      <c r="BM252" s="3">
        <f ca="1"/>
        <v>0</v>
      </c>
      <c r="BN252" s="3">
        <f ca="1"/>
        <v>5</v>
      </c>
      <c r="BO252" s="3">
        <f ca="1"/>
        <v>1</v>
      </c>
      <c r="BP252" s="3">
        <f ca="1"/>
        <v>2</v>
      </c>
      <c r="BR252" s="3">
        <f ca="1"/>
        <v>0.83333333333333326</v>
      </c>
      <c r="BS252" s="3">
        <f ca="1"/>
        <v>3</v>
      </c>
      <c r="BT252" s="3">
        <f ca="1"/>
        <v>0.27777777777777773</v>
      </c>
      <c r="BU252" s="3" t="b">
        <f ca="1"/>
        <v>0</v>
      </c>
    </row>
    <row r="253" spans="65:73" ht="14.4" customHeight="1" x14ac:dyDescent="0.3">
      <c r="BM253" s="3">
        <f ca="1"/>
        <v>0</v>
      </c>
      <c r="BN253" s="3">
        <f ca="1"/>
        <v>10</v>
      </c>
      <c r="BO253" s="3">
        <f ca="1"/>
        <v>2</v>
      </c>
      <c r="BP253" s="3">
        <f ca="1"/>
        <v>3</v>
      </c>
      <c r="BR253" s="3">
        <f ca="1"/>
        <v>1.5</v>
      </c>
      <c r="BS253" s="3">
        <f ca="1"/>
        <v>3</v>
      </c>
      <c r="BT253" s="3">
        <f ca="1"/>
        <v>0.5</v>
      </c>
      <c r="BU253" s="3" t="b">
        <f ca="1"/>
        <v>0</v>
      </c>
    </row>
    <row r="254" spans="65:73" ht="14.4" customHeight="1" x14ac:dyDescent="0.3">
      <c r="BM254" s="3">
        <f ca="1"/>
        <v>0</v>
      </c>
      <c r="BN254" s="3">
        <f ca="1"/>
        <v>10</v>
      </c>
      <c r="BO254" s="3">
        <f ca="1"/>
        <v>1</v>
      </c>
      <c r="BP254" s="3">
        <f ca="1"/>
        <v>2</v>
      </c>
      <c r="BR254" s="3">
        <f ca="1"/>
        <v>1.1666666666666665</v>
      </c>
      <c r="BS254" s="3">
        <f ca="1"/>
        <v>3</v>
      </c>
      <c r="BT254" s="3">
        <f ca="1"/>
        <v>0.38888888888888884</v>
      </c>
      <c r="BU254" s="3" t="b">
        <f ca="1"/>
        <v>0</v>
      </c>
    </row>
    <row r="255" spans="65:73" ht="14.4" customHeight="1" x14ac:dyDescent="0.3">
      <c r="BM255" s="3">
        <f ca="1"/>
        <v>2.5</v>
      </c>
      <c r="BN255" s="3">
        <f ca="1"/>
        <v>15</v>
      </c>
      <c r="BO255" s="3">
        <f ca="1"/>
        <v>2</v>
      </c>
      <c r="BP255" s="3">
        <f ca="1"/>
        <v>3</v>
      </c>
      <c r="BR255" s="3">
        <f ca="1"/>
        <v>2.083333333333333</v>
      </c>
      <c r="BS255" s="3">
        <f ca="1"/>
        <v>3</v>
      </c>
      <c r="BT255" s="3">
        <f ca="1"/>
        <v>0.69444444444444431</v>
      </c>
      <c r="BU255" s="3" t="b">
        <f ca="1"/>
        <v>1</v>
      </c>
    </row>
    <row r="256" spans="65:73" ht="14.4" customHeight="1" x14ac:dyDescent="0.3">
      <c r="BM256" s="3">
        <f ca="1"/>
        <v>5</v>
      </c>
      <c r="BN256" s="3">
        <f ca="1"/>
        <v>10</v>
      </c>
      <c r="BO256" s="3">
        <f ca="1"/>
        <v>1</v>
      </c>
      <c r="BP256" s="3">
        <f ca="1"/>
        <v>2</v>
      </c>
      <c r="BR256" s="3">
        <f ca="1"/>
        <v>1.6666666666666665</v>
      </c>
      <c r="BS256" s="3">
        <f ca="1"/>
        <v>3</v>
      </c>
      <c r="BT256" s="3">
        <f ca="1"/>
        <v>0.55555555555555547</v>
      </c>
      <c r="BU256" s="3" t="b">
        <f ca="1"/>
        <v>0</v>
      </c>
    </row>
    <row r="257" spans="65:73" ht="14.4" customHeight="1" x14ac:dyDescent="0.3">
      <c r="BM257" s="3">
        <f ca="1"/>
        <v>5</v>
      </c>
      <c r="BN257" s="3">
        <f ca="1"/>
        <v>10</v>
      </c>
      <c r="BO257" s="3">
        <f ca="1"/>
        <v>1</v>
      </c>
      <c r="BP257" s="3">
        <f ca="1"/>
        <v>2</v>
      </c>
      <c r="BR257" s="3">
        <f ca="1"/>
        <v>1.6666666666666665</v>
      </c>
      <c r="BS257" s="3">
        <f ca="1"/>
        <v>3</v>
      </c>
      <c r="BT257" s="3">
        <f ca="1"/>
        <v>0.55555555555555547</v>
      </c>
      <c r="BU257" s="3" t="b">
        <f ca="1"/>
        <v>0</v>
      </c>
    </row>
    <row r="258" spans="65:73" ht="14.4" customHeight="1" x14ac:dyDescent="0.3">
      <c r="BM258" s="3">
        <f ca="1"/>
        <v>5</v>
      </c>
      <c r="BN258" s="3">
        <f ca="1"/>
        <v>10</v>
      </c>
      <c r="BO258" s="3">
        <f ca="1"/>
        <v>0</v>
      </c>
      <c r="BP258" s="3">
        <f ca="1"/>
        <v>2</v>
      </c>
      <c r="BR258" s="3">
        <f ca="1"/>
        <v>1.3333333333333333</v>
      </c>
      <c r="BS258" s="3">
        <f ca="1"/>
        <v>3</v>
      </c>
      <c r="BT258" s="3">
        <f ca="1"/>
        <v>0.44444444444444442</v>
      </c>
      <c r="BU258" s="3" t="b">
        <f ca="1"/>
        <v>0</v>
      </c>
    </row>
    <row r="259" spans="65:73" ht="14.4" customHeight="1" x14ac:dyDescent="0.3">
      <c r="BM259" s="3">
        <f ca="1"/>
        <v>0</v>
      </c>
      <c r="BN259" s="3">
        <f ca="1"/>
        <v>10</v>
      </c>
      <c r="BO259" s="3">
        <f ca="1"/>
        <v>0</v>
      </c>
      <c r="BP259" s="3">
        <f ca="1"/>
        <v>2</v>
      </c>
      <c r="BR259" s="3">
        <f ca="1"/>
        <v>0.83333333333333326</v>
      </c>
      <c r="BS259" s="3">
        <f ca="1"/>
        <v>3</v>
      </c>
      <c r="BT259" s="3">
        <f ca="1"/>
        <v>0.27777777777777773</v>
      </c>
      <c r="BU259" s="3" t="b">
        <f ca="1"/>
        <v>0</v>
      </c>
    </row>
    <row r="260" spans="65:73" ht="14.4" customHeight="1" x14ac:dyDescent="0.3">
      <c r="BM260" s="3">
        <f ca="1"/>
        <v>0</v>
      </c>
      <c r="BN260" s="3">
        <f ca="1"/>
        <v>10</v>
      </c>
      <c r="BO260" s="3">
        <f ca="1"/>
        <v>1</v>
      </c>
      <c r="BP260" s="3">
        <f ca="1"/>
        <v>2</v>
      </c>
      <c r="BR260" s="3">
        <f ca="1"/>
        <v>1.1666666666666665</v>
      </c>
      <c r="BS260" s="3">
        <f ca="1"/>
        <v>3</v>
      </c>
      <c r="BT260" s="3">
        <f ca="1"/>
        <v>0.38888888888888884</v>
      </c>
      <c r="BU260" s="3" t="b">
        <f ca="1"/>
        <v>0</v>
      </c>
    </row>
    <row r="261" spans="65:73" ht="14.4" customHeight="1" x14ac:dyDescent="0.3">
      <c r="BM261" s="3">
        <f ca="1"/>
        <v>5</v>
      </c>
      <c r="BN261" s="3">
        <f ca="1"/>
        <v>5</v>
      </c>
      <c r="BO261" s="3">
        <f ca="1"/>
        <v>0</v>
      </c>
      <c r="BP261" s="3">
        <f ca="1"/>
        <v>1</v>
      </c>
      <c r="BR261" s="3">
        <f ca="1"/>
        <v>1</v>
      </c>
      <c r="BS261" s="3">
        <f ca="1"/>
        <v>3</v>
      </c>
      <c r="BT261" s="3">
        <f ca="1"/>
        <v>0.33333333333333331</v>
      </c>
      <c r="BU261" s="3" t="b">
        <f ca="1"/>
        <v>0</v>
      </c>
    </row>
  </sheetData>
  <sheetProtection algorithmName="SHA-512" hashValue="E3MM4EDD5yFYCsksRANZkN2W94mwjcXJ3rdWZnnHED2Bvyw4S70QwQ2CUncwkfJQjga9/WBopyUy9Y/FcF899w==" saltValue="Mm7p9A063cWfYaGZiRQcOQ==" spinCount="100000" sheet="1" objects="1" scenarios="1"/>
  <phoneticPr fontId="5" type="noConversion"/>
  <dataValidations disablePrompts="1" count="1">
    <dataValidation type="list" allowBlank="1" showInputMessage="1" showErrorMessage="1" sqref="X3:X118" xr:uid="{E4D10EFD-060B-4417-8791-ED29617ADC8D}">
      <formula1>"Named variable, User-defined function, Conditional formatting, Data validation"</formula1>
    </dataValidation>
  </dataValidations>
  <pageMargins left="0.7" right="0.7" top="0.75" bottom="0.75" header="0.3" footer="0.3"/>
  <pageSetup paperSize="9" orientation="portrait" r:id="rId1"/>
  <drawing r:id="rId2"/>
  <legacyDrawing r:id="rId3"/>
  <tableParts count="14">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B20B-EEE9-4062-BCD1-78CA892C8877}">
  <sheetPr codeName="Sheet7">
    <tabColor theme="0" tint="-0.249977111117893"/>
  </sheetPr>
  <dimension ref="A1:L23"/>
  <sheetViews>
    <sheetView showGridLines="0" showRowColHeaders="0" tabSelected="1" zoomScale="90" zoomScaleNormal="90" workbookViewId="0">
      <selection activeCell="C5" sqref="C5"/>
    </sheetView>
  </sheetViews>
  <sheetFormatPr defaultColWidth="0" defaultRowHeight="14.4" zeroHeight="1" x14ac:dyDescent="0.3"/>
  <cols>
    <col min="1" max="1" width="3.77734375" style="3" customWidth="1"/>
    <col min="2" max="2" width="30.77734375" style="3" customWidth="1"/>
    <col min="3" max="3" width="15.77734375" style="3" customWidth="1"/>
    <col min="4" max="4" width="55.77734375" style="3" customWidth="1"/>
    <col min="5" max="6" width="3.77734375" style="3" customWidth="1"/>
    <col min="7" max="7" width="15.77734375" style="3" customWidth="1"/>
    <col min="8" max="8" width="8.77734375" style="3" customWidth="1"/>
    <col min="9" max="9" width="15.77734375" style="3" customWidth="1"/>
    <col min="10" max="10" width="63.77734375" style="3" customWidth="1"/>
    <col min="11" max="12" width="3.77734375" style="3" customWidth="1"/>
    <col min="13" max="16384" width="8.88671875" style="3" hidden="1"/>
  </cols>
  <sheetData>
    <row r="1" spans="1:12" ht="48" customHeight="1" x14ac:dyDescent="0.75">
      <c r="A1" s="65"/>
      <c r="B1" s="203" t="str" cm="1">
        <f t="array" ref="B1">"RANAS Analyser v" &amp; versionNumber</f>
        <v>RANAS Analyser v1.0.1</v>
      </c>
      <c r="C1" s="203"/>
      <c r="D1" s="203"/>
      <c r="E1" s="203"/>
      <c r="F1" s="203"/>
      <c r="G1" s="203"/>
      <c r="H1" s="203"/>
      <c r="I1" s="203"/>
      <c r="J1" s="203"/>
      <c r="K1" s="203"/>
      <c r="L1" s="65"/>
    </row>
    <row r="2" spans="1:12" ht="30" x14ac:dyDescent="0.5">
      <c r="A2" s="65"/>
      <c r="B2" s="204" t="s">
        <v>920</v>
      </c>
      <c r="C2" s="205"/>
      <c r="D2" s="205"/>
      <c r="E2" s="205"/>
      <c r="F2" s="205"/>
      <c r="G2" s="205"/>
      <c r="H2" s="205"/>
      <c r="I2" s="205"/>
      <c r="J2" s="205"/>
      <c r="K2" s="205"/>
      <c r="L2" s="65"/>
    </row>
    <row r="3" spans="1:12" ht="16.05" customHeight="1" x14ac:dyDescent="0.3">
      <c r="A3" s="65"/>
      <c r="B3" s="206" t="s">
        <v>921</v>
      </c>
      <c r="C3" s="207"/>
      <c r="D3" s="207"/>
      <c r="E3" s="207"/>
      <c r="F3" s="207"/>
      <c r="G3" s="207"/>
      <c r="H3" s="207"/>
      <c r="I3" s="207"/>
      <c r="J3" s="207"/>
      <c r="K3" s="207"/>
      <c r="L3" s="65"/>
    </row>
    <row r="4" spans="1:12" ht="16.05" customHeight="1" thickBot="1" x14ac:dyDescent="0.35">
      <c r="A4" s="65"/>
      <c r="B4" s="208" t="s">
        <v>578</v>
      </c>
      <c r="C4" s="48"/>
      <c r="D4" s="211" t="str" cm="1">
        <f t="array" ref="D4">UITranslateForValueTable("introUILangText", UITranslationTable[tag], UITranslationTable[], UITranslationTable[#Headers])</f>
        <v>This menu defines which of the built-in languages is used for the user interface.</v>
      </c>
      <c r="E4" s="49"/>
      <c r="F4" s="49"/>
      <c r="G4" s="50"/>
      <c r="H4" s="50"/>
      <c r="I4" s="51"/>
      <c r="J4" s="211" t="str" cm="1">
        <f t="array" aca="1" ref="J4" ca="1">UITranslateForValueTable("introChartLangText", UITranslationTable[tag], UITranslationTable[], UITranslationTable[#Headers])</f>
        <v>This menu defines which language (built-in or user-defined in the "Configuration" sheet) is used in the charts and data tables.</v>
      </c>
      <c r="K4" s="52"/>
      <c r="L4" s="53"/>
    </row>
    <row r="5" spans="1:12" ht="16.05" customHeight="1" thickBot="1" x14ac:dyDescent="0.35">
      <c r="A5" s="65"/>
      <c r="B5" s="209"/>
      <c r="C5" s="70" t="s">
        <v>565</v>
      </c>
      <c r="D5" s="212"/>
      <c r="E5" s="54"/>
      <c r="F5" s="54"/>
      <c r="G5" s="55"/>
      <c r="H5" s="55" t="str" cm="1">
        <f t="array" ref="H5">UITranslateForValueTable("introChartLang", UITranslationTable[tag], UITranslationTable[], UITranslationTable[#Headers])</f>
        <v>Chart language:</v>
      </c>
      <c r="I5" s="70" t="s">
        <v>600</v>
      </c>
      <c r="J5" s="212"/>
      <c r="K5" s="56"/>
      <c r="L5" s="53"/>
    </row>
    <row r="6" spans="1:12" ht="16.05" customHeight="1" x14ac:dyDescent="0.3">
      <c r="A6" s="65"/>
      <c r="B6" s="210"/>
      <c r="C6" s="57"/>
      <c r="D6" s="213"/>
      <c r="E6" s="58"/>
      <c r="F6" s="58"/>
      <c r="G6" s="59"/>
      <c r="H6" s="59"/>
      <c r="I6" s="60"/>
      <c r="J6" s="213"/>
      <c r="K6" s="61"/>
      <c r="L6" s="53"/>
    </row>
    <row r="7" spans="1:12" x14ac:dyDescent="0.3">
      <c r="A7" s="65"/>
      <c r="B7" s="65"/>
      <c r="C7" s="65"/>
      <c r="D7" s="65"/>
      <c r="E7" s="65"/>
      <c r="F7" s="65"/>
      <c r="G7" s="65"/>
      <c r="H7" s="65"/>
      <c r="I7" s="65"/>
      <c r="J7" s="65"/>
      <c r="K7" s="65"/>
      <c r="L7" s="65"/>
    </row>
    <row r="8" spans="1:12" ht="16.05" customHeight="1" x14ac:dyDescent="0.3">
      <c r="A8" s="65"/>
      <c r="B8" s="175" t="str" cm="1">
        <f t="array" ref="B8">UITranslateForValueTable("introIntroTitle", UITranslationTable[tag], UITranslationTable[], UITranslationTable[#Headers])</f>
        <v>Introduction</v>
      </c>
      <c r="C8" s="53"/>
      <c r="D8" s="62"/>
      <c r="E8" s="63"/>
      <c r="F8" s="63"/>
      <c r="G8" s="63"/>
      <c r="H8" s="64"/>
      <c r="I8" s="53"/>
      <c r="J8" s="53"/>
      <c r="K8" s="65"/>
      <c r="L8" s="65"/>
    </row>
    <row r="9" spans="1:12" ht="36" customHeight="1" x14ac:dyDescent="0.3">
      <c r="A9" s="65"/>
      <c r="B9" s="216" t="str" cm="1">
        <f t="array" ref="B9">UITranslateForValueTable("introIntroText1", UITranslationTable[tag], UITranslationTable[], UITranslationTable[#Headers])</f>
        <v>RANAS Analyser is a tool used to perform a doer / non-doer analysis of a RANAS quantitative survey. It computes the difference in behavioural factors – called RANAS factors – between "doers" and "non-doers" of a predefined behaviour.</v>
      </c>
      <c r="C9" s="217"/>
      <c r="D9" s="217"/>
      <c r="E9" s="217"/>
      <c r="F9" s="217"/>
      <c r="G9" s="217"/>
      <c r="H9" s="217"/>
      <c r="I9" s="217"/>
      <c r="J9" s="217"/>
      <c r="K9" s="91"/>
      <c r="L9" s="65"/>
    </row>
    <row r="10" spans="1:12" ht="48" customHeight="1" x14ac:dyDescent="0.3">
      <c r="A10" s="65"/>
      <c r="B10" s="214" t="str" cm="1">
        <f t="array" aca="1" ref="B10" ca="1">UITranslateForValueTable("introIntroText2", UITranslationTable[tag], UITranslationTable[], UITranslationTable[#Headers])</f>
        <v>1. You start in the "Configuration" sheet, where you CAREFULLY set up the RANAS Analyser by filling in the yellow areas to define which data will be analysed.
2. Then, you proceed to the "Cutoff - Seuil" sheet to adjust the optimal cutoff level between doers and non-doers.
3. Finally, you visualise the results in the "Analysis" sheet.</v>
      </c>
      <c r="C10" s="215"/>
      <c r="D10" s="215"/>
      <c r="E10" s="215"/>
      <c r="F10" s="215"/>
      <c r="G10" s="215"/>
      <c r="H10" s="215"/>
      <c r="I10" s="215"/>
      <c r="J10" s="215"/>
      <c r="K10" s="93"/>
      <c r="L10" s="65"/>
    </row>
    <row r="11" spans="1:12" ht="24" customHeight="1" x14ac:dyDescent="0.3">
      <c r="A11" s="65"/>
      <c r="B11" s="218" t="str" cm="1">
        <f t="array" aca="1" ref="B11" ca="1">UITranslateForValueTable("introIntroText3", UITranslationTable[tag], UITranslationTable[], UITranslationTable[#Headers])</f>
        <v>Errors detected by the RANAS Analyser (e.g., missing or inconsistent values) are highlighted in red and explanations are displayed in the two "Error messages" boards of the "Configuration" sheet.</v>
      </c>
      <c r="C11" s="219"/>
      <c r="D11" s="219"/>
      <c r="E11" s="219"/>
      <c r="F11" s="219"/>
      <c r="G11" s="219"/>
      <c r="H11" s="219"/>
      <c r="I11" s="219"/>
      <c r="J11" s="219"/>
      <c r="K11" s="95"/>
      <c r="L11" s="65"/>
    </row>
    <row r="12" spans="1:12" x14ac:dyDescent="0.3">
      <c r="A12" s="65"/>
      <c r="B12" s="65"/>
      <c r="C12" s="65"/>
      <c r="D12" s="65"/>
      <c r="E12" s="65"/>
      <c r="F12" s="65"/>
      <c r="G12" s="65"/>
      <c r="H12" s="65"/>
      <c r="I12" s="65"/>
      <c r="J12" s="65"/>
      <c r="K12" s="65"/>
      <c r="L12" s="65"/>
    </row>
    <row r="13" spans="1:12" ht="16.05" customHeight="1" x14ac:dyDescent="0.3">
      <c r="A13" s="65"/>
      <c r="B13" s="175" t="str" cm="1">
        <f t="array" ref="B13">UITranslateForValueTable("introCreditsTitle", UITranslationTable[tag], UITranslationTable[], UITranslationTable[#Headers])</f>
        <v>Credits</v>
      </c>
      <c r="C13" s="53"/>
      <c r="D13" s="62"/>
      <c r="E13" s="63"/>
      <c r="F13" s="63"/>
      <c r="G13" s="63"/>
      <c r="H13" s="64"/>
      <c r="I13" s="53"/>
      <c r="J13" s="53"/>
      <c r="K13" s="65"/>
      <c r="L13" s="65"/>
    </row>
    <row r="14" spans="1:12" ht="12" customHeight="1" x14ac:dyDescent="0.3">
      <c r="A14" s="65"/>
      <c r="B14" s="66"/>
      <c r="C14" s="67"/>
      <c r="D14" s="67"/>
      <c r="E14" s="67"/>
      <c r="F14" s="67"/>
      <c r="G14" s="67"/>
      <c r="H14" s="67"/>
      <c r="I14" s="67"/>
      <c r="J14" s="67"/>
      <c r="K14" s="91"/>
      <c r="L14" s="65"/>
    </row>
    <row r="15" spans="1:12" ht="66" customHeight="1" x14ac:dyDescent="0.3">
      <c r="A15" s="65"/>
      <c r="B15" s="220"/>
      <c r="C15" s="221"/>
      <c r="D15" s="221"/>
      <c r="E15" s="221"/>
      <c r="F15" s="221"/>
      <c r="G15" s="221"/>
      <c r="H15" s="221"/>
      <c r="I15" s="221"/>
      <c r="J15" s="221"/>
      <c r="K15" s="222"/>
      <c r="L15" s="136"/>
    </row>
    <row r="16" spans="1:12" ht="60" customHeight="1" x14ac:dyDescent="0.3">
      <c r="A16" s="65"/>
      <c r="B16" s="218" t="str" cm="1">
        <f t="array" ref="B16">UITranslateForValueTable("introCreditsText1", UITranslationTable[tag], UITranslationTable[], UITranslationTable[#Headers])</f>
        <v>This project was developed by RANAS Ltd., Terre des hommes (Tdh) and the Swiss Water &amp; Sanitation Consortium (SWSC).
It was co-funded by SWSC and the Swiss Agency for Development and Cooperation (SDC).
The ideas and opinions presented in this document do not necessarily represent those of the aforementioned co-funding agencies.</v>
      </c>
      <c r="C16" s="219"/>
      <c r="D16" s="219"/>
      <c r="E16" s="219"/>
      <c r="F16" s="219"/>
      <c r="G16" s="219"/>
      <c r="H16" s="219"/>
      <c r="I16" s="219"/>
      <c r="J16" s="219"/>
      <c r="K16" s="137"/>
      <c r="L16" s="136"/>
    </row>
    <row r="17" spans="1:12" x14ac:dyDescent="0.3">
      <c r="A17" s="65"/>
      <c r="B17" s="65"/>
      <c r="C17" s="65"/>
      <c r="D17" s="65"/>
      <c r="E17" s="65"/>
      <c r="F17" s="65"/>
      <c r="G17" s="65"/>
      <c r="H17" s="65"/>
      <c r="I17" s="65"/>
      <c r="J17" s="65"/>
      <c r="K17" s="65"/>
      <c r="L17" s="65"/>
    </row>
    <row r="18" spans="1:12" ht="16.05" customHeight="1" x14ac:dyDescent="0.3">
      <c r="A18" s="65"/>
      <c r="B18" s="175" t="str" cm="1">
        <f t="array" ref="B18">UITranslateForValueTable("introLinksTitle", UITranslationTable[tag], UITranslationTable[], UITranslationTable[#Headers])</f>
        <v>Links</v>
      </c>
      <c r="C18" s="53"/>
      <c r="D18" s="62"/>
      <c r="E18" s="63"/>
      <c r="F18" s="63"/>
      <c r="G18" s="175" t="str" cm="1">
        <f t="array" ref="G18">UITranslateForValueTable("introLicenseTitle", UITranslationTable[tag], UITranslationTable[], UITranslationTable[#Headers])</f>
        <v>License</v>
      </c>
      <c r="H18" s="65"/>
      <c r="I18" s="53"/>
      <c r="J18" s="53"/>
      <c r="K18" s="65"/>
      <c r="L18" s="65"/>
    </row>
    <row r="19" spans="1:12" ht="24" customHeight="1" x14ac:dyDescent="0.3">
      <c r="A19" s="65"/>
      <c r="B19" s="216" t="str" cm="1">
        <f t="array" ref="B19">UITranslateForValueTable("introLinksText1", UITranslationTable[tag], UITranslationTable[], UITranslationTable[#Headers])</f>
        <v>The latest version of this file and additional documentation are available at this link:</v>
      </c>
      <c r="C19" s="217"/>
      <c r="D19" s="217"/>
      <c r="E19" s="178"/>
      <c r="F19" s="181"/>
      <c r="G19" s="232"/>
      <c r="H19" s="229" t="str" cm="1">
        <f t="array" ref="H19">UITranslateForValueTable("introLicenseText1", UITranslationTable[tag], UITranslationTable[], UITranslationTable[#Headers])</f>
        <v>This work is licensed under Creative Commons Attribution-NonCommercial-NoDerivatives 4.0 International (CC BY­NC­ND 4.0).
To view a copy of this license, visit:</v>
      </c>
      <c r="I19" s="230"/>
      <c r="J19" s="230"/>
      <c r="K19" s="91"/>
      <c r="L19" s="65"/>
    </row>
    <row r="20" spans="1:12" ht="24" customHeight="1" x14ac:dyDescent="0.3">
      <c r="A20" s="65"/>
      <c r="B20" s="223" t="str">
        <f>HYPERLINK(ranasAnalyserLink)</f>
        <v>https://ranas.ch/analyser/download</v>
      </c>
      <c r="C20" s="224"/>
      <c r="D20" s="224"/>
      <c r="E20" s="68"/>
      <c r="F20" s="65"/>
      <c r="G20" s="233"/>
      <c r="H20" s="231"/>
      <c r="I20" s="231"/>
      <c r="J20" s="231"/>
      <c r="K20" s="93"/>
      <c r="L20" s="65"/>
    </row>
    <row r="21" spans="1:12" ht="36" customHeight="1" x14ac:dyDescent="0.3">
      <c r="A21" s="65"/>
      <c r="B21" s="214" t="str" cm="1">
        <f t="array" ref="B21">UITranslateForValueTable("introLinksText2", UITranslationTable[tag], UITranslationTable[], UITranslationTable[#Headers])</f>
        <v>For more information about the RANAS methodology, you can visit the RANAS website (in English, but some documents are available in other languages):</v>
      </c>
      <c r="C21" s="215"/>
      <c r="D21" s="215"/>
      <c r="E21" s="180"/>
      <c r="F21" s="65"/>
      <c r="G21" s="233"/>
      <c r="H21" s="231"/>
      <c r="I21" s="231"/>
      <c r="J21" s="231"/>
      <c r="K21" s="93"/>
      <c r="L21" s="65"/>
    </row>
    <row r="22" spans="1:12" ht="24" customHeight="1" x14ac:dyDescent="0.3">
      <c r="A22" s="65"/>
      <c r="B22" s="225" t="str">
        <f>HYPERLINK(ranasWebsiteLink)</f>
        <v>https://ranas.ch</v>
      </c>
      <c r="C22" s="226"/>
      <c r="D22" s="226"/>
      <c r="E22" s="69"/>
      <c r="F22" s="65"/>
      <c r="G22" s="234"/>
      <c r="H22" s="227" t="str" cm="1">
        <f t="array" ref="H22">HYPERLINK(
    UITranslateForValueTable("introLicenseLink", UITranslationTable[tag], UITranslationTable[], UITranslationTable[#Headers])
  )</f>
        <v>https://creativecommons.org/licenses/by-nc-nd/4.0/</v>
      </c>
      <c r="I22" s="228"/>
      <c r="J22" s="228"/>
      <c r="K22" s="95"/>
      <c r="L22" s="65"/>
    </row>
    <row r="23" spans="1:12" x14ac:dyDescent="0.3">
      <c r="A23" s="65"/>
      <c r="B23" s="65"/>
      <c r="C23" s="65"/>
      <c r="D23" s="65"/>
      <c r="E23" s="65"/>
      <c r="F23" s="65"/>
      <c r="G23" s="65"/>
      <c r="H23" s="65"/>
      <c r="I23" s="65"/>
      <c r="J23" s="65"/>
      <c r="K23" s="65"/>
      <c r="L23" s="65"/>
    </row>
  </sheetData>
  <sheetProtection algorithmName="SHA-512" hashValue="X9NFIgV6+P27EoPdXhTt0fRJm9hpJNQeROwZI+kBL71lm9TajCiSlsZN8G5FVlV7Z75Skq1Tr6YHK/1cCw2eeg==" saltValue="Gk5E3iBtQNcqVPX9j/o8Rw==" spinCount="100000" sheet="1" objects="1" scenarios="1"/>
  <mergeCells count="18">
    <mergeCell ref="B19:D19"/>
    <mergeCell ref="B20:D20"/>
    <mergeCell ref="B21:D21"/>
    <mergeCell ref="B22:D22"/>
    <mergeCell ref="H22:J22"/>
    <mergeCell ref="H19:J21"/>
    <mergeCell ref="G19:G22"/>
    <mergeCell ref="B10:J10"/>
    <mergeCell ref="B9:J9"/>
    <mergeCell ref="B11:J11"/>
    <mergeCell ref="B16:J16"/>
    <mergeCell ref="B15:K15"/>
    <mergeCell ref="B1:K1"/>
    <mergeCell ref="B2:K2"/>
    <mergeCell ref="B3:K3"/>
    <mergeCell ref="B4:B6"/>
    <mergeCell ref="D4:D6"/>
    <mergeCell ref="J4:J6"/>
  </mergeCells>
  <conditionalFormatting sqref="C5">
    <cfRule type="expression" dxfId="39" priority="2">
      <formula>ISERROR(MATCH(UILanguage, UILanguageList, 0))</formula>
    </cfRule>
  </conditionalFormatting>
  <conditionalFormatting sqref="I5">
    <cfRule type="expression" dxfId="38" priority="1">
      <formula>ISERROR(MATCH(chartLanguage, chartLanguageList, 0))</formula>
    </cfRule>
  </conditionalFormatting>
  <dataValidations count="2">
    <dataValidation type="list" allowBlank="1" showInputMessage="1" showErrorMessage="1" error="Please select a value from the drop-down menu for this cell._x000a__x000a_Veuillez sélectionner une valeur dans le menu déroulant pour cette cellule." sqref="C5" xr:uid="{84904FB0-68C5-4736-A3E1-AA3BEB267715}">
      <formula1>UILanguageList</formula1>
    </dataValidation>
    <dataValidation type="list" allowBlank="1" showInputMessage="1" showErrorMessage="1" error="Please select a value from the drop-down menu for this cell._x000a__x000a_Veuillez sélectionner une valeur dans le menu déroulant pour cette cellule." sqref="I5" xr:uid="{34D30FFD-022B-493C-83FA-9A40C7D47336}">
      <formula1>chartLanguageList</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12391-E5A7-4528-8A18-4DAB1725938E}">
  <sheetPr codeName="Sheet6">
    <tabColor theme="0" tint="-0.249977111117893"/>
    <pageSetUpPr autoPageBreaks="0"/>
  </sheetPr>
  <dimension ref="A1:E18"/>
  <sheetViews>
    <sheetView showGridLines="0" showRowColHeaders="0" zoomScaleNormal="100" workbookViewId="0">
      <selection activeCell="B3" sqref="B3:D3"/>
    </sheetView>
  </sheetViews>
  <sheetFormatPr defaultColWidth="0" defaultRowHeight="14.4" zeroHeight="1" x14ac:dyDescent="0.3"/>
  <cols>
    <col min="1" max="1" width="3.77734375" style="3" customWidth="1"/>
    <col min="2" max="4" width="40.77734375" style="3" customWidth="1"/>
    <col min="5" max="5" width="3.77734375" style="3" customWidth="1"/>
    <col min="6" max="16384" width="8.88671875" style="3" hidden="1"/>
  </cols>
  <sheetData>
    <row r="1" spans="1:5" ht="19.95" customHeight="1" x14ac:dyDescent="0.3">
      <c r="A1" s="65"/>
      <c r="B1" s="65"/>
      <c r="C1" s="65"/>
      <c r="D1" s="65"/>
      <c r="E1" s="65"/>
    </row>
    <row r="2" spans="1:5" ht="19.95" customHeight="1" x14ac:dyDescent="0.3">
      <c r="A2" s="65"/>
      <c r="B2" s="175" t="str" cm="1">
        <f t="array" ref="B2">UITranslateForValueTable("demoPresentTitle", UITranslationTable[tag], UITranslationTable[], UITranslationTable[#Headers])</f>
        <v>Presentation of the demo file</v>
      </c>
      <c r="C2" s="65"/>
      <c r="D2" s="65"/>
      <c r="E2" s="65"/>
    </row>
    <row r="3" spans="1:5" ht="122.4" customHeight="1" x14ac:dyDescent="0.3">
      <c r="A3" s="65"/>
      <c r="B3" s="237" t="str" cm="1">
        <f t="array" aca="1" ref="B3" ca="1">UITranslateForValueTable("demoPresentText1", UITranslationTable[tag], UITranslationTable[], UITranslationTable[#Headers])</f>
        <v>In this demo file, an example of a dataset for a RANAS survey has already been imported in the "data" spreadsheet, and the "Configuration" sheet has been filled accordingly. The goal is to illustrate how to use the RANAS Analyser based on a concrete example, by following the description below. However, it remains important to carefully read the instructions given in each sheet, in order to configure and use the tool properly with your own dataset.
In this dataset, each row corresponds to a respondent's answers to the RANAS questionnaire. The answers to a particular question appear in the corresponding column. Note that, for the sake of clarity, only the data columns relevant to this demonstration have been kept in the dataset.</v>
      </c>
      <c r="C3" s="238"/>
      <c r="D3" s="239"/>
      <c r="E3" s="179"/>
    </row>
    <row r="4" spans="1:5" x14ac:dyDescent="0.3">
      <c r="A4" s="65"/>
      <c r="B4" s="65"/>
      <c r="C4" s="65"/>
      <c r="D4" s="65"/>
      <c r="E4" s="65"/>
    </row>
    <row r="5" spans="1:5" ht="19.95" customHeight="1" x14ac:dyDescent="0.3">
      <c r="A5" s="65"/>
      <c r="B5" s="175" t="str" cm="1">
        <f t="array" aca="1" ref="B5" ca="1">UITranslateForValueTable("demoConfigTitle", UITranslationTable[tag], UITranslationTable[], UITranslationTable[#Headers])</f>
        <v>Setting up the "Configuration" sheet</v>
      </c>
      <c r="C5" s="65"/>
      <c r="D5" s="65"/>
      <c r="E5" s="65"/>
    </row>
    <row r="6" spans="1:5" ht="108" customHeight="1" x14ac:dyDescent="0.3">
      <c r="A6" s="65"/>
      <c r="B6" s="216" t="str" cm="1">
        <f t="array" ref="B6">UITranslateForValueTable("demoConfigText1", UITranslationTable[tag], UITranslationTable[], UITranslationTable[#Headers])</f>
        <v>In this example, 4 "behaviour" subscores have been computed in their own columns (highlighted in yellow in the "data" sheet), based on certain behaviour questions:
- behaviour1, based on questions B_b2 to B_b5, can range from -5 to 5
- behaviour2, based on question B_b6, can range from 5 to 20
- behaviour3, based on question B_b7, can range from 0 to 3
- behaviour4, based on question B_b8, can range from 1 to 5</v>
      </c>
      <c r="C6" s="240"/>
      <c r="D6" s="241"/>
      <c r="E6" s="65"/>
    </row>
    <row r="7" spans="1:5" ht="64.8" customHeight="1" x14ac:dyDescent="0.3">
      <c r="A7" s="65"/>
      <c r="B7" s="214" t="str" cm="1">
        <f t="array" aca="1" ref="B7" ca="1">UITranslateForValueTable("demoConfigText2", UITranslationTable[tag], UITranslationTable[], UITranslationTable[#Headers])</f>
        <v>These 4 data headers and pairs of minimum and maximum scores are entered in the "Behaviour" table of the "Configuration" sheet. Note that each of these 4 columns could be either precomputed within the questionnaire, if its definition has been decided before the survey took place, or defined and computed after data collection, by inserting a dedicated new column in the "data" sheet.</v>
      </c>
      <c r="C7" s="242"/>
      <c r="D7" s="243"/>
      <c r="E7" s="65"/>
    </row>
    <row r="8" spans="1:5" ht="50.4" customHeight="1" x14ac:dyDescent="0.3">
      <c r="A8" s="65"/>
      <c r="B8" s="214" t="str" cm="1">
        <f t="array" ref="B8">UITranslateForValueTable("demoConfigText3", UITranslationTable[tag], UITranslationTable[], UITranslationTable[#Headers])</f>
        <v>The dataset also contains columns (highlighted in blue) for 17 RANAS factors, each displaying a score based on the answers to one or more questions related to that factor. Here as well, each of these 17 scores could be precomputed within the questionnaire or computed afterwards within the "data" sheet.</v>
      </c>
      <c r="C8" s="242"/>
      <c r="D8" s="243"/>
      <c r="E8" s="65"/>
    </row>
    <row r="9" spans="1:5" ht="122.4" customHeight="1" x14ac:dyDescent="0.3">
      <c r="A9" s="65"/>
      <c r="B9" s="214" t="str" cm="1">
        <f t="array" aca="1" ref="B9" ca="1">UITranslateForValueTable("demoConfigText4", UITranslationTable[tag], UITranslationTable[], UITranslationTable[#Headers])</f>
        <v>The data header and minimum and maximum possible scores for each factor are entered in the "RANAS factors" table of the "Configuration" sheet. Then, the appropriate "RANAS block" is selected from the drop-down menu in the corresponding column, and a label is provided for each factor in English and in French. Finally, for the sake of example, "Español" is defined as a custom language and corresponding labels are entered, and the "Español" column in the table under "4. Translations for charts and data tables" is completed as well. As a result, "Español" is now available in the "Chart language" drop-down menu of the "Introduction" sheet: selecting it will change the text in charts and data tables accordingly. Note that labels and translations for charts and tables MUST be provided at least for the selected "Chart language".</v>
      </c>
      <c r="C9" s="242"/>
      <c r="D9" s="243"/>
      <c r="E9" s="65"/>
    </row>
    <row r="10" spans="1:5" ht="72" customHeight="1" x14ac:dyDescent="0.3">
      <c r="A10" s="65"/>
      <c r="B10" s="218" t="str" cm="1">
        <f t="array" ref="B10">UITranslateForValueTable("demoConfigText5", UITranslationTable[tag], UITranslationTable[], UITranslationTable[#Headers])</f>
        <v>Let's suppose that, based on various considerations, it has been decided that the target behaviour is well represented by the combination of the behaviour subscores behaviour1, behaviour2 and behaviour3. One then selects those 3 rows in the "Include?" column of the "Behaviour" table (✔) and deselects behaviour4 (✘). The global behaviour score is thus calculated as the average of the selected subscores and will be used to distinguish between doers and non-doers.</v>
      </c>
      <c r="C10" s="235"/>
      <c r="D10" s="236"/>
      <c r="E10" s="65"/>
    </row>
    <row r="11" spans="1:5" x14ac:dyDescent="0.3">
      <c r="A11" s="65"/>
      <c r="B11" s="65"/>
      <c r="C11" s="65"/>
      <c r="D11" s="65"/>
      <c r="E11" s="65"/>
    </row>
    <row r="12" spans="1:5" ht="19.95" customHeight="1" x14ac:dyDescent="0.3">
      <c r="A12" s="65"/>
      <c r="B12" s="175" t="str" cm="1">
        <f t="array" ref="B12">UITranslateForValueTable("demoCutoffTitle", UITranslationTable[tag], UITranslationTable[], UITranslationTable[#Headers])</f>
        <v>Selecting the doer / non-doer cutoff level</v>
      </c>
      <c r="C12" s="65"/>
      <c r="D12" s="65"/>
      <c r="E12" s="65"/>
    </row>
    <row r="13" spans="1:5" ht="87" customHeight="1" x14ac:dyDescent="0.3">
      <c r="A13" s="65"/>
      <c r="B13" s="237" t="str" cm="1">
        <f t="array" aca="1" ref="B13" ca="1">UITranslateForValueTable("demoCutoffText1", UITranslationTable[tag], UITranslationTable[], UITranslationTable[#Headers])</f>
        <v>Once the behaviour score is defined, the next step is to decide on the cutoff level, i.e. the minimum score that a respondent must reach to be considered a doer. This is done in the "Cutoff - Seuil" sheet, along with instructions on how to do this. In short, the goal is to use a cutoff level that generates groups of doers and non-doers of similar size. For our current example, the recommended level is 57%, which splits the respondents between 57% non-doers (just a coincidence!) and 43% doers.</v>
      </c>
      <c r="C13" s="238"/>
      <c r="D13" s="239"/>
      <c r="E13" s="65"/>
    </row>
    <row r="14" spans="1:5" x14ac:dyDescent="0.3">
      <c r="A14" s="65"/>
      <c r="B14" s="65"/>
      <c r="C14" s="65"/>
      <c r="D14" s="65"/>
      <c r="E14" s="65"/>
    </row>
    <row r="15" spans="1:5" ht="19.95" customHeight="1" x14ac:dyDescent="0.3">
      <c r="A15" s="65"/>
      <c r="B15" s="175" t="str" cm="1">
        <f t="array" ref="B15">UITranslateForValueTable("demoAnalysisTitle", UITranslationTable[tag], UITranslationTable[], UITranslationTable[#Headers])</f>
        <v>Analysing the RANAS factors</v>
      </c>
      <c r="C15" s="65"/>
      <c r="D15" s="65"/>
      <c r="E15" s="65"/>
    </row>
    <row r="16" spans="1:5" ht="64.8" customHeight="1" x14ac:dyDescent="0.3">
      <c r="A16" s="65"/>
      <c r="B16" s="216" t="str" cm="1">
        <f t="array" aca="1" ref="B16" ca="1">UITranslateForValueTable("demoAnalysisText1", UITranslationTable[tag], UITranslationTable[], UITranslationTable[#Headers])</f>
        <v>The analysis of the RANAS factors is done in the "Analysis" sheet, where you also find some instructions. Which factors are displayed can be customised in the "RANAS factors" table of the "Configuration" sheet by selecting (✔) or deselecting (✘) them in the "Display?" column. The "Data sorting" menu can be used to change the order in which the factors are displayed.</v>
      </c>
      <c r="C16" s="240"/>
      <c r="D16" s="241"/>
      <c r="E16" s="65"/>
    </row>
    <row r="17" spans="1:5" ht="136.80000000000001" customHeight="1" x14ac:dyDescent="0.3">
      <c r="A17" s="65"/>
      <c r="B17" s="218" t="str" cm="1">
        <f t="array" ref="B17">UITranslateForValueTable("demoAnalysisText2", UITranslationTable[tag], UITranslationTable[], UITranslationTable[#Headers])</f>
        <v>Three values are shown for each factor: the mean score of non-doers, the mean score of doers, and the difference between those two scores. By sorting the factors in descending order of the absolute difference (↘ |diff|), one can see both in the chart and in the table that, for our example, the 3 most important factors distinguishing non-doers and doers are:
- Remembering (-19.9%)
- Vulnerability (19.1%)
- Action planning (16.5%)
Those are the factors that should be targeted in priority during a behaviour change campaign.</v>
      </c>
      <c r="C17" s="235"/>
      <c r="D17" s="236"/>
      <c r="E17" s="65"/>
    </row>
    <row r="18" spans="1:5" x14ac:dyDescent="0.3">
      <c r="A18" s="65"/>
      <c r="B18" s="65"/>
      <c r="C18" s="65"/>
      <c r="D18" s="65"/>
      <c r="E18" s="65"/>
    </row>
  </sheetData>
  <sheetProtection algorithmName="SHA-512" hashValue="q2KFksR+Ib1GUwjKYtm2QySDe9Np/R/np5KD65W5ubCUjT3q9QC1p86CulhrZRrwjpgB2JD5cqaUlPMx5d+HHA==" saltValue="3vCdqH9IzZYJRlOPaFelJQ==" spinCount="100000" sheet="1" objects="1" scenarios="1"/>
  <mergeCells count="9">
    <mergeCell ref="B10:D10"/>
    <mergeCell ref="B13:D13"/>
    <mergeCell ref="B16:D16"/>
    <mergeCell ref="B17:D17"/>
    <mergeCell ref="B3:D3"/>
    <mergeCell ref="B6:D6"/>
    <mergeCell ref="B7:D7"/>
    <mergeCell ref="B8:D8"/>
    <mergeCell ref="B9:D9"/>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4635A-150C-408C-A9E3-DEA4283C97AC}">
  <sheetPr codeName="Sheet4">
    <tabColor rgb="FFFFC000"/>
    <pageSetUpPr autoPageBreaks="0"/>
  </sheetPr>
  <dimension ref="A1:T93"/>
  <sheetViews>
    <sheetView showGridLines="0" showRowColHeaders="0" zoomScale="90" zoomScaleNormal="90" workbookViewId="0">
      <selection activeCell="E20" sqref="E20"/>
    </sheetView>
  </sheetViews>
  <sheetFormatPr defaultColWidth="0" defaultRowHeight="14.4" zeroHeight="1" x14ac:dyDescent="0.3"/>
  <cols>
    <col min="1" max="1" width="1.6640625" style="3" customWidth="1"/>
    <col min="2" max="2" width="1.6640625" style="11" customWidth="1"/>
    <col min="3" max="3" width="10.6640625" style="11" customWidth="1"/>
    <col min="4" max="4" width="16.6640625" style="12" customWidth="1"/>
    <col min="5" max="5" width="21.6640625" style="3" customWidth="1"/>
    <col min="6" max="7" width="10.6640625" style="3" customWidth="1"/>
    <col min="8" max="12" width="21.6640625" style="3" customWidth="1"/>
    <col min="13" max="13" width="21.6640625" style="14" customWidth="1"/>
    <col min="14" max="14" width="21.6640625" style="3" customWidth="1"/>
    <col min="15" max="15" width="1.6640625" style="3" customWidth="1"/>
    <col min="16" max="16" width="15.88671875" style="3" hidden="1" customWidth="1"/>
    <col min="17" max="17" width="8.6640625" style="3" hidden="1" customWidth="1"/>
    <col min="18" max="18" width="20.44140625" style="14" hidden="1" customWidth="1"/>
    <col min="19" max="19" width="21.33203125" style="14" hidden="1" customWidth="1"/>
    <col min="20" max="20" width="1.6640625" style="14" customWidth="1"/>
    <col min="21" max="16384" width="8.88671875" style="3" hidden="1"/>
  </cols>
  <sheetData>
    <row r="1" spans="1:20" ht="19.95" customHeight="1" x14ac:dyDescent="0.3">
      <c r="A1" s="65"/>
      <c r="B1" s="82"/>
      <c r="C1" s="129"/>
      <c r="D1" s="123"/>
      <c r="E1" s="65"/>
      <c r="F1" s="65"/>
      <c r="G1" s="65"/>
      <c r="H1" s="65"/>
      <c r="I1" s="65"/>
      <c r="J1" s="65"/>
      <c r="K1" s="130"/>
      <c r="L1" s="65"/>
      <c r="M1" s="131"/>
      <c r="N1" s="65"/>
      <c r="O1" s="65"/>
      <c r="P1" s="65"/>
      <c r="Q1" s="65"/>
      <c r="R1" s="65"/>
      <c r="S1" s="65"/>
      <c r="T1" s="65"/>
    </row>
    <row r="2" spans="1:20" ht="19.95" customHeight="1" x14ac:dyDescent="0.3">
      <c r="A2" s="53"/>
      <c r="B2" s="101"/>
      <c r="C2" s="119" t="str" cm="1">
        <f t="array" ref="C2">UITranslateForValueTable("configImportTitle", UITranslationTable[tag], UITranslationTable[], UITranslationTable[#Headers])</f>
        <v>1. Data import</v>
      </c>
      <c r="D2" s="53"/>
      <c r="E2" s="53"/>
      <c r="F2" s="53"/>
      <c r="G2" s="53"/>
      <c r="H2" s="53"/>
      <c r="I2" s="53"/>
      <c r="J2" s="53"/>
      <c r="K2" s="53"/>
      <c r="L2" s="53"/>
      <c r="M2" s="125"/>
      <c r="N2" s="125"/>
      <c r="O2" s="125"/>
      <c r="P2" s="125"/>
      <c r="Q2" s="65"/>
      <c r="R2" s="65"/>
      <c r="S2" s="65"/>
      <c r="T2" s="65"/>
    </row>
    <row r="3" spans="1:20" ht="90" customHeight="1" x14ac:dyDescent="0.6">
      <c r="A3" s="53"/>
      <c r="B3" s="66"/>
      <c r="C3" s="229" t="str" cm="1">
        <f t="array" ref="C3">UITranslateForValueTable("configImportText1", UITranslationTable[tag], UITranslationTable[], UITranslationTable[#Headers])</f>
        <v>First, you must export your survey data as an XLS or CSV file from your survey management platform, making sure before exporting that:
- On KoboToolbox, you SELECT the format "XML values and headers" and you DESELECT "Include groups in headers" under "Advanced options".
- On ODK Central, you SELECT "Remove group names".</v>
      </c>
      <c r="D3" s="230"/>
      <c r="E3" s="230"/>
      <c r="F3" s="230"/>
      <c r="G3" s="230"/>
      <c r="H3" s="230"/>
      <c r="I3" s="230"/>
      <c r="J3" s="230"/>
      <c r="K3" s="244"/>
      <c r="L3" s="248" t="str" cm="1">
        <f t="array" ref="L3">"RANAS Analyser v" &amp; versionNumber</f>
        <v>RANAS Analyser v1.0.1</v>
      </c>
      <c r="M3" s="249"/>
      <c r="N3" s="249"/>
      <c r="O3" s="249"/>
      <c r="P3" s="65"/>
      <c r="Q3" s="65"/>
      <c r="R3" s="65"/>
      <c r="S3" s="65"/>
      <c r="T3" s="65"/>
    </row>
    <row r="4" spans="1:20" ht="16.2" customHeight="1" x14ac:dyDescent="0.3">
      <c r="A4" s="53"/>
      <c r="B4" s="177"/>
      <c r="C4" s="250" t="str" cm="1">
        <f t="array" ref="C4">UITranslateForValueTable("configImportText2", UITranslationTable[tag], UITranslationTable[], UITranslationTable[#Headers])</f>
        <v>Then, you must copy this data file as a new spreadsheet in this Excel workbook and rename this new sheet "data" (without the quotes).</v>
      </c>
      <c r="D4" s="231"/>
      <c r="E4" s="231"/>
      <c r="F4" s="231"/>
      <c r="G4" s="231"/>
      <c r="H4" s="231"/>
      <c r="I4" s="231"/>
      <c r="J4" s="231"/>
      <c r="K4" s="251"/>
      <c r="L4" s="252" t="s">
        <v>920</v>
      </c>
      <c r="M4" s="253"/>
      <c r="N4" s="253"/>
      <c r="O4" s="126"/>
      <c r="P4" s="65"/>
      <c r="Q4" s="65"/>
      <c r="R4" s="65"/>
      <c r="S4" s="65"/>
      <c r="T4" s="65"/>
    </row>
    <row r="5" spans="1:20" ht="36" customHeight="1" x14ac:dyDescent="0.3">
      <c r="A5" s="53"/>
      <c r="B5" s="89"/>
      <c r="C5" s="245" t="str" cm="1">
        <f t="array" ref="C5">UITranslateForValueTable("configImportText3", UITranslationTable[tag], UITranslationTable[], UITranslationTable[#Headers])</f>
        <v>CAUTION: You should ALWAYS import your data as a new spreadsheet, because simply pasting new data in an existing "data" sheet could produce unexpected and undesirable results.</v>
      </c>
      <c r="D5" s="246"/>
      <c r="E5" s="246"/>
      <c r="F5" s="246"/>
      <c r="G5" s="246"/>
      <c r="H5" s="246"/>
      <c r="I5" s="246"/>
      <c r="J5" s="246"/>
      <c r="K5" s="247"/>
      <c r="L5" s="254"/>
      <c r="M5" s="253"/>
      <c r="N5" s="253"/>
      <c r="O5" s="127"/>
      <c r="P5" s="65"/>
      <c r="Q5" s="65"/>
      <c r="R5" s="65"/>
      <c r="S5" s="65"/>
      <c r="T5" s="65"/>
    </row>
    <row r="6" spans="1:20" x14ac:dyDescent="0.3">
      <c r="A6" s="65"/>
      <c r="B6" s="65"/>
      <c r="C6" s="65"/>
      <c r="D6" s="65"/>
      <c r="E6" s="65"/>
      <c r="F6" s="65"/>
      <c r="G6" s="65"/>
      <c r="H6" s="65"/>
      <c r="I6" s="65"/>
      <c r="J6" s="124"/>
      <c r="K6" s="65"/>
      <c r="L6" s="65"/>
      <c r="M6" s="125"/>
      <c r="N6" s="125"/>
      <c r="O6" s="125"/>
      <c r="P6" s="125"/>
      <c r="Q6" s="65"/>
      <c r="R6" s="65"/>
      <c r="S6" s="65"/>
      <c r="T6" s="65"/>
    </row>
    <row r="7" spans="1:20" ht="19.95" customHeight="1" thickBot="1" x14ac:dyDescent="0.35">
      <c r="A7" s="65"/>
      <c r="B7" s="65"/>
      <c r="C7" s="119" t="str" cm="1">
        <f t="array" ref="C7">UITranslateForValueTable("configBehaviourTitle", UITranslationTable[tag], UITranslationTable[], UITranslationTable[#Headers])</f>
        <v>2. Behaviour</v>
      </c>
      <c r="D7" s="65"/>
      <c r="E7" s="65"/>
      <c r="F7" s="65"/>
      <c r="G7" s="65"/>
      <c r="H7" s="65"/>
      <c r="I7" s="65"/>
      <c r="J7" s="65"/>
      <c r="K7" s="65"/>
      <c r="L7" s="284" t="str" cm="1">
        <f t="array" ref="L7">UITranslateForValueTable("configErrorMessages", UITranslationTable[tag], UITranslationTable[], UITranslationTable[#Headers])</f>
        <v>Error Messages</v>
      </c>
      <c r="M7" s="285"/>
      <c r="N7" s="285"/>
      <c r="O7" s="125"/>
      <c r="P7" s="125"/>
      <c r="Q7" s="65"/>
      <c r="R7" s="65"/>
      <c r="S7" s="65"/>
      <c r="T7" s="65"/>
    </row>
    <row r="8" spans="1:20" ht="46.2" customHeight="1" x14ac:dyDescent="0.3">
      <c r="A8" s="65"/>
      <c r="B8" s="66"/>
      <c r="C8" s="282" t="str" cm="1">
        <f t="array" ref="C8">UITranslateForValueTable("configPasteWarning", UITranslationTable[tag], UITranslationTable[], UITranslationTable[#Headers])</f>
        <v>CAUTION: If you paste data in these tables, please make sure that you PASTE VALUES ONLY (e.g., with a right-click). Otherwise, you might erase the special formatting used to highlight errors.</v>
      </c>
      <c r="D8" s="283"/>
      <c r="E8" s="283"/>
      <c r="F8" s="283"/>
      <c r="G8" s="283"/>
      <c r="H8" s="283"/>
      <c r="I8" s="283"/>
      <c r="J8" s="283"/>
      <c r="K8" s="283"/>
      <c r="L8" s="286" t="str" cm="1">
        <f t="array" aca="1" ref="L8" ca="1">errorMessages</f>
        <v/>
      </c>
      <c r="M8" s="287"/>
      <c r="N8" s="287"/>
      <c r="O8" s="288"/>
      <c r="P8" s="125"/>
      <c r="Q8" s="65"/>
      <c r="R8" s="65"/>
      <c r="S8" s="65"/>
      <c r="T8" s="65"/>
    </row>
    <row r="9" spans="1:20" ht="64.2" customHeight="1" x14ac:dyDescent="0.3">
      <c r="A9" s="65"/>
      <c r="B9" s="177"/>
      <c r="C9" s="250" t="str" cm="1">
        <f t="array" ref="C9">UITranslateForValueTable("configBehaviourText1", UITranslationTable[tag], UITranslationTable[], UITranslationTable[#Headers])</f>
        <v>The target behaviour is measured by a behaviour score for each respondent, based on their answers to "behaviour" questions in the survey. Up to 5 questions can be defined in the table below to calculate the behaviour score (or groups of questions that have been precomputed within the questionnaire by averaging several questions). The RANAS Analyser will compute the behaviour score of each respondent by normalising their score for every question on a 0­100% scale and averaging them.</v>
      </c>
      <c r="D9" s="231"/>
      <c r="E9" s="231"/>
      <c r="F9" s="231"/>
      <c r="G9" s="231"/>
      <c r="H9" s="231"/>
      <c r="I9" s="231"/>
      <c r="J9" s="231"/>
      <c r="K9" s="231"/>
      <c r="L9" s="289"/>
      <c r="M9" s="290"/>
      <c r="N9" s="290"/>
      <c r="O9" s="291"/>
      <c r="P9" s="125"/>
      <c r="Q9" s="65"/>
      <c r="R9" s="65"/>
      <c r="S9" s="65"/>
      <c r="T9" s="65"/>
    </row>
    <row r="10" spans="1:20" ht="16.2" customHeight="1" x14ac:dyDescent="0.3">
      <c r="A10" s="65"/>
      <c r="B10" s="177"/>
      <c r="C10" s="297" t="str" cm="1">
        <f t="array" ref="C10">UITranslateForValueTable("configInThisTable", UITranslationTable[tag], UITranslationTable[], UITranslationTable[#Headers])</f>
        <v>In this table:</v>
      </c>
      <c r="D10" s="298"/>
      <c r="E10" s="298"/>
      <c r="F10" s="298"/>
      <c r="G10" s="298"/>
      <c r="H10" s="298"/>
      <c r="I10" s="298"/>
      <c r="J10" s="298"/>
      <c r="K10" s="299"/>
      <c r="L10" s="289"/>
      <c r="M10" s="290"/>
      <c r="N10" s="290"/>
      <c r="O10" s="291"/>
      <c r="P10" s="125"/>
      <c r="Q10" s="65"/>
      <c r="R10" s="65"/>
      <c r="S10" s="65"/>
      <c r="T10" s="65"/>
    </row>
    <row r="11" spans="1:20" ht="36" customHeight="1" x14ac:dyDescent="0.3">
      <c r="A11" s="65"/>
      <c r="B11" s="177"/>
      <c r="C11" s="276" t="str" cm="1">
        <f t="array" ref="C11">UITranslateForValueTable("configBehaviourText2", UITranslationTable[tag], UITranslationTable[], UITranslationTable[#Headers])</f>
        <v>a. You MUST enter the data headers for the (groups of) questions that you want to include in the behaviour score, EXACTLY as they appear in your "data" sheet.</v>
      </c>
      <c r="D11" s="212"/>
      <c r="E11" s="212"/>
      <c r="F11" s="212"/>
      <c r="G11" s="212"/>
      <c r="H11" s="212"/>
      <c r="I11" s="212"/>
      <c r="J11" s="212"/>
      <c r="K11" s="212"/>
      <c r="L11" s="289"/>
      <c r="M11" s="290"/>
      <c r="N11" s="290"/>
      <c r="O11" s="291"/>
      <c r="P11" s="125"/>
      <c r="Q11" s="65"/>
      <c r="R11" s="65"/>
      <c r="S11" s="65"/>
      <c r="T11" s="65"/>
    </row>
    <row r="12" spans="1:20" ht="55.95" customHeight="1" x14ac:dyDescent="0.3">
      <c r="A12" s="65"/>
      <c r="B12" s="177"/>
      <c r="C12" s="276" t="str" cm="1">
        <f t="array" ref="C12">UITranslateForValueTable("configBehaviourText3", UITranslationTable[tag], UITranslationTable[], UITranslationTable[#Headers])</f>
        <v>b. You MUST enter, for each one, the minimum and maximum possible scores. Be careful! A single question on a 1­5 scale would have: Min. = 1 and Max. = 5. A group summing 4 questions on a 1­5 scale would have: Min. = 4 and Max. = 20. A group of questions already pre-normalised in the questionnaire on a 0­1 scale would have: Min. = 0 and Max. = 1.</v>
      </c>
      <c r="D12" s="212"/>
      <c r="E12" s="212"/>
      <c r="F12" s="212"/>
      <c r="G12" s="212"/>
      <c r="H12" s="212"/>
      <c r="I12" s="212"/>
      <c r="J12" s="212"/>
      <c r="K12" s="212"/>
      <c r="L12" s="289"/>
      <c r="M12" s="290"/>
      <c r="N12" s="290"/>
      <c r="O12" s="291"/>
      <c r="P12" s="125"/>
      <c r="Q12" s="65"/>
      <c r="R12" s="65"/>
      <c r="S12" s="65"/>
      <c r="T12" s="65"/>
    </row>
    <row r="13" spans="1:20" ht="36" customHeight="1" x14ac:dyDescent="0.3">
      <c r="A13" s="65"/>
      <c r="B13" s="177"/>
      <c r="C13" s="276" t="str" cm="1">
        <f t="array" ref="C13">UITranslateForValueTable("configBehaviourText4", UITranslationTable[tag], UITranslationTable[], UITranslationTable[#Headers])</f>
        <v>c. You MUST use the drop-down menu in the "Include?" column to select (✔) or deselect (✘) each entry in the table. Only the selected entries will be used to compute the behaviour score. This allows you to test different combinations of questions.</v>
      </c>
      <c r="D13" s="212"/>
      <c r="E13" s="212"/>
      <c r="F13" s="212"/>
      <c r="G13" s="212"/>
      <c r="H13" s="212"/>
      <c r="I13" s="212"/>
      <c r="J13" s="212"/>
      <c r="K13" s="212"/>
      <c r="L13" s="289"/>
      <c r="M13" s="290"/>
      <c r="N13" s="290"/>
      <c r="O13" s="291"/>
      <c r="P13" s="125"/>
      <c r="Q13" s="65"/>
      <c r="R13" s="65"/>
      <c r="S13" s="65"/>
      <c r="T13" s="65"/>
    </row>
    <row r="14" spans="1:20" ht="14.4" customHeight="1" thickBot="1" x14ac:dyDescent="0.35">
      <c r="A14" s="65"/>
      <c r="B14" s="111"/>
      <c r="C14" s="77" t="str" cm="1">
        <f t="array" ref="C14">UITranslateForValueTable("configBehaviourInclude", UITranslationTable[tag], UITranslationTable[], UITranslationTable[#Headers])</f>
        <v>Include?</v>
      </c>
      <c r="D14" s="77" t="str" cm="1">
        <f t="array" ref="D14">UITranslateForValueTable("configBehaviourNum", UITranslationTable[tag], UITranslationTable[], UITranslationTable[#Headers])</f>
        <v>Behaviour #</v>
      </c>
      <c r="E14" s="76" t="str" cm="1">
        <f t="array" ref="E14">UITranslateForValueTable("configDataHeader", UITranslationTable[tag], UITranslationTable[], UITranslationTable[#Headers])</f>
        <v>Data header</v>
      </c>
      <c r="F14" s="76" t="str" cm="1">
        <f t="array" ref="F14">UITranslateForValueTable("configMinScore", UITranslationTable[tag], UITranslationTable[], UITranslationTable[#Headers])</f>
        <v>Min. score</v>
      </c>
      <c r="G14" s="76" t="str" cm="1">
        <f t="array" ref="G14">UITranslateForValueTable("configMaxScore", UITranslationTable[tag], UITranslationTable[], UITranslationTable[#Headers])</f>
        <v>Max. score</v>
      </c>
      <c r="H14" s="76" t="str" cm="1">
        <f t="array" ref="H14">UITranslateForValueTable("configNumResponses", UITranslationTable[tag], UITranslationTable[], UITranslationTable[#Headers])</f>
        <v># of responses</v>
      </c>
      <c r="I14" s="76" t="str" cm="1">
        <f t="array" ref="I14">UITranslateForValueTable("configNumBlanks", UITranslationTable[tag], UITranslationTable[], UITranslationTable[#Headers])</f>
        <v># of blank responses</v>
      </c>
      <c r="J14" s="277" t="str" cm="1">
        <f t="array" ref="J14">UITranslateForValueTable("configNumRespInfo", UITranslationTable[tag], UITranslationTable[], UITranslationTable[#Headers])</f>
        <v>ⓘ The number of (non-blank) responses and the number of blank responses can be different for different questions if some respondents did not answer certain questions. In such a case, the behaviour score could be based on a different number of questions for different respondents.</v>
      </c>
      <c r="K14" s="278"/>
      <c r="L14" s="289"/>
      <c r="M14" s="290"/>
      <c r="N14" s="290"/>
      <c r="O14" s="291"/>
      <c r="P14" s="65"/>
      <c r="Q14" s="65"/>
      <c r="R14" s="65"/>
      <c r="S14" s="65"/>
      <c r="T14" s="65"/>
    </row>
    <row r="15" spans="1:20" ht="14.4" hidden="1" customHeight="1" thickBot="1" x14ac:dyDescent="0.35">
      <c r="A15" s="65"/>
      <c r="B15" s="177"/>
      <c r="C15" s="5" t="s">
        <v>745</v>
      </c>
      <c r="D15" s="4" t="s">
        <v>563</v>
      </c>
      <c r="E15" s="5" t="s">
        <v>638</v>
      </c>
      <c r="F15" s="5" t="s">
        <v>639</v>
      </c>
      <c r="G15" s="5" t="s">
        <v>640</v>
      </c>
      <c r="H15" s="4" t="s">
        <v>604</v>
      </c>
      <c r="I15" s="4" t="s">
        <v>652</v>
      </c>
      <c r="J15" s="277"/>
      <c r="K15" s="278"/>
      <c r="L15" s="289"/>
      <c r="M15" s="290"/>
      <c r="N15" s="290"/>
      <c r="O15" s="291"/>
      <c r="P15" s="65"/>
      <c r="Q15" s="65"/>
      <c r="R15" s="65"/>
      <c r="S15" s="65"/>
      <c r="T15" s="65"/>
    </row>
    <row r="16" spans="1:20" ht="14.4" customHeight="1" x14ac:dyDescent="0.3">
      <c r="A16" s="65"/>
      <c r="B16" s="177"/>
      <c r="C16" s="115" t="s">
        <v>718</v>
      </c>
      <c r="D16" s="163" cm="1">
        <f t="array" ref="D16">ROW()-ROW(behaviourConfigTable[#Headers])</f>
        <v>1</v>
      </c>
      <c r="E16" s="15" t="s">
        <v>670</v>
      </c>
      <c r="F16" s="26">
        <v>-5</v>
      </c>
      <c r="G16" s="32">
        <v>5</v>
      </c>
      <c r="H16" s="157">
        <f ca="1">_xlfn.XLOOKUP(behaviourConfigTable[[#This Row],[index]], behaviourTable[index], behaviourTable[numResponses])</f>
        <v>258</v>
      </c>
      <c r="I16" s="158">
        <f ca="1">_xlfn.XLOOKUP(behaviourConfigTable[[#This Row],[index]], behaviourTable[index], behaviourTable[numBlanks])</f>
        <v>0</v>
      </c>
      <c r="J16" s="277"/>
      <c r="K16" s="278"/>
      <c r="L16" s="289"/>
      <c r="M16" s="290"/>
      <c r="N16" s="290"/>
      <c r="O16" s="291"/>
      <c r="P16" s="65"/>
      <c r="Q16" s="65"/>
      <c r="R16" s="65"/>
      <c r="S16" s="65"/>
      <c r="T16" s="65"/>
    </row>
    <row r="17" spans="1:20" ht="14.4" customHeight="1" x14ac:dyDescent="0.3">
      <c r="A17" s="65"/>
      <c r="B17" s="177"/>
      <c r="C17" s="116" t="s">
        <v>718</v>
      </c>
      <c r="D17" s="164" cm="1">
        <f t="array" ref="D17">ROW()-ROW(behaviourConfigTable[#Headers])</f>
        <v>2</v>
      </c>
      <c r="E17" s="18" t="s">
        <v>671</v>
      </c>
      <c r="F17" s="27">
        <v>5</v>
      </c>
      <c r="G17" s="33">
        <v>20</v>
      </c>
      <c r="H17" s="159">
        <f ca="1">_xlfn.XLOOKUP(behaviourConfigTable[[#This Row],[index]], behaviourTable[index], behaviourTable[numResponses])</f>
        <v>258</v>
      </c>
      <c r="I17" s="160">
        <f ca="1">_xlfn.XLOOKUP(behaviourConfigTable[[#This Row],[index]], behaviourTable[index], behaviourTable[numBlanks])</f>
        <v>0</v>
      </c>
      <c r="J17" s="277"/>
      <c r="K17" s="278"/>
      <c r="L17" s="289"/>
      <c r="M17" s="290"/>
      <c r="N17" s="290"/>
      <c r="O17" s="291"/>
      <c r="P17" s="65"/>
      <c r="Q17" s="65"/>
      <c r="R17" s="65"/>
      <c r="S17" s="65"/>
      <c r="T17" s="65"/>
    </row>
    <row r="18" spans="1:20" ht="14.4" customHeight="1" x14ac:dyDescent="0.3">
      <c r="A18" s="65"/>
      <c r="B18" s="177"/>
      <c r="C18" s="116" t="s">
        <v>718</v>
      </c>
      <c r="D18" s="164" cm="1">
        <f t="array" ref="D18">ROW()-ROW(behaviourConfigTable[#Headers])</f>
        <v>3</v>
      </c>
      <c r="E18" s="18" t="s">
        <v>672</v>
      </c>
      <c r="F18" s="27">
        <v>0</v>
      </c>
      <c r="G18" s="33">
        <v>3</v>
      </c>
      <c r="H18" s="159">
        <f ca="1">_xlfn.XLOOKUP(behaviourConfigTable[[#This Row],[index]], behaviourTable[index], behaviourTable[numResponses])</f>
        <v>258</v>
      </c>
      <c r="I18" s="160">
        <f ca="1">_xlfn.XLOOKUP(behaviourConfigTable[[#This Row],[index]], behaviourTable[index], behaviourTable[numBlanks])</f>
        <v>0</v>
      </c>
      <c r="J18" s="277"/>
      <c r="K18" s="278"/>
      <c r="L18" s="289"/>
      <c r="M18" s="290"/>
      <c r="N18" s="290"/>
      <c r="O18" s="291"/>
      <c r="P18" s="65"/>
      <c r="Q18" s="65"/>
      <c r="R18" s="65"/>
      <c r="S18" s="65"/>
      <c r="T18" s="65"/>
    </row>
    <row r="19" spans="1:20" ht="14.4" customHeight="1" x14ac:dyDescent="0.3">
      <c r="A19" s="65"/>
      <c r="B19" s="177"/>
      <c r="C19" s="116" t="s">
        <v>719</v>
      </c>
      <c r="D19" s="164" cm="1">
        <f t="array" ref="D19">ROW()-ROW(behaviourConfigTable[#Headers])</f>
        <v>4</v>
      </c>
      <c r="E19" s="18" t="s">
        <v>673</v>
      </c>
      <c r="F19" s="27">
        <v>1</v>
      </c>
      <c r="G19" s="33">
        <v>5</v>
      </c>
      <c r="H19" s="159">
        <f ca="1">_xlfn.XLOOKUP(behaviourConfigTable[[#This Row],[index]], behaviourTable[index], behaviourTable[numResponses])</f>
        <v>258</v>
      </c>
      <c r="I19" s="160">
        <f ca="1">_xlfn.XLOOKUP(behaviourConfigTable[[#This Row],[index]], behaviourTable[index], behaviourTable[numBlanks])</f>
        <v>0</v>
      </c>
      <c r="J19" s="277"/>
      <c r="K19" s="278"/>
      <c r="L19" s="289"/>
      <c r="M19" s="290"/>
      <c r="N19" s="290"/>
      <c r="O19" s="291"/>
      <c r="P19" s="65"/>
      <c r="Q19" s="65"/>
      <c r="R19" s="65"/>
      <c r="S19" s="65"/>
      <c r="T19" s="65"/>
    </row>
    <row r="20" spans="1:20" ht="14.4" customHeight="1" thickBot="1" x14ac:dyDescent="0.35">
      <c r="A20" s="65"/>
      <c r="B20" s="177"/>
      <c r="C20" s="117"/>
      <c r="D20" s="165" cm="1">
        <f t="array" ref="D20">ROW()-ROW(behaviourConfigTable[#Headers])</f>
        <v>5</v>
      </c>
      <c r="E20" s="21"/>
      <c r="F20" s="34"/>
      <c r="G20" s="35"/>
      <c r="H20" s="161" t="str">
        <f>_xlfn.XLOOKUP(behaviourConfigTable[[#This Row],[index]], behaviourTable[index], behaviourTable[numResponses])</f>
        <v/>
      </c>
      <c r="I20" s="162" t="str">
        <f>_xlfn.XLOOKUP(behaviourConfigTable[[#This Row],[index]], behaviourTable[index], behaviourTable[numBlanks])</f>
        <v/>
      </c>
      <c r="J20" s="277"/>
      <c r="K20" s="278"/>
      <c r="L20" s="289"/>
      <c r="M20" s="290"/>
      <c r="N20" s="290"/>
      <c r="O20" s="291"/>
      <c r="P20" s="65"/>
      <c r="Q20" s="65"/>
      <c r="R20" s="65"/>
      <c r="S20" s="65"/>
      <c r="T20" s="65"/>
    </row>
    <row r="21" spans="1:20" ht="14.4" customHeight="1" x14ac:dyDescent="0.3">
      <c r="A21" s="65"/>
      <c r="B21" s="111"/>
      <c r="C21" s="279" t="str" cm="1">
        <f t="array" ref="C21">UITranslateForValueTable("configNumScoresInfo", UITranslationTable[tag], UITranslationTable[], UITranslationTable[#Headers])</f>
        <v>ⓘ The number of scores corresponds to the number of respondents who answered at least one SELECTED "behaviour" question (i.e., a score could be calculated). The number of blank scores is the number of respondents who answered none of the selected "behaviour" questions.</v>
      </c>
      <c r="D21" s="280"/>
      <c r="E21" s="280"/>
      <c r="F21" s="280"/>
      <c r="G21" s="280"/>
      <c r="H21" s="53"/>
      <c r="I21" s="53"/>
      <c r="J21" s="277"/>
      <c r="K21" s="278"/>
      <c r="L21" s="289"/>
      <c r="M21" s="290"/>
      <c r="N21" s="290"/>
      <c r="O21" s="291"/>
      <c r="P21" s="65"/>
      <c r="Q21" s="65"/>
      <c r="R21" s="65"/>
      <c r="S21" s="65"/>
      <c r="T21" s="65"/>
    </row>
    <row r="22" spans="1:20" ht="14.4" customHeight="1" x14ac:dyDescent="0.3">
      <c r="A22" s="65"/>
      <c r="B22" s="111"/>
      <c r="C22" s="280"/>
      <c r="D22" s="280"/>
      <c r="E22" s="280"/>
      <c r="F22" s="280"/>
      <c r="G22" s="280"/>
      <c r="H22" s="79" t="str" cm="1">
        <f t="array" ref="H22">UITranslateForValueTable("configNumScores", UITranslationTable[tag], UITranslationTable[], UITranslationTable[#Headers])</f>
        <v># of scores</v>
      </c>
      <c r="I22" s="79" t="str" cm="1">
        <f t="array" ref="I22">UITranslateForValueTable("configNumBlankScores", UITranslationTable[tag], UITranslationTable[], UITranslationTable[#Headers])</f>
        <v># of blank scores</v>
      </c>
      <c r="J22" s="99"/>
      <c r="K22" s="99"/>
      <c r="L22" s="289"/>
      <c r="M22" s="290"/>
      <c r="N22" s="290"/>
      <c r="O22" s="291"/>
      <c r="P22" s="65"/>
      <c r="Q22" s="65"/>
      <c r="R22" s="65"/>
      <c r="S22" s="65"/>
      <c r="T22" s="65"/>
    </row>
    <row r="23" spans="1:20" ht="14.4" hidden="1" customHeight="1" thickBot="1" x14ac:dyDescent="0.35">
      <c r="A23" s="65"/>
      <c r="B23" s="111"/>
      <c r="C23" s="280"/>
      <c r="D23" s="280"/>
      <c r="E23" s="280"/>
      <c r="F23" s="280"/>
      <c r="G23" s="280"/>
      <c r="H23" s="9" t="s">
        <v>653</v>
      </c>
      <c r="I23" s="9" t="s">
        <v>654</v>
      </c>
      <c r="J23" s="99"/>
      <c r="K23" s="99"/>
      <c r="L23" s="289"/>
      <c r="M23" s="290"/>
      <c r="N23" s="290"/>
      <c r="O23" s="291"/>
      <c r="P23" s="65"/>
      <c r="Q23" s="65"/>
      <c r="R23" s="65"/>
      <c r="S23" s="65"/>
      <c r="T23" s="65"/>
    </row>
    <row r="24" spans="1:20" ht="14.4" customHeight="1" x14ac:dyDescent="0.3">
      <c r="A24" s="65"/>
      <c r="B24" s="111"/>
      <c r="C24" s="280"/>
      <c r="D24" s="280"/>
      <c r="E24" s="280"/>
      <c r="F24" s="280"/>
      <c r="G24" s="280"/>
      <c r="H24" s="166" cm="1">
        <f t="array" aca="1" ref="H24" ca="1">numScores</f>
        <v>258</v>
      </c>
      <c r="I24" s="166" cm="1">
        <f t="array" aca="1" ref="I24" ca="1">numEntries - numScores</f>
        <v>0</v>
      </c>
      <c r="J24" s="99"/>
      <c r="K24" s="99"/>
      <c r="L24" s="289"/>
      <c r="M24" s="290"/>
      <c r="N24" s="290"/>
      <c r="O24" s="291"/>
      <c r="P24" s="65"/>
      <c r="Q24" s="65"/>
      <c r="R24" s="65"/>
      <c r="S24" s="65"/>
      <c r="T24" s="65"/>
    </row>
    <row r="25" spans="1:20" ht="19.95" customHeight="1" x14ac:dyDescent="0.3">
      <c r="A25" s="65"/>
      <c r="B25" s="112"/>
      <c r="C25" s="281"/>
      <c r="D25" s="281"/>
      <c r="E25" s="281"/>
      <c r="F25" s="281"/>
      <c r="G25" s="281"/>
      <c r="H25" s="90"/>
      <c r="I25" s="90"/>
      <c r="J25" s="90"/>
      <c r="K25" s="90"/>
      <c r="L25" s="289"/>
      <c r="M25" s="290"/>
      <c r="N25" s="290"/>
      <c r="O25" s="291"/>
      <c r="P25" s="65"/>
      <c r="Q25" s="65"/>
      <c r="R25" s="65"/>
      <c r="S25" s="65"/>
      <c r="T25" s="65"/>
    </row>
    <row r="26" spans="1:20" ht="14.4" customHeight="1" x14ac:dyDescent="0.3">
      <c r="A26" s="65"/>
      <c r="B26" s="113"/>
      <c r="C26" s="118"/>
      <c r="D26" s="118"/>
      <c r="E26" s="118"/>
      <c r="F26" s="118"/>
      <c r="G26" s="118"/>
      <c r="H26" s="53"/>
      <c r="I26" s="53"/>
      <c r="J26" s="53"/>
      <c r="K26" s="53"/>
      <c r="L26" s="289"/>
      <c r="M26" s="290"/>
      <c r="N26" s="290"/>
      <c r="O26" s="291"/>
      <c r="P26" s="65"/>
      <c r="Q26" s="65"/>
      <c r="R26" s="65"/>
      <c r="S26" s="65"/>
      <c r="T26" s="65"/>
    </row>
    <row r="27" spans="1:20" ht="19.95" customHeight="1" x14ac:dyDescent="0.3">
      <c r="A27" s="65"/>
      <c r="B27" s="113"/>
      <c r="C27" s="119" t="str" cm="1">
        <f t="array" ref="C27">UITranslateForValueTable("configFactorsTitle", UITranslationTable[tag], UITranslationTable[], UITranslationTable[#Headers])</f>
        <v>3. RANAS factors</v>
      </c>
      <c r="D27" s="118"/>
      <c r="E27" s="118"/>
      <c r="F27" s="118"/>
      <c r="G27" s="118"/>
      <c r="H27" s="65"/>
      <c r="I27" s="65"/>
      <c r="J27" s="65"/>
      <c r="K27" s="65"/>
      <c r="L27" s="289"/>
      <c r="M27" s="290"/>
      <c r="N27" s="290"/>
      <c r="O27" s="291"/>
      <c r="P27" s="65"/>
      <c r="Q27" s="65"/>
      <c r="R27" s="65"/>
      <c r="S27" s="65"/>
      <c r="T27" s="65"/>
    </row>
    <row r="28" spans="1:20" ht="46.2" customHeight="1" x14ac:dyDescent="0.3">
      <c r="A28" s="65"/>
      <c r="B28" s="114"/>
      <c r="C28" s="282" t="str" cm="1">
        <f t="array" ref="C28">UITranslateForValueTable("configPasteWarning", UITranslationTable[tag], UITranslationTable[], UITranslationTable[#Headers])</f>
        <v>CAUTION: If you paste data in these tables, please make sure that you PASTE VALUES ONLY (e.g., with a right-click). Otherwise, you might erase the special formatting used to highlight errors.</v>
      </c>
      <c r="D28" s="283"/>
      <c r="E28" s="283"/>
      <c r="F28" s="283"/>
      <c r="G28" s="283"/>
      <c r="H28" s="283"/>
      <c r="I28" s="283"/>
      <c r="J28" s="283"/>
      <c r="K28" s="283"/>
      <c r="L28" s="289"/>
      <c r="M28" s="290"/>
      <c r="N28" s="290"/>
      <c r="O28" s="291"/>
      <c r="P28" s="65"/>
      <c r="Q28" s="65"/>
      <c r="R28" s="65"/>
      <c r="S28" s="65"/>
      <c r="T28" s="65"/>
    </row>
    <row r="29" spans="1:20" ht="36" customHeight="1" x14ac:dyDescent="0.3">
      <c r="A29" s="65"/>
      <c r="B29" s="111"/>
      <c r="C29" s="270" t="str" cm="1">
        <f t="array" ref="C29">UITranslateForValueTable("configFactorsText1", UITranslationTable[tag], UITranslationTable[], UITranslationTable[#Headers])</f>
        <v>You can analyse up to 30 different RANAS factors simultaneously. Here again, one factor could represent a group of questions whose score is precomputed within the questionnaire (possibly pre-normalised), so be sure to enter the appropriate minimum and maximum scores for each entry.</v>
      </c>
      <c r="D29" s="271"/>
      <c r="E29" s="271"/>
      <c r="F29" s="271"/>
      <c r="G29" s="271"/>
      <c r="H29" s="271"/>
      <c r="I29" s="271"/>
      <c r="J29" s="271"/>
      <c r="K29" s="271"/>
      <c r="L29" s="289"/>
      <c r="M29" s="290"/>
      <c r="N29" s="290"/>
      <c r="O29" s="291"/>
      <c r="P29" s="65"/>
      <c r="Q29" s="65"/>
      <c r="R29" s="65"/>
      <c r="S29" s="65"/>
      <c r="T29" s="65"/>
    </row>
    <row r="30" spans="1:20" ht="16.2" customHeight="1" x14ac:dyDescent="0.3">
      <c r="A30" s="65"/>
      <c r="B30" s="111"/>
      <c r="C30" s="272" t="str" cm="1">
        <f t="array" ref="C30">UITranslateForValueTable("configInThisTable", UITranslationTable[tag], UITranslationTable[], UITranslationTable[#Headers])</f>
        <v>In this table:</v>
      </c>
      <c r="D30" s="273"/>
      <c r="E30" s="273"/>
      <c r="F30" s="273"/>
      <c r="G30" s="273"/>
      <c r="H30" s="273"/>
      <c r="I30" s="273"/>
      <c r="J30" s="273"/>
      <c r="K30" s="273"/>
      <c r="L30" s="289"/>
      <c r="M30" s="290"/>
      <c r="N30" s="290"/>
      <c r="O30" s="291"/>
      <c r="P30" s="65"/>
      <c r="Q30" s="65"/>
      <c r="R30" s="65"/>
      <c r="S30" s="65"/>
      <c r="T30" s="65"/>
    </row>
    <row r="31" spans="1:20" ht="24" customHeight="1" x14ac:dyDescent="0.3">
      <c r="A31" s="65"/>
      <c r="B31" s="111"/>
      <c r="C31" s="274" t="str" cm="1">
        <f t="array" ref="C31">UITranslateForValueTable("configFactorsText2", UITranslationTable[tag], UITranslationTable[], UITranslationTable[#Headers])</f>
        <v>a. You MUST enter the data headers for the factors that you want to analyse, EXACTLY as they appear in your "data" sheet.</v>
      </c>
      <c r="D31" s="275"/>
      <c r="E31" s="275"/>
      <c r="F31" s="275"/>
      <c r="G31" s="275"/>
      <c r="H31" s="275"/>
      <c r="I31" s="275"/>
      <c r="J31" s="275"/>
      <c r="K31" s="275"/>
      <c r="L31" s="289"/>
      <c r="M31" s="290"/>
      <c r="N31" s="290"/>
      <c r="O31" s="291"/>
      <c r="P31" s="65"/>
      <c r="Q31" s="65"/>
      <c r="R31" s="65"/>
      <c r="S31" s="65"/>
      <c r="T31" s="65"/>
    </row>
    <row r="32" spans="1:20" ht="36" customHeight="1" x14ac:dyDescent="0.3">
      <c r="A32" s="65"/>
      <c r="B32" s="111"/>
      <c r="C32" s="274" t="str" cm="1">
        <f t="array" ref="C32">UITranslateForValueTable("configFactorsText3", UITranslationTable[tag], UITranslationTable[], UITranslationTable[#Headers])</f>
        <v>b. You MUST enter, for each one, the minimum and maximum possible scores. Be careful to enter the appropriate values. (See the examples given above in 2. Behaviour &gt; b.")</v>
      </c>
      <c r="D32" s="275"/>
      <c r="E32" s="275"/>
      <c r="F32" s="275"/>
      <c r="G32" s="275"/>
      <c r="H32" s="275"/>
      <c r="I32" s="275"/>
      <c r="J32" s="275"/>
      <c r="K32" s="275"/>
      <c r="L32" s="289"/>
      <c r="M32" s="290"/>
      <c r="N32" s="290"/>
      <c r="O32" s="291"/>
      <c r="P32" s="65"/>
      <c r="Q32" s="65"/>
      <c r="R32" s="65"/>
      <c r="S32" s="65"/>
      <c r="T32" s="65"/>
    </row>
    <row r="33" spans="1:20" ht="24" customHeight="1" x14ac:dyDescent="0.3">
      <c r="A33" s="65"/>
      <c r="B33" s="111"/>
      <c r="C33" s="274" t="str" cm="1">
        <f t="array" ref="C33">UITranslateForValueTable("configFactorsText4", UITranslationTable[tag], UITranslationTable[], UITranslationTable[#Headers])</f>
        <v>c. You MUST define, for each factor, the RANAS block to which it belongs by selecting it from the drop-down menu in the corresponding column.</v>
      </c>
      <c r="D33" s="275"/>
      <c r="E33" s="275"/>
      <c r="F33" s="275"/>
      <c r="G33" s="275"/>
      <c r="H33" s="275"/>
      <c r="I33" s="275"/>
      <c r="J33" s="275"/>
      <c r="K33" s="275"/>
      <c r="L33" s="289"/>
      <c r="M33" s="290"/>
      <c r="N33" s="290"/>
      <c r="O33" s="291"/>
      <c r="P33" s="65"/>
      <c r="Q33" s="65"/>
      <c r="R33" s="65"/>
      <c r="S33" s="65"/>
      <c r="T33" s="65"/>
    </row>
    <row r="34" spans="1:20" ht="36" customHeight="1" x14ac:dyDescent="0.3">
      <c r="A34" s="65"/>
      <c r="B34" s="111"/>
      <c r="C34" s="274" t="str" cm="1">
        <f t="array" ref="C34">UITranslateForValueTable("configFactorsText5", UITranslationTable[tag], UITranslationTable[], UITranslationTable[#Headers])</f>
        <v>d. You MUST use the drop-down menus in the "Display?" column to select (✔) or deselect (✘) each factor in the table. Only the selected factors will be displayed in the analysis charts and table. This allows you to customise your charts.</v>
      </c>
      <c r="D34" s="275"/>
      <c r="E34" s="275"/>
      <c r="F34" s="275"/>
      <c r="G34" s="275"/>
      <c r="H34" s="275"/>
      <c r="I34" s="275"/>
      <c r="J34" s="275"/>
      <c r="K34" s="275"/>
      <c r="L34" s="289"/>
      <c r="M34" s="290"/>
      <c r="N34" s="290"/>
      <c r="O34" s="291"/>
      <c r="P34" s="65"/>
      <c r="Q34" s="65"/>
      <c r="R34" s="65"/>
      <c r="S34" s="65"/>
      <c r="T34" s="65"/>
    </row>
    <row r="35" spans="1:20" ht="36" customHeight="1" thickBot="1" x14ac:dyDescent="0.35">
      <c r="A35" s="65"/>
      <c r="B35" s="111"/>
      <c r="C35" s="274" t="str" cm="1">
        <f t="array" aca="1" ref="C35" ca="1">UITranslateForValueTable("configFactorsText6", UITranslationTable[tag], UITranslationTable[], UITranslationTable[#Headers])</f>
        <v>e. You CAN define, in the yellow cells of the top row, additional languages that you want to use to display results in the charts and tables. They will then be available for selection in the "Chart language" menu of the "Introduction" sheet.</v>
      </c>
      <c r="D35" s="275"/>
      <c r="E35" s="275"/>
      <c r="F35" s="275"/>
      <c r="G35" s="275"/>
      <c r="H35" s="275"/>
      <c r="I35" s="275"/>
      <c r="J35" s="275"/>
      <c r="K35" s="275"/>
      <c r="L35" s="292"/>
      <c r="M35" s="293"/>
      <c r="N35" s="293"/>
      <c r="O35" s="294"/>
      <c r="P35" s="65"/>
      <c r="Q35" s="65"/>
      <c r="R35" s="65"/>
      <c r="S35" s="65"/>
      <c r="T35" s="65"/>
    </row>
    <row r="36" spans="1:20" ht="36" customHeight="1" thickBot="1" x14ac:dyDescent="0.35">
      <c r="A36" s="65"/>
      <c r="B36" s="111"/>
      <c r="C36" s="274" t="str" cm="1">
        <f t="array" aca="1" ref="C36" ca="1">UITranslateForValueTable("configFactorsText7", UITranslationTable[tag], UITranslationTable[], UITranslationTable[#Headers])</f>
        <v>f. You MUST provide translations for all factors defined in the "Data header" column, at least for the "Chart language" selected in the "Introduction" sheet.</v>
      </c>
      <c r="D36" s="275"/>
      <c r="E36" s="275"/>
      <c r="F36" s="275"/>
      <c r="G36" s="275"/>
      <c r="H36" s="275"/>
      <c r="I36" s="275"/>
      <c r="J36" s="275"/>
      <c r="K36" s="275"/>
      <c r="L36" s="65"/>
      <c r="M36" s="65"/>
      <c r="N36" s="65"/>
      <c r="O36" s="93"/>
      <c r="P36" s="65"/>
      <c r="Q36" s="65"/>
      <c r="R36" s="65"/>
      <c r="S36" s="65"/>
      <c r="T36" s="65"/>
    </row>
    <row r="37" spans="1:20" ht="15" thickBot="1" x14ac:dyDescent="0.35">
      <c r="A37" s="65"/>
      <c r="B37" s="83"/>
      <c r="C37" s="77" t="str" cm="1">
        <f t="array" ref="C37">UITranslateForValueTable("configFactorsDisplay", UITranslationTable[tag], UITranslationTable[], UITranslationTable[#Headers])</f>
        <v>Display?</v>
      </c>
      <c r="D37" s="77" t="str" cm="1">
        <f t="array" ref="D37">UITranslateForValueTable("configFactorsNum", UITranslationTable[tag], UITranslationTable[], UITranslationTable[#Headers])</f>
        <v>Factor #</v>
      </c>
      <c r="E37" s="76" t="str" cm="1">
        <f t="array" ref="E37">UITranslateForValueTable("configDataHeader", UITranslationTable[tag], UITranslationTable[], UITranslationTable[#Headers])</f>
        <v>Data header</v>
      </c>
      <c r="F37" s="76" t="str" cm="1">
        <f t="array" ref="F37">UITranslateForValueTable("configMinScore", UITranslationTable[tag], UITranslationTable[], UITranslationTable[#Headers])</f>
        <v>Min. score</v>
      </c>
      <c r="G37" s="76" t="str" cm="1">
        <f t="array" ref="G37">UITranslateForValueTable("configMaxScore", UITranslationTable[tag], UITranslationTable[], UITranslationTable[#Headers])</f>
        <v>Max. score</v>
      </c>
      <c r="H37" s="76" t="str" cm="1">
        <f t="array" ref="H37">UITranslateForValueTable("configNumResponses", UITranslationTable[tag], UITranslationTable[], UITranslationTable[#Headers])</f>
        <v># of responses</v>
      </c>
      <c r="I37" s="76" t="str" cm="1">
        <f t="array" ref="I37">UITranslateForValueTable("configRANASBlock", UITranslationTable[tag], UITranslationTable[], UITranslationTable[#Headers])</f>
        <v>RANAS block</v>
      </c>
      <c r="J37" s="76" t="str">
        <f>UITranslationTable[[#Headers],[English]]</f>
        <v>English</v>
      </c>
      <c r="K37" s="78" t="str">
        <f>UITranslationTable[[#Headers],[Français]]</f>
        <v>Français</v>
      </c>
      <c r="L37" s="45" t="s">
        <v>600</v>
      </c>
      <c r="M37" s="155"/>
      <c r="N37" s="156"/>
      <c r="O37" s="93"/>
      <c r="P37" s="65"/>
      <c r="Q37" s="65"/>
      <c r="R37" s="65"/>
      <c r="S37" s="65"/>
      <c r="T37" s="65"/>
    </row>
    <row r="38" spans="1:20" ht="15" hidden="1" thickBot="1" x14ac:dyDescent="0.35">
      <c r="A38" s="65"/>
      <c r="B38" s="111"/>
      <c r="C38" s="5" t="s">
        <v>785</v>
      </c>
      <c r="D38" s="4" t="s">
        <v>563</v>
      </c>
      <c r="E38" s="5" t="s">
        <v>627</v>
      </c>
      <c r="F38" s="5" t="s">
        <v>639</v>
      </c>
      <c r="G38" s="5" t="s">
        <v>640</v>
      </c>
      <c r="H38" s="4" t="s">
        <v>604</v>
      </c>
      <c r="I38" s="4" t="s">
        <v>641</v>
      </c>
      <c r="J38" s="4" t="s">
        <v>579</v>
      </c>
      <c r="K38" s="4" t="s">
        <v>580</v>
      </c>
      <c r="L38" s="4" t="s">
        <v>581</v>
      </c>
      <c r="M38" s="4" t="s">
        <v>582</v>
      </c>
      <c r="N38" s="39" t="s">
        <v>583</v>
      </c>
      <c r="O38" s="93"/>
      <c r="P38" s="65"/>
      <c r="Q38" s="65"/>
      <c r="R38" s="65"/>
      <c r="S38" s="65"/>
      <c r="T38" s="65"/>
    </row>
    <row r="39" spans="1:20" x14ac:dyDescent="0.3">
      <c r="A39" s="65"/>
      <c r="B39" s="111"/>
      <c r="C39" s="115" t="s">
        <v>718</v>
      </c>
      <c r="D39" s="163" cm="1">
        <f t="array" ref="D39">ROW()-ROW(factorsConfigTable[#Headers])</f>
        <v>1</v>
      </c>
      <c r="E39" s="15" t="s">
        <v>696</v>
      </c>
      <c r="F39" s="26">
        <v>1</v>
      </c>
      <c r="G39" s="32">
        <v>5</v>
      </c>
      <c r="H39" s="169">
        <f ca="1">_xlfn.XLOOKUP(factorsConfigTable[[#This Row],[index]], factorsTable[index], factorsTable[numTotal])</f>
        <v>210</v>
      </c>
      <c r="I39" s="36" t="s">
        <v>734</v>
      </c>
      <c r="J39" s="16" t="s">
        <v>23</v>
      </c>
      <c r="K39" s="16" t="s">
        <v>603</v>
      </c>
      <c r="L39" s="17" t="s">
        <v>1020</v>
      </c>
      <c r="M39" s="17"/>
      <c r="N39" s="40"/>
      <c r="O39" s="93"/>
      <c r="P39" s="65"/>
      <c r="Q39" s="65"/>
      <c r="R39" s="65"/>
      <c r="S39" s="65"/>
      <c r="T39" s="65"/>
    </row>
    <row r="40" spans="1:20" x14ac:dyDescent="0.3">
      <c r="A40" s="65"/>
      <c r="B40" s="111"/>
      <c r="C40" s="116" t="s">
        <v>718</v>
      </c>
      <c r="D40" s="164" cm="1">
        <f t="array" ref="D40">ROW()-ROW(factorsConfigTable[#Headers])</f>
        <v>2</v>
      </c>
      <c r="E40" s="18" t="s">
        <v>697</v>
      </c>
      <c r="F40" s="27">
        <v>0</v>
      </c>
      <c r="G40" s="33">
        <v>1</v>
      </c>
      <c r="H40" s="170">
        <f ca="1">_xlfn.XLOOKUP(factorsConfigTable[[#This Row],[index]], factorsTable[index], factorsTable[numTotal])</f>
        <v>258</v>
      </c>
      <c r="I40" s="37" t="s">
        <v>735</v>
      </c>
      <c r="J40" s="19" t="s">
        <v>10</v>
      </c>
      <c r="K40" s="19" t="s">
        <v>874</v>
      </c>
      <c r="L40" s="19" t="s">
        <v>1032</v>
      </c>
      <c r="M40" s="19"/>
      <c r="N40" s="41"/>
      <c r="O40" s="93"/>
      <c r="P40" s="65"/>
      <c r="Q40" s="65"/>
      <c r="R40" s="65"/>
      <c r="S40" s="65"/>
      <c r="T40" s="65"/>
    </row>
    <row r="41" spans="1:20" x14ac:dyDescent="0.3">
      <c r="A41" s="65"/>
      <c r="B41" s="111"/>
      <c r="C41" s="116" t="s">
        <v>718</v>
      </c>
      <c r="D41" s="164" cm="1">
        <f t="array" ref="D41">ROW()-ROW(factorsConfigTable[#Headers])</f>
        <v>3</v>
      </c>
      <c r="E41" s="18" t="s">
        <v>698</v>
      </c>
      <c r="F41" s="27">
        <v>0</v>
      </c>
      <c r="G41" s="33">
        <v>1</v>
      </c>
      <c r="H41" s="170">
        <f ca="1">_xlfn.XLOOKUP(factorsConfigTable[[#This Row],[index]], factorsTable[index], factorsTable[numTotal])</f>
        <v>258</v>
      </c>
      <c r="I41" s="37" t="s">
        <v>733</v>
      </c>
      <c r="J41" s="19" t="s">
        <v>24</v>
      </c>
      <c r="K41" s="19" t="s">
        <v>1011</v>
      </c>
      <c r="L41" s="19" t="s">
        <v>1031</v>
      </c>
      <c r="M41" s="19"/>
      <c r="N41" s="41"/>
      <c r="O41" s="93"/>
      <c r="P41" s="65"/>
      <c r="Q41" s="65"/>
      <c r="R41" s="65"/>
      <c r="S41" s="65"/>
      <c r="T41" s="65"/>
    </row>
    <row r="42" spans="1:20" ht="14.4" customHeight="1" x14ac:dyDescent="0.3">
      <c r="A42" s="65"/>
      <c r="B42" s="111"/>
      <c r="C42" s="116" t="s">
        <v>718</v>
      </c>
      <c r="D42" s="164" cm="1">
        <f t="array" ref="D42">ROW()-ROW(factorsConfigTable[#Headers])</f>
        <v>4</v>
      </c>
      <c r="E42" s="18" t="s">
        <v>699</v>
      </c>
      <c r="F42" s="27">
        <v>1</v>
      </c>
      <c r="G42" s="33">
        <v>5</v>
      </c>
      <c r="H42" s="170">
        <f ca="1">_xlfn.XLOOKUP(factorsConfigTable[[#This Row],[index]], factorsTable[index], factorsTable[numTotal])</f>
        <v>258</v>
      </c>
      <c r="I42" s="37" t="s">
        <v>733</v>
      </c>
      <c r="J42" s="19" t="s">
        <v>20</v>
      </c>
      <c r="K42" s="19" t="s">
        <v>711</v>
      </c>
      <c r="L42" s="19" t="s">
        <v>1014</v>
      </c>
      <c r="M42" s="19"/>
      <c r="N42" s="41"/>
      <c r="O42" s="93"/>
      <c r="P42" s="65"/>
      <c r="Q42" s="65"/>
      <c r="R42" s="65"/>
      <c r="S42" s="65"/>
      <c r="T42" s="65"/>
    </row>
    <row r="43" spans="1:20" ht="14.4" customHeight="1" x14ac:dyDescent="0.3">
      <c r="A43" s="65"/>
      <c r="B43" s="111"/>
      <c r="C43" s="116" t="s">
        <v>718</v>
      </c>
      <c r="D43" s="164" cm="1">
        <f t="array" ref="D43">ROW()-ROW(factorsConfigTable[#Headers])</f>
        <v>5</v>
      </c>
      <c r="E43" s="18" t="s">
        <v>700</v>
      </c>
      <c r="F43" s="27">
        <v>1</v>
      </c>
      <c r="G43" s="33">
        <v>5</v>
      </c>
      <c r="H43" s="170">
        <f ca="1">_xlfn.XLOOKUP(factorsConfigTable[[#This Row],[index]], factorsTable[index], factorsTable[numTotal])</f>
        <v>258</v>
      </c>
      <c r="I43" s="37" t="s">
        <v>733</v>
      </c>
      <c r="J43" s="19" t="s">
        <v>22</v>
      </c>
      <c r="K43" s="19" t="s">
        <v>712</v>
      </c>
      <c r="L43" s="19" t="s">
        <v>1015</v>
      </c>
      <c r="M43" s="19"/>
      <c r="N43" s="41"/>
      <c r="O43" s="93"/>
      <c r="P43" s="65"/>
      <c r="Q43" s="65"/>
      <c r="R43" s="65"/>
      <c r="S43" s="65"/>
      <c r="T43" s="53"/>
    </row>
    <row r="44" spans="1:20" ht="14.4" customHeight="1" x14ac:dyDescent="0.3">
      <c r="A44" s="65"/>
      <c r="B44" s="111"/>
      <c r="C44" s="116" t="s">
        <v>718</v>
      </c>
      <c r="D44" s="164" cm="1">
        <f t="array" ref="D44">ROW()-ROW(factorsConfigTable[#Headers])</f>
        <v>6</v>
      </c>
      <c r="E44" s="18" t="s">
        <v>701</v>
      </c>
      <c r="F44" s="27">
        <v>1</v>
      </c>
      <c r="G44" s="33">
        <v>5</v>
      </c>
      <c r="H44" s="170">
        <f ca="1">_xlfn.XLOOKUP(factorsConfigTable[[#This Row],[index]], factorsTable[index], factorsTable[numTotal])</f>
        <v>258</v>
      </c>
      <c r="I44" s="37" t="s">
        <v>852</v>
      </c>
      <c r="J44" s="19" t="s">
        <v>13</v>
      </c>
      <c r="K44" s="19" t="s">
        <v>1013</v>
      </c>
      <c r="L44" s="19" t="s">
        <v>1016</v>
      </c>
      <c r="M44" s="19"/>
      <c r="N44" s="41"/>
      <c r="O44" s="93"/>
      <c r="P44" s="65"/>
      <c r="Q44" s="65"/>
      <c r="R44" s="65"/>
      <c r="S44" s="53"/>
      <c r="T44" s="53"/>
    </row>
    <row r="45" spans="1:20" ht="14.4" customHeight="1" x14ac:dyDescent="0.3">
      <c r="A45" s="65"/>
      <c r="B45" s="111"/>
      <c r="C45" s="116" t="s">
        <v>718</v>
      </c>
      <c r="D45" s="164" cm="1">
        <f t="array" ref="D45">ROW()-ROW(factorsConfigTable[#Headers])</f>
        <v>7</v>
      </c>
      <c r="E45" s="18" t="s">
        <v>702</v>
      </c>
      <c r="F45" s="27">
        <v>1</v>
      </c>
      <c r="G45" s="33">
        <v>5</v>
      </c>
      <c r="H45" s="170">
        <f ca="1">_xlfn.XLOOKUP(factorsConfigTable[[#This Row],[index]], factorsTable[index], factorsTable[numTotal])</f>
        <v>258</v>
      </c>
      <c r="I45" s="37" t="s">
        <v>735</v>
      </c>
      <c r="J45" s="19" t="s">
        <v>21</v>
      </c>
      <c r="K45" s="19" t="s">
        <v>1021</v>
      </c>
      <c r="L45" s="19" t="s">
        <v>1030</v>
      </c>
      <c r="M45" s="19"/>
      <c r="N45" s="41"/>
      <c r="O45" s="93"/>
      <c r="P45" s="65"/>
      <c r="Q45" s="65"/>
      <c r="R45" s="65"/>
      <c r="S45" s="53"/>
      <c r="T45" s="53"/>
    </row>
    <row r="46" spans="1:20" ht="14.4" customHeight="1" x14ac:dyDescent="0.3">
      <c r="A46" s="65"/>
      <c r="B46" s="111"/>
      <c r="C46" s="116" t="s">
        <v>718</v>
      </c>
      <c r="D46" s="164" cm="1">
        <f t="array" ref="D46">ROW()-ROW(factorsConfigTable[#Headers])</f>
        <v>8</v>
      </c>
      <c r="E46" s="18" t="s">
        <v>703</v>
      </c>
      <c r="F46" s="27">
        <v>1</v>
      </c>
      <c r="G46" s="33">
        <v>5</v>
      </c>
      <c r="H46" s="170">
        <f ca="1">_xlfn.XLOOKUP(factorsConfigTable[[#This Row],[index]], factorsTable[index], factorsTable[numTotal])</f>
        <v>258</v>
      </c>
      <c r="I46" s="37" t="s">
        <v>735</v>
      </c>
      <c r="J46" s="19" t="s">
        <v>18</v>
      </c>
      <c r="K46" s="19" t="s">
        <v>1022</v>
      </c>
      <c r="L46" s="19" t="s">
        <v>1029</v>
      </c>
      <c r="M46" s="19"/>
      <c r="N46" s="41"/>
      <c r="O46" s="93"/>
      <c r="P46" s="65"/>
      <c r="Q46" s="65"/>
      <c r="R46" s="65"/>
      <c r="S46" s="53"/>
      <c r="T46" s="53"/>
    </row>
    <row r="47" spans="1:20" ht="14.4" customHeight="1" x14ac:dyDescent="0.3">
      <c r="A47" s="65"/>
      <c r="B47" s="111"/>
      <c r="C47" s="116" t="s">
        <v>718</v>
      </c>
      <c r="D47" s="164" cm="1">
        <f t="array" ref="D47">ROW()-ROW(factorsConfigTable[#Headers])</f>
        <v>9</v>
      </c>
      <c r="E47" s="18" t="s">
        <v>704</v>
      </c>
      <c r="F47" s="27">
        <v>1</v>
      </c>
      <c r="G47" s="33">
        <v>5</v>
      </c>
      <c r="H47" s="170">
        <f ca="1">_xlfn.XLOOKUP(factorsConfigTable[[#This Row],[index]], factorsTable[index], factorsTable[numTotal])</f>
        <v>258</v>
      </c>
      <c r="I47" s="37" t="s">
        <v>852</v>
      </c>
      <c r="J47" s="19" t="s">
        <v>12</v>
      </c>
      <c r="K47" s="19" t="s">
        <v>875</v>
      </c>
      <c r="L47" s="19" t="s">
        <v>1017</v>
      </c>
      <c r="M47" s="19"/>
      <c r="N47" s="41"/>
      <c r="O47" s="93"/>
      <c r="P47" s="65"/>
      <c r="Q47" s="65"/>
      <c r="R47" s="65"/>
      <c r="S47" s="53"/>
      <c r="T47" s="53"/>
    </row>
    <row r="48" spans="1:20" ht="14.4" customHeight="1" x14ac:dyDescent="0.3">
      <c r="A48" s="65"/>
      <c r="B48" s="111"/>
      <c r="C48" s="116" t="s">
        <v>718</v>
      </c>
      <c r="D48" s="164" cm="1">
        <f t="array" ref="D48">ROW()-ROW(factorsConfigTable[#Headers])</f>
        <v>10</v>
      </c>
      <c r="E48" s="18" t="s">
        <v>575</v>
      </c>
      <c r="F48" s="27">
        <v>1</v>
      </c>
      <c r="G48" s="33">
        <v>5</v>
      </c>
      <c r="H48" s="170">
        <f ca="1">_xlfn.XLOOKUP(factorsConfigTable[[#This Row],[index]], factorsTable[index], factorsTable[numTotal])</f>
        <v>258</v>
      </c>
      <c r="I48" s="37" t="s">
        <v>852</v>
      </c>
      <c r="J48" s="19" t="s">
        <v>14</v>
      </c>
      <c r="K48" s="19" t="s">
        <v>800</v>
      </c>
      <c r="L48" s="19" t="s">
        <v>1025</v>
      </c>
      <c r="M48" s="19"/>
      <c r="N48" s="41"/>
      <c r="O48" s="93"/>
      <c r="P48" s="65"/>
      <c r="Q48" s="65"/>
      <c r="R48" s="65"/>
      <c r="S48" s="53"/>
      <c r="T48" s="53"/>
    </row>
    <row r="49" spans="1:20" ht="14.4" customHeight="1" x14ac:dyDescent="0.3">
      <c r="A49" s="65"/>
      <c r="B49" s="111"/>
      <c r="C49" s="116" t="s">
        <v>718</v>
      </c>
      <c r="D49" s="167" cm="1">
        <f t="array" ref="D49">ROW()-ROW(factorsConfigTable[#Headers])</f>
        <v>11</v>
      </c>
      <c r="E49" s="18" t="s">
        <v>705</v>
      </c>
      <c r="F49" s="27">
        <v>0</v>
      </c>
      <c r="G49" s="33">
        <v>1</v>
      </c>
      <c r="H49" s="170">
        <f ca="1">_xlfn.XLOOKUP(factorsConfigTable[[#This Row],[index]], factorsTable[index], factorsTable[numTotal])</f>
        <v>258</v>
      </c>
      <c r="I49" s="37" t="s">
        <v>734</v>
      </c>
      <c r="J49" s="19" t="s">
        <v>8</v>
      </c>
      <c r="K49" s="19" t="s">
        <v>876</v>
      </c>
      <c r="L49" s="24" t="s">
        <v>1023</v>
      </c>
      <c r="M49" s="24"/>
      <c r="N49" s="42"/>
      <c r="O49" s="93"/>
      <c r="P49" s="65"/>
      <c r="Q49" s="65"/>
      <c r="R49" s="65"/>
      <c r="S49" s="53"/>
      <c r="T49" s="53"/>
    </row>
    <row r="50" spans="1:20" ht="14.4" customHeight="1" x14ac:dyDescent="0.3">
      <c r="A50" s="65"/>
      <c r="B50" s="111"/>
      <c r="C50" s="116" t="s">
        <v>718</v>
      </c>
      <c r="D50" s="167" cm="1">
        <f t="array" ref="D50">ROW()-ROW(factorsConfigTable[#Headers])</f>
        <v>12</v>
      </c>
      <c r="E50" s="18" t="s">
        <v>706</v>
      </c>
      <c r="F50" s="27">
        <v>0</v>
      </c>
      <c r="G50" s="33">
        <v>1</v>
      </c>
      <c r="H50" s="170">
        <f ca="1">_xlfn.XLOOKUP(factorsConfigTable[[#This Row],[index]], factorsTable[index], factorsTable[numTotal])</f>
        <v>258</v>
      </c>
      <c r="I50" s="37" t="s">
        <v>736</v>
      </c>
      <c r="J50" s="19" t="s">
        <v>16</v>
      </c>
      <c r="K50" s="19" t="s">
        <v>877</v>
      </c>
      <c r="L50" s="24" t="s">
        <v>1027</v>
      </c>
      <c r="M50" s="24"/>
      <c r="N50" s="42"/>
      <c r="O50" s="93"/>
      <c r="P50" s="65"/>
      <c r="Q50" s="65"/>
      <c r="R50" s="65"/>
      <c r="S50" s="53"/>
      <c r="T50" s="65"/>
    </row>
    <row r="51" spans="1:20" ht="14.4" customHeight="1" x14ac:dyDescent="0.3">
      <c r="A51" s="65"/>
      <c r="B51" s="111"/>
      <c r="C51" s="116" t="s">
        <v>718</v>
      </c>
      <c r="D51" s="167" cm="1">
        <f t="array" ref="D51">ROW()-ROW(factorsConfigTable[#Headers])</f>
        <v>13</v>
      </c>
      <c r="E51" s="18" t="s">
        <v>707</v>
      </c>
      <c r="F51" s="27">
        <v>1</v>
      </c>
      <c r="G51" s="33">
        <v>5</v>
      </c>
      <c r="H51" s="170">
        <f ca="1">_xlfn.XLOOKUP(factorsConfigTable[[#This Row],[index]], factorsTable[index], factorsTable[numTotal])</f>
        <v>258</v>
      </c>
      <c r="I51" s="37" t="s">
        <v>736</v>
      </c>
      <c r="J51" s="19" t="s">
        <v>15</v>
      </c>
      <c r="K51" s="19" t="s">
        <v>878</v>
      </c>
      <c r="L51" s="24" t="s">
        <v>1026</v>
      </c>
      <c r="M51" s="24"/>
      <c r="N51" s="42"/>
      <c r="O51" s="93"/>
      <c r="P51" s="65"/>
      <c r="Q51" s="65"/>
      <c r="R51" s="65"/>
      <c r="S51" s="53"/>
      <c r="T51" s="65"/>
    </row>
    <row r="52" spans="1:20" ht="14.4" customHeight="1" x14ac:dyDescent="0.3">
      <c r="A52" s="65"/>
      <c r="B52" s="111"/>
      <c r="C52" s="116" t="s">
        <v>718</v>
      </c>
      <c r="D52" s="167" cm="1">
        <f t="array" ref="D52">ROW()-ROW(factorsConfigTable[#Headers])</f>
        <v>14</v>
      </c>
      <c r="E52" s="18" t="s">
        <v>708</v>
      </c>
      <c r="F52" s="27">
        <v>1</v>
      </c>
      <c r="G52" s="33">
        <v>5</v>
      </c>
      <c r="H52" s="170">
        <f ca="1">_xlfn.XLOOKUP(factorsConfigTable[[#This Row],[index]], factorsTable[index], factorsTable[numTotal])</f>
        <v>258</v>
      </c>
      <c r="I52" s="37" t="s">
        <v>736</v>
      </c>
      <c r="J52" s="19" t="s">
        <v>17</v>
      </c>
      <c r="K52" s="19" t="s">
        <v>879</v>
      </c>
      <c r="L52" s="24" t="s">
        <v>1028</v>
      </c>
      <c r="M52" s="24"/>
      <c r="N52" s="42"/>
      <c r="O52" s="93"/>
      <c r="P52" s="65"/>
      <c r="Q52" s="65"/>
      <c r="R52" s="65"/>
      <c r="S52" s="53"/>
      <c r="T52" s="65"/>
    </row>
    <row r="53" spans="1:20" ht="14.4" customHeight="1" x14ac:dyDescent="0.3">
      <c r="A53" s="65"/>
      <c r="B53" s="111"/>
      <c r="C53" s="116" t="s">
        <v>718</v>
      </c>
      <c r="D53" s="167" cm="1">
        <f t="array" ref="D53">ROW()-ROW(factorsConfigTable[#Headers])</f>
        <v>15</v>
      </c>
      <c r="E53" s="18" t="s">
        <v>709</v>
      </c>
      <c r="F53" s="27">
        <v>1</v>
      </c>
      <c r="G53" s="33">
        <v>5</v>
      </c>
      <c r="H53" s="170">
        <f ca="1">_xlfn.XLOOKUP(factorsConfigTable[[#This Row],[index]], factorsTable[index], factorsTable[numTotal])</f>
        <v>210</v>
      </c>
      <c r="I53" s="37" t="s">
        <v>733</v>
      </c>
      <c r="J53" s="19" t="s">
        <v>19</v>
      </c>
      <c r="K53" s="19" t="s">
        <v>880</v>
      </c>
      <c r="L53" s="24" t="s">
        <v>1033</v>
      </c>
      <c r="M53" s="24"/>
      <c r="N53" s="42"/>
      <c r="O53" s="93"/>
      <c r="P53" s="65"/>
      <c r="Q53" s="65"/>
      <c r="R53" s="65"/>
      <c r="S53" s="53"/>
      <c r="T53" s="65"/>
    </row>
    <row r="54" spans="1:20" ht="14.4" customHeight="1" x14ac:dyDescent="0.3">
      <c r="A54" s="65"/>
      <c r="B54" s="111"/>
      <c r="C54" s="116" t="s">
        <v>718</v>
      </c>
      <c r="D54" s="167" cm="1">
        <f t="array" ref="D54">ROW()-ROW(factorsConfigTable[#Headers])</f>
        <v>16</v>
      </c>
      <c r="E54" s="18" t="s">
        <v>568</v>
      </c>
      <c r="F54" s="27">
        <v>1</v>
      </c>
      <c r="G54" s="33">
        <v>5</v>
      </c>
      <c r="H54" s="170">
        <f ca="1">_xlfn.XLOOKUP(factorsConfigTable[[#This Row],[index]], factorsTable[index], factorsTable[numTotal])</f>
        <v>258</v>
      </c>
      <c r="I54" s="37" t="s">
        <v>734</v>
      </c>
      <c r="J54" s="19" t="s">
        <v>9</v>
      </c>
      <c r="K54" s="19" t="s">
        <v>602</v>
      </c>
      <c r="L54" s="24" t="s">
        <v>1024</v>
      </c>
      <c r="M54" s="24"/>
      <c r="N54" s="42"/>
      <c r="O54" s="93"/>
      <c r="P54" s="65"/>
      <c r="Q54" s="65"/>
      <c r="R54" s="65"/>
      <c r="S54" s="53"/>
      <c r="T54" s="65"/>
    </row>
    <row r="55" spans="1:20" ht="14.4" customHeight="1" x14ac:dyDescent="0.3">
      <c r="A55" s="65"/>
      <c r="B55" s="111"/>
      <c r="C55" s="116" t="s">
        <v>718</v>
      </c>
      <c r="D55" s="167" cm="1">
        <f t="array" ref="D55">ROW()-ROW(factorsConfigTable[#Headers])</f>
        <v>17</v>
      </c>
      <c r="E55" s="18" t="s">
        <v>567</v>
      </c>
      <c r="F55" s="27">
        <v>1</v>
      </c>
      <c r="G55" s="33">
        <v>5</v>
      </c>
      <c r="H55" s="170">
        <f ca="1">_xlfn.XLOOKUP(factorsConfigTable[[#This Row],[index]], factorsTable[index], factorsTable[numTotal])</f>
        <v>258</v>
      </c>
      <c r="I55" s="37" t="s">
        <v>734</v>
      </c>
      <c r="J55" s="19" t="s">
        <v>11</v>
      </c>
      <c r="K55" s="19" t="s">
        <v>601</v>
      </c>
      <c r="L55" s="24" t="s">
        <v>615</v>
      </c>
      <c r="M55" s="24"/>
      <c r="N55" s="42"/>
      <c r="O55" s="93"/>
      <c r="P55" s="65"/>
      <c r="Q55" s="65"/>
      <c r="R55" s="65"/>
      <c r="S55" s="53"/>
      <c r="T55" s="65"/>
    </row>
    <row r="56" spans="1:20" ht="14.4" customHeight="1" x14ac:dyDescent="0.3">
      <c r="A56" s="65"/>
      <c r="B56" s="111"/>
      <c r="C56" s="116"/>
      <c r="D56" s="167" cm="1">
        <f t="array" ref="D56">ROW()-ROW(factorsConfigTable[#Headers])</f>
        <v>18</v>
      </c>
      <c r="E56" s="18"/>
      <c r="F56" s="27"/>
      <c r="G56" s="33"/>
      <c r="H56" s="170" t="str">
        <f>_xlfn.XLOOKUP(factorsConfigTable[[#This Row],[index]], factorsTable[index], factorsTable[numTotal])</f>
        <v/>
      </c>
      <c r="I56" s="37"/>
      <c r="J56" s="19"/>
      <c r="K56" s="19"/>
      <c r="L56" s="24"/>
      <c r="M56" s="24"/>
      <c r="N56" s="42"/>
      <c r="O56" s="93"/>
      <c r="P56" s="65"/>
      <c r="Q56" s="65"/>
      <c r="R56" s="65"/>
      <c r="S56" s="53"/>
      <c r="T56" s="65"/>
    </row>
    <row r="57" spans="1:20" ht="14.4" customHeight="1" x14ac:dyDescent="0.3">
      <c r="A57" s="65"/>
      <c r="B57" s="111"/>
      <c r="C57" s="116"/>
      <c r="D57" s="167" cm="1">
        <f t="array" ref="D57">ROW()-ROW(factorsConfigTable[#Headers])</f>
        <v>19</v>
      </c>
      <c r="E57" s="18"/>
      <c r="F57" s="27"/>
      <c r="G57" s="33"/>
      <c r="H57" s="170" t="str">
        <f>_xlfn.XLOOKUP(factorsConfigTable[[#This Row],[index]], factorsTable[index], factorsTable[numTotal])</f>
        <v/>
      </c>
      <c r="I57" s="37"/>
      <c r="J57" s="19"/>
      <c r="K57" s="19"/>
      <c r="L57" s="24"/>
      <c r="M57" s="24"/>
      <c r="N57" s="42"/>
      <c r="O57" s="93"/>
      <c r="P57" s="65"/>
      <c r="Q57" s="65"/>
      <c r="R57" s="65"/>
      <c r="S57" s="53"/>
      <c r="T57" s="65"/>
    </row>
    <row r="58" spans="1:20" ht="14.4" customHeight="1" x14ac:dyDescent="0.3">
      <c r="A58" s="65"/>
      <c r="B58" s="111"/>
      <c r="C58" s="116"/>
      <c r="D58" s="167" cm="1">
        <f t="array" ref="D58">ROW()-ROW(factorsConfigTable[#Headers])</f>
        <v>20</v>
      </c>
      <c r="E58" s="18"/>
      <c r="F58" s="27"/>
      <c r="G58" s="33"/>
      <c r="H58" s="170" t="str">
        <f>_xlfn.XLOOKUP(factorsConfigTable[[#This Row],[index]], factorsTable[index], factorsTable[numTotal])</f>
        <v/>
      </c>
      <c r="I58" s="37"/>
      <c r="J58" s="19"/>
      <c r="K58" s="19"/>
      <c r="L58" s="24"/>
      <c r="M58" s="24"/>
      <c r="N58" s="42"/>
      <c r="O58" s="93"/>
      <c r="P58" s="65"/>
      <c r="Q58" s="65"/>
      <c r="R58" s="65"/>
      <c r="S58" s="53"/>
      <c r="T58" s="65"/>
    </row>
    <row r="59" spans="1:20" ht="14.4" customHeight="1" x14ac:dyDescent="0.3">
      <c r="A59" s="65"/>
      <c r="B59" s="111"/>
      <c r="C59" s="116"/>
      <c r="D59" s="167" cm="1">
        <f t="array" ref="D59">ROW()-ROW(factorsConfigTable[#Headers])</f>
        <v>21</v>
      </c>
      <c r="E59" s="18"/>
      <c r="F59" s="27"/>
      <c r="G59" s="33"/>
      <c r="H59" s="170" t="str">
        <f>_xlfn.XLOOKUP(factorsConfigTable[[#This Row],[index]], factorsTable[index], factorsTable[numTotal])</f>
        <v/>
      </c>
      <c r="I59" s="37"/>
      <c r="J59" s="19"/>
      <c r="K59" s="19"/>
      <c r="L59" s="24"/>
      <c r="M59" s="24"/>
      <c r="N59" s="42"/>
      <c r="O59" s="93"/>
      <c r="P59" s="65"/>
      <c r="Q59" s="65"/>
      <c r="R59" s="65"/>
      <c r="S59" s="53"/>
      <c r="T59" s="65"/>
    </row>
    <row r="60" spans="1:20" ht="14.4" customHeight="1" x14ac:dyDescent="0.3">
      <c r="A60" s="65"/>
      <c r="B60" s="111"/>
      <c r="C60" s="116"/>
      <c r="D60" s="167" cm="1">
        <f t="array" ref="D60">ROW()-ROW(factorsConfigTable[#Headers])</f>
        <v>22</v>
      </c>
      <c r="E60" s="18"/>
      <c r="F60" s="27"/>
      <c r="G60" s="33"/>
      <c r="H60" s="170" t="str">
        <f>_xlfn.XLOOKUP(factorsConfigTable[[#This Row],[index]], factorsTable[index], factorsTable[numTotal])</f>
        <v/>
      </c>
      <c r="I60" s="37"/>
      <c r="J60" s="19"/>
      <c r="K60" s="19"/>
      <c r="L60" s="24"/>
      <c r="M60" s="24"/>
      <c r="N60" s="42"/>
      <c r="O60" s="93"/>
      <c r="P60" s="65"/>
      <c r="Q60" s="65"/>
      <c r="R60" s="65"/>
      <c r="S60" s="53"/>
      <c r="T60" s="65"/>
    </row>
    <row r="61" spans="1:20" ht="14.4" customHeight="1" x14ac:dyDescent="0.3">
      <c r="A61" s="65"/>
      <c r="B61" s="111"/>
      <c r="C61" s="116"/>
      <c r="D61" s="167" cm="1">
        <f t="array" ref="D61">ROW()-ROW(factorsConfigTable[#Headers])</f>
        <v>23</v>
      </c>
      <c r="E61" s="18"/>
      <c r="F61" s="27"/>
      <c r="G61" s="33"/>
      <c r="H61" s="170" t="str">
        <f>_xlfn.XLOOKUP(factorsConfigTable[[#This Row],[index]], factorsTable[index], factorsTable[numTotal])</f>
        <v/>
      </c>
      <c r="I61" s="37"/>
      <c r="J61" s="19"/>
      <c r="K61" s="19"/>
      <c r="L61" s="24"/>
      <c r="M61" s="24"/>
      <c r="N61" s="42"/>
      <c r="O61" s="93"/>
      <c r="P61" s="65"/>
      <c r="Q61" s="65"/>
      <c r="R61" s="65"/>
      <c r="S61" s="53"/>
      <c r="T61" s="65"/>
    </row>
    <row r="62" spans="1:20" ht="14.4" customHeight="1" x14ac:dyDescent="0.3">
      <c r="A62" s="65"/>
      <c r="B62" s="111"/>
      <c r="C62" s="116"/>
      <c r="D62" s="167" cm="1">
        <f t="array" ref="D62">ROW()-ROW(factorsConfigTable[#Headers])</f>
        <v>24</v>
      </c>
      <c r="E62" s="18"/>
      <c r="F62" s="27"/>
      <c r="G62" s="33"/>
      <c r="H62" s="170" t="str">
        <f>_xlfn.XLOOKUP(factorsConfigTable[[#This Row],[index]], factorsTable[index], factorsTable[numTotal])</f>
        <v/>
      </c>
      <c r="I62" s="37"/>
      <c r="J62" s="19"/>
      <c r="K62" s="19"/>
      <c r="L62" s="24"/>
      <c r="M62" s="24"/>
      <c r="N62" s="42"/>
      <c r="O62" s="93"/>
      <c r="P62" s="65"/>
      <c r="Q62" s="65"/>
      <c r="R62" s="65"/>
      <c r="S62" s="53"/>
      <c r="T62" s="65"/>
    </row>
    <row r="63" spans="1:20" ht="14.4" customHeight="1" x14ac:dyDescent="0.3">
      <c r="A63" s="65"/>
      <c r="B63" s="111"/>
      <c r="C63" s="116"/>
      <c r="D63" s="167" cm="1">
        <f t="array" ref="D63">ROW()-ROW(factorsConfigTable[#Headers])</f>
        <v>25</v>
      </c>
      <c r="E63" s="18"/>
      <c r="F63" s="27"/>
      <c r="G63" s="33"/>
      <c r="H63" s="170" t="str">
        <f>_xlfn.XLOOKUP(factorsConfigTable[[#This Row],[index]], factorsTable[index], factorsTable[numTotal])</f>
        <v/>
      </c>
      <c r="I63" s="37"/>
      <c r="J63" s="19"/>
      <c r="K63" s="19"/>
      <c r="L63" s="24"/>
      <c r="M63" s="24"/>
      <c r="N63" s="42"/>
      <c r="O63" s="93"/>
      <c r="P63" s="65"/>
      <c r="Q63" s="65"/>
      <c r="R63" s="65"/>
      <c r="S63" s="53"/>
      <c r="T63" s="65"/>
    </row>
    <row r="64" spans="1:20" ht="14.4" customHeight="1" x14ac:dyDescent="0.3">
      <c r="A64" s="65"/>
      <c r="B64" s="111"/>
      <c r="C64" s="116"/>
      <c r="D64" s="167" cm="1">
        <f t="array" ref="D64">ROW()-ROW(factorsConfigTable[#Headers])</f>
        <v>26</v>
      </c>
      <c r="E64" s="18"/>
      <c r="F64" s="27"/>
      <c r="G64" s="33"/>
      <c r="H64" s="170" t="str">
        <f>_xlfn.XLOOKUP(factorsConfigTable[[#This Row],[index]], factorsTable[index], factorsTable[numTotal])</f>
        <v/>
      </c>
      <c r="I64" s="37"/>
      <c r="J64" s="19"/>
      <c r="K64" s="19"/>
      <c r="L64" s="24"/>
      <c r="M64" s="24"/>
      <c r="N64" s="42"/>
      <c r="O64" s="93"/>
      <c r="P64" s="65"/>
      <c r="Q64" s="65"/>
      <c r="R64" s="65"/>
      <c r="S64" s="53"/>
      <c r="T64" s="65"/>
    </row>
    <row r="65" spans="1:20" ht="14.4" customHeight="1" x14ac:dyDescent="0.3">
      <c r="A65" s="65"/>
      <c r="B65" s="111"/>
      <c r="C65" s="116"/>
      <c r="D65" s="167" cm="1">
        <f t="array" ref="D65">ROW()-ROW(factorsConfigTable[#Headers])</f>
        <v>27</v>
      </c>
      <c r="E65" s="18"/>
      <c r="F65" s="27"/>
      <c r="G65" s="33"/>
      <c r="H65" s="170" t="str">
        <f>_xlfn.XLOOKUP(factorsConfigTable[[#This Row],[index]], factorsTable[index], factorsTable[numTotal])</f>
        <v/>
      </c>
      <c r="I65" s="37"/>
      <c r="J65" s="19"/>
      <c r="K65" s="19"/>
      <c r="L65" s="24"/>
      <c r="M65" s="24"/>
      <c r="N65" s="42"/>
      <c r="O65" s="93"/>
      <c r="P65" s="65"/>
      <c r="Q65" s="65"/>
      <c r="R65" s="65"/>
      <c r="S65" s="53"/>
      <c r="T65" s="65"/>
    </row>
    <row r="66" spans="1:20" ht="14.4" customHeight="1" x14ac:dyDescent="0.3">
      <c r="A66" s="65"/>
      <c r="B66" s="111"/>
      <c r="C66" s="116"/>
      <c r="D66" s="167" cm="1">
        <f t="array" ref="D66">ROW()-ROW(factorsConfigTable[#Headers])</f>
        <v>28</v>
      </c>
      <c r="E66" s="18"/>
      <c r="F66" s="27"/>
      <c r="G66" s="33"/>
      <c r="H66" s="170" t="str">
        <f>_xlfn.XLOOKUP(factorsConfigTable[[#This Row],[index]], factorsTable[index], factorsTable[numTotal])</f>
        <v/>
      </c>
      <c r="I66" s="37"/>
      <c r="J66" s="19"/>
      <c r="K66" s="19"/>
      <c r="L66" s="24"/>
      <c r="M66" s="24"/>
      <c r="N66" s="42"/>
      <c r="O66" s="93"/>
      <c r="P66" s="65"/>
      <c r="Q66" s="65"/>
      <c r="R66" s="65"/>
      <c r="S66" s="53"/>
      <c r="T66" s="65"/>
    </row>
    <row r="67" spans="1:20" ht="14.4" customHeight="1" x14ac:dyDescent="0.3">
      <c r="A67" s="65"/>
      <c r="B67" s="111"/>
      <c r="C67" s="116"/>
      <c r="D67" s="167" cm="1">
        <f t="array" ref="D67">ROW()-ROW(factorsConfigTable[#Headers])</f>
        <v>29</v>
      </c>
      <c r="E67" s="18"/>
      <c r="F67" s="27"/>
      <c r="G67" s="33"/>
      <c r="H67" s="170" t="str">
        <f>_xlfn.XLOOKUP(factorsConfigTable[[#This Row],[index]], factorsTable[index], factorsTable[numTotal])</f>
        <v/>
      </c>
      <c r="I67" s="37"/>
      <c r="J67" s="19"/>
      <c r="K67" s="19"/>
      <c r="L67" s="24"/>
      <c r="M67" s="24"/>
      <c r="N67" s="42"/>
      <c r="O67" s="93"/>
      <c r="P67" s="65"/>
      <c r="Q67" s="65"/>
      <c r="R67" s="65"/>
      <c r="S67" s="53"/>
      <c r="T67" s="65"/>
    </row>
    <row r="68" spans="1:20" ht="14.4" customHeight="1" thickBot="1" x14ac:dyDescent="0.35">
      <c r="A68" s="65"/>
      <c r="B68" s="111"/>
      <c r="C68" s="117"/>
      <c r="D68" s="168" cm="1">
        <f t="array" ref="D68">ROW()-ROW(factorsConfigTable[#Headers])</f>
        <v>30</v>
      </c>
      <c r="E68" s="21"/>
      <c r="F68" s="34"/>
      <c r="G68" s="35"/>
      <c r="H68" s="171" t="str">
        <f>_xlfn.XLOOKUP(factorsConfigTable[[#This Row],[index]], factorsTable[index], factorsTable[numTotal])</f>
        <v/>
      </c>
      <c r="I68" s="38"/>
      <c r="J68" s="22"/>
      <c r="K68" s="22"/>
      <c r="L68" s="43"/>
      <c r="M68" s="43"/>
      <c r="N68" s="44"/>
      <c r="O68" s="93"/>
      <c r="P68" s="65"/>
      <c r="Q68" s="65"/>
      <c r="R68" s="65"/>
      <c r="S68" s="53"/>
      <c r="T68" s="65"/>
    </row>
    <row r="69" spans="1:20" ht="14.4" customHeight="1" x14ac:dyDescent="0.3">
      <c r="A69" s="65"/>
      <c r="B69" s="110"/>
      <c r="C69" s="120"/>
      <c r="D69" s="121"/>
      <c r="E69" s="90"/>
      <c r="F69" s="90"/>
      <c r="G69" s="90"/>
      <c r="H69" s="90"/>
      <c r="I69" s="90"/>
      <c r="J69" s="90"/>
      <c r="K69" s="90"/>
      <c r="L69" s="90"/>
      <c r="M69" s="90"/>
      <c r="N69" s="90"/>
      <c r="O69" s="95"/>
      <c r="P69" s="65"/>
      <c r="Q69" s="65"/>
      <c r="R69" s="65"/>
      <c r="S69" s="65"/>
      <c r="T69" s="65"/>
    </row>
    <row r="70" spans="1:20" ht="14.4" customHeight="1" x14ac:dyDescent="0.3">
      <c r="A70" s="65"/>
      <c r="B70" s="82"/>
      <c r="C70" s="101"/>
      <c r="D70" s="122"/>
      <c r="E70" s="53"/>
      <c r="F70" s="53"/>
      <c r="G70" s="53"/>
      <c r="H70" s="53"/>
      <c r="I70" s="53"/>
      <c r="J70" s="53"/>
      <c r="K70" s="53"/>
      <c r="L70" s="65"/>
      <c r="M70" s="65"/>
      <c r="N70" s="65"/>
      <c r="O70" s="65"/>
      <c r="P70" s="65"/>
      <c r="Q70" s="65"/>
      <c r="R70" s="65"/>
      <c r="S70" s="65"/>
      <c r="T70" s="65"/>
    </row>
    <row r="71" spans="1:20" ht="19.95" customHeight="1" thickBot="1" x14ac:dyDescent="0.35">
      <c r="A71" s="65"/>
      <c r="B71" s="82"/>
      <c r="C71" s="295" t="str" cm="1">
        <f t="array" ref="C71">UITranslateForValueTable("configErrorMessages", UITranslationTable[tag], UITranslationTable[], UITranslationTable[#Headers])</f>
        <v>Error Messages</v>
      </c>
      <c r="D71" s="296"/>
      <c r="E71" s="296"/>
      <c r="F71" s="296"/>
      <c r="G71" s="296"/>
      <c r="H71" s="296"/>
      <c r="I71" s="175" t="str" cm="1">
        <f t="array" ref="I71">UITranslateForValueTable("configChartsTitle", UITranslationTable[tag], UITranslationTable[], UITranslationTable[#Headers])</f>
        <v>4. Translations for charts and data tables</v>
      </c>
      <c r="J71" s="53"/>
      <c r="K71" s="53"/>
      <c r="L71" s="53"/>
      <c r="M71" s="53"/>
      <c r="N71" s="53"/>
      <c r="O71" s="53"/>
      <c r="P71" s="53"/>
      <c r="Q71" s="53"/>
      <c r="R71" s="65"/>
      <c r="S71" s="65"/>
      <c r="T71" s="65"/>
    </row>
    <row r="72" spans="1:20" ht="37.950000000000003" customHeight="1" x14ac:dyDescent="0.3">
      <c r="A72" s="65"/>
      <c r="B72" s="82"/>
      <c r="C72" s="259" t="str" cm="1">
        <f t="array" aca="1" ref="C72" ca="1">errorMessages</f>
        <v/>
      </c>
      <c r="D72" s="260"/>
      <c r="E72" s="260"/>
      <c r="F72" s="260"/>
      <c r="G72" s="260"/>
      <c r="H72" s="261"/>
      <c r="I72" s="268" t="str" cm="1">
        <f t="array" ref="I72">UITranslateForValueTable("configPasteWarning", UITranslationTable[tag], UITranslationTable[], UITranslationTable[#Headers])</f>
        <v>CAUTION: If you paste data in these tables, please make sure that you PASTE VALUES ONLY (e.g., with a right-click). Otherwise, you might erase the special formatting used to highlight errors.</v>
      </c>
      <c r="J72" s="269"/>
      <c r="K72" s="269"/>
      <c r="L72" s="269"/>
      <c r="M72" s="269"/>
      <c r="N72" s="269"/>
      <c r="O72" s="91"/>
      <c r="P72" s="65"/>
      <c r="Q72" s="65"/>
      <c r="R72" s="65"/>
      <c r="S72" s="65"/>
      <c r="T72" s="65"/>
    </row>
    <row r="73" spans="1:20" ht="16.2" customHeight="1" x14ac:dyDescent="0.3">
      <c r="A73" s="65"/>
      <c r="B73" s="82"/>
      <c r="C73" s="262"/>
      <c r="D73" s="263"/>
      <c r="E73" s="263"/>
      <c r="F73" s="263"/>
      <c r="G73" s="263"/>
      <c r="H73" s="264"/>
      <c r="I73" s="255" t="str" cm="1">
        <f t="array" ref="I73">UITranslateForValueTable("configInThisTable", UITranslationTable[tag], UITranslationTable[], UITranslationTable[#Headers])</f>
        <v>In this table:</v>
      </c>
      <c r="J73" s="256"/>
      <c r="K73" s="256"/>
      <c r="L73" s="256"/>
      <c r="M73" s="256"/>
      <c r="N73" s="256"/>
      <c r="O73" s="93"/>
      <c r="P73" s="65"/>
      <c r="Q73" s="65"/>
      <c r="R73" s="65"/>
      <c r="S73" s="65"/>
      <c r="T73" s="65"/>
    </row>
    <row r="74" spans="1:20" ht="55.95" customHeight="1" x14ac:dyDescent="0.3">
      <c r="A74" s="65"/>
      <c r="B74" s="82"/>
      <c r="C74" s="262"/>
      <c r="D74" s="263"/>
      <c r="E74" s="263"/>
      <c r="F74" s="263"/>
      <c r="G74" s="263"/>
      <c r="H74" s="264"/>
      <c r="I74" s="257" t="str" cm="1">
        <f t="array" ref="I74">UITranslateForValueTable("configChartsText1", UITranslationTable[tag], UITranslationTable[], UITranslationTable[#Headers])</f>
        <v>You MUST provide translations for the text elements of charts and data tables, but only if you have selected a user-defined language in the "Chart language" menu. Cells with missing translations appear in red.</v>
      </c>
      <c r="J74" s="258"/>
      <c r="K74" s="258"/>
      <c r="L74" s="258"/>
      <c r="M74" s="258"/>
      <c r="N74" s="258"/>
      <c r="O74" s="93"/>
      <c r="P74" s="65"/>
      <c r="Q74" s="65"/>
      <c r="R74" s="65"/>
      <c r="S74" s="65"/>
      <c r="T74" s="65"/>
    </row>
    <row r="75" spans="1:20" ht="15" thickBot="1" x14ac:dyDescent="0.35">
      <c r="A75" s="65"/>
      <c r="B75" s="82"/>
      <c r="C75" s="262"/>
      <c r="D75" s="263"/>
      <c r="E75" s="263"/>
      <c r="F75" s="263"/>
      <c r="G75" s="263"/>
      <c r="H75" s="264"/>
      <c r="I75" s="53"/>
      <c r="J75" s="76" t="str">
        <f>INDEX(languageTable[languageHeaders], 1)</f>
        <v>English</v>
      </c>
      <c r="K75" s="76" t="str">
        <f>INDEX(languageTable[languageHeaders], 2)</f>
        <v>Français</v>
      </c>
      <c r="L75" s="76" t="str">
        <f>INDEX(languageTable[languageHeaders], 3)</f>
        <v>Español</v>
      </c>
      <c r="M75" s="76" t="str">
        <f>INDEX(languageTable[languageHeaders], 4)</f>
        <v/>
      </c>
      <c r="N75" s="76" t="str">
        <f>INDEX(languageTable[languageHeaders], 5)</f>
        <v/>
      </c>
      <c r="O75" s="93"/>
      <c r="P75" s="65"/>
      <c r="Q75" s="65"/>
      <c r="R75" s="173"/>
      <c r="S75" s="174" t="s">
        <v>1143</v>
      </c>
      <c r="T75" s="65"/>
    </row>
    <row r="76" spans="1:20" ht="15" hidden="1" customHeight="1" thickBot="1" x14ac:dyDescent="0.35">
      <c r="A76" s="65"/>
      <c r="B76" s="82"/>
      <c r="C76" s="262"/>
      <c r="D76" s="263"/>
      <c r="E76" s="263"/>
      <c r="F76" s="263"/>
      <c r="G76" s="263"/>
      <c r="H76" s="264"/>
      <c r="I76" s="53"/>
      <c r="J76" s="9" t="s">
        <v>579</v>
      </c>
      <c r="K76" s="9" t="s">
        <v>580</v>
      </c>
      <c r="L76" s="7" t="s">
        <v>581</v>
      </c>
      <c r="M76" s="7" t="s">
        <v>582</v>
      </c>
      <c r="N76" s="7" t="s">
        <v>583</v>
      </c>
      <c r="O76" s="31" t="s">
        <v>807</v>
      </c>
      <c r="P76" s="30" t="s">
        <v>577</v>
      </c>
      <c r="Q76" s="4" t="s">
        <v>563</v>
      </c>
      <c r="R76" s="4" t="s">
        <v>610</v>
      </c>
      <c r="S76" s="4" t="s">
        <v>611</v>
      </c>
      <c r="T76" s="65"/>
    </row>
    <row r="77" spans="1:20" x14ac:dyDescent="0.3">
      <c r="A77" s="65"/>
      <c r="B77" s="82"/>
      <c r="C77" s="262"/>
      <c r="D77" s="263"/>
      <c r="E77" s="263"/>
      <c r="F77" s="263"/>
      <c r="G77" s="263"/>
      <c r="H77" s="264"/>
      <c r="I77" s="53"/>
      <c r="J77" s="5" t="s">
        <v>625</v>
      </c>
      <c r="K77" s="6" t="s">
        <v>626</v>
      </c>
      <c r="L77" s="15" t="s">
        <v>625</v>
      </c>
      <c r="M77" s="16"/>
      <c r="N77" s="25"/>
      <c r="O77" s="128"/>
      <c r="P77" s="132" t="s">
        <v>624</v>
      </c>
      <c r="Q77" s="133" cm="1">
        <f t="array" ref="Q77">ROW()-ROW(chartTranslationTable[#Headers])</f>
        <v>1</v>
      </c>
      <c r="R77" s="134" t="str" cm="1">
        <f t="array" ref="R77">IF(
    chartTranslationTable[[#This Row],[tag]] = "",
    "",
    INDEX(
      INDEX(
        chartTranslationTable[],
        0,
        MATCH(
          IF(
            errorChartLanguage,
            "English",
            chartLanguage
          ),
          languageHeadersList,
          0
        )
        + MATCH(chartTranslationTable[[#Headers],[lang1]], chartTranslationTable[#Headers], 0)
        - 1
      ),
      chartTranslationTable[[#This Row],[index]]
    ) &amp; ""
  )</f>
        <v>Factor</v>
      </c>
      <c r="S77" s="135" t="str" cm="1">
        <f t="array" ref="S77">IF(
    chartTranslationTable[[#This Row],[tag]] = "",
    "",
    IF(
      chartTranslationTable[[#This Row],[langSpecText]] = "",
      UITranslateForValueTable("noTranslation", UITranslationTable[tag], UITranslationTable[], UITranslationTable[#Headers]),
      chartTranslationTable[[#This Row],[langSpecText]]
    )
  )</f>
        <v>Factor</v>
      </c>
      <c r="T77" s="65"/>
    </row>
    <row r="78" spans="1:20" x14ac:dyDescent="0.3">
      <c r="A78" s="65"/>
      <c r="B78" s="82"/>
      <c r="C78" s="262"/>
      <c r="D78" s="263"/>
      <c r="E78" s="263"/>
      <c r="F78" s="263"/>
      <c r="G78" s="263"/>
      <c r="H78" s="264"/>
      <c r="I78" s="53"/>
      <c r="J78" s="7" t="s">
        <v>566</v>
      </c>
      <c r="K78" s="8" t="s">
        <v>570</v>
      </c>
      <c r="L78" s="18" t="s">
        <v>1018</v>
      </c>
      <c r="M78" s="19"/>
      <c r="N78" s="20"/>
      <c r="O78" s="128"/>
      <c r="P78" s="132" t="s">
        <v>589</v>
      </c>
      <c r="Q78" s="133" cm="1">
        <f t="array" ref="Q78">ROW()-ROW(chartTranslationTable[#Headers])</f>
        <v>2</v>
      </c>
      <c r="R78" s="134" t="str" cm="1">
        <f t="array" ref="R78">IF(
    chartTranslationTable[[#This Row],[tag]] = "",
    "",
    INDEX(
      INDEX(
        chartTranslationTable[],
        0,
        MATCH(
          IF(
            errorChartLanguage,
            "English",
            chartLanguage
          ),
          languageHeadersList,
          0
        )
        + MATCH(chartTranslationTable[[#Headers],[lang1]], chartTranslationTable[#Headers], 0)
        - 1
      ),
      chartTranslationTable[[#This Row],[index]]
    ) &amp; ""
  )</f>
        <v>Hacedores</v>
      </c>
      <c r="S78" s="135" t="str" cm="1">
        <f t="array" ref="S78">IF(
    chartTranslationTable[[#This Row],[tag]] = "",
    "",
    IF(
      chartTranslationTable[[#This Row],[langSpecText]] = "",
      UITranslateForValueTable("noTranslation", UITranslationTable[tag], UITranslationTable[], UITranslationTable[#Headers]),
      chartTranslationTable[[#This Row],[langSpecText]]
    )
  )</f>
        <v>Hacedores</v>
      </c>
      <c r="T78" s="65"/>
    </row>
    <row r="79" spans="1:20" x14ac:dyDescent="0.3">
      <c r="A79" s="65"/>
      <c r="B79" s="82"/>
      <c r="C79" s="262"/>
      <c r="D79" s="263"/>
      <c r="E79" s="263"/>
      <c r="F79" s="263"/>
      <c r="G79" s="263"/>
      <c r="H79" s="264"/>
      <c r="I79" s="53"/>
      <c r="J79" s="7" t="s">
        <v>571</v>
      </c>
      <c r="K79" s="8" t="s">
        <v>572</v>
      </c>
      <c r="L79" s="18" t="s">
        <v>1019</v>
      </c>
      <c r="M79" s="19"/>
      <c r="N79" s="20"/>
      <c r="O79" s="128"/>
      <c r="P79" s="132" t="s">
        <v>590</v>
      </c>
      <c r="Q79" s="133" cm="1">
        <f t="array" ref="Q79">ROW()-ROW(chartTranslationTable[#Headers])</f>
        <v>3</v>
      </c>
      <c r="R79" s="134" t="str" cm="1">
        <f t="array" ref="R79">IF(
    chartTranslationTable[[#This Row],[tag]] = "",
    "",
    INDEX(
      INDEX(
        chartTranslationTable[],
        0,
        MATCH(
          IF(
            errorChartLanguage,
            "English",
            chartLanguage
          ),
          languageHeadersList,
          0
        )
        + MATCH(chartTranslationTable[[#Headers],[lang1]], chartTranslationTable[#Headers], 0)
        - 1
      ),
      chartTranslationTable[[#This Row],[index]]
    ) &amp; ""
  )</f>
        <v>No hacedores</v>
      </c>
      <c r="S79" s="135" t="str" cm="1">
        <f t="array" ref="S79">IF(
    chartTranslationTable[[#This Row],[tag]] = "",
    "",
    IF(
      chartTranslationTable[[#This Row],[langSpecText]] = "",
      UITranslateForValueTable("noTranslation", UITranslationTable[tag], UITranslationTable[], UITranslationTable[#Headers]),
      chartTranslationTable[[#This Row],[langSpecText]]
    )
  )</f>
        <v>No hacedores</v>
      </c>
      <c r="T79" s="65"/>
    </row>
    <row r="80" spans="1:20" x14ac:dyDescent="0.3">
      <c r="A80" s="65"/>
      <c r="B80" s="82"/>
      <c r="C80" s="262"/>
      <c r="D80" s="263"/>
      <c r="E80" s="263"/>
      <c r="F80" s="263"/>
      <c r="G80" s="263"/>
      <c r="H80" s="264"/>
      <c r="I80" s="53"/>
      <c r="J80" s="7" t="s">
        <v>564</v>
      </c>
      <c r="K80" s="8" t="s">
        <v>573</v>
      </c>
      <c r="L80" s="18" t="s">
        <v>616</v>
      </c>
      <c r="M80" s="19"/>
      <c r="N80" s="20"/>
      <c r="O80" s="128"/>
      <c r="P80" s="132" t="s">
        <v>591</v>
      </c>
      <c r="Q80" s="133" cm="1">
        <f t="array" ref="Q80">ROW()-ROW(chartTranslationTable[#Headers])</f>
        <v>4</v>
      </c>
      <c r="R80" s="134" t="str" cm="1">
        <f t="array" ref="R80">IF(
    chartTranslationTable[[#This Row],[tag]] = "",
    "",
    INDEX(
      INDEX(
        chartTranslationTable[],
        0,
        MATCH(
          IF(
            errorChartLanguage,
            "English",
            chartLanguage
          ),
          languageHeadersList,
          0
        )
        + MATCH(chartTranslationTable[[#Headers],[lang1]], chartTranslationTable[#Headers], 0)
        - 1
      ),
      chartTranslationTable[[#This Row],[index]]
    ) &amp; ""
  )</f>
        <v>Diferencia</v>
      </c>
      <c r="S80" s="135" t="str" cm="1">
        <f t="array" ref="S80">IF(
    chartTranslationTable[[#This Row],[tag]] = "",
    "",
    IF(
      chartTranslationTable[[#This Row],[langSpecText]] = "",
      UITranslateForValueTable("noTranslation", UITranslationTable[tag], UITranslationTable[], UITranslationTable[#Headers]),
      chartTranslationTable[[#This Row],[langSpecText]]
    )
  )</f>
        <v>Diferencia</v>
      </c>
      <c r="T80" s="65"/>
    </row>
    <row r="81" spans="1:20" x14ac:dyDescent="0.3">
      <c r="A81" s="65"/>
      <c r="B81" s="82"/>
      <c r="C81" s="262"/>
      <c r="D81" s="263"/>
      <c r="E81" s="263"/>
      <c r="F81" s="263"/>
      <c r="G81" s="263"/>
      <c r="H81" s="264"/>
      <c r="I81" s="53"/>
      <c r="J81" s="7" t="s">
        <v>605</v>
      </c>
      <c r="K81" s="8" t="s">
        <v>574</v>
      </c>
      <c r="L81" s="18" t="s">
        <v>637</v>
      </c>
      <c r="M81" s="19"/>
      <c r="N81" s="20"/>
      <c r="O81" s="128"/>
      <c r="P81" s="132" t="s">
        <v>604</v>
      </c>
      <c r="Q81" s="133" cm="1">
        <f t="array" ref="Q81">ROW()-ROW(chartTranslationTable[#Headers])</f>
        <v>5</v>
      </c>
      <c r="R81" s="134" t="str" cm="1">
        <f t="array" ref="R81">IF(
    chartTranslationTable[[#This Row],[tag]] = "",
    "",
    INDEX(
      INDEX(
        chartTranslationTable[],
        0,
        MATCH(
          IF(
            errorChartLanguage,
            "English",
            chartLanguage
          ),
          languageHeadersList,
          0
        )
        + MATCH(chartTranslationTable[[#Headers],[lang1]], chartTranslationTable[#Headers], 0)
        - 1
      ),
      chartTranslationTable[[#This Row],[index]]
    ) &amp; ""
  )</f>
        <v>Nº de respuestas</v>
      </c>
      <c r="S81" s="135" t="str" cm="1">
        <f t="array" ref="S81">IF(
    chartTranslationTable[[#This Row],[tag]] = "",
    "",
    IF(
      chartTranslationTable[[#This Row],[langSpecText]] = "",
      UITranslateForValueTable("noTranslation", UITranslationTable[tag], UITranslationTable[], UITranslationTable[#Headers]),
      chartTranslationTable[[#This Row],[langSpecText]]
    )
  )</f>
        <v>Nº de respuestas</v>
      </c>
      <c r="T81" s="65"/>
    </row>
    <row r="82" spans="1:20" x14ac:dyDescent="0.3">
      <c r="A82" s="65"/>
      <c r="B82" s="82"/>
      <c r="C82" s="262"/>
      <c r="D82" s="263"/>
      <c r="E82" s="263"/>
      <c r="F82" s="263"/>
      <c r="G82" s="263"/>
      <c r="H82" s="264"/>
      <c r="I82" s="53"/>
      <c r="J82" s="7" t="s">
        <v>714</v>
      </c>
      <c r="K82" s="8" t="s">
        <v>684</v>
      </c>
      <c r="L82" s="18" t="s">
        <v>685</v>
      </c>
      <c r="M82" s="19"/>
      <c r="N82" s="20"/>
      <c r="O82" s="128"/>
      <c r="P82" s="132" t="s">
        <v>683</v>
      </c>
      <c r="Q82" s="133" cm="1">
        <f t="array" ref="Q82">ROW()-ROW(chartTranslationTable[#Headers])</f>
        <v>6</v>
      </c>
      <c r="R82" s="134" t="str" cm="1">
        <f t="array" ref="R82">IF(
    chartTranslationTable[[#This Row],[tag]] = "",
    "",
    INDEX(
      INDEX(
        chartTranslationTable[],
        0,
        MATCH(
          IF(
            errorChartLanguage,
            "English",
            chartLanguage
          ),
          languageHeadersList,
          0
        )
        + MATCH(chartTranslationTable[[#Headers],[lang1]], chartTranslationTable[#Headers], 0)
        - 1
      ),
      chartTranslationTable[[#This Row],[index]]
    ) &amp; ""
  )</f>
        <v>% de respuestas</v>
      </c>
      <c r="S82" s="135" t="str" cm="1">
        <f t="array" ref="S82">IF(
    chartTranslationTable[[#This Row],[tag]] = "",
    "",
    IF(
      chartTranslationTable[[#This Row],[langSpecText]] = "",
      UITranslateForValueTable("noTranslation", UITranslationTable[tag], UITranslationTable[], UITranslationTable[#Headers]),
      chartTranslationTable[[#This Row],[langSpecText]]
    )
  )</f>
        <v>% de respuestas</v>
      </c>
      <c r="T82" s="65"/>
    </row>
    <row r="83" spans="1:20" x14ac:dyDescent="0.3">
      <c r="A83" s="65"/>
      <c r="B83" s="82"/>
      <c r="C83" s="262"/>
      <c r="D83" s="263"/>
      <c r="E83" s="263"/>
      <c r="F83" s="263"/>
      <c r="G83" s="263"/>
      <c r="H83" s="264"/>
      <c r="I83" s="53"/>
      <c r="J83" s="7" t="s">
        <v>607</v>
      </c>
      <c r="K83" s="8" t="s">
        <v>609</v>
      </c>
      <c r="L83" s="18" t="s">
        <v>618</v>
      </c>
      <c r="M83" s="19"/>
      <c r="N83" s="20"/>
      <c r="O83" s="128"/>
      <c r="P83" s="132" t="s">
        <v>608</v>
      </c>
      <c r="Q83" s="133" cm="1">
        <f t="array" ref="Q83">ROW()-ROW(chartTranslationTable[#Headers])</f>
        <v>7</v>
      </c>
      <c r="R83" s="134" t="str" cm="1">
        <f t="array" ref="R83">IF(
    chartTranslationTable[[#This Row],[tag]] = "",
    "",
    INDEX(
      INDEX(
        chartTranslationTable[],
        0,
        MATCH(
          IF(
            errorChartLanguage,
            "English",
            chartLanguage
          ),
          languageHeadersList,
          0
        )
        + MATCH(chartTranslationTable[[#Headers],[lang1]], chartTranslationTable[#Headers], 0)
        - 1
      ),
      chartTranslationTable[[#This Row],[index]]
    ) &amp; ""
  )</f>
        <v>Nivel límite</v>
      </c>
      <c r="S83" s="135" t="str" cm="1">
        <f t="array" ref="S83">IF(
    chartTranslationTable[[#This Row],[tag]] = "",
    "",
    IF(
      chartTranslationTable[[#This Row],[langSpecText]] = "",
      UITranslateForValueTable("noTranslation", UITranslationTable[tag], UITranslationTable[], UITranslationTable[#Headers]),
      chartTranslationTable[[#This Row],[langSpecText]]
    )
  )</f>
        <v>Nivel límite</v>
      </c>
      <c r="T83" s="65"/>
    </row>
    <row r="84" spans="1:20" x14ac:dyDescent="0.3">
      <c r="A84" s="65"/>
      <c r="B84" s="82"/>
      <c r="C84" s="262"/>
      <c r="D84" s="263"/>
      <c r="E84" s="263"/>
      <c r="F84" s="263"/>
      <c r="G84" s="263"/>
      <c r="H84" s="264"/>
      <c r="I84" s="53"/>
      <c r="J84" s="7" t="s">
        <v>679</v>
      </c>
      <c r="K84" s="8" t="s">
        <v>680</v>
      </c>
      <c r="L84" s="18" t="s">
        <v>1034</v>
      </c>
      <c r="M84" s="19"/>
      <c r="N84" s="20"/>
      <c r="O84" s="128"/>
      <c r="P84" s="132" t="s">
        <v>681</v>
      </c>
      <c r="Q84" s="133" cm="1">
        <f t="array" ref="Q84">ROW()-ROW(chartTranslationTable[#Headers])</f>
        <v>8</v>
      </c>
      <c r="R84" s="134" t="str" cm="1">
        <f t="array" ref="R84">IF(
    chartTranslationTable[[#This Row],[tag]] = "",
    "",
    INDEX(
      INDEX(
        chartTranslationTable[],
        0,
        MATCH(
          IF(
            errorChartLanguage,
            "English",
            chartLanguage
          ),
          languageHeadersList,
          0
        )
        + MATCH(chartTranslationTable[[#Headers],[lang1]], chartTranslationTable[#Headers], 0)
        - 1
      ),
      chartTranslationTable[[#This Row],[index]]
    ) &amp; ""
  )</f>
        <v>Nota de comportamiento</v>
      </c>
      <c r="S84" s="135" t="str" cm="1">
        <f t="array" ref="S84">IF(
    chartTranslationTable[[#This Row],[tag]] = "",
    "",
    IF(
      chartTranslationTable[[#This Row],[langSpecText]] = "",
      UITranslateForValueTable("noTranslation", UITranslationTable[tag], UITranslationTable[], UITranslationTable[#Headers]),
      chartTranslationTable[[#This Row],[langSpecText]]
    )
  )</f>
        <v>Nota de comportamiento</v>
      </c>
      <c r="T84" s="65"/>
    </row>
    <row r="85" spans="1:20" x14ac:dyDescent="0.3">
      <c r="A85" s="65"/>
      <c r="B85" s="82"/>
      <c r="C85" s="262"/>
      <c r="D85" s="263"/>
      <c r="E85" s="263"/>
      <c r="F85" s="263"/>
      <c r="G85" s="263"/>
      <c r="H85" s="264"/>
      <c r="I85" s="53"/>
      <c r="J85" s="7" t="s">
        <v>803</v>
      </c>
      <c r="K85" s="8" t="s">
        <v>723</v>
      </c>
      <c r="L85" s="18" t="s">
        <v>900</v>
      </c>
      <c r="M85" s="19"/>
      <c r="N85" s="20"/>
      <c r="O85" s="128"/>
      <c r="P85" s="132" t="s">
        <v>722</v>
      </c>
      <c r="Q85" s="133" cm="1">
        <f t="array" ref="Q85">ROW()-ROW(chartTranslationTable[#Headers])</f>
        <v>9</v>
      </c>
      <c r="R85" s="134" t="str" cm="1">
        <f t="array" ref="R85">IF(
    chartTranslationTable[[#This Row],[tag]] = "",
    "",
    INDEX(
      INDEX(
        chartTranslationTable[],
        0,
        MATCH(
          IF(
            errorChartLanguage,
            "English",
            chartLanguage
          ),
          languageHeadersList,
          0
        )
        + MATCH(chartTranslationTable[[#Headers],[lang1]], chartTranslationTable[#Headers], 0)
        - 1
      ),
      chartTranslationTable[[#This Row],[index]]
    ) &amp; ""
  )</f>
        <v>Nota media normalizada</v>
      </c>
      <c r="S85" s="135" t="str" cm="1">
        <f t="array" ref="S85">IF(
    chartTranslationTable[[#This Row],[tag]] = "",
    "",
    IF(
      chartTranslationTable[[#This Row],[langSpecText]] = "",
      UITranslateForValueTable("noTranslation", UITranslationTable[tag], UITranslationTable[], UITranslationTable[#Headers]),
      chartTranslationTable[[#This Row],[langSpecText]]
    )
  )</f>
        <v>Nota media normalizada</v>
      </c>
      <c r="T85" s="65"/>
    </row>
    <row r="86" spans="1:20" x14ac:dyDescent="0.3">
      <c r="A86" s="65"/>
      <c r="B86" s="82"/>
      <c r="C86" s="262"/>
      <c r="D86" s="263"/>
      <c r="E86" s="263"/>
      <c r="F86" s="263"/>
      <c r="G86" s="263"/>
      <c r="H86" s="264"/>
      <c r="I86" s="53"/>
      <c r="J86" s="7" t="s">
        <v>756</v>
      </c>
      <c r="K86" s="8" t="s">
        <v>757</v>
      </c>
      <c r="L86" s="18" t="s">
        <v>899</v>
      </c>
      <c r="M86" s="19"/>
      <c r="N86" s="20"/>
      <c r="O86" s="128"/>
      <c r="P86" s="132" t="s">
        <v>641</v>
      </c>
      <c r="Q86" s="133" cm="1">
        <f t="array" ref="Q86">ROW()-ROW(chartTranslationTable[#Headers])</f>
        <v>10</v>
      </c>
      <c r="R86" s="134" t="str" cm="1">
        <f t="array" ref="R86">IF(
    chartTranslationTable[[#This Row],[tag]] = "",
    "",
    INDEX(
      INDEX(
        chartTranslationTable[],
        0,
        MATCH(
          IF(
            errorChartLanguage,
            "English",
            chartLanguage
          ),
          languageHeadersList,
          0
        )
        + MATCH(chartTranslationTable[[#Headers],[lang1]], chartTranslationTable[#Headers], 0)
        - 1
      ),
      chartTranslationTable[[#This Row],[index]]
    ) &amp; ""
  )</f>
        <v>Bloque RANAS</v>
      </c>
      <c r="S86" s="135" t="str" cm="1">
        <f t="array" ref="S86">IF(
    chartTranslationTable[[#This Row],[tag]] = "",
    "",
    IF(
      chartTranslationTable[[#This Row],[langSpecText]] = "",
      UITranslateForValueTable("noTranslation", UITranslationTable[tag], UITranslationTable[], UITranslationTable[#Headers]),
      chartTranslationTable[[#This Row],[langSpecText]]
    )
  )</f>
        <v>Bloque RANAS</v>
      </c>
      <c r="T86" s="65"/>
    </row>
    <row r="87" spans="1:20" x14ac:dyDescent="0.3">
      <c r="A87" s="65"/>
      <c r="B87" s="82"/>
      <c r="C87" s="262"/>
      <c r="D87" s="263"/>
      <c r="E87" s="263"/>
      <c r="F87" s="263"/>
      <c r="G87" s="263"/>
      <c r="H87" s="264"/>
      <c r="I87" s="53"/>
      <c r="J87" s="7" t="s">
        <v>692</v>
      </c>
      <c r="K87" s="8" t="s">
        <v>725</v>
      </c>
      <c r="L87" s="18" t="s">
        <v>758</v>
      </c>
      <c r="M87" s="19"/>
      <c r="N87" s="20"/>
      <c r="O87" s="128"/>
      <c r="P87" s="132" t="s">
        <v>724</v>
      </c>
      <c r="Q87" s="133" cm="1">
        <f t="array" ref="Q87">ROW()-ROW(chartTranslationTable[#Headers])</f>
        <v>11</v>
      </c>
      <c r="R87" s="134" t="str" cm="1">
        <f t="array" ref="R87">IF(
    chartTranslationTable[[#This Row],[tag]] = "",
    "",
    INDEX(
      INDEX(
        chartTranslationTable[],
        0,
        MATCH(
          IF(
            errorChartLanguage,
            "English",
            chartLanguage
          ),
          languageHeadersList,
          0
        )
        + MATCH(chartTranslationTable[[#Headers],[lang1]], chartTranslationTable[#Headers], 0)
        - 1
      ),
      chartTranslationTable[[#This Row],[index]]
    ) &amp; ""
  )</f>
        <v>Riesgo</v>
      </c>
      <c r="S87" s="135" t="str" cm="1">
        <f t="array" ref="S87">IF(
    chartTranslationTable[[#This Row],[tag]] = "",
    "",
    IF(
      chartTranslationTable[[#This Row],[langSpecText]] = "",
      UITranslateForValueTable("noTranslation", UITranslationTable[tag], UITranslationTable[], UITranslationTable[#Headers]),
      chartTranslationTable[[#This Row],[langSpecText]]
    )
  )</f>
        <v>Riesgo</v>
      </c>
      <c r="T87" s="65"/>
    </row>
    <row r="88" spans="1:20" x14ac:dyDescent="0.3">
      <c r="A88" s="65"/>
      <c r="B88" s="82"/>
      <c r="C88" s="262"/>
      <c r="D88" s="263"/>
      <c r="E88" s="263"/>
      <c r="F88" s="263"/>
      <c r="G88" s="263"/>
      <c r="H88" s="264"/>
      <c r="I88" s="53"/>
      <c r="J88" s="7" t="s">
        <v>693</v>
      </c>
      <c r="K88" s="8" t="s">
        <v>693</v>
      </c>
      <c r="L88" s="18" t="s">
        <v>759</v>
      </c>
      <c r="M88" s="19"/>
      <c r="N88" s="20"/>
      <c r="O88" s="128"/>
      <c r="P88" s="132" t="s">
        <v>726</v>
      </c>
      <c r="Q88" s="133" cm="1">
        <f t="array" ref="Q88">ROW()-ROW(chartTranslationTable[#Headers])</f>
        <v>12</v>
      </c>
      <c r="R88" s="134" t="str" cm="1">
        <f t="array" ref="R88">IF(
    chartTranslationTable[[#This Row],[tag]] = "",
    "",
    INDEX(
      INDEX(
        chartTranslationTable[],
        0,
        MATCH(
          IF(
            errorChartLanguage,
            "English",
            chartLanguage
          ),
          languageHeadersList,
          0
        )
        + MATCH(chartTranslationTable[[#Headers],[lang1]], chartTranslationTable[#Headers], 0)
        - 1
      ),
      chartTranslationTable[[#This Row],[index]]
    ) &amp; ""
  )</f>
        <v>Actitud</v>
      </c>
      <c r="S88" s="135" t="str" cm="1">
        <f t="array" ref="S88">IF(
    chartTranslationTable[[#This Row],[tag]] = "",
    "",
    IF(
      chartTranslationTable[[#This Row],[langSpecText]] = "",
      UITranslateForValueTable("noTranslation", UITranslationTable[tag], UITranslationTable[], UITranslationTable[#Headers]),
      chartTranslationTable[[#This Row],[langSpecText]]
    )
  )</f>
        <v>Actitud</v>
      </c>
      <c r="T88" s="65"/>
    </row>
    <row r="89" spans="1:20" x14ac:dyDescent="0.3">
      <c r="A89" s="65"/>
      <c r="B89" s="82"/>
      <c r="C89" s="262"/>
      <c r="D89" s="263"/>
      <c r="E89" s="263"/>
      <c r="F89" s="263"/>
      <c r="G89" s="263"/>
      <c r="H89" s="264"/>
      <c r="I89" s="53"/>
      <c r="J89" s="7" t="s">
        <v>691</v>
      </c>
      <c r="K89" s="8" t="s">
        <v>728</v>
      </c>
      <c r="L89" s="18" t="s">
        <v>760</v>
      </c>
      <c r="M89" s="19"/>
      <c r="N89" s="20"/>
      <c r="O89" s="128"/>
      <c r="P89" s="132" t="s">
        <v>727</v>
      </c>
      <c r="Q89" s="133" cm="1">
        <f t="array" ref="Q89">ROW()-ROW(chartTranslationTable[#Headers])</f>
        <v>13</v>
      </c>
      <c r="R89" s="134" t="str" cm="1">
        <f t="array" ref="R89">IF(
    chartTranslationTable[[#This Row],[tag]] = "",
    "",
    INDEX(
      INDEX(
        chartTranslationTable[],
        0,
        MATCH(
          IF(
            errorChartLanguage,
            "English",
            chartLanguage
          ),
          languageHeadersList,
          0
        )
        + MATCH(chartTranslationTable[[#Headers],[lang1]], chartTranslationTable[#Headers], 0)
        - 1
      ),
      chartTranslationTable[[#This Row],[index]]
    ) &amp; ""
  )</f>
        <v>Normas</v>
      </c>
      <c r="S89" s="135" t="str" cm="1">
        <f t="array" ref="S89">IF(
    chartTranslationTable[[#This Row],[tag]] = "",
    "",
    IF(
      chartTranslationTable[[#This Row],[langSpecText]] = "",
      UITranslateForValueTable("noTranslation", UITranslationTable[tag], UITranslationTable[], UITranslationTable[#Headers]),
      chartTranslationTable[[#This Row],[langSpecText]]
    )
  )</f>
        <v>Normas</v>
      </c>
      <c r="T89" s="65"/>
    </row>
    <row r="90" spans="1:20" x14ac:dyDescent="0.3">
      <c r="A90" s="65"/>
      <c r="B90" s="82"/>
      <c r="C90" s="262"/>
      <c r="D90" s="263"/>
      <c r="E90" s="263"/>
      <c r="F90" s="263"/>
      <c r="G90" s="263"/>
      <c r="H90" s="264"/>
      <c r="I90" s="53"/>
      <c r="J90" s="7" t="s">
        <v>694</v>
      </c>
      <c r="K90" s="8" t="s">
        <v>730</v>
      </c>
      <c r="L90" s="18" t="s">
        <v>761</v>
      </c>
      <c r="M90" s="19"/>
      <c r="N90" s="20"/>
      <c r="O90" s="128"/>
      <c r="P90" s="132" t="s">
        <v>729</v>
      </c>
      <c r="Q90" s="133" cm="1">
        <f t="array" ref="Q90">ROW()-ROW(chartTranslationTable[#Headers])</f>
        <v>14</v>
      </c>
      <c r="R90" s="134" t="str" cm="1">
        <f t="array" ref="R90">IF(
    chartTranslationTable[[#This Row],[tag]] = "",
    "",
    INDEX(
      INDEX(
        chartTranslationTable[],
        0,
        MATCH(
          IF(
            errorChartLanguage,
            "English",
            chartLanguage
          ),
          languageHeadersList,
          0
        )
        + MATCH(chartTranslationTable[[#Headers],[lang1]], chartTranslationTable[#Headers], 0)
        - 1
      ),
      chartTranslationTable[[#This Row],[index]]
    ) &amp; ""
  )</f>
        <v>Habilidad</v>
      </c>
      <c r="S90" s="135" t="str" cm="1">
        <f t="array" ref="S90">IF(
    chartTranslationTable[[#This Row],[tag]] = "",
    "",
    IF(
      chartTranslationTable[[#This Row],[langSpecText]] = "",
      UITranslateForValueTable("noTranslation", UITranslationTable[tag], UITranslationTable[], UITranslationTable[#Headers]),
      chartTranslationTable[[#This Row],[langSpecText]]
    )
  )</f>
        <v>Habilidad</v>
      </c>
      <c r="T90" s="65"/>
    </row>
    <row r="91" spans="1:20" ht="15" thickBot="1" x14ac:dyDescent="0.35">
      <c r="A91" s="65"/>
      <c r="B91" s="82"/>
      <c r="C91" s="262"/>
      <c r="D91" s="263"/>
      <c r="E91" s="263"/>
      <c r="F91" s="263"/>
      <c r="G91" s="263"/>
      <c r="H91" s="264"/>
      <c r="I91" s="53"/>
      <c r="J91" s="9" t="s">
        <v>695</v>
      </c>
      <c r="K91" s="10" t="s">
        <v>732</v>
      </c>
      <c r="L91" s="21" t="s">
        <v>898</v>
      </c>
      <c r="M91" s="22"/>
      <c r="N91" s="23"/>
      <c r="O91" s="128"/>
      <c r="P91" s="132" t="s">
        <v>731</v>
      </c>
      <c r="Q91" s="133" cm="1">
        <f t="array" ref="Q91">ROW()-ROW(chartTranslationTable[#Headers])</f>
        <v>15</v>
      </c>
      <c r="R91" s="134" t="str" cm="1">
        <f t="array" ref="R91">IF(
    chartTranslationTable[[#This Row],[tag]] = "",
    "",
    INDEX(
      INDEX(
        chartTranslationTable[],
        0,
        MATCH(
          IF(
            errorChartLanguage,
            "English",
            chartLanguage
          ),
          languageHeadersList,
          0
        )
        + MATCH(chartTranslationTable[[#Headers],[lang1]], chartTranslationTable[#Headers], 0)
        - 1
      ),
      chartTranslationTable[[#This Row],[index]]
    ) &amp; ""
  )</f>
        <v>Auto‐regulación</v>
      </c>
      <c r="S91" s="135" t="str" cm="1">
        <f t="array" ref="S91">IF(
    chartTranslationTable[[#This Row],[tag]] = "",
    "",
    IF(
      chartTranslationTable[[#This Row],[langSpecText]] = "",
      UITranslateForValueTable("noTranslation", UITranslationTable[tag], UITranslationTable[], UITranslationTable[#Headers]),
      chartTranslationTable[[#This Row],[langSpecText]]
    )
  )</f>
        <v>Auto‐regulación</v>
      </c>
      <c r="T91" s="65"/>
    </row>
    <row r="92" spans="1:20" ht="15" thickBot="1" x14ac:dyDescent="0.35">
      <c r="A92" s="65"/>
      <c r="B92" s="82"/>
      <c r="C92" s="265"/>
      <c r="D92" s="266"/>
      <c r="E92" s="266"/>
      <c r="F92" s="266"/>
      <c r="G92" s="266"/>
      <c r="H92" s="267"/>
      <c r="I92" s="90"/>
      <c r="J92" s="90"/>
      <c r="K92" s="90"/>
      <c r="L92" s="90"/>
      <c r="M92" s="90"/>
      <c r="N92" s="90"/>
      <c r="O92" s="95"/>
      <c r="P92" s="65"/>
      <c r="Q92" s="65"/>
      <c r="R92" s="65"/>
      <c r="S92" s="65"/>
      <c r="T92" s="65"/>
    </row>
    <row r="93" spans="1:20" x14ac:dyDescent="0.3">
      <c r="A93" s="65"/>
      <c r="B93" s="82"/>
      <c r="C93" s="82"/>
      <c r="D93" s="123"/>
      <c r="E93" s="65"/>
      <c r="F93" s="65"/>
      <c r="G93" s="65"/>
      <c r="H93" s="65"/>
      <c r="I93" s="65"/>
      <c r="J93" s="65"/>
      <c r="K93" s="65"/>
      <c r="L93" s="65"/>
      <c r="M93" s="65"/>
      <c r="N93" s="65"/>
      <c r="O93" s="65"/>
      <c r="P93" s="65"/>
      <c r="Q93" s="65"/>
      <c r="R93" s="65"/>
      <c r="S93" s="65"/>
      <c r="T93" s="65"/>
    </row>
  </sheetData>
  <sheetProtection algorithmName="SHA-512" hashValue="gpuLyc0sBMVp1Ac2rXZEDNsW62uIS9VKjUIw+vYdfBWHDH+sDlaKlBK+PXfW0nCe4FnaY1BQef3hY0z284wC5g==" saltValue="EfnUQlYIkSOEbBWo3uAgXw==" spinCount="100000" sheet="1" objects="1" scenarios="1"/>
  <mergeCells count="29">
    <mergeCell ref="C8:K8"/>
    <mergeCell ref="L7:N7"/>
    <mergeCell ref="L8:O35"/>
    <mergeCell ref="C71:H71"/>
    <mergeCell ref="C10:K10"/>
    <mergeCell ref="C33:K33"/>
    <mergeCell ref="C34:K34"/>
    <mergeCell ref="C35:K35"/>
    <mergeCell ref="C36:K36"/>
    <mergeCell ref="C28:K28"/>
    <mergeCell ref="I73:N73"/>
    <mergeCell ref="I74:N74"/>
    <mergeCell ref="C72:H92"/>
    <mergeCell ref="I72:N72"/>
    <mergeCell ref="C9:K9"/>
    <mergeCell ref="C29:K29"/>
    <mergeCell ref="C30:K30"/>
    <mergeCell ref="C31:K31"/>
    <mergeCell ref="C32:K32"/>
    <mergeCell ref="C11:K11"/>
    <mergeCell ref="C12:K12"/>
    <mergeCell ref="C13:K13"/>
    <mergeCell ref="J14:K21"/>
    <mergeCell ref="C21:G25"/>
    <mergeCell ref="C3:K3"/>
    <mergeCell ref="C5:K5"/>
    <mergeCell ref="L3:O3"/>
    <mergeCell ref="C4:K4"/>
    <mergeCell ref="L4:N5"/>
  </mergeCells>
  <phoneticPr fontId="5" type="noConversion"/>
  <conditionalFormatting sqref="C16:C20 E16:G20 C39:C68 E39:G68 I39:N68 L77:N91 L37:N37">
    <cfRule type="expression" dxfId="37" priority="34">
      <formula>TRUE</formula>
    </cfRule>
  </conditionalFormatting>
  <conditionalFormatting sqref="C16:C20 E16:G20">
    <cfRule type="expression" dxfId="36" priority="32">
      <formula>MOD(ROW() - ROW($C$15), 2)</formula>
    </cfRule>
  </conditionalFormatting>
  <conditionalFormatting sqref="C16:C20">
    <cfRule type="expression" dxfId="35" priority="22">
      <formula>AND(     NOT(errorNoDataSheet),     C16 &lt;&gt; yesLabel,     ISNUMBER(INDEX(behaviourColNumColumn, D16)),     errorBehaviourNoneSelected   )</formula>
    </cfRule>
    <cfRule type="expression" dxfId="34" priority="23">
      <formula>AND(     NOT(errorNoDataSheet),     ISNA(MATCH($C16, yesNoList, 0)),     $E16 &lt;&gt; ""   )</formula>
    </cfRule>
  </conditionalFormatting>
  <conditionalFormatting sqref="C39:C68 E39:G68 I39:N68">
    <cfRule type="expression" dxfId="33" priority="29">
      <formula>MOD(ROW() - ROW($C$38), 2)</formula>
    </cfRule>
  </conditionalFormatting>
  <conditionalFormatting sqref="C39:C68">
    <cfRule type="expression" dxfId="32" priority="12">
      <formula>AND(     NOT(errorNoDataSheet),     $C39 &lt;&gt; yesLabel,     ISNUMBER(INDEX(factorColNumColumn, $D39)),     errorFactorNoneSelected   )</formula>
    </cfRule>
    <cfRule type="expression" dxfId="31" priority="13">
      <formula>AND(     NOT(errorNoDataSheet),     ISNA(MATCH($C39, yesNoList, 0)),     $E39 &lt;&gt; ""   )</formula>
    </cfRule>
  </conditionalFormatting>
  <conditionalFormatting sqref="D16:D20 H16:I20 D39:D68 H39:H68 J77:K91">
    <cfRule type="expression" dxfId="30" priority="35">
      <formula>TRUE</formula>
    </cfRule>
  </conditionalFormatting>
  <conditionalFormatting sqref="D16:D20 H16:I20">
    <cfRule type="expression" dxfId="29" priority="33">
      <formula>MOD(ROW() - ROW($D$15), 2)</formula>
    </cfRule>
  </conditionalFormatting>
  <conditionalFormatting sqref="D39:D68 H39:H68">
    <cfRule type="expression" dxfId="28" priority="30">
      <formula>MOD(ROW() - ROW($D$38), 2)</formula>
    </cfRule>
  </conditionalFormatting>
  <conditionalFormatting sqref="E16:E20">
    <cfRule type="expression" dxfId="27" priority="21">
      <formula>AND(     NOT(errorNoDataSheet),     $C16 = yesLabel,     $E16 &lt;&gt; "",     ISNA(INDEX(behaviourColNumColumn, $D16))   )</formula>
    </cfRule>
  </conditionalFormatting>
  <conditionalFormatting sqref="E39:E68">
    <cfRule type="expression" dxfId="26" priority="11">
      <formula>AND(     NOT(errorNoDataSheet),     $C39 = yesLabel,     $E39 &lt;&gt; "",     ISNA(INDEX(factorColNumColumn, $D39))   )</formula>
    </cfRule>
  </conditionalFormatting>
  <conditionalFormatting sqref="F16:F20">
    <cfRule type="expression" dxfId="25" priority="16">
      <formula>INDEX(behaviourMinOutOfRangeColumn, $D16)</formula>
    </cfRule>
    <cfRule type="expression" dxfId="24" priority="18">
      <formula>AND(     NOT(errorNoDataSheet),     C16 = yesLabel,     E16 &lt;&gt; "",     (NOT(ISNUMBER(F16))      + (ISNUMBER(G16) * (F16 &gt;= G16))     )   )</formula>
    </cfRule>
  </conditionalFormatting>
  <conditionalFormatting sqref="F39:F68">
    <cfRule type="expression" dxfId="23" priority="9">
      <formula>INDEX(factorsMinOutOfRangeColumn, $D39)</formula>
    </cfRule>
    <cfRule type="expression" dxfId="22" priority="10">
      <formula>AND(     NOT(errorNoDataSheet),     $C39 = yesLabel,     $E39 &lt;&gt; "",     (NOT(ISNUMBER($F39))      + (ISNUMBER($G39) * ($F39 &gt;= $G39))     )   )</formula>
    </cfRule>
  </conditionalFormatting>
  <conditionalFormatting sqref="G16:G20">
    <cfRule type="expression" dxfId="21" priority="14">
      <formula>INDEX(behaviourMaxOutOfRangeColumn, $D16)</formula>
    </cfRule>
    <cfRule type="expression" dxfId="20" priority="15">
      <formula>AND(     NOT(errorNoDataSheet),     $C16 = yesLabel,     $E16 &lt;&gt; "",     (NOT(ISNUMBER($G16))      + (ISNUMBER($F16) * ($F16 &gt;= $G16))     )   )</formula>
    </cfRule>
  </conditionalFormatting>
  <conditionalFormatting sqref="G39:G68">
    <cfRule type="expression" dxfId="19" priority="4">
      <formula>INDEX(factorsMaxOutOfRangeColumn, $D39)</formula>
    </cfRule>
    <cfRule type="expression" dxfId="18" priority="8">
      <formula>AND(     NOT(errorNoDataSheet),     $C39 = yesLabel,     $E39 &lt;&gt; "",     (NOT(ISNUMBER($G39))      + (ISNUMBER($F39) * ($F39 &gt;= $G39))     )   )</formula>
    </cfRule>
  </conditionalFormatting>
  <conditionalFormatting sqref="I39:I68">
    <cfRule type="expression" dxfId="17" priority="3">
      <formula>AND(     NOT(errorNoDataSheet),     $C39 = yesLabel,     $E39 &lt;&gt; "",     ISNA(MATCH($I39, RANASList, 0))   )</formula>
    </cfRule>
  </conditionalFormatting>
  <conditionalFormatting sqref="J77:K91">
    <cfRule type="expression" dxfId="16" priority="28">
      <formula>MOD(ROW() - ROW($J$76), 2)</formula>
    </cfRule>
  </conditionalFormatting>
  <conditionalFormatting sqref="J39:N68">
    <cfRule type="expression" dxfId="15" priority="2">
      <formula>AND(     NOT(errorNoDataSheet),     $C39 = yesLabel,     $E39 &lt;&gt; "",     J$37 = chartLanguage,     J39 = ""   )</formula>
    </cfRule>
  </conditionalFormatting>
  <conditionalFormatting sqref="J77:N91">
    <cfRule type="expression" dxfId="14" priority="1">
      <formula>AND(     NOT(errorNoDataSheet),     $P77 &lt;&gt; "",     J$75 = chartLanguage,     J77 = ""   )</formula>
    </cfRule>
  </conditionalFormatting>
  <conditionalFormatting sqref="L77:N91">
    <cfRule type="expression" dxfId="13" priority="26">
      <formula>MOD(ROW() - ROW($L$76), 2)</formula>
    </cfRule>
  </conditionalFormatting>
  <dataValidations count="3">
    <dataValidation type="list" allowBlank="1" showInputMessage="1" showErrorMessage="1" error="Please select a value from the drop-down menu for this cell._x000a__x000a_Veuillez sélectionner une valeur dans le menu déroulant pour cette cellule." sqref="I39:I68" xr:uid="{BF68FBD1-9296-4F99-A541-371EB410A4FD}">
      <formula1>RANASList</formula1>
    </dataValidation>
    <dataValidation type="list" allowBlank="1" showInputMessage="1" showErrorMessage="1" error="Please select a value from the drop-down menu for this cell._x000a__x000a_Veuillez sélectionner une valeur dans le menu déroulant pour cette cellule." sqref="C39:C68 C16:C20" xr:uid="{BD703E85-9EBD-4FB3-9B45-94DC8A2B4ED9}">
      <formula1>yesNoList</formula1>
    </dataValidation>
    <dataValidation type="custom" allowBlank="1" showInputMessage="1" showErrorMessage="1" error="Please enter a numerical value in this cell. Make sure that &quot;Min. score&quot; &lt; &quot;Max. score&quot;._x000a__x000a_Veuillez saisir une valeur numérique dans cette cellule. Faites attention à ce que «Score min.» &lt; «Score max.»." sqref="F16:G20 F39:G68" xr:uid="{EB345F43-842C-4ED5-B1C0-2330B5ABE3F6}">
      <formula1>ISNUMBER(F16)</formula1>
    </dataValidation>
  </dataValidations>
  <pageMargins left="0.7" right="0.7" top="0.75" bottom="0.75" header="0.3" footer="0.3"/>
  <pageSetup paperSize="9" orientation="portrait" r:id="rId1"/>
  <drawing r:id="rId2"/>
  <tableParts count="4">
    <tablePart r:id="rId3"/>
    <tablePart r:id="rId4"/>
    <tablePart r:id="rId5"/>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0CA88-BFB4-41A4-8E9F-482FC3B93AD8}">
  <sheetPr codeName="Sheet2">
    <tabColor rgb="FFFFC000"/>
  </sheetPr>
  <dimension ref="A1:P39"/>
  <sheetViews>
    <sheetView showGridLines="0" showRowColHeaders="0" zoomScale="90" zoomScaleNormal="90" workbookViewId="0">
      <selection activeCell="H6" sqref="H6"/>
    </sheetView>
  </sheetViews>
  <sheetFormatPr defaultColWidth="0" defaultRowHeight="14.4" zeroHeight="1" x14ac:dyDescent="0.3"/>
  <cols>
    <col min="1" max="1" width="3.77734375" style="3" customWidth="1"/>
    <col min="2" max="2" width="65.77734375" style="13" customWidth="1"/>
    <col min="3" max="3" width="3.77734375" style="3" customWidth="1"/>
    <col min="4" max="5" width="23.77734375" style="3" customWidth="1"/>
    <col min="6" max="7" width="1.77734375" style="3" customWidth="1"/>
    <col min="8" max="8" width="8.77734375" style="3" customWidth="1"/>
    <col min="9" max="9" width="4.77734375" style="3" customWidth="1"/>
    <col min="10" max="10" width="12.77734375" style="3" customWidth="1"/>
    <col min="11" max="13" width="20.77734375" style="3" customWidth="1"/>
    <col min="14" max="14" width="7.77734375" style="3" customWidth="1"/>
    <col min="15" max="15" width="3.77734375" style="13" customWidth="1"/>
    <col min="16" max="16" width="3.77734375" style="3" customWidth="1"/>
    <col min="17" max="16384" width="8.88671875" style="3" hidden="1"/>
  </cols>
  <sheetData>
    <row r="1" spans="1:16" ht="19.95" customHeight="1" x14ac:dyDescent="0.3">
      <c r="A1" s="65"/>
      <c r="B1" s="53"/>
      <c r="C1" s="65"/>
      <c r="D1" s="65"/>
      <c r="E1" s="65"/>
      <c r="F1" s="65"/>
      <c r="G1" s="65"/>
      <c r="H1" s="65"/>
      <c r="I1" s="65"/>
      <c r="J1" s="65"/>
      <c r="K1" s="65"/>
      <c r="L1" s="65"/>
      <c r="M1" s="65"/>
      <c r="N1" s="65"/>
      <c r="O1" s="65"/>
      <c r="P1" s="65"/>
    </row>
    <row r="2" spans="1:16" ht="19.95" customHeight="1" x14ac:dyDescent="0.3">
      <c r="A2" s="65"/>
      <c r="B2" s="175" t="str" cm="1">
        <f t="array" ref="B2">UITranslateForValueTable("cutoffTitle", UITranslationTable[tag], UITranslationTable[], UITranslationTable[#Headers])</f>
        <v>Selecting the doer / non-doer cutoff level</v>
      </c>
      <c r="C2" s="65"/>
      <c r="D2" s="65"/>
      <c r="E2" s="65"/>
      <c r="F2" s="65"/>
      <c r="G2" s="65"/>
      <c r="H2" s="65"/>
      <c r="I2" s="65"/>
      <c r="J2" s="65"/>
      <c r="K2" s="90"/>
      <c r="L2" s="90"/>
      <c r="M2" s="90"/>
      <c r="N2" s="90"/>
      <c r="O2" s="90"/>
      <c r="P2" s="65"/>
    </row>
    <row r="3" spans="1:16" ht="58.2" customHeight="1" x14ac:dyDescent="0.3">
      <c r="A3" s="65"/>
      <c r="B3" s="216" t="str" cm="1">
        <f t="array" ref="B3">UITranslateForValueTable("cutoffText1", UITranslationTable[tag], UITranslationTable[], UITranslationTable[#Headers])</f>
        <v>The chart on the left shows the distribution of the behaviour score for all respondents for whom a score could be computed (i.e., they answered at least one of the selected "behaviour" questions). As indicated by the two colours, the bars in this chart are split between non-doers (low scores) and doers (high scores), depending on the value of the cutoff level.</v>
      </c>
      <c r="C3" s="217"/>
      <c r="D3" s="217"/>
      <c r="E3" s="217"/>
      <c r="F3" s="217"/>
      <c r="G3" s="217"/>
      <c r="H3" s="217"/>
      <c r="I3" s="176"/>
      <c r="J3" s="105"/>
      <c r="K3" s="300" t="str" cm="1">
        <f t="array" aca="1" ref="K3" ca="1">IF(
    errorMessages = "",
    "",
    UITranslateForValueTable("errorMessageNotice", UITranslationTable[tag], UITranslationTable[], UITranslationTable[#Headers])
  )</f>
        <v/>
      </c>
      <c r="L3" s="301"/>
      <c r="M3" s="301"/>
      <c r="N3" s="67"/>
      <c r="O3" s="91"/>
      <c r="P3" s="65"/>
    </row>
    <row r="4" spans="1:16" ht="64.2" customHeight="1" x14ac:dyDescent="0.3">
      <c r="A4" s="65"/>
      <c r="B4" s="214" t="str" cm="1">
        <f t="array" ref="B4">UITranslateForValueTable("cutoffText2", UITranslationTable[tag], UITranslationTable[], UITranslationTable[#Headers])</f>
        <v>You can adjust the cutoff level using the dedicated cell above the chart. In general, you should choose the value for which the number of non-doers and the number of doers are closest to each other, which is where their difference (in absolute value) is the smallest. This should give the best statistical results. This optimum value is given as a recommendation above the cell.</v>
      </c>
      <c r="C4" s="215"/>
      <c r="D4" s="215"/>
      <c r="E4" s="215"/>
      <c r="F4" s="215"/>
      <c r="G4" s="215"/>
      <c r="H4" s="215"/>
      <c r="I4" s="181"/>
      <c r="J4" s="106"/>
      <c r="K4" s="106"/>
      <c r="L4" s="106"/>
      <c r="M4" s="106"/>
      <c r="N4" s="53"/>
      <c r="O4" s="93"/>
      <c r="P4" s="65"/>
    </row>
    <row r="5" spans="1:16" ht="24" customHeight="1" thickBot="1" x14ac:dyDescent="0.35">
      <c r="A5" s="65"/>
      <c r="B5" s="302" t="str" cm="1">
        <f t="array" ref="B5">UITranslateForValueTable("cutoffText3", UITranslationTable[tag], UITranslationTable[], UITranslationTable[#Headers])</f>
        <v>The chart on the right displays the resulting split between non-doers and doers as a percentage of the total number of respondents for whom a score could be computed, as well as the difference between both groups.</v>
      </c>
      <c r="C5" s="303"/>
      <c r="D5" s="303"/>
      <c r="E5" s="98"/>
      <c r="F5" s="102"/>
      <c r="G5" s="53"/>
      <c r="H5" s="103" t="str" cm="1">
        <f t="array" aca="1" ref="H5" ca="1">UITranslateForValueTable("cutoffLevelRecomText", UITranslationTable[tag], UITranslationTable[], UITranslationTable[#Headers])</f>
        <v>ⓘ Recommended cutoff level: 57%</v>
      </c>
      <c r="I5" s="102"/>
      <c r="J5" s="106"/>
      <c r="K5" s="106"/>
      <c r="L5" s="106"/>
      <c r="M5" s="106"/>
      <c r="N5" s="53"/>
      <c r="O5" s="93"/>
      <c r="P5" s="65"/>
    </row>
    <row r="6" spans="1:16" ht="19.95" customHeight="1" thickBot="1" x14ac:dyDescent="0.35">
      <c r="A6" s="65"/>
      <c r="B6" s="304"/>
      <c r="C6" s="303"/>
      <c r="D6" s="303"/>
      <c r="E6" s="98"/>
      <c r="F6" s="99"/>
      <c r="G6" s="100" t="str" cm="1">
        <f t="array" ref="G6">UITranslateForValueTable("cutoffLevelText", UITranslationTable[tag], UITranslationTable[], UITranslationTable[#Headers])</f>
        <v>Cutoff level:</v>
      </c>
      <c r="H6" s="47">
        <v>57</v>
      </c>
      <c r="I6" s="104"/>
      <c r="J6" s="104"/>
      <c r="K6" s="104"/>
      <c r="L6" s="104"/>
      <c r="M6" s="104"/>
      <c r="N6" s="53"/>
      <c r="O6" s="93"/>
      <c r="P6" s="65"/>
    </row>
    <row r="7" spans="1:16" ht="10.95" customHeight="1" x14ac:dyDescent="0.3">
      <c r="A7" s="65"/>
      <c r="B7" s="304"/>
      <c r="C7" s="303"/>
      <c r="D7" s="303"/>
      <c r="E7" s="98"/>
      <c r="F7" s="53"/>
      <c r="G7" s="101"/>
      <c r="H7" s="101"/>
      <c r="I7" s="101"/>
      <c r="J7" s="101"/>
      <c r="K7" s="101"/>
      <c r="L7" s="101"/>
      <c r="M7" s="101"/>
      <c r="N7" s="53"/>
      <c r="O7" s="93"/>
      <c r="P7" s="65"/>
    </row>
    <row r="8" spans="1:16" ht="14.4" customHeight="1" x14ac:dyDescent="0.3">
      <c r="A8" s="65"/>
      <c r="B8" s="177"/>
      <c r="C8" s="53"/>
      <c r="D8" s="53"/>
      <c r="E8" s="53"/>
      <c r="F8" s="53"/>
      <c r="G8" s="53"/>
      <c r="H8" s="53"/>
      <c r="I8" s="53"/>
      <c r="J8" s="53"/>
      <c r="K8" s="53"/>
      <c r="L8" s="53"/>
      <c r="M8" s="53"/>
      <c r="N8" s="53"/>
      <c r="O8" s="93"/>
      <c r="P8" s="65"/>
    </row>
    <row r="9" spans="1:16" ht="14.4" customHeight="1" x14ac:dyDescent="0.3">
      <c r="A9" s="65"/>
      <c r="B9" s="177"/>
      <c r="C9" s="53"/>
      <c r="D9" s="53"/>
      <c r="E9" s="53"/>
      <c r="F9" s="53"/>
      <c r="G9" s="53"/>
      <c r="H9" s="53"/>
      <c r="I9" s="53"/>
      <c r="J9" s="53"/>
      <c r="K9" s="53"/>
      <c r="L9" s="53"/>
      <c r="M9" s="53"/>
      <c r="N9" s="53"/>
      <c r="O9" s="93"/>
      <c r="P9" s="65"/>
    </row>
    <row r="10" spans="1:16" ht="14.4" customHeight="1" x14ac:dyDescent="0.3">
      <c r="A10" s="65"/>
      <c r="B10" s="177"/>
      <c r="C10" s="53"/>
      <c r="D10" s="53"/>
      <c r="E10" s="53"/>
      <c r="F10" s="53"/>
      <c r="G10" s="53"/>
      <c r="H10" s="53"/>
      <c r="I10" s="53"/>
      <c r="J10" s="53"/>
      <c r="K10" s="53"/>
      <c r="L10" s="53"/>
      <c r="M10" s="53"/>
      <c r="N10" s="53"/>
      <c r="O10" s="93"/>
      <c r="P10" s="65"/>
    </row>
    <row r="11" spans="1:16" ht="14.4" customHeight="1" x14ac:dyDescent="0.3">
      <c r="A11" s="65"/>
      <c r="B11" s="177"/>
      <c r="C11" s="53"/>
      <c r="D11" s="53"/>
      <c r="E11" s="53"/>
      <c r="F11" s="53"/>
      <c r="G11" s="53"/>
      <c r="H11" s="53"/>
      <c r="I11" s="53"/>
      <c r="J11" s="53"/>
      <c r="K11" s="53"/>
      <c r="L11" s="53"/>
      <c r="M11" s="53"/>
      <c r="N11" s="53"/>
      <c r="O11" s="93"/>
      <c r="P11" s="65"/>
    </row>
    <row r="12" spans="1:16" ht="14.4" customHeight="1" x14ac:dyDescent="0.3">
      <c r="A12" s="65"/>
      <c r="B12" s="177"/>
      <c r="C12" s="53"/>
      <c r="D12" s="53"/>
      <c r="E12" s="53"/>
      <c r="F12" s="53"/>
      <c r="G12" s="53"/>
      <c r="H12" s="53"/>
      <c r="I12" s="53"/>
      <c r="J12" s="53"/>
      <c r="K12" s="53"/>
      <c r="L12" s="53"/>
      <c r="M12" s="53"/>
      <c r="N12" s="53"/>
      <c r="O12" s="93"/>
      <c r="P12" s="65"/>
    </row>
    <row r="13" spans="1:16" ht="14.4" customHeight="1" x14ac:dyDescent="0.3">
      <c r="A13" s="65"/>
      <c r="B13" s="177"/>
      <c r="C13" s="53"/>
      <c r="D13" s="53"/>
      <c r="E13" s="53"/>
      <c r="F13" s="53"/>
      <c r="G13" s="53"/>
      <c r="H13" s="53"/>
      <c r="I13" s="53"/>
      <c r="J13" s="53"/>
      <c r="K13" s="53"/>
      <c r="L13" s="53"/>
      <c r="M13" s="53"/>
      <c r="N13" s="53"/>
      <c r="O13" s="93"/>
      <c r="P13" s="65"/>
    </row>
    <row r="14" spans="1:16" ht="14.4" customHeight="1" x14ac:dyDescent="0.3">
      <c r="A14" s="65"/>
      <c r="B14" s="177"/>
      <c r="C14" s="53"/>
      <c r="D14" s="53"/>
      <c r="E14" s="53"/>
      <c r="F14" s="53"/>
      <c r="G14" s="53"/>
      <c r="H14" s="53"/>
      <c r="I14" s="53"/>
      <c r="J14" s="53"/>
      <c r="K14" s="53"/>
      <c r="L14" s="53"/>
      <c r="M14" s="53"/>
      <c r="N14" s="53"/>
      <c r="O14" s="93"/>
      <c r="P14" s="65"/>
    </row>
    <row r="15" spans="1:16" ht="14.4" customHeight="1" x14ac:dyDescent="0.3">
      <c r="A15" s="65"/>
      <c r="B15" s="177"/>
      <c r="C15" s="53"/>
      <c r="D15" s="53"/>
      <c r="E15" s="53"/>
      <c r="F15" s="53"/>
      <c r="G15" s="53"/>
      <c r="H15" s="53"/>
      <c r="I15" s="53"/>
      <c r="J15" s="53"/>
      <c r="K15" s="53"/>
      <c r="L15" s="53"/>
      <c r="M15" s="53"/>
      <c r="N15" s="53"/>
      <c r="O15" s="93"/>
      <c r="P15" s="65"/>
    </row>
    <row r="16" spans="1:16" ht="14.4" customHeight="1" x14ac:dyDescent="0.3">
      <c r="A16" s="65"/>
      <c r="B16" s="177"/>
      <c r="C16" s="53"/>
      <c r="D16" s="53"/>
      <c r="E16" s="53"/>
      <c r="F16" s="53"/>
      <c r="G16" s="53"/>
      <c r="H16" s="53"/>
      <c r="I16" s="53"/>
      <c r="J16" s="53"/>
      <c r="K16" s="53"/>
      <c r="L16" s="53"/>
      <c r="M16" s="53"/>
      <c r="N16" s="53"/>
      <c r="O16" s="93"/>
      <c r="P16" s="65"/>
    </row>
    <row r="17" spans="1:16" ht="14.4" customHeight="1" x14ac:dyDescent="0.3">
      <c r="A17" s="65"/>
      <c r="B17" s="177"/>
      <c r="C17" s="53"/>
      <c r="D17" s="53"/>
      <c r="E17" s="53"/>
      <c r="F17" s="53"/>
      <c r="G17" s="53"/>
      <c r="H17" s="53"/>
      <c r="I17" s="53"/>
      <c r="J17" s="53"/>
      <c r="K17" s="53"/>
      <c r="L17" s="53"/>
      <c r="M17" s="53"/>
      <c r="N17" s="53"/>
      <c r="O17" s="93"/>
      <c r="P17" s="65"/>
    </row>
    <row r="18" spans="1:16" ht="14.4" customHeight="1" x14ac:dyDescent="0.3">
      <c r="A18" s="65"/>
      <c r="B18" s="177"/>
      <c r="C18" s="53"/>
      <c r="D18" s="53"/>
      <c r="E18" s="53"/>
      <c r="F18" s="53"/>
      <c r="G18" s="53"/>
      <c r="H18" s="53"/>
      <c r="I18" s="53"/>
      <c r="J18" s="53"/>
      <c r="K18" s="53"/>
      <c r="L18" s="53"/>
      <c r="M18" s="53"/>
      <c r="N18" s="53"/>
      <c r="O18" s="93"/>
      <c r="P18" s="65"/>
    </row>
    <row r="19" spans="1:16" ht="14.4" customHeight="1" x14ac:dyDescent="0.3">
      <c r="A19" s="65"/>
      <c r="B19" s="177"/>
      <c r="C19" s="53"/>
      <c r="D19" s="53"/>
      <c r="E19" s="53"/>
      <c r="F19" s="53"/>
      <c r="G19" s="53"/>
      <c r="H19" s="53"/>
      <c r="I19" s="53"/>
      <c r="J19" s="53"/>
      <c r="K19" s="53"/>
      <c r="L19" s="53"/>
      <c r="M19" s="53"/>
      <c r="N19" s="53"/>
      <c r="O19" s="93"/>
      <c r="P19" s="65"/>
    </row>
    <row r="20" spans="1:16" ht="14.4" customHeight="1" x14ac:dyDescent="0.3">
      <c r="A20" s="65"/>
      <c r="B20" s="177"/>
      <c r="C20" s="53"/>
      <c r="D20" s="53"/>
      <c r="E20" s="53"/>
      <c r="F20" s="53"/>
      <c r="G20" s="53"/>
      <c r="H20" s="53"/>
      <c r="I20" s="53"/>
      <c r="J20" s="53"/>
      <c r="K20" s="53"/>
      <c r="L20" s="53"/>
      <c r="M20" s="53"/>
      <c r="N20" s="53"/>
      <c r="O20" s="93"/>
      <c r="P20" s="65"/>
    </row>
    <row r="21" spans="1:16" ht="14.4" customHeight="1" x14ac:dyDescent="0.3">
      <c r="A21" s="65"/>
      <c r="B21" s="177"/>
      <c r="C21" s="53"/>
      <c r="D21" s="53"/>
      <c r="E21" s="53"/>
      <c r="F21" s="53"/>
      <c r="G21" s="53"/>
      <c r="H21" s="53"/>
      <c r="I21" s="53"/>
      <c r="J21" s="53"/>
      <c r="K21" s="53"/>
      <c r="L21" s="53"/>
      <c r="M21" s="53"/>
      <c r="N21" s="53"/>
      <c r="O21" s="93"/>
      <c r="P21" s="65"/>
    </row>
    <row r="22" spans="1:16" x14ac:dyDescent="0.3">
      <c r="A22" s="65"/>
      <c r="B22" s="177"/>
      <c r="C22" s="53"/>
      <c r="D22" s="53"/>
      <c r="E22" s="53"/>
      <c r="F22" s="53"/>
      <c r="G22" s="53"/>
      <c r="H22" s="53"/>
      <c r="I22" s="53"/>
      <c r="J22" s="53"/>
      <c r="K22" s="53"/>
      <c r="L22" s="53"/>
      <c r="M22" s="53"/>
      <c r="N22" s="53"/>
      <c r="O22" s="93"/>
      <c r="P22" s="65"/>
    </row>
    <row r="23" spans="1:16" x14ac:dyDescent="0.3">
      <c r="A23" s="65"/>
      <c r="B23" s="177"/>
      <c r="C23" s="53"/>
      <c r="D23" s="53"/>
      <c r="E23" s="53"/>
      <c r="F23" s="53"/>
      <c r="G23" s="53"/>
      <c r="H23" s="53"/>
      <c r="I23" s="53"/>
      <c r="J23" s="53"/>
      <c r="K23" s="53"/>
      <c r="L23" s="53"/>
      <c r="M23" s="53"/>
      <c r="N23" s="53"/>
      <c r="O23" s="93"/>
      <c r="P23" s="65"/>
    </row>
    <row r="24" spans="1:16" ht="14.4" customHeight="1" x14ac:dyDescent="0.3">
      <c r="A24" s="65"/>
      <c r="B24" s="305" t="str" cm="1">
        <f t="array" ref="B24">UITranslateForValueTable("copyTableInfo", UITranslationTable[tag], UITranslationTable[], UITranslationTable[#Headers])</f>
        <v>ⓘ If you want to make a static copy of this table (e.g., for reporting), the simplest options are:
- Paste it as a NON-LINKED picture. The copy will look exactly like the original, but since it's a picture, you won't be able to select values from it.
- If you want the possibility of selecting values in the copy, paste the table into a Word or PowerPoint document with the option "Keep Source Formatting".
- If you need the table in another Excel spreadsheet, copy it from the Word or PowerPoint document and paste it into Excel, again with the option "Keep Source Formatting".</v>
      </c>
      <c r="C24" s="53"/>
      <c r="D24" s="77" t="str">
        <f>_xlfn.XLOOKUP("behaviourScore", chartTranslationTable[tag], chartTranslationTable[displayedText])</f>
        <v>Nota de comportamiento</v>
      </c>
      <c r="E24" s="77" t="str">
        <f>_xlfn.XLOOKUP("numResponses", chartTranslationTable[tag], chartTranslationTable[displayedText])</f>
        <v>Nº de respuestas</v>
      </c>
      <c r="F24" s="107" t="str">
        <f>_xlfn.XLOOKUP("nondoers", chartTranslationTable[tag], chartTranslationTable[displayedText])</f>
        <v>No hacedores</v>
      </c>
      <c r="G24" s="107" t="str">
        <f>_xlfn.XLOOKUP("doers", chartTranslationTable[tag], chartTranslationTable[displayedText])</f>
        <v>Hacedores</v>
      </c>
      <c r="H24" s="53"/>
      <c r="I24" s="53"/>
      <c r="J24" s="53"/>
      <c r="K24" s="77" t="str">
        <f>_xlfn.XLOOKUP("nondoers", chartTranslationTable[tag], chartTranslationTable[displayedText])</f>
        <v>No hacedores</v>
      </c>
      <c r="L24" s="77" t="str">
        <f>_xlfn.XLOOKUP("doers", chartTranslationTable[tag], chartTranslationTable[displayedText])</f>
        <v>Hacedores</v>
      </c>
      <c r="M24" s="77" t="str">
        <f>_xlfn.XLOOKUP("difference", chartTranslationTable[tag], chartTranslationTable[displayedText])</f>
        <v>Diferencia</v>
      </c>
      <c r="N24" s="53"/>
      <c r="O24" s="93"/>
      <c r="P24" s="65"/>
    </row>
    <row r="25" spans="1:16" ht="14.4" hidden="1" customHeight="1" x14ac:dyDescent="0.3">
      <c r="A25" s="65"/>
      <c r="B25" s="306"/>
      <c r="C25" s="29" t="s">
        <v>563</v>
      </c>
      <c r="D25" s="138" t="s">
        <v>675</v>
      </c>
      <c r="E25" s="138" t="s">
        <v>604</v>
      </c>
      <c r="F25" s="29" t="s">
        <v>913</v>
      </c>
      <c r="G25" s="29" t="s">
        <v>914</v>
      </c>
      <c r="H25" s="53"/>
      <c r="I25" s="53"/>
      <c r="J25" s="4" t="s">
        <v>563</v>
      </c>
      <c r="K25" s="5" t="s">
        <v>688</v>
      </c>
      <c r="L25" s="5" t="s">
        <v>689</v>
      </c>
      <c r="M25" s="5" t="s">
        <v>591</v>
      </c>
      <c r="N25" s="53"/>
      <c r="O25" s="93"/>
      <c r="P25" s="65"/>
    </row>
    <row r="26" spans="1:16" x14ac:dyDescent="0.3">
      <c r="A26" s="65"/>
      <c r="B26" s="306"/>
      <c r="C26" s="96" cm="1">
        <f t="array" ref="C26">ROW()-ROW(cutoffChartTable[#Headers])</f>
        <v>1</v>
      </c>
      <c r="D26" s="139" t="str">
        <f>_xlfn.XLOOKUP(cutoffChartTable[[#This Row],[index]], cutoffTable[index], cutoffTable[label])</f>
        <v>0-9%</v>
      </c>
      <c r="E26" s="139">
        <f ca="1">_xlfn.XLOOKUP(cutoffChartTable[[#This Row],[index]], cutoffTable[index], cutoffTable[numResponses])</f>
        <v>2</v>
      </c>
      <c r="F26" s="96">
        <f ca="1">_xlfn.XLOOKUP(cutoffChartTable[[#This Row],[index]], cutoffTable[index], cutoffTable[numNondoersBin])</f>
        <v>2</v>
      </c>
      <c r="G26" s="96">
        <f ca="1">_xlfn.XLOOKUP(cutoffChartTable[[#This Row],[index]], cutoffTable[index], cutoffTable[numDoersBin])</f>
        <v>0</v>
      </c>
      <c r="H26" s="53"/>
      <c r="I26" s="53"/>
      <c r="J26" s="109">
        <v>1</v>
      </c>
      <c r="K26" s="143">
        <f ca="1">_xlfn.XLOOKUP(doersNondoersChartTable[[#This Row],[index]], doersNondoersTable[index], doersNondoersTable[percentNondoers])</f>
        <v>0.56976744186046513</v>
      </c>
      <c r="L26" s="144">
        <f ca="1">_xlfn.XLOOKUP(doersNondoersChartTable[[#This Row],[index]], doersNondoersTable[index], doersNondoersTable[percentDoers])</f>
        <v>0.43023255813953487</v>
      </c>
      <c r="M26" s="145">
        <f ca="1">_xlfn.XLOOKUP(doersNondoersChartTable[[#This Row],[index]], doersNondoersTable[index], doersNondoersTable[difference])</f>
        <v>-0.13953488372093026</v>
      </c>
      <c r="N26" s="53"/>
      <c r="O26" s="93"/>
      <c r="P26" s="65"/>
    </row>
    <row r="27" spans="1:16" x14ac:dyDescent="0.3">
      <c r="A27" s="65"/>
      <c r="B27" s="306"/>
      <c r="C27" s="96" cm="1">
        <f t="array" ref="C27">ROW()-ROW(cutoffChartTable[#Headers])</f>
        <v>2</v>
      </c>
      <c r="D27" s="140" t="str">
        <f>_xlfn.XLOOKUP(cutoffChartTable[[#This Row],[index]], cutoffTable[index], cutoffTable[label])</f>
        <v>10-19%</v>
      </c>
      <c r="E27" s="140">
        <f ca="1">_xlfn.XLOOKUP(cutoffChartTable[[#This Row],[index]], cutoffTable[index], cutoffTable[numResponses])</f>
        <v>9</v>
      </c>
      <c r="F27" s="96">
        <f ca="1">_xlfn.XLOOKUP(cutoffChartTable[[#This Row],[index]], cutoffTable[index], cutoffTable[numNondoersBin])</f>
        <v>9</v>
      </c>
      <c r="G27" s="96">
        <f ca="1">_xlfn.XLOOKUP(cutoffChartTable[[#This Row],[index]], cutoffTable[index], cutoffTable[numDoersBin])</f>
        <v>0</v>
      </c>
      <c r="H27" s="53"/>
      <c r="I27" s="53"/>
      <c r="J27" s="53"/>
      <c r="K27" s="53"/>
      <c r="L27" s="53"/>
      <c r="M27" s="53"/>
      <c r="N27" s="53"/>
      <c r="O27" s="93"/>
      <c r="P27" s="65"/>
    </row>
    <row r="28" spans="1:16" ht="14.4" customHeight="1" x14ac:dyDescent="0.3">
      <c r="A28" s="65"/>
      <c r="B28" s="306"/>
      <c r="C28" s="96" cm="1">
        <f t="array" ref="C28">ROW()-ROW(cutoffChartTable[#Headers])</f>
        <v>3</v>
      </c>
      <c r="D28" s="140" t="str">
        <f>_xlfn.XLOOKUP(cutoffChartTable[[#This Row],[index]], cutoffTable[index], cutoffTable[label])</f>
        <v>20-29%</v>
      </c>
      <c r="E28" s="140">
        <f ca="1">_xlfn.XLOOKUP(cutoffChartTable[[#This Row],[index]], cutoffTable[index], cutoffTable[numResponses])</f>
        <v>15</v>
      </c>
      <c r="F28" s="96">
        <f ca="1">_xlfn.XLOOKUP(cutoffChartTable[[#This Row],[index]], cutoffTable[index], cutoffTable[numNondoersBin])</f>
        <v>15</v>
      </c>
      <c r="G28" s="96">
        <f ca="1">_xlfn.XLOOKUP(cutoffChartTable[[#This Row],[index]], cutoffTable[index], cutoffTable[numDoersBin])</f>
        <v>0</v>
      </c>
      <c r="H28" s="308" t="str" cm="1">
        <f t="array" ref="H28">UITranslateForValueTable("copyChartInfo", UITranslationTable[tag], UITranslationTable[], UITranslationTable[#Headers])</f>
        <v>ⓘ If you want to make a static copy of a chart (e.g., for reporting), the simplest options are:
- Paste it as a NON-LINKED picture. The copy will look exactly like the original, but since it's a picture, you won't be able to edit it.
- Paste it into another spreadsheet with the option "Paste Special &gt; Keep Source Formatting". You can then modify this copy as you wish (size, colours,...) Finally, copy and paste this second chart as a non-linked picture into your destination document.
In any case, please don't EVER modify the original charts on the current sheet! 😊</v>
      </c>
      <c r="I28" s="309"/>
      <c r="J28" s="309"/>
      <c r="K28" s="309"/>
      <c r="L28" s="309"/>
      <c r="M28" s="309"/>
      <c r="N28" s="309"/>
      <c r="O28" s="93"/>
      <c r="P28" s="65"/>
    </row>
    <row r="29" spans="1:16" x14ac:dyDescent="0.3">
      <c r="A29" s="65"/>
      <c r="B29" s="306"/>
      <c r="C29" s="97" cm="1">
        <f t="array" ref="C29">ROW()-ROW(cutoffChartTable[#Headers])</f>
        <v>4</v>
      </c>
      <c r="D29" s="141" t="str">
        <f>_xlfn.XLOOKUP(cutoffChartTable[[#This Row],[index]], cutoffTable[index], cutoffTable[label])</f>
        <v>30-39%</v>
      </c>
      <c r="E29" s="141">
        <f ca="1">_xlfn.XLOOKUP(cutoffChartTable[[#This Row],[index]], cutoffTable[index], cutoffTable[numResponses])</f>
        <v>29</v>
      </c>
      <c r="F29" s="97">
        <f ca="1">_xlfn.XLOOKUP(cutoffChartTable[[#This Row],[index]], cutoffTable[index], cutoffTable[numNondoersBin])</f>
        <v>29</v>
      </c>
      <c r="G29" s="97">
        <f ca="1">_xlfn.XLOOKUP(cutoffChartTable[[#This Row],[index]], cutoffTable[index], cutoffTable[numDoersBin])</f>
        <v>0</v>
      </c>
      <c r="H29" s="309"/>
      <c r="I29" s="309"/>
      <c r="J29" s="309"/>
      <c r="K29" s="309"/>
      <c r="L29" s="309"/>
      <c r="M29" s="309"/>
      <c r="N29" s="309"/>
      <c r="O29" s="93"/>
      <c r="P29" s="65"/>
    </row>
    <row r="30" spans="1:16" x14ac:dyDescent="0.3">
      <c r="A30" s="65"/>
      <c r="B30" s="306"/>
      <c r="C30" s="97" cm="1">
        <f t="array" ref="C30">ROW()-ROW(cutoffChartTable[#Headers])</f>
        <v>5</v>
      </c>
      <c r="D30" s="141" t="str">
        <f>_xlfn.XLOOKUP(cutoffChartTable[[#This Row],[index]], cutoffTable[index], cutoffTable[label])</f>
        <v>40-49%</v>
      </c>
      <c r="E30" s="141">
        <f ca="1">_xlfn.XLOOKUP(cutoffChartTable[[#This Row],[index]], cutoffTable[index], cutoffTable[numResponses])</f>
        <v>44</v>
      </c>
      <c r="F30" s="97">
        <f ca="1">_xlfn.XLOOKUP(cutoffChartTable[[#This Row],[index]], cutoffTable[index], cutoffTable[numNondoersBin])</f>
        <v>44</v>
      </c>
      <c r="G30" s="97">
        <f ca="1">_xlfn.XLOOKUP(cutoffChartTable[[#This Row],[index]], cutoffTable[index], cutoffTable[numDoersBin])</f>
        <v>0</v>
      </c>
      <c r="H30" s="309"/>
      <c r="I30" s="309"/>
      <c r="J30" s="309"/>
      <c r="K30" s="309"/>
      <c r="L30" s="309"/>
      <c r="M30" s="309"/>
      <c r="N30" s="309"/>
      <c r="O30" s="93"/>
      <c r="P30" s="65"/>
    </row>
    <row r="31" spans="1:16" x14ac:dyDescent="0.3">
      <c r="A31" s="65"/>
      <c r="B31" s="306"/>
      <c r="C31" s="97" cm="1">
        <f t="array" ref="C31">ROW()-ROW(cutoffChartTable[#Headers])</f>
        <v>6</v>
      </c>
      <c r="D31" s="141" t="str">
        <f>_xlfn.XLOOKUP(cutoffChartTable[[#This Row],[index]], cutoffTable[index], cutoffTable[label])</f>
        <v>50-59%</v>
      </c>
      <c r="E31" s="141">
        <f ca="1">_xlfn.XLOOKUP(cutoffChartTable[[#This Row],[index]], cutoffTable[index], cutoffTable[numResponses])</f>
        <v>55</v>
      </c>
      <c r="F31" s="108">
        <f ca="1">_xlfn.XLOOKUP(cutoffChartTable[[#This Row],[index]], cutoffTable[index], cutoffTable[numNondoersBin])</f>
        <v>48</v>
      </c>
      <c r="G31" s="108">
        <f ca="1">_xlfn.XLOOKUP(cutoffChartTable[[#This Row],[index]], cutoffTable[index], cutoffTable[numDoersBin])</f>
        <v>7</v>
      </c>
      <c r="H31" s="309"/>
      <c r="I31" s="309"/>
      <c r="J31" s="309"/>
      <c r="K31" s="309"/>
      <c r="L31" s="309"/>
      <c r="M31" s="309"/>
      <c r="N31" s="309"/>
      <c r="O31" s="93"/>
      <c r="P31" s="65"/>
    </row>
    <row r="32" spans="1:16" x14ac:dyDescent="0.3">
      <c r="A32" s="65"/>
      <c r="B32" s="306"/>
      <c r="C32" s="97" cm="1">
        <f t="array" ref="C32">ROW()-ROW(cutoffChartTable[#Headers])</f>
        <v>7</v>
      </c>
      <c r="D32" s="141" t="str">
        <f>_xlfn.XLOOKUP(cutoffChartTable[[#This Row],[index]], cutoffTable[index], cutoffTable[label])</f>
        <v>60-69%</v>
      </c>
      <c r="E32" s="141">
        <f ca="1">_xlfn.XLOOKUP(cutoffChartTable[[#This Row],[index]], cutoffTable[index], cutoffTable[numResponses])</f>
        <v>59</v>
      </c>
      <c r="F32" s="108">
        <f ca="1">_xlfn.XLOOKUP(cutoffChartTable[[#This Row],[index]], cutoffTable[index], cutoffTable[numNondoersBin])</f>
        <v>0</v>
      </c>
      <c r="G32" s="108">
        <f ca="1">_xlfn.XLOOKUP(cutoffChartTable[[#This Row],[index]], cutoffTable[index], cutoffTable[numDoersBin])</f>
        <v>59</v>
      </c>
      <c r="H32" s="309"/>
      <c r="I32" s="309"/>
      <c r="J32" s="309"/>
      <c r="K32" s="309"/>
      <c r="L32" s="309"/>
      <c r="M32" s="309"/>
      <c r="N32" s="309"/>
      <c r="O32" s="93"/>
      <c r="P32" s="65"/>
    </row>
    <row r="33" spans="1:16" x14ac:dyDescent="0.3">
      <c r="A33" s="65"/>
      <c r="B33" s="306"/>
      <c r="C33" s="97" cm="1">
        <f t="array" ref="C33">ROW()-ROW(cutoffChartTable[#Headers])</f>
        <v>8</v>
      </c>
      <c r="D33" s="141" t="str">
        <f>_xlfn.XLOOKUP(cutoffChartTable[[#This Row],[index]], cutoffTable[index], cutoffTable[label])</f>
        <v>70-79%</v>
      </c>
      <c r="E33" s="141">
        <f ca="1">_xlfn.XLOOKUP(cutoffChartTable[[#This Row],[index]], cutoffTable[index], cutoffTable[numResponses])</f>
        <v>35</v>
      </c>
      <c r="F33" s="108">
        <f ca="1">_xlfn.XLOOKUP(cutoffChartTable[[#This Row],[index]], cutoffTable[index], cutoffTable[numNondoersBin])</f>
        <v>0</v>
      </c>
      <c r="G33" s="108">
        <f ca="1">_xlfn.XLOOKUP(cutoffChartTable[[#This Row],[index]], cutoffTable[index], cutoffTable[numDoersBin])</f>
        <v>35</v>
      </c>
      <c r="H33" s="309"/>
      <c r="I33" s="309"/>
      <c r="J33" s="309"/>
      <c r="K33" s="309"/>
      <c r="L33" s="309"/>
      <c r="M33" s="309"/>
      <c r="N33" s="309"/>
      <c r="O33" s="93"/>
      <c r="P33" s="65"/>
    </row>
    <row r="34" spans="1:16" x14ac:dyDescent="0.3">
      <c r="A34" s="65"/>
      <c r="B34" s="306"/>
      <c r="C34" s="97" cm="1">
        <f t="array" ref="C34">ROW()-ROW(cutoffChartTable[#Headers])</f>
        <v>9</v>
      </c>
      <c r="D34" s="141" t="str">
        <f>_xlfn.XLOOKUP(cutoffChartTable[[#This Row],[index]], cutoffTable[index], cutoffTable[label])</f>
        <v>80-89%</v>
      </c>
      <c r="E34" s="141">
        <f ca="1">_xlfn.XLOOKUP(cutoffChartTable[[#This Row],[index]], cutoffTable[index], cutoffTable[numResponses])</f>
        <v>7</v>
      </c>
      <c r="F34" s="108">
        <f ca="1">_xlfn.XLOOKUP(cutoffChartTable[[#This Row],[index]], cutoffTable[index], cutoffTable[numNondoersBin])</f>
        <v>0</v>
      </c>
      <c r="G34" s="108">
        <f ca="1">_xlfn.XLOOKUP(cutoffChartTable[[#This Row],[index]], cutoffTable[index], cutoffTable[numDoersBin])</f>
        <v>7</v>
      </c>
      <c r="H34" s="309"/>
      <c r="I34" s="309"/>
      <c r="J34" s="309"/>
      <c r="K34" s="309"/>
      <c r="L34" s="309"/>
      <c r="M34" s="309"/>
      <c r="N34" s="309"/>
      <c r="O34" s="93"/>
      <c r="P34" s="65"/>
    </row>
    <row r="35" spans="1:16" x14ac:dyDescent="0.3">
      <c r="A35" s="65"/>
      <c r="B35" s="306"/>
      <c r="C35" s="97" cm="1">
        <f t="array" ref="C35">ROW()-ROW(cutoffChartTable[#Headers])</f>
        <v>10</v>
      </c>
      <c r="D35" s="142" t="str">
        <f>_xlfn.XLOOKUP(cutoffChartTable[[#This Row],[index]], cutoffTable[index], cutoffTable[label])</f>
        <v>90-100%</v>
      </c>
      <c r="E35" s="142">
        <f ca="1">_xlfn.XLOOKUP(cutoffChartTable[[#This Row],[index]], cutoffTable[index], cutoffTable[numResponses])</f>
        <v>3</v>
      </c>
      <c r="F35" s="108">
        <f ca="1">_xlfn.XLOOKUP(cutoffChartTable[[#This Row],[index]], cutoffTable[index], cutoffTable[numNondoersBin])</f>
        <v>0</v>
      </c>
      <c r="G35" s="108">
        <f ca="1">_xlfn.XLOOKUP(cutoffChartTable[[#This Row],[index]], cutoffTable[index], cutoffTable[numDoersBin])</f>
        <v>3</v>
      </c>
      <c r="H35" s="309"/>
      <c r="I35" s="309"/>
      <c r="J35" s="309"/>
      <c r="K35" s="309"/>
      <c r="L35" s="309"/>
      <c r="M35" s="309"/>
      <c r="N35" s="309"/>
      <c r="O35" s="93"/>
      <c r="P35" s="65"/>
    </row>
    <row r="36" spans="1:16" x14ac:dyDescent="0.3">
      <c r="A36" s="65"/>
      <c r="B36" s="306"/>
      <c r="C36" s="53"/>
      <c r="D36" s="53"/>
      <c r="E36" s="53"/>
      <c r="F36" s="53"/>
      <c r="G36" s="53"/>
      <c r="H36" s="309"/>
      <c r="I36" s="309"/>
      <c r="J36" s="309"/>
      <c r="K36" s="309"/>
      <c r="L36" s="309"/>
      <c r="M36" s="309"/>
      <c r="N36" s="309"/>
      <c r="O36" s="93"/>
      <c r="P36" s="65"/>
    </row>
    <row r="37" spans="1:16" x14ac:dyDescent="0.3">
      <c r="A37" s="65"/>
      <c r="B37" s="306"/>
      <c r="C37" s="53"/>
      <c r="D37" s="53"/>
      <c r="E37" s="53"/>
      <c r="F37" s="53"/>
      <c r="G37" s="53"/>
      <c r="H37" s="309"/>
      <c r="I37" s="309"/>
      <c r="J37" s="309"/>
      <c r="K37" s="309"/>
      <c r="L37" s="309"/>
      <c r="M37" s="309"/>
      <c r="N37" s="309"/>
      <c r="O37" s="93"/>
      <c r="P37" s="65"/>
    </row>
    <row r="38" spans="1:16" x14ac:dyDescent="0.3">
      <c r="A38" s="65"/>
      <c r="B38" s="307"/>
      <c r="C38" s="90"/>
      <c r="D38" s="90"/>
      <c r="E38" s="90"/>
      <c r="F38" s="90"/>
      <c r="G38" s="90"/>
      <c r="H38" s="310"/>
      <c r="I38" s="310"/>
      <c r="J38" s="310"/>
      <c r="K38" s="310"/>
      <c r="L38" s="310"/>
      <c r="M38" s="310"/>
      <c r="N38" s="310"/>
      <c r="O38" s="95"/>
      <c r="P38" s="65"/>
    </row>
    <row r="39" spans="1:16" ht="14.4" customHeight="1" x14ac:dyDescent="0.3">
      <c r="A39" s="65"/>
      <c r="B39" s="65"/>
      <c r="C39" s="65"/>
      <c r="D39" s="65"/>
      <c r="E39" s="65"/>
      <c r="F39" s="65"/>
      <c r="G39" s="65"/>
      <c r="H39" s="65"/>
      <c r="I39" s="65"/>
      <c r="J39" s="65"/>
      <c r="K39" s="65"/>
      <c r="L39" s="65"/>
      <c r="M39" s="65"/>
      <c r="N39" s="65"/>
      <c r="O39" s="65"/>
      <c r="P39" s="65"/>
    </row>
  </sheetData>
  <sheetProtection algorithmName="SHA-512" hashValue="3UsYm3fSW6S8qCb/yoS2eOQyMgWFyB6l1FlYfaXrPU1uBsB4iaLPhXk1ExC1BHQbbElk7f6+oE+ElbmZLRkh4Q==" saltValue="pFG+ZzG/mv46MnOnblbdxg==" spinCount="100000" sheet="1" objects="1" scenarios="1"/>
  <mergeCells count="6">
    <mergeCell ref="K3:M3"/>
    <mergeCell ref="B3:H3"/>
    <mergeCell ref="B4:H4"/>
    <mergeCell ref="B5:D7"/>
    <mergeCell ref="B24:B38"/>
    <mergeCell ref="H28:N38"/>
  </mergeCells>
  <conditionalFormatting sqref="D26:E35">
    <cfRule type="expression" dxfId="12" priority="1">
      <formula>(     IF(       $C26 = 1,       -1,       INDEX(cutoffLevelColumn, $C26 - 1)     ) &lt; cutoffLevel   ) * (     IF(       INDEX(cutoffLevelColumn, $C26) = 1,       2,       INDEX(cutoffLevelColumn, $C26)     ) &gt; cutoffLevel   )</formula>
    </cfRule>
    <cfRule type="expression" dxfId="11" priority="2">
      <formula>INDEX(cutoffLevelColumn, $C26) &gt; cutoffLevel</formula>
    </cfRule>
    <cfRule type="expression" dxfId="10" priority="6">
      <formula>INDEX(cutoffLevelColumn, $C26) &lt;= cutoffLevel</formula>
    </cfRule>
  </conditionalFormatting>
  <conditionalFormatting sqref="H6">
    <cfRule type="expression" dxfId="9" priority="8">
      <formula>MOD($H$6,1) &lt;&gt; 0</formula>
    </cfRule>
    <cfRule type="expression" dxfId="8" priority="10">
      <formula>AND(     NOT(errorNoDataSheet),     (cutoffLevel &lt; 0) + (cutoffLevel &gt; 1) + (MOD($H$6, 1) &lt;&gt; 0)   )</formula>
    </cfRule>
  </conditionalFormatting>
  <dataValidations count="1">
    <dataValidation type="whole" allowBlank="1" showInputMessage="1" showErrorMessage="1" error="Please enter an integer value in % between 0 and 100 or use the arrows to change the value._x000a__x000a_Veuillez saisir une valeur entière en % entre 0 et 100 ou utilisez les flèches pour changer la valeur." sqref="H6" xr:uid="{45C355B5-DDC3-4D39-BB66-3CEBD5E63C99}">
      <formula1>0</formula1>
      <formula2>100</formula2>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43" r:id="rId4" name="Spinner 3">
              <controlPr locked="0" defaultSize="0" autoPict="0">
                <anchor moveWithCells="1">
                  <from>
                    <xdr:col>8</xdr:col>
                    <xdr:colOff>30480</xdr:colOff>
                    <xdr:row>4</xdr:row>
                    <xdr:rowOff>243840</xdr:rowOff>
                  </from>
                  <to>
                    <xdr:col>8</xdr:col>
                    <xdr:colOff>220980</xdr:colOff>
                    <xdr:row>6</xdr:row>
                    <xdr:rowOff>76200</xdr:rowOff>
                  </to>
                </anchor>
              </controlPr>
            </control>
          </mc:Choice>
        </mc:AlternateContent>
      </controls>
    </mc:Choice>
  </mc:AlternateContent>
  <tableParts count="2">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98F6C-B03F-4E4C-A1AD-AFE599BDA69B}">
  <sheetPr codeName="Sheet3">
    <tabColor rgb="FFFFC000"/>
  </sheetPr>
  <dimension ref="A1:Q82"/>
  <sheetViews>
    <sheetView showGridLines="0" showRowColHeaders="0" zoomScale="90" zoomScaleNormal="90" workbookViewId="0">
      <selection activeCell="E8" sqref="E8"/>
    </sheetView>
  </sheetViews>
  <sheetFormatPr defaultColWidth="0" defaultRowHeight="14.4" zeroHeight="1" x14ac:dyDescent="0.3"/>
  <cols>
    <col min="1" max="1" width="3.77734375" style="3" customWidth="1"/>
    <col min="2" max="2" width="5.77734375" style="3" customWidth="1"/>
    <col min="3" max="4" width="7.77734375" style="3" customWidth="1"/>
    <col min="5" max="5" width="10.77734375" style="3" customWidth="1"/>
    <col min="6" max="6" width="35.77734375" style="3" customWidth="1"/>
    <col min="7" max="11" width="19.77734375" style="3" customWidth="1"/>
    <col min="12" max="13" width="12.77734375" style="3" customWidth="1"/>
    <col min="14" max="15" width="12.77734375" style="14" customWidth="1"/>
    <col min="16" max="16" width="3.77734375" style="14" customWidth="1"/>
    <col min="17" max="17" width="3.77734375" style="3" customWidth="1"/>
    <col min="18" max="16384" width="8.88671875" style="3" hidden="1"/>
  </cols>
  <sheetData>
    <row r="1" spans="1:17" ht="19.95" customHeight="1" x14ac:dyDescent="0.3">
      <c r="A1" s="65"/>
      <c r="B1" s="65"/>
      <c r="C1" s="65"/>
      <c r="D1" s="65"/>
      <c r="E1" s="65"/>
      <c r="F1" s="65"/>
      <c r="G1" s="65"/>
      <c r="H1" s="65"/>
      <c r="I1" s="65"/>
      <c r="J1" s="65"/>
      <c r="K1" s="65"/>
      <c r="L1" s="65"/>
      <c r="M1" s="65"/>
      <c r="N1" s="65"/>
      <c r="O1" s="65"/>
      <c r="P1" s="65"/>
      <c r="Q1" s="65"/>
    </row>
    <row r="2" spans="1:17" ht="19.95" customHeight="1" x14ac:dyDescent="0.3">
      <c r="A2" s="65"/>
      <c r="B2" s="175" t="str" cm="1">
        <f t="array" ref="B2">UITranslateForValueTable("analysisTitle", UITranslationTable[tag], UITranslationTable[], UITranslationTable[#Headers])</f>
        <v>Doer / Non-doer analysis</v>
      </c>
      <c r="C2" s="65"/>
      <c r="D2" s="65"/>
      <c r="E2" s="65"/>
      <c r="F2" s="65"/>
      <c r="G2" s="65"/>
      <c r="H2" s="65"/>
      <c r="I2" s="65"/>
      <c r="J2" s="65"/>
      <c r="K2" s="65"/>
      <c r="L2" s="65"/>
      <c r="M2" s="65"/>
      <c r="N2" s="65"/>
      <c r="O2" s="65"/>
      <c r="P2" s="65"/>
      <c r="Q2" s="65"/>
    </row>
    <row r="3" spans="1:17" ht="49.95" customHeight="1" x14ac:dyDescent="0.3">
      <c r="A3" s="65"/>
      <c r="B3" s="216" t="str" cm="1">
        <f t="array" ref="B3">UITranslateForValueTable("analysisText1", UITranslationTable[tag], UITranslationTable[], UITranslationTable[#Headers])</f>
        <v>The charts below display the mean scores of non-doers and doers for each selected RANAS factor, as well as the difference between them.</v>
      </c>
      <c r="C3" s="217"/>
      <c r="D3" s="217"/>
      <c r="E3" s="217"/>
      <c r="F3" s="217"/>
      <c r="G3" s="217"/>
      <c r="H3" s="176"/>
      <c r="I3" s="311" t="str" cm="1">
        <f t="array" aca="1" ref="I3" ca="1">IF(
    errorMessages = "",
    "",
    UITranslateForValueTable("errorMessageNotice", UITranslationTable[tag], UITranslationTable[], UITranslationTable[#Headers])
  )</f>
        <v/>
      </c>
      <c r="J3" s="312"/>
      <c r="K3" s="312"/>
      <c r="L3" s="312"/>
      <c r="M3" s="312"/>
      <c r="N3" s="312"/>
      <c r="O3" s="312"/>
      <c r="P3" s="91"/>
      <c r="Q3" s="65"/>
    </row>
    <row r="4" spans="1:17" ht="24" customHeight="1" x14ac:dyDescent="0.3">
      <c r="A4" s="80"/>
      <c r="B4" s="302" t="str" cm="1">
        <f t="array" ref="B4">UITranslateForValueTable("analysisText2", UITranslationTable[tag], UITranslationTable[], UITranslationTable[#Headers])</f>
        <v>The factors for which the difference between non-doers and doers is the largest (in absolute value) are the most important ones. They are the critical factors that should be targeted through behaviour change techniques (BCTs).</v>
      </c>
      <c r="C4" s="303"/>
      <c r="D4" s="303"/>
      <c r="E4" s="303"/>
      <c r="F4" s="303"/>
      <c r="G4" s="303"/>
      <c r="H4" s="87"/>
      <c r="I4" s="313" t="str" cm="1">
        <f t="array" ref="I4">UITranslateForValueTable("analysisSortIntro", UITranslationTable[tag], UITranslationTable[], UITranslationTable[#Headers])</f>
        <v>The "Data sorting" drop-down menu above the chart offers various options for sorting the factors:</v>
      </c>
      <c r="J4" s="314"/>
      <c r="K4" s="314"/>
      <c r="L4" s="314"/>
      <c r="M4" s="314"/>
      <c r="N4" s="314"/>
      <c r="O4" s="314"/>
      <c r="P4" s="92"/>
      <c r="Q4" s="65"/>
    </row>
    <row r="5" spans="1:17" ht="24" customHeight="1" x14ac:dyDescent="0.3">
      <c r="A5" s="81"/>
      <c r="B5" s="304"/>
      <c r="C5" s="303"/>
      <c r="D5" s="303"/>
      <c r="E5" s="303"/>
      <c r="F5" s="303"/>
      <c r="G5" s="303"/>
      <c r="H5" s="88" t="s">
        <v>870</v>
      </c>
      <c r="I5" s="313" t="str" cm="1">
        <f t="array" aca="1" ref="I5" ca="1">UITranslateForValueTable("analysisSort1", UITranslationTable[tag], UITranslationTable[], UITranslationTable[#Headers])</f>
        <v>No sorting is applied. The factors are displayed in the same order as in the "Configuration" sheet.</v>
      </c>
      <c r="J5" s="314"/>
      <c r="K5" s="314"/>
      <c r="L5" s="314"/>
      <c r="M5" s="314"/>
      <c r="N5" s="314"/>
      <c r="O5" s="314"/>
      <c r="P5" s="93"/>
      <c r="Q5" s="65"/>
    </row>
    <row r="6" spans="1:17" ht="36" customHeight="1" x14ac:dyDescent="0.3">
      <c r="A6" s="81"/>
      <c r="B6" s="302" t="str" cm="1">
        <f t="array" ref="B6">UITranslateForValueTable("analysisText3", UITranslationTable[tag], UITranslationTable[], UITranslationTable[#Headers])</f>
        <v>The table below the charts contains the displayed values. As a visual aid, the cells in the "Difference" column are coloured with a more intense hue for larger (absolute) values.</v>
      </c>
      <c r="C6" s="303"/>
      <c r="D6" s="303"/>
      <c r="E6" s="303"/>
      <c r="F6" s="303"/>
      <c r="G6" s="303"/>
      <c r="H6" s="88" t="s">
        <v>871</v>
      </c>
      <c r="I6" s="313" t="str" cm="1">
        <f t="array" ref="I6">UITranslateForValueTable("analysisSort2", UITranslationTable[tag], UITranslationTable[], UITranslationTable[#Headers])</f>
        <v>The factors are sorted in descending order of the RELATIVE value of "Difference", i.e., from the most positive difference to the most negative difference.</v>
      </c>
      <c r="J6" s="314"/>
      <c r="K6" s="314"/>
      <c r="L6" s="314"/>
      <c r="M6" s="314"/>
      <c r="N6" s="314"/>
      <c r="O6" s="314"/>
      <c r="P6" s="93"/>
      <c r="Q6" s="65"/>
    </row>
    <row r="7" spans="1:17" ht="36" customHeight="1" thickBot="1" x14ac:dyDescent="0.35">
      <c r="A7" s="82"/>
      <c r="B7" s="304"/>
      <c r="C7" s="303"/>
      <c r="D7" s="303"/>
      <c r="E7" s="303"/>
      <c r="F7" s="303"/>
      <c r="G7" s="303"/>
      <c r="H7" s="88" t="s">
        <v>872</v>
      </c>
      <c r="I7" s="313" t="str" cm="1">
        <f t="array" ref="I7">UITranslateForValueTable("analysisSort3", UITranslationTable[tag], UITranslationTable[], UITranslationTable[#Headers])</f>
        <v>The factors are sorted in descending order of the ABSOLUTE value of "Difference", i.e., the largest differences come first, regardless of their sign, and the smallest come last.</v>
      </c>
      <c r="J7" s="314"/>
      <c r="K7" s="314"/>
      <c r="L7" s="314"/>
      <c r="M7" s="314"/>
      <c r="N7" s="314"/>
      <c r="O7" s="314"/>
      <c r="P7" s="93"/>
      <c r="Q7" s="65"/>
    </row>
    <row r="8" spans="1:17" ht="18" customHeight="1" thickBot="1" x14ac:dyDescent="0.35">
      <c r="A8" s="82"/>
      <c r="B8" s="83"/>
      <c r="C8" s="84"/>
      <c r="D8" s="85" t="str" cm="1">
        <f t="array" ref="D8">UITranslateForValueTable("analysisDataSorting", UITranslationTable[tag], UITranslationTable[], UITranslationTable[#Headers])</f>
        <v>Data sorting:</v>
      </c>
      <c r="E8" s="46" t="s">
        <v>720</v>
      </c>
      <c r="F8" s="84"/>
      <c r="G8" s="84"/>
      <c r="H8" s="88" t="s">
        <v>873</v>
      </c>
      <c r="I8" s="313" t="str" cm="1">
        <f t="array" ref="I8">UITranslateForValueTable("analysisSort4", UITranslationTable[tag], UITranslationTable[], UITranslationTable[#Headers])</f>
        <v>The factors are grouped by RANAS block.</v>
      </c>
      <c r="J8" s="314"/>
      <c r="K8" s="314"/>
      <c r="L8" s="314"/>
      <c r="M8" s="314"/>
      <c r="N8" s="314"/>
      <c r="O8" s="314"/>
      <c r="P8" s="93"/>
      <c r="Q8" s="65"/>
    </row>
    <row r="9" spans="1:17" x14ac:dyDescent="0.3">
      <c r="A9" s="82"/>
      <c r="B9" s="83"/>
      <c r="C9" s="65"/>
      <c r="D9" s="65"/>
      <c r="E9" s="65"/>
      <c r="F9" s="53"/>
      <c r="G9" s="53"/>
      <c r="H9" s="84"/>
      <c r="I9" s="84"/>
      <c r="J9" s="65"/>
      <c r="K9" s="65"/>
      <c r="L9" s="84"/>
      <c r="M9" s="53"/>
      <c r="N9" s="53"/>
      <c r="O9" s="53"/>
      <c r="P9" s="93"/>
      <c r="Q9" s="65"/>
    </row>
    <row r="10" spans="1:17" x14ac:dyDescent="0.3">
      <c r="A10" s="82"/>
      <c r="B10" s="83"/>
      <c r="C10" s="84"/>
      <c r="D10" s="84"/>
      <c r="E10" s="84"/>
      <c r="F10" s="84"/>
      <c r="G10" s="84"/>
      <c r="H10" s="84"/>
      <c r="I10" s="84"/>
      <c r="J10" s="84"/>
      <c r="K10" s="84"/>
      <c r="L10" s="84"/>
      <c r="M10" s="53"/>
      <c r="N10" s="53"/>
      <c r="O10" s="53"/>
      <c r="P10" s="93"/>
      <c r="Q10" s="65"/>
    </row>
    <row r="11" spans="1:17" x14ac:dyDescent="0.3">
      <c r="A11" s="82"/>
      <c r="B11" s="83"/>
      <c r="C11" s="84"/>
      <c r="D11" s="84"/>
      <c r="E11" s="84"/>
      <c r="F11" s="84"/>
      <c r="G11" s="84"/>
      <c r="H11" s="84"/>
      <c r="I11" s="84"/>
      <c r="J11" s="84"/>
      <c r="K11" s="84"/>
      <c r="L11" s="84"/>
      <c r="M11" s="53"/>
      <c r="N11" s="53"/>
      <c r="O11" s="53"/>
      <c r="P11" s="93"/>
      <c r="Q11" s="65"/>
    </row>
    <row r="12" spans="1:17" x14ac:dyDescent="0.3">
      <c r="A12" s="82"/>
      <c r="B12" s="83"/>
      <c r="C12" s="84"/>
      <c r="D12" s="84"/>
      <c r="E12" s="84"/>
      <c r="F12" s="84"/>
      <c r="G12" s="84"/>
      <c r="H12" s="84"/>
      <c r="I12" s="84"/>
      <c r="J12" s="84"/>
      <c r="K12" s="84"/>
      <c r="L12" s="84"/>
      <c r="M12" s="53"/>
      <c r="N12" s="53"/>
      <c r="O12" s="53"/>
      <c r="P12" s="93"/>
      <c r="Q12" s="65"/>
    </row>
    <row r="13" spans="1:17" x14ac:dyDescent="0.3">
      <c r="A13" s="82"/>
      <c r="B13" s="83"/>
      <c r="C13" s="84"/>
      <c r="D13" s="84"/>
      <c r="E13" s="84"/>
      <c r="F13" s="84"/>
      <c r="G13" s="84"/>
      <c r="H13" s="84"/>
      <c r="I13" s="84"/>
      <c r="J13" s="84"/>
      <c r="K13" s="84"/>
      <c r="L13" s="84"/>
      <c r="M13" s="53"/>
      <c r="N13" s="53"/>
      <c r="O13" s="53"/>
      <c r="P13" s="93"/>
      <c r="Q13" s="65"/>
    </row>
    <row r="14" spans="1:17" x14ac:dyDescent="0.3">
      <c r="A14" s="82"/>
      <c r="B14" s="83"/>
      <c r="C14" s="84"/>
      <c r="D14" s="84"/>
      <c r="E14" s="84"/>
      <c r="F14" s="84"/>
      <c r="G14" s="84"/>
      <c r="H14" s="84"/>
      <c r="I14" s="84"/>
      <c r="J14" s="84"/>
      <c r="K14" s="84"/>
      <c r="L14" s="84"/>
      <c r="M14" s="53"/>
      <c r="N14" s="53"/>
      <c r="O14" s="53"/>
      <c r="P14" s="93"/>
      <c r="Q14" s="65"/>
    </row>
    <row r="15" spans="1:17" x14ac:dyDescent="0.3">
      <c r="A15" s="82"/>
      <c r="B15" s="83"/>
      <c r="C15" s="53"/>
      <c r="D15" s="53"/>
      <c r="E15" s="53"/>
      <c r="F15" s="86"/>
      <c r="G15" s="86"/>
      <c r="H15" s="86"/>
      <c r="I15" s="86"/>
      <c r="J15" s="86"/>
      <c r="K15" s="86"/>
      <c r="L15" s="86"/>
      <c r="M15" s="53"/>
      <c r="N15" s="53"/>
      <c r="O15" s="53"/>
      <c r="P15" s="93"/>
      <c r="Q15" s="65"/>
    </row>
    <row r="16" spans="1:17" x14ac:dyDescent="0.3">
      <c r="A16" s="65"/>
      <c r="B16" s="177"/>
      <c r="C16" s="53"/>
      <c r="D16" s="53"/>
      <c r="E16" s="53"/>
      <c r="F16" s="53"/>
      <c r="G16" s="53"/>
      <c r="H16" s="53"/>
      <c r="I16" s="53"/>
      <c r="J16" s="53"/>
      <c r="K16" s="53"/>
      <c r="L16" s="53"/>
      <c r="M16" s="53"/>
      <c r="N16" s="53"/>
      <c r="O16" s="53"/>
      <c r="P16" s="93"/>
      <c r="Q16" s="65"/>
    </row>
    <row r="17" spans="1:17" x14ac:dyDescent="0.3">
      <c r="A17" s="65"/>
      <c r="B17" s="177"/>
      <c r="C17" s="53"/>
      <c r="D17" s="53"/>
      <c r="E17" s="53"/>
      <c r="F17" s="53"/>
      <c r="G17" s="53"/>
      <c r="H17" s="53"/>
      <c r="I17" s="53"/>
      <c r="J17" s="53"/>
      <c r="K17" s="53"/>
      <c r="L17" s="53"/>
      <c r="M17" s="53"/>
      <c r="N17" s="53"/>
      <c r="O17" s="53"/>
      <c r="P17" s="93"/>
      <c r="Q17" s="65"/>
    </row>
    <row r="18" spans="1:17" x14ac:dyDescent="0.3">
      <c r="A18" s="65"/>
      <c r="B18" s="177"/>
      <c r="C18" s="53"/>
      <c r="D18" s="53"/>
      <c r="E18" s="53"/>
      <c r="F18" s="53"/>
      <c r="G18" s="53"/>
      <c r="H18" s="53"/>
      <c r="I18" s="53"/>
      <c r="J18" s="53"/>
      <c r="K18" s="53"/>
      <c r="L18" s="53"/>
      <c r="M18" s="53"/>
      <c r="N18" s="53"/>
      <c r="O18" s="53"/>
      <c r="P18" s="93"/>
      <c r="Q18" s="65"/>
    </row>
    <row r="19" spans="1:17" x14ac:dyDescent="0.3">
      <c r="A19" s="65"/>
      <c r="B19" s="177"/>
      <c r="C19" s="53"/>
      <c r="D19" s="53"/>
      <c r="E19" s="53"/>
      <c r="F19" s="53"/>
      <c r="G19" s="53"/>
      <c r="H19" s="53"/>
      <c r="I19" s="53"/>
      <c r="J19" s="53"/>
      <c r="K19" s="53"/>
      <c r="L19" s="53"/>
      <c r="M19" s="53"/>
      <c r="N19" s="53"/>
      <c r="O19" s="53"/>
      <c r="P19" s="93"/>
      <c r="Q19" s="65"/>
    </row>
    <row r="20" spans="1:17" x14ac:dyDescent="0.3">
      <c r="A20" s="65"/>
      <c r="B20" s="177"/>
      <c r="C20" s="53"/>
      <c r="D20" s="53"/>
      <c r="E20" s="53"/>
      <c r="F20" s="53"/>
      <c r="G20" s="53"/>
      <c r="H20" s="53"/>
      <c r="I20" s="53"/>
      <c r="J20" s="53"/>
      <c r="K20" s="53"/>
      <c r="L20" s="53"/>
      <c r="M20" s="53"/>
      <c r="N20" s="53"/>
      <c r="O20" s="53"/>
      <c r="P20" s="93"/>
      <c r="Q20" s="65"/>
    </row>
    <row r="21" spans="1:17" x14ac:dyDescent="0.3">
      <c r="A21" s="65"/>
      <c r="B21" s="177"/>
      <c r="C21" s="53"/>
      <c r="D21" s="53"/>
      <c r="E21" s="53"/>
      <c r="F21" s="53"/>
      <c r="G21" s="53"/>
      <c r="H21" s="53"/>
      <c r="I21" s="53"/>
      <c r="J21" s="53"/>
      <c r="K21" s="53"/>
      <c r="L21" s="53"/>
      <c r="M21" s="53"/>
      <c r="N21" s="53"/>
      <c r="O21" s="53"/>
      <c r="P21" s="93"/>
      <c r="Q21" s="65"/>
    </row>
    <row r="22" spans="1:17" x14ac:dyDescent="0.3">
      <c r="A22" s="65"/>
      <c r="B22" s="177"/>
      <c r="C22" s="53"/>
      <c r="D22" s="53"/>
      <c r="E22" s="53"/>
      <c r="F22" s="53"/>
      <c r="G22" s="53"/>
      <c r="H22" s="53"/>
      <c r="I22" s="53"/>
      <c r="J22" s="53"/>
      <c r="K22" s="53"/>
      <c r="L22" s="53"/>
      <c r="M22" s="53"/>
      <c r="N22" s="53"/>
      <c r="O22" s="53"/>
      <c r="P22" s="93"/>
      <c r="Q22" s="65"/>
    </row>
    <row r="23" spans="1:17" x14ac:dyDescent="0.3">
      <c r="A23" s="65"/>
      <c r="B23" s="177"/>
      <c r="C23" s="53"/>
      <c r="D23" s="53"/>
      <c r="E23" s="53"/>
      <c r="F23" s="53"/>
      <c r="G23" s="53"/>
      <c r="H23" s="53"/>
      <c r="I23" s="53"/>
      <c r="J23" s="53"/>
      <c r="K23" s="53"/>
      <c r="L23" s="53"/>
      <c r="M23" s="53"/>
      <c r="N23" s="53"/>
      <c r="O23" s="53"/>
      <c r="P23" s="93"/>
      <c r="Q23" s="65"/>
    </row>
    <row r="24" spans="1:17" x14ac:dyDescent="0.3">
      <c r="A24" s="65"/>
      <c r="B24" s="177"/>
      <c r="C24" s="53"/>
      <c r="D24" s="53"/>
      <c r="E24" s="53"/>
      <c r="F24" s="53"/>
      <c r="G24" s="53"/>
      <c r="H24" s="53"/>
      <c r="I24" s="53"/>
      <c r="J24" s="53"/>
      <c r="K24" s="53"/>
      <c r="L24" s="53"/>
      <c r="M24" s="53"/>
      <c r="N24" s="53"/>
      <c r="O24" s="53"/>
      <c r="P24" s="93"/>
      <c r="Q24" s="65"/>
    </row>
    <row r="25" spans="1:17" x14ac:dyDescent="0.3">
      <c r="A25" s="65"/>
      <c r="B25" s="177"/>
      <c r="C25" s="53"/>
      <c r="D25" s="53"/>
      <c r="E25" s="53"/>
      <c r="F25" s="53"/>
      <c r="G25" s="53"/>
      <c r="H25" s="53"/>
      <c r="I25" s="53"/>
      <c r="J25" s="53"/>
      <c r="K25" s="53"/>
      <c r="L25" s="53"/>
      <c r="M25" s="53"/>
      <c r="N25" s="53"/>
      <c r="O25" s="53"/>
      <c r="P25" s="93"/>
      <c r="Q25" s="65"/>
    </row>
    <row r="26" spans="1:17" x14ac:dyDescent="0.3">
      <c r="A26" s="65"/>
      <c r="B26" s="177"/>
      <c r="C26" s="53"/>
      <c r="D26" s="53"/>
      <c r="E26" s="53"/>
      <c r="F26" s="53"/>
      <c r="G26" s="53"/>
      <c r="H26" s="53"/>
      <c r="I26" s="53"/>
      <c r="J26" s="53"/>
      <c r="K26" s="53"/>
      <c r="L26" s="53"/>
      <c r="M26" s="53"/>
      <c r="N26" s="53"/>
      <c r="O26" s="53"/>
      <c r="P26" s="93"/>
      <c r="Q26" s="65"/>
    </row>
    <row r="27" spans="1:17" x14ac:dyDescent="0.3">
      <c r="A27" s="65"/>
      <c r="B27" s="177"/>
      <c r="C27" s="53"/>
      <c r="D27" s="53"/>
      <c r="E27" s="53"/>
      <c r="F27" s="53"/>
      <c r="G27" s="53"/>
      <c r="H27" s="53"/>
      <c r="I27" s="53"/>
      <c r="J27" s="53"/>
      <c r="K27" s="53"/>
      <c r="L27" s="53"/>
      <c r="M27" s="53"/>
      <c r="N27" s="53"/>
      <c r="O27" s="53"/>
      <c r="P27" s="93"/>
      <c r="Q27" s="65"/>
    </row>
    <row r="28" spans="1:17" x14ac:dyDescent="0.3">
      <c r="A28" s="65"/>
      <c r="B28" s="177"/>
      <c r="C28" s="53"/>
      <c r="D28" s="53"/>
      <c r="E28" s="53"/>
      <c r="F28" s="53"/>
      <c r="G28" s="53"/>
      <c r="H28" s="53"/>
      <c r="I28" s="53"/>
      <c r="J28" s="53"/>
      <c r="K28" s="53"/>
      <c r="L28" s="53"/>
      <c r="M28" s="53"/>
      <c r="N28" s="53"/>
      <c r="O28" s="53"/>
      <c r="P28" s="93"/>
      <c r="Q28" s="65"/>
    </row>
    <row r="29" spans="1:17" x14ac:dyDescent="0.3">
      <c r="A29" s="65"/>
      <c r="B29" s="177"/>
      <c r="C29" s="53"/>
      <c r="D29" s="53"/>
      <c r="E29" s="53"/>
      <c r="F29" s="53"/>
      <c r="G29" s="53"/>
      <c r="H29" s="53"/>
      <c r="I29" s="53"/>
      <c r="J29" s="53"/>
      <c r="K29" s="53"/>
      <c r="L29" s="53"/>
      <c r="M29" s="53"/>
      <c r="N29" s="53"/>
      <c r="O29" s="53"/>
      <c r="P29" s="93"/>
      <c r="Q29" s="65"/>
    </row>
    <row r="30" spans="1:17" x14ac:dyDescent="0.3">
      <c r="A30" s="65"/>
      <c r="B30" s="177"/>
      <c r="C30" s="53"/>
      <c r="D30" s="53"/>
      <c r="E30" s="53"/>
      <c r="F30" s="53"/>
      <c r="G30" s="53"/>
      <c r="H30" s="53"/>
      <c r="I30" s="53"/>
      <c r="J30" s="53"/>
      <c r="K30" s="53"/>
      <c r="L30" s="53"/>
      <c r="M30" s="53"/>
      <c r="N30" s="53"/>
      <c r="O30" s="53"/>
      <c r="P30" s="93"/>
      <c r="Q30" s="65"/>
    </row>
    <row r="31" spans="1:17" x14ac:dyDescent="0.3">
      <c r="A31" s="65"/>
      <c r="B31" s="177"/>
      <c r="C31" s="53"/>
      <c r="D31" s="53"/>
      <c r="E31" s="53"/>
      <c r="F31" s="53"/>
      <c r="G31" s="53"/>
      <c r="H31" s="53"/>
      <c r="I31" s="53"/>
      <c r="J31" s="53"/>
      <c r="K31" s="53"/>
      <c r="L31" s="53"/>
      <c r="M31" s="53"/>
      <c r="N31" s="53"/>
      <c r="O31" s="53"/>
      <c r="P31" s="93"/>
      <c r="Q31" s="65"/>
    </row>
    <row r="32" spans="1:17" x14ac:dyDescent="0.3">
      <c r="A32" s="65"/>
      <c r="B32" s="177"/>
      <c r="C32" s="53"/>
      <c r="D32" s="53"/>
      <c r="E32" s="53"/>
      <c r="F32" s="53"/>
      <c r="G32" s="53"/>
      <c r="H32" s="53"/>
      <c r="I32" s="53"/>
      <c r="J32" s="53"/>
      <c r="K32" s="53"/>
      <c r="L32" s="53"/>
      <c r="M32" s="53"/>
      <c r="N32" s="53"/>
      <c r="O32" s="53"/>
      <c r="P32" s="93"/>
      <c r="Q32" s="65"/>
    </row>
    <row r="33" spans="1:17" x14ac:dyDescent="0.3">
      <c r="A33" s="65"/>
      <c r="B33" s="177"/>
      <c r="C33" s="53"/>
      <c r="D33" s="53"/>
      <c r="E33" s="53"/>
      <c r="F33" s="53"/>
      <c r="G33" s="53"/>
      <c r="H33" s="53"/>
      <c r="I33" s="53"/>
      <c r="J33" s="53"/>
      <c r="K33" s="53"/>
      <c r="L33" s="53"/>
      <c r="M33" s="53"/>
      <c r="N33" s="53"/>
      <c r="O33" s="53"/>
      <c r="P33" s="93"/>
      <c r="Q33" s="65"/>
    </row>
    <row r="34" spans="1:17" x14ac:dyDescent="0.3">
      <c r="A34" s="65"/>
      <c r="B34" s="177"/>
      <c r="C34" s="53"/>
      <c r="D34" s="53"/>
      <c r="E34" s="53"/>
      <c r="F34" s="53"/>
      <c r="G34" s="53"/>
      <c r="H34" s="53"/>
      <c r="I34" s="53"/>
      <c r="J34" s="53"/>
      <c r="K34" s="53"/>
      <c r="L34" s="53"/>
      <c r="M34" s="53"/>
      <c r="N34" s="53"/>
      <c r="O34" s="53"/>
      <c r="P34" s="93"/>
      <c r="Q34" s="65"/>
    </row>
    <row r="35" spans="1:17" x14ac:dyDescent="0.3">
      <c r="A35" s="65"/>
      <c r="B35" s="177"/>
      <c r="C35" s="53"/>
      <c r="D35" s="53"/>
      <c r="E35" s="53"/>
      <c r="F35" s="53"/>
      <c r="G35" s="53"/>
      <c r="H35" s="53"/>
      <c r="I35" s="53"/>
      <c r="J35" s="53"/>
      <c r="K35" s="53"/>
      <c r="L35" s="53"/>
      <c r="M35" s="53"/>
      <c r="N35" s="53"/>
      <c r="O35" s="53"/>
      <c r="P35" s="93"/>
      <c r="Q35" s="65"/>
    </row>
    <row r="36" spans="1:17" x14ac:dyDescent="0.3">
      <c r="A36" s="65"/>
      <c r="B36" s="177"/>
      <c r="C36" s="53"/>
      <c r="D36" s="53"/>
      <c r="E36" s="53"/>
      <c r="F36" s="53"/>
      <c r="G36" s="53"/>
      <c r="H36" s="53"/>
      <c r="I36" s="53"/>
      <c r="J36" s="53"/>
      <c r="K36" s="53"/>
      <c r="L36" s="53"/>
      <c r="M36" s="53"/>
      <c r="N36" s="53"/>
      <c r="O36" s="53"/>
      <c r="P36" s="93"/>
      <c r="Q36" s="65"/>
    </row>
    <row r="37" spans="1:17" x14ac:dyDescent="0.3">
      <c r="A37" s="65"/>
      <c r="B37" s="177"/>
      <c r="C37" s="53"/>
      <c r="D37" s="53"/>
      <c r="E37" s="53"/>
      <c r="F37" s="53"/>
      <c r="G37" s="53"/>
      <c r="H37" s="53"/>
      <c r="I37" s="53"/>
      <c r="J37" s="53"/>
      <c r="K37" s="53"/>
      <c r="L37" s="53"/>
      <c r="M37" s="53"/>
      <c r="N37" s="53"/>
      <c r="O37" s="53"/>
      <c r="P37" s="93"/>
      <c r="Q37" s="65"/>
    </row>
    <row r="38" spans="1:17" x14ac:dyDescent="0.3">
      <c r="A38" s="65"/>
      <c r="B38" s="177"/>
      <c r="C38" s="53"/>
      <c r="D38" s="53"/>
      <c r="E38" s="53"/>
      <c r="F38" s="53"/>
      <c r="G38" s="53"/>
      <c r="H38" s="53"/>
      <c r="I38" s="53"/>
      <c r="J38" s="53"/>
      <c r="K38" s="53"/>
      <c r="L38" s="53"/>
      <c r="M38" s="53"/>
      <c r="N38" s="53"/>
      <c r="O38" s="53"/>
      <c r="P38" s="93"/>
      <c r="Q38" s="65"/>
    </row>
    <row r="39" spans="1:17" x14ac:dyDescent="0.3">
      <c r="A39" s="65"/>
      <c r="B39" s="177"/>
      <c r="C39" s="53"/>
      <c r="D39" s="53"/>
      <c r="E39" s="53"/>
      <c r="F39" s="53"/>
      <c r="G39" s="53"/>
      <c r="H39" s="53"/>
      <c r="I39" s="53"/>
      <c r="J39" s="53"/>
      <c r="K39" s="53"/>
      <c r="L39" s="53"/>
      <c r="M39" s="53"/>
      <c r="N39" s="53"/>
      <c r="O39" s="53"/>
      <c r="P39" s="93"/>
      <c r="Q39" s="65"/>
    </row>
    <row r="40" spans="1:17" x14ac:dyDescent="0.3">
      <c r="A40" s="65"/>
      <c r="B40" s="177"/>
      <c r="C40" s="53"/>
      <c r="D40" s="53"/>
      <c r="E40" s="53"/>
      <c r="F40" s="53"/>
      <c r="G40" s="53"/>
      <c r="H40" s="53"/>
      <c r="I40" s="53"/>
      <c r="J40" s="53"/>
      <c r="K40" s="53"/>
      <c r="L40" s="53"/>
      <c r="M40" s="53"/>
      <c r="N40" s="53"/>
      <c r="O40" s="53"/>
      <c r="P40" s="93"/>
      <c r="Q40" s="65"/>
    </row>
    <row r="41" spans="1:17" x14ac:dyDescent="0.3">
      <c r="A41" s="65"/>
      <c r="B41" s="177"/>
      <c r="C41" s="53"/>
      <c r="D41" s="53"/>
      <c r="E41" s="53"/>
      <c r="F41" s="53"/>
      <c r="G41" s="53"/>
      <c r="H41" s="53"/>
      <c r="I41" s="53"/>
      <c r="J41" s="53"/>
      <c r="K41" s="53"/>
      <c r="L41" s="53"/>
      <c r="M41" s="53"/>
      <c r="N41" s="53"/>
      <c r="O41" s="53"/>
      <c r="P41" s="93"/>
      <c r="Q41" s="65"/>
    </row>
    <row r="42" spans="1:17" x14ac:dyDescent="0.3">
      <c r="A42" s="65"/>
      <c r="B42" s="177"/>
      <c r="C42" s="53"/>
      <c r="D42" s="53"/>
      <c r="E42" s="53"/>
      <c r="F42" s="53"/>
      <c r="G42" s="53"/>
      <c r="H42" s="53"/>
      <c r="I42" s="53"/>
      <c r="J42" s="53"/>
      <c r="K42" s="53"/>
      <c r="L42" s="53"/>
      <c r="M42" s="53"/>
      <c r="N42" s="53"/>
      <c r="O42" s="53"/>
      <c r="P42" s="93"/>
      <c r="Q42" s="65"/>
    </row>
    <row r="43" spans="1:17" x14ac:dyDescent="0.3">
      <c r="A43" s="65"/>
      <c r="B43" s="177"/>
      <c r="C43" s="53"/>
      <c r="D43" s="53"/>
      <c r="E43" s="53"/>
      <c r="F43" s="53"/>
      <c r="G43" s="53"/>
      <c r="H43" s="53"/>
      <c r="I43" s="53"/>
      <c r="J43" s="53"/>
      <c r="K43" s="53"/>
      <c r="L43" s="53"/>
      <c r="M43" s="53"/>
      <c r="N43" s="53"/>
      <c r="O43" s="53"/>
      <c r="P43" s="93"/>
      <c r="Q43" s="65"/>
    </row>
    <row r="44" spans="1:17" x14ac:dyDescent="0.3">
      <c r="A44" s="65"/>
      <c r="B44" s="177"/>
      <c r="C44" s="53"/>
      <c r="D44" s="53"/>
      <c r="E44" s="53"/>
      <c r="F44" s="53"/>
      <c r="G44" s="53"/>
      <c r="H44" s="53"/>
      <c r="I44" s="53"/>
      <c r="J44" s="53"/>
      <c r="K44" s="53"/>
      <c r="L44" s="53"/>
      <c r="M44" s="53"/>
      <c r="N44" s="53"/>
      <c r="O44" s="53"/>
      <c r="P44" s="93"/>
      <c r="Q44" s="65"/>
    </row>
    <row r="45" spans="1:17" x14ac:dyDescent="0.3">
      <c r="A45" s="65"/>
      <c r="B45" s="177"/>
      <c r="C45" s="53"/>
      <c r="D45" s="53"/>
      <c r="E45" s="53"/>
      <c r="F45" s="53"/>
      <c r="G45" s="53"/>
      <c r="H45" s="53"/>
      <c r="I45" s="53"/>
      <c r="J45" s="53"/>
      <c r="K45" s="53"/>
      <c r="L45" s="53"/>
      <c r="M45" s="53"/>
      <c r="N45" s="53"/>
      <c r="O45" s="53"/>
      <c r="P45" s="93"/>
      <c r="Q45" s="65"/>
    </row>
    <row r="46" spans="1:17" x14ac:dyDescent="0.3">
      <c r="A46" s="65"/>
      <c r="B46" s="177"/>
      <c r="C46" s="53"/>
      <c r="D46" s="53"/>
      <c r="E46" s="53"/>
      <c r="F46" s="53"/>
      <c r="G46" s="53"/>
      <c r="H46" s="53"/>
      <c r="I46" s="53"/>
      <c r="J46" s="53"/>
      <c r="K46" s="53"/>
      <c r="L46" s="53"/>
      <c r="M46" s="53"/>
      <c r="N46" s="53"/>
      <c r="O46" s="53"/>
      <c r="P46" s="93"/>
      <c r="Q46" s="65"/>
    </row>
    <row r="47" spans="1:17" x14ac:dyDescent="0.3">
      <c r="A47" s="65"/>
      <c r="B47" s="177"/>
      <c r="C47" s="53"/>
      <c r="D47" s="53"/>
      <c r="E47" s="53"/>
      <c r="F47" s="53"/>
      <c r="G47" s="53"/>
      <c r="H47" s="53"/>
      <c r="I47" s="53"/>
      <c r="J47" s="53"/>
      <c r="K47" s="53"/>
      <c r="L47" s="53"/>
      <c r="M47" s="53"/>
      <c r="N47" s="53"/>
      <c r="O47" s="53"/>
      <c r="P47" s="93"/>
      <c r="Q47" s="65"/>
    </row>
    <row r="48" spans="1:17" x14ac:dyDescent="0.3">
      <c r="A48" s="65"/>
      <c r="B48" s="177"/>
      <c r="C48" s="53"/>
      <c r="D48" s="53"/>
      <c r="E48" s="53"/>
      <c r="F48" s="53"/>
      <c r="G48" s="53"/>
      <c r="H48" s="53"/>
      <c r="I48" s="53"/>
      <c r="J48" s="53"/>
      <c r="K48" s="53"/>
      <c r="L48" s="53"/>
      <c r="M48" s="53"/>
      <c r="N48" s="53"/>
      <c r="O48" s="53"/>
      <c r="P48" s="93"/>
      <c r="Q48" s="65"/>
    </row>
    <row r="49" spans="1:17" ht="14.4" customHeight="1" x14ac:dyDescent="0.3">
      <c r="A49" s="65"/>
      <c r="B49" s="177"/>
      <c r="C49" s="53"/>
      <c r="D49" s="53"/>
      <c r="E49" s="53"/>
      <c r="F49" s="76" t="str">
        <f>_xlfn.XLOOKUP("factor", chartTranslationTable[tag], chartTranslationTable[displayedText])</f>
        <v>Factor</v>
      </c>
      <c r="G49" s="76" t="str">
        <f>_xlfn.XLOOKUP("RANASBlock", chartTranslationTable[tag], chartTranslationTable[displayedText])</f>
        <v>Bloque RANAS</v>
      </c>
      <c r="H49" s="76" t="str">
        <f>_xlfn.XLOOKUP("nondoers", chartTranslationTable[tag], chartTranslationTable[displayedText])</f>
        <v>No hacedores</v>
      </c>
      <c r="I49" s="76" t="str">
        <f>_xlfn.XLOOKUP("doers", chartTranslationTable[tag], chartTranslationTable[displayedText])</f>
        <v>Hacedores</v>
      </c>
      <c r="J49" s="76" t="str">
        <f>_xlfn.XLOOKUP("difference", chartTranslationTable[tag], chartTranslationTable[displayedText])</f>
        <v>Diferencia</v>
      </c>
      <c r="K49" s="76" t="str">
        <f>_xlfn.XLOOKUP("numResponses", chartTranslationTable[tag], chartTranslationTable[displayedText])</f>
        <v>Nº de respuestas</v>
      </c>
      <c r="L49" s="318" t="str" cm="1">
        <f t="array" ref="L49">UITranslateForValueTable("copyTableInfo", UITranslationTable[tag], UITranslationTable[], UITranslationTable[#Headers])</f>
        <v>ⓘ If you want to make a static copy of this table (e.g., for reporting), the simplest options are:
- Paste it as a NON-LINKED picture. The copy will look exactly like the original, but since it's a picture, you won't be able to select values from it.
- If you want the possibility of selecting values in the copy, paste the table into a Word or PowerPoint document with the option "Keep Source Formatting".
- If you need the table in another Excel spreadsheet, copy it from the Word or PowerPoint document and paste it into Excel, again with the option "Keep Source Formatting".</v>
      </c>
      <c r="M49" s="319"/>
      <c r="N49" s="319"/>
      <c r="O49" s="319"/>
      <c r="P49" s="94"/>
      <c r="Q49" s="65"/>
    </row>
    <row r="50" spans="1:17" ht="14.4" hidden="1" customHeight="1" x14ac:dyDescent="0.3">
      <c r="A50" s="65"/>
      <c r="B50" s="177"/>
      <c r="C50" s="29" t="s">
        <v>563</v>
      </c>
      <c r="D50" s="29" t="s">
        <v>584</v>
      </c>
      <c r="E50" s="29" t="s">
        <v>766</v>
      </c>
      <c r="F50" s="29" t="s">
        <v>751</v>
      </c>
      <c r="G50" s="29" t="s">
        <v>755</v>
      </c>
      <c r="H50" s="29" t="s">
        <v>763</v>
      </c>
      <c r="I50" s="29" t="s">
        <v>764</v>
      </c>
      <c r="J50" s="29" t="s">
        <v>765</v>
      </c>
      <c r="K50" s="29" t="s">
        <v>762</v>
      </c>
      <c r="L50" s="319"/>
      <c r="M50" s="319"/>
      <c r="N50" s="319"/>
      <c r="O50" s="319"/>
      <c r="P50" s="94"/>
      <c r="Q50" s="65"/>
    </row>
    <row r="51" spans="1:17" x14ac:dyDescent="0.3">
      <c r="A51" s="65"/>
      <c r="B51" s="177"/>
      <c r="C51" s="96" cm="1">
        <f t="array" ref="C51">ROW()-ROW(analysisChartTable[#Headers])</f>
        <v>1</v>
      </c>
      <c r="D51" s="96" t="str">
        <f ca="1">_xlfn.XLOOKUP(analysisChartTable[[#This Row],[index]], factorsTable[index], factorsTable[chartLabel])</f>
        <v>Recordar
[Auto‐regulación]</v>
      </c>
      <c r="E51" s="96" t="str">
        <f ca="1">_xlfn.XLOOKUP(analysisChartTable[[#This Row],[index]], factorsTable[index], factorsTable[RANASTag])</f>
        <v>selfRegulation</v>
      </c>
      <c r="F51" s="146" t="str">
        <f ca="1">_xlfn.XLOOKUP(analysisChartTable[[#This Row],[index]], factorsTable[index], factorsTable[displayedFactor])</f>
        <v>Recordar</v>
      </c>
      <c r="G51" s="146" t="str">
        <f ca="1">_xlfn.XLOOKUP(analysisChartTable[[#This Row],[index]], factorsTable[index], factorsTable[displayedRANASBlock])</f>
        <v>Auto‐regulación</v>
      </c>
      <c r="H51" s="147">
        <f ca="1">_xlfn.XLOOKUP(analysisChartTable[[#This Row],[index]], factorsTable[index], factorsTable[sortedNondoers])</f>
        <v>0.29741379310344829</v>
      </c>
      <c r="I51" s="147">
        <f ca="1">_xlfn.XLOOKUP(analysisChartTable[[#This Row],[index]], factorsTable[index], factorsTable[sortedDoers])</f>
        <v>9.8404255319148939E-2</v>
      </c>
      <c r="J51" s="147">
        <f ca="1">_xlfn.XLOOKUP(analysisChartTable[[#This Row],[index]], factorsTable[index], factorsTable[sortedDifference])</f>
        <v>-0.19900953778429936</v>
      </c>
      <c r="K51" s="148">
        <f ca="1">_xlfn.XLOOKUP(analysisChartTable[[#This Row],[index]], factorsTable[index], factorsTable[sortedNumTotal])</f>
        <v>210</v>
      </c>
      <c r="L51" s="319"/>
      <c r="M51" s="319"/>
      <c r="N51" s="319"/>
      <c r="O51" s="319"/>
      <c r="P51" s="94"/>
      <c r="Q51" s="65"/>
    </row>
    <row r="52" spans="1:17" x14ac:dyDescent="0.3">
      <c r="A52" s="65"/>
      <c r="B52" s="177"/>
      <c r="C52" s="96" cm="1">
        <f t="array" ref="C52">ROW()-ROW(analysisChartTable[#Headers])</f>
        <v>2</v>
      </c>
      <c r="D52" s="96" t="str">
        <f ca="1">_xlfn.XLOOKUP(analysisChartTable[[#This Row],[index]], factorsTable[index], factorsTable[chartLabel])</f>
        <v>Vulnerabilidad
[Riesgo]</v>
      </c>
      <c r="E52" s="96" t="str">
        <f ca="1">_xlfn.XLOOKUP(analysisChartTable[[#This Row],[index]], factorsTable[index], factorsTable[RANASTag])</f>
        <v>risks</v>
      </c>
      <c r="F52" s="149" t="str">
        <f ca="1">_xlfn.XLOOKUP(analysisChartTable[[#This Row],[index]], factorsTable[index], factorsTable[displayedFactor])</f>
        <v>Vulnerabilidad</v>
      </c>
      <c r="G52" s="149" t="str">
        <f ca="1">_xlfn.XLOOKUP(analysisChartTable[[#This Row],[index]], factorsTable[index], factorsTable[displayedRANASBlock])</f>
        <v>Riesgo</v>
      </c>
      <c r="H52" s="150">
        <f ca="1">_xlfn.XLOOKUP(analysisChartTable[[#This Row],[index]], factorsTable[index], factorsTable[sortedNondoers])</f>
        <v>0.25</v>
      </c>
      <c r="I52" s="150">
        <f ca="1">_xlfn.XLOOKUP(analysisChartTable[[#This Row],[index]], factorsTable[index], factorsTable[sortedDoers])</f>
        <v>0.44144144144144143</v>
      </c>
      <c r="J52" s="150">
        <f ca="1">_xlfn.XLOOKUP(analysisChartTable[[#This Row],[index]], factorsTable[index], factorsTable[sortedDifference])</f>
        <v>0.19144144144144143</v>
      </c>
      <c r="K52" s="151">
        <f ca="1">_xlfn.XLOOKUP(analysisChartTable[[#This Row],[index]], factorsTable[index], factorsTable[sortedNumTotal])</f>
        <v>258</v>
      </c>
      <c r="L52" s="319"/>
      <c r="M52" s="319"/>
      <c r="N52" s="319"/>
      <c r="O52" s="319"/>
      <c r="P52" s="94"/>
      <c r="Q52" s="65"/>
    </row>
    <row r="53" spans="1:17" x14ac:dyDescent="0.3">
      <c r="A53" s="65"/>
      <c r="B53" s="177"/>
      <c r="C53" s="96" cm="1">
        <f t="array" ref="C53">ROW()-ROW(analysisChartTable[#Headers])</f>
        <v>3</v>
      </c>
      <c r="D53" s="96" t="str">
        <f ca="1">_xlfn.XLOOKUP(analysisChartTable[[#This Row],[index]], factorsTable[index], factorsTable[chartLabel])</f>
        <v>Planificación de acciones
[Auto‐regulación]</v>
      </c>
      <c r="E53" s="96" t="str">
        <f ca="1">_xlfn.XLOOKUP(analysisChartTable[[#This Row],[index]], factorsTable[index], factorsTable[RANASTag])</f>
        <v>selfRegulation</v>
      </c>
      <c r="F53" s="149" t="str">
        <f ca="1">_xlfn.XLOOKUP(analysisChartTable[[#This Row],[index]], factorsTable[index], factorsTable[displayedFactor])</f>
        <v>Planificación de acciones</v>
      </c>
      <c r="G53" s="149" t="str">
        <f ca="1">_xlfn.XLOOKUP(analysisChartTable[[#This Row],[index]], factorsTable[index], factorsTable[displayedRANASBlock])</f>
        <v>Auto‐regulación</v>
      </c>
      <c r="H53" s="150">
        <f ca="1">_xlfn.XLOOKUP(analysisChartTable[[#This Row],[index]], factorsTable[index], factorsTable[sortedNondoers])</f>
        <v>0.69387755102040805</v>
      </c>
      <c r="I53" s="150">
        <f ca="1">_xlfn.XLOOKUP(analysisChartTable[[#This Row],[index]], factorsTable[index], factorsTable[sortedDoers])</f>
        <v>0.85885885885885915</v>
      </c>
      <c r="J53" s="150">
        <f ca="1">_xlfn.XLOOKUP(analysisChartTable[[#This Row],[index]], factorsTable[index], factorsTable[sortedDifference])</f>
        <v>0.16498130783845111</v>
      </c>
      <c r="K53" s="151">
        <f ca="1">_xlfn.XLOOKUP(analysisChartTable[[#This Row],[index]], factorsTable[index], factorsTable[sortedNumTotal])</f>
        <v>258</v>
      </c>
      <c r="L53" s="319"/>
      <c r="M53" s="319"/>
      <c r="N53" s="319"/>
      <c r="O53" s="319"/>
      <c r="P53" s="94"/>
      <c r="Q53" s="65"/>
    </row>
    <row r="54" spans="1:17" x14ac:dyDescent="0.3">
      <c r="A54" s="65"/>
      <c r="B54" s="177"/>
      <c r="C54" s="96" cm="1">
        <f t="array" ref="C54">ROW()-ROW(analysisChartTable[#Headers])</f>
        <v>4</v>
      </c>
      <c r="D54" s="96" t="str">
        <f ca="1">_xlfn.XLOOKUP(analysisChartTable[[#This Row],[index]], factorsTable[index], factorsTable[chartLabel])</f>
        <v>Conocimiento de salud
[Riesgo]</v>
      </c>
      <c r="E54" s="96" t="str">
        <f ca="1">_xlfn.XLOOKUP(analysisChartTable[[#This Row],[index]], factorsTable[index], factorsTable[RANASTag])</f>
        <v>risks</v>
      </c>
      <c r="F54" s="149" t="str">
        <f ca="1">_xlfn.XLOOKUP(analysisChartTable[[#This Row],[index]], factorsTable[index], factorsTable[displayedFactor])</f>
        <v>Conocimiento de salud</v>
      </c>
      <c r="G54" s="149" t="str">
        <f ca="1">_xlfn.XLOOKUP(analysisChartTable[[#This Row],[index]], factorsTable[index], factorsTable[displayedRANASBlock])</f>
        <v>Riesgo</v>
      </c>
      <c r="H54" s="150">
        <f ca="1">_xlfn.XLOOKUP(analysisChartTable[[#This Row],[index]], factorsTable[index], factorsTable[sortedNondoers])</f>
        <v>0.26899092970521543</v>
      </c>
      <c r="I54" s="150">
        <f ca="1">_xlfn.XLOOKUP(analysisChartTable[[#This Row],[index]], factorsTable[index], factorsTable[sortedDoers])</f>
        <v>0.40090090090090125</v>
      </c>
      <c r="J54" s="150">
        <f ca="1">_xlfn.XLOOKUP(analysisChartTable[[#This Row],[index]], factorsTable[index], factorsTable[sortedDifference])</f>
        <v>0.13190997119568582</v>
      </c>
      <c r="K54" s="151">
        <f ca="1">_xlfn.XLOOKUP(analysisChartTable[[#This Row],[index]], factorsTable[index], factorsTable[sortedNumTotal])</f>
        <v>258</v>
      </c>
      <c r="L54" s="319"/>
      <c r="M54" s="319"/>
      <c r="N54" s="319"/>
      <c r="O54" s="319"/>
      <c r="P54" s="94"/>
      <c r="Q54" s="65"/>
    </row>
    <row r="55" spans="1:17" x14ac:dyDescent="0.3">
      <c r="A55" s="65"/>
      <c r="B55" s="177"/>
      <c r="C55" s="96" cm="1">
        <f t="array" ref="C55">ROW()-ROW(analysisChartTable[#Headers])</f>
        <v>5</v>
      </c>
      <c r="D55" s="96" t="str">
        <f ca="1">_xlfn.XLOOKUP(analysisChartTable[[#This Row],[index]], factorsTable[index], factorsTable[chartLabel])</f>
        <v>Confianza en la continuidad
[Habilidad]</v>
      </c>
      <c r="E55" s="96" t="str">
        <f ca="1">_xlfn.XLOOKUP(analysisChartTable[[#This Row],[index]], factorsTable[index], factorsTable[RANASTag])</f>
        <v>abilities</v>
      </c>
      <c r="F55" s="149" t="str">
        <f ca="1">_xlfn.XLOOKUP(analysisChartTable[[#This Row],[index]], factorsTable[index], factorsTable[displayedFactor])</f>
        <v>Confianza en la continuidad</v>
      </c>
      <c r="G55" s="149" t="str">
        <f ca="1">_xlfn.XLOOKUP(analysisChartTable[[#This Row],[index]], factorsTable[index], factorsTable[displayedRANASBlock])</f>
        <v>Habilidad</v>
      </c>
      <c r="H55" s="150">
        <f ca="1">_xlfn.XLOOKUP(analysisChartTable[[#This Row],[index]], factorsTable[index], factorsTable[sortedNondoers])</f>
        <v>0.50765306122448983</v>
      </c>
      <c r="I55" s="150">
        <f ca="1">_xlfn.XLOOKUP(analysisChartTable[[#This Row],[index]], factorsTable[index], factorsTable[sortedDoers])</f>
        <v>0.63063063063063063</v>
      </c>
      <c r="J55" s="150">
        <f ca="1">_xlfn.XLOOKUP(analysisChartTable[[#This Row],[index]], factorsTable[index], factorsTable[sortedDifference])</f>
        <v>0.1229775694061408</v>
      </c>
      <c r="K55" s="151">
        <f ca="1">_xlfn.XLOOKUP(analysisChartTable[[#This Row],[index]], factorsTable[index], factorsTable[sortedNumTotal])</f>
        <v>258</v>
      </c>
      <c r="L55" s="319"/>
      <c r="M55" s="319"/>
      <c r="N55" s="319"/>
      <c r="O55" s="319"/>
      <c r="P55" s="94"/>
      <c r="Q55" s="65"/>
    </row>
    <row r="56" spans="1:17" x14ac:dyDescent="0.3">
      <c r="A56" s="65"/>
      <c r="B56" s="177"/>
      <c r="C56" s="96" cm="1">
        <f t="array" ref="C56">ROW()-ROW(analysisChartTable[#Headers])</f>
        <v>6</v>
      </c>
      <c r="D56" s="96" t="str">
        <f ca="1">_xlfn.XLOOKUP(analysisChartTable[[#This Row],[index]], factorsTable[index], factorsTable[chartLabel])</f>
        <v>(Des)aprobación de los demás
[Normas]</v>
      </c>
      <c r="E56" s="96" t="str">
        <f ca="1">_xlfn.XLOOKUP(analysisChartTable[[#This Row],[index]], factorsTable[index], factorsTable[RANASTag])</f>
        <v>norms</v>
      </c>
      <c r="F56" s="149" t="str">
        <f ca="1">_xlfn.XLOOKUP(analysisChartTable[[#This Row],[index]], factorsTable[index], factorsTable[displayedFactor])</f>
        <v>(Des)aprobación de los demás</v>
      </c>
      <c r="G56" s="149" t="str">
        <f ca="1">_xlfn.XLOOKUP(analysisChartTable[[#This Row],[index]], factorsTable[index], factorsTable[displayedRANASBlock])</f>
        <v>Normas</v>
      </c>
      <c r="H56" s="150">
        <f ca="1">_xlfn.XLOOKUP(analysisChartTable[[#This Row],[index]], factorsTable[index], factorsTable[sortedNondoers])</f>
        <v>0.4375</v>
      </c>
      <c r="I56" s="150">
        <f ca="1">_xlfn.XLOOKUP(analysisChartTable[[#This Row],[index]], factorsTable[index], factorsTable[sortedDoers])</f>
        <v>0.55067567567567566</v>
      </c>
      <c r="J56" s="150">
        <f ca="1">_xlfn.XLOOKUP(analysisChartTable[[#This Row],[index]], factorsTable[index], factorsTable[sortedDifference])</f>
        <v>0.11317567567567566</v>
      </c>
      <c r="K56" s="151">
        <f ca="1">_xlfn.XLOOKUP(analysisChartTable[[#This Row],[index]], factorsTable[index], factorsTable[sortedNumTotal])</f>
        <v>258</v>
      </c>
      <c r="L56" s="319"/>
      <c r="M56" s="319"/>
      <c r="N56" s="319"/>
      <c r="O56" s="319"/>
      <c r="P56" s="94"/>
      <c r="Q56" s="65"/>
    </row>
    <row r="57" spans="1:17" x14ac:dyDescent="0.3">
      <c r="A57" s="65"/>
      <c r="B57" s="177"/>
      <c r="C57" s="96" cm="1">
        <f t="array" ref="C57">ROW()-ROW(analysisChartTable[#Headers])</f>
        <v>7</v>
      </c>
      <c r="D57" s="96" t="str">
        <f ca="1">_xlfn.XLOOKUP(analysisChartTable[[#This Row],[index]], factorsTable[index], factorsTable[chartLabel])</f>
        <v>Comportamiento de los demás
[Normas]</v>
      </c>
      <c r="E57" s="96" t="str">
        <f ca="1">_xlfn.XLOOKUP(analysisChartTable[[#This Row],[index]], factorsTable[index], factorsTable[RANASTag])</f>
        <v>norms</v>
      </c>
      <c r="F57" s="149" t="str">
        <f ca="1">_xlfn.XLOOKUP(analysisChartTable[[#This Row],[index]], factorsTable[index], factorsTable[displayedFactor])</f>
        <v>Comportamiento de los demás</v>
      </c>
      <c r="G57" s="149" t="str">
        <f ca="1">_xlfn.XLOOKUP(analysisChartTable[[#This Row],[index]], factorsTable[index], factorsTable[displayedRANASBlock])</f>
        <v>Normas</v>
      </c>
      <c r="H57" s="150">
        <f ca="1">_xlfn.XLOOKUP(analysisChartTable[[#This Row],[index]], factorsTable[index], factorsTable[sortedNondoers])</f>
        <v>0.61564625850340138</v>
      </c>
      <c r="I57" s="150">
        <f ca="1">_xlfn.XLOOKUP(analysisChartTable[[#This Row],[index]], factorsTable[index], factorsTable[sortedDoers])</f>
        <v>0.713963963963964</v>
      </c>
      <c r="J57" s="150">
        <f ca="1">_xlfn.XLOOKUP(analysisChartTable[[#This Row],[index]], factorsTable[index], factorsTable[sortedDifference])</f>
        <v>9.8317705460562621E-2</v>
      </c>
      <c r="K57" s="151">
        <f ca="1">_xlfn.XLOOKUP(analysisChartTable[[#This Row],[index]], factorsTable[index], factorsTable[sortedNumTotal])</f>
        <v>258</v>
      </c>
      <c r="L57" s="319"/>
      <c r="M57" s="319"/>
      <c r="N57" s="319"/>
      <c r="O57" s="319"/>
      <c r="P57" s="94"/>
      <c r="Q57" s="65"/>
    </row>
    <row r="58" spans="1:17" x14ac:dyDescent="0.3">
      <c r="A58" s="65"/>
      <c r="B58" s="177"/>
      <c r="C58" s="96" cm="1">
        <f t="array" ref="C58">ROW()-ROW(analysisChartTable[#Headers])</f>
        <v>8</v>
      </c>
      <c r="D58" s="96" t="str">
        <f ca="1">_xlfn.XLOOKUP(analysisChartTable[[#This Row],[index]], factorsTable[index], factorsTable[chartLabel])</f>
        <v>Conocimiento de acciones
[Habilidad]</v>
      </c>
      <c r="E58" s="96" t="str">
        <f ca="1">_xlfn.XLOOKUP(analysisChartTable[[#This Row],[index]], factorsTable[index], factorsTable[RANASTag])</f>
        <v>abilities</v>
      </c>
      <c r="F58" s="149" t="str">
        <f ca="1">_xlfn.XLOOKUP(analysisChartTable[[#This Row],[index]], factorsTable[index], factorsTable[displayedFactor])</f>
        <v>Conocimiento de acciones</v>
      </c>
      <c r="G58" s="149" t="str">
        <f ca="1">_xlfn.XLOOKUP(analysisChartTable[[#This Row],[index]], factorsTable[index], factorsTable[displayedRANASBlock])</f>
        <v>Habilidad</v>
      </c>
      <c r="H58" s="150">
        <f ca="1">_xlfn.XLOOKUP(analysisChartTable[[#This Row],[index]], factorsTable[index], factorsTable[sortedNondoers])</f>
        <v>0.24529822029822035</v>
      </c>
      <c r="I58" s="150">
        <f ca="1">_xlfn.XLOOKUP(analysisChartTable[[#This Row],[index]], factorsTable[index], factorsTable[sortedDoers])</f>
        <v>0.34076089076089089</v>
      </c>
      <c r="J58" s="150">
        <f ca="1">_xlfn.XLOOKUP(analysisChartTable[[#This Row],[index]], factorsTable[index], factorsTable[sortedDifference])</f>
        <v>9.546267046267054E-2</v>
      </c>
      <c r="K58" s="151">
        <f ca="1">_xlfn.XLOOKUP(analysisChartTable[[#This Row],[index]], factorsTable[index], factorsTable[sortedNumTotal])</f>
        <v>258</v>
      </c>
      <c r="L58" s="319"/>
      <c r="M58" s="319"/>
      <c r="N58" s="319"/>
      <c r="O58" s="319"/>
      <c r="P58" s="94"/>
      <c r="Q58" s="65"/>
    </row>
    <row r="59" spans="1:17" x14ac:dyDescent="0.3">
      <c r="A59" s="65"/>
      <c r="B59" s="177"/>
      <c r="C59" s="96" cm="1">
        <f t="array" ref="C59">ROW()-ROW(analysisChartTable[#Headers])</f>
        <v>9</v>
      </c>
      <c r="D59" s="96" t="str">
        <f ca="1">_xlfn.XLOOKUP(analysisChartTable[[#This Row],[index]], factorsTable[index], factorsTable[chartLabel])</f>
        <v>Control de acciones
[Riesgo]</v>
      </c>
      <c r="E59" s="96" t="str">
        <f ca="1">_xlfn.XLOOKUP(analysisChartTable[[#This Row],[index]], factorsTable[index], factorsTable[RANASTag])</f>
        <v>risks</v>
      </c>
      <c r="F59" s="149" t="str">
        <f ca="1">_xlfn.XLOOKUP(analysisChartTable[[#This Row],[index]], factorsTable[index], factorsTable[displayedFactor])</f>
        <v>Control de acciones</v>
      </c>
      <c r="G59" s="149" t="str">
        <f ca="1">_xlfn.XLOOKUP(analysisChartTable[[#This Row],[index]], factorsTable[index], factorsTable[displayedRANASBlock])</f>
        <v>Riesgo</v>
      </c>
      <c r="H59" s="150">
        <f ca="1">_xlfn.XLOOKUP(analysisChartTable[[#This Row],[index]], factorsTable[index], factorsTable[sortedNondoers])</f>
        <v>0.71336206896551724</v>
      </c>
      <c r="I59" s="150">
        <f ca="1">_xlfn.XLOOKUP(analysisChartTable[[#This Row],[index]], factorsTable[index], factorsTable[sortedDoers])</f>
        <v>0.80053191489361697</v>
      </c>
      <c r="J59" s="150">
        <f ca="1">_xlfn.XLOOKUP(analysisChartTable[[#This Row],[index]], factorsTable[index], factorsTable[sortedDifference])</f>
        <v>8.7169845928099732E-2</v>
      </c>
      <c r="K59" s="151">
        <f ca="1">_xlfn.XLOOKUP(analysisChartTable[[#This Row],[index]], factorsTable[index], factorsTable[sortedNumTotal])</f>
        <v>210</v>
      </c>
      <c r="L59" s="319"/>
      <c r="M59" s="319"/>
      <c r="N59" s="319"/>
      <c r="O59" s="319"/>
      <c r="P59" s="94"/>
      <c r="Q59" s="65"/>
    </row>
    <row r="60" spans="1:17" x14ac:dyDescent="0.3">
      <c r="A60" s="65"/>
      <c r="B60" s="177"/>
      <c r="C60" s="96" cm="1">
        <f t="array" ref="C60">ROW()-ROW(analysisChartTable[#Headers])</f>
        <v>10</v>
      </c>
      <c r="D60" s="96" t="str">
        <f ca="1">_xlfn.XLOOKUP(analysisChartTable[[#This Row],[index]], factorsTable[index], factorsTable[chartLabel])</f>
        <v>Severidad
[Riesgo]</v>
      </c>
      <c r="E60" s="96" t="str">
        <f ca="1">_xlfn.XLOOKUP(analysisChartTable[[#This Row],[index]], factorsTable[index], factorsTable[RANASTag])</f>
        <v>risks</v>
      </c>
      <c r="F60" s="149" t="str">
        <f ca="1">_xlfn.XLOOKUP(analysisChartTable[[#This Row],[index]], factorsTable[index], factorsTable[displayedFactor])</f>
        <v>Severidad</v>
      </c>
      <c r="G60" s="149" t="str">
        <f ca="1">_xlfn.XLOOKUP(analysisChartTable[[#This Row],[index]], factorsTable[index], factorsTable[displayedRANASBlock])</f>
        <v>Riesgo</v>
      </c>
      <c r="H60" s="150">
        <f ca="1">_xlfn.XLOOKUP(analysisChartTable[[#This Row],[index]], factorsTable[index], factorsTable[sortedNondoers])</f>
        <v>0.63435374149659862</v>
      </c>
      <c r="I60" s="150">
        <f ca="1">_xlfn.XLOOKUP(analysisChartTable[[#This Row],[index]], factorsTable[index], factorsTable[sortedDoers])</f>
        <v>0.72072072072072069</v>
      </c>
      <c r="J60" s="150">
        <f ca="1">_xlfn.XLOOKUP(analysisChartTable[[#This Row],[index]], factorsTable[index], factorsTable[sortedDifference])</f>
        <v>8.6366979224122065E-2</v>
      </c>
      <c r="K60" s="151">
        <f ca="1">_xlfn.XLOOKUP(analysisChartTable[[#This Row],[index]], factorsTable[index], factorsTable[sortedNumTotal])</f>
        <v>258</v>
      </c>
      <c r="L60" s="319"/>
      <c r="M60" s="319"/>
      <c r="N60" s="319"/>
      <c r="O60" s="319"/>
      <c r="P60" s="94"/>
      <c r="Q60" s="65"/>
    </row>
    <row r="61" spans="1:17" x14ac:dyDescent="0.3">
      <c r="A61" s="65"/>
      <c r="B61" s="177"/>
      <c r="C61" s="97" cm="1">
        <f t="array" ref="C61">ROW()-ROW(analysisChartTable[#Headers])</f>
        <v>11</v>
      </c>
      <c r="D61" s="97" t="str">
        <f ca="1">_xlfn.XLOOKUP(analysisChartTable[[#This Row],[index]], factorsTable[index], factorsTable[chartLabel])</f>
        <v>Barreras 2
[Auto‐regulación]</v>
      </c>
      <c r="E61" s="97" t="str">
        <f ca="1">_xlfn.XLOOKUP(analysisChartTable[[#This Row],[index]], factorsTable[index], factorsTable[RANASTag])</f>
        <v>selfRegulation</v>
      </c>
      <c r="F61" s="149" t="str">
        <f ca="1">_xlfn.XLOOKUP(analysisChartTable[[#This Row],[index]], factorsTable[index], factorsTable[displayedFactor])</f>
        <v>Barreras 2</v>
      </c>
      <c r="G61" s="149" t="str">
        <f ca="1">_xlfn.XLOOKUP(analysisChartTable[[#This Row],[index]], factorsTable[index], factorsTable[displayedRANASBlock])</f>
        <v>Auto‐regulación</v>
      </c>
      <c r="H61" s="150">
        <f ca="1">_xlfn.XLOOKUP(analysisChartTable[[#This Row],[index]], factorsTable[index], factorsTable[sortedNondoers])</f>
        <v>0.28401360544217685</v>
      </c>
      <c r="I61" s="150">
        <f ca="1">_xlfn.XLOOKUP(analysisChartTable[[#This Row],[index]], factorsTable[index], factorsTable[sortedDoers])</f>
        <v>0.20270270270270271</v>
      </c>
      <c r="J61" s="150">
        <f ca="1">_xlfn.XLOOKUP(analysisChartTable[[#This Row],[index]], factorsTable[index], factorsTable[sortedDifference])</f>
        <v>-8.1310902739474139E-2</v>
      </c>
      <c r="K61" s="151">
        <f ca="1">_xlfn.XLOOKUP(analysisChartTable[[#This Row],[index]], factorsTable[index], factorsTable[sortedNumTotal])</f>
        <v>258</v>
      </c>
      <c r="L61" s="319"/>
      <c r="M61" s="319"/>
      <c r="N61" s="319"/>
      <c r="O61" s="319"/>
      <c r="P61" s="94"/>
      <c r="Q61" s="65"/>
    </row>
    <row r="62" spans="1:17" x14ac:dyDescent="0.3">
      <c r="A62" s="65"/>
      <c r="B62" s="177"/>
      <c r="C62" s="97" cm="1">
        <f t="array" ref="C62">ROW()-ROW(analysisChartTable[#Headers])</f>
        <v>12</v>
      </c>
      <c r="D62" s="97" t="str">
        <f ca="1">_xlfn.XLOOKUP(analysisChartTable[[#This Row],[index]], factorsTable[index], factorsTable[chartLabel])</f>
        <v>Importancia personal
[Normas]</v>
      </c>
      <c r="E62" s="97" t="str">
        <f ca="1">_xlfn.XLOOKUP(analysisChartTable[[#This Row],[index]], factorsTable[index], factorsTable[RANASTag])</f>
        <v>norms</v>
      </c>
      <c r="F62" s="149" t="str">
        <f ca="1">_xlfn.XLOOKUP(analysisChartTable[[#This Row],[index]], factorsTable[index], factorsTable[displayedFactor])</f>
        <v>Importancia personal</v>
      </c>
      <c r="G62" s="149" t="str">
        <f ca="1">_xlfn.XLOOKUP(analysisChartTable[[#This Row],[index]], factorsTable[index], factorsTable[displayedRANASBlock])</f>
        <v>Normas</v>
      </c>
      <c r="H62" s="150">
        <f ca="1">_xlfn.XLOOKUP(analysisChartTable[[#This Row],[index]], factorsTable[index], factorsTable[sortedNondoers])</f>
        <v>0.72789115646258506</v>
      </c>
      <c r="I62" s="150">
        <f ca="1">_xlfn.XLOOKUP(analysisChartTable[[#This Row],[index]], factorsTable[index], factorsTable[sortedDoers])</f>
        <v>0.80855855855855852</v>
      </c>
      <c r="J62" s="150">
        <f ca="1">_xlfn.XLOOKUP(analysisChartTable[[#This Row],[index]], factorsTable[index], factorsTable[sortedDifference])</f>
        <v>8.0667402095973451E-2</v>
      </c>
      <c r="K62" s="151">
        <f ca="1">_xlfn.XLOOKUP(analysisChartTable[[#This Row],[index]], factorsTable[index], factorsTable[sortedNumTotal])</f>
        <v>258</v>
      </c>
      <c r="L62" s="319"/>
      <c r="M62" s="319"/>
      <c r="N62" s="319"/>
      <c r="O62" s="319"/>
      <c r="P62" s="94"/>
      <c r="Q62" s="65"/>
    </row>
    <row r="63" spans="1:17" x14ac:dyDescent="0.3">
      <c r="A63" s="65"/>
      <c r="B63" s="177"/>
      <c r="C63" s="97" cm="1">
        <f t="array" ref="C63">ROW()-ROW(analysisChartTable[#Headers])</f>
        <v>13</v>
      </c>
      <c r="D63" s="97" t="str">
        <f ca="1">_xlfn.XLOOKUP(analysisChartTable[[#This Row],[index]], factorsTable[index], factorsTable[chartLabel])</f>
        <v>Barreras 1
[Auto‐regulación]</v>
      </c>
      <c r="E63" s="97" t="str">
        <f ca="1">_xlfn.XLOOKUP(analysisChartTable[[#This Row],[index]], factorsTable[index], factorsTable[RANASTag])</f>
        <v>selfRegulation</v>
      </c>
      <c r="F63" s="149" t="str">
        <f ca="1">_xlfn.XLOOKUP(analysisChartTable[[#This Row],[index]], factorsTable[index], factorsTable[displayedFactor])</f>
        <v>Barreras 1</v>
      </c>
      <c r="G63" s="149" t="str">
        <f ca="1">_xlfn.XLOOKUP(analysisChartTable[[#This Row],[index]], factorsTable[index], factorsTable[displayedRANASBlock])</f>
        <v>Auto‐regulación</v>
      </c>
      <c r="H63" s="150">
        <f ca="1">_xlfn.XLOOKUP(analysisChartTable[[#This Row],[index]], factorsTable[index], factorsTable[sortedNondoers])</f>
        <v>0.25170068027210885</v>
      </c>
      <c r="I63" s="150">
        <f ca="1">_xlfn.XLOOKUP(analysisChartTable[[#This Row],[index]], factorsTable[index], factorsTable[sortedDoers])</f>
        <v>0.17117117117117117</v>
      </c>
      <c r="J63" s="150">
        <f ca="1">_xlfn.XLOOKUP(analysisChartTable[[#This Row],[index]], factorsTable[index], factorsTable[sortedDifference])</f>
        <v>-8.0529509100937674E-2</v>
      </c>
      <c r="K63" s="151">
        <f ca="1">_xlfn.XLOOKUP(analysisChartTable[[#This Row],[index]], factorsTable[index], factorsTable[sortedNumTotal])</f>
        <v>258</v>
      </c>
      <c r="L63" s="319"/>
      <c r="M63" s="319"/>
      <c r="N63" s="319"/>
      <c r="O63" s="319"/>
      <c r="P63" s="94"/>
      <c r="Q63" s="65"/>
    </row>
    <row r="64" spans="1:17" x14ac:dyDescent="0.3">
      <c r="A64" s="65"/>
      <c r="B64" s="177"/>
      <c r="C64" s="97" cm="1">
        <f t="array" ref="C64">ROW()-ROW(analysisChartTable[#Headers])</f>
        <v>14</v>
      </c>
      <c r="D64" s="97" t="str">
        <f ca="1">_xlfn.XLOOKUP(analysisChartTable[[#This Row],[index]], factorsTable[index], factorsTable[chartLabel])</f>
        <v>Beneficios
[Actitud]</v>
      </c>
      <c r="E64" s="97" t="str">
        <f ca="1">_xlfn.XLOOKUP(analysisChartTable[[#This Row],[index]], factorsTable[index], factorsTable[RANASTag])</f>
        <v>attitudes</v>
      </c>
      <c r="F64" s="149" t="str">
        <f ca="1">_xlfn.XLOOKUP(analysisChartTable[[#This Row],[index]], factorsTable[index], factorsTable[displayedFactor])</f>
        <v>Beneficios</v>
      </c>
      <c r="G64" s="149" t="str">
        <f ca="1">_xlfn.XLOOKUP(analysisChartTable[[#This Row],[index]], factorsTable[index], factorsTable[displayedRANASBlock])</f>
        <v>Actitud</v>
      </c>
      <c r="H64" s="150">
        <f ca="1">_xlfn.XLOOKUP(analysisChartTable[[#This Row],[index]], factorsTable[index], factorsTable[sortedNondoers])</f>
        <v>0.63435374149659862</v>
      </c>
      <c r="I64" s="150">
        <f ca="1">_xlfn.XLOOKUP(analysisChartTable[[#This Row],[index]], factorsTable[index], factorsTable[sortedDoers])</f>
        <v>0.70945945945945943</v>
      </c>
      <c r="J64" s="150">
        <f ca="1">_xlfn.XLOOKUP(analysisChartTable[[#This Row],[index]], factorsTable[index], factorsTable[sortedDifference])</f>
        <v>7.5105717962860807E-2</v>
      </c>
      <c r="K64" s="151">
        <f ca="1">_xlfn.XLOOKUP(analysisChartTable[[#This Row],[index]], factorsTable[index], factorsTable[sortedNumTotal])</f>
        <v>258</v>
      </c>
      <c r="L64" s="319"/>
      <c r="M64" s="319"/>
      <c r="N64" s="319"/>
      <c r="O64" s="319"/>
      <c r="P64" s="94"/>
      <c r="Q64" s="65"/>
    </row>
    <row r="65" spans="1:17" x14ac:dyDescent="0.3">
      <c r="A65" s="65"/>
      <c r="B65" s="177"/>
      <c r="C65" s="97" cm="1">
        <f t="array" ref="C65">ROW()-ROW(analysisChartTable[#Headers])</f>
        <v>15</v>
      </c>
      <c r="D65" s="97" t="str">
        <f ca="1">_xlfn.XLOOKUP(analysisChartTable[[#This Row],[index]], factorsTable[index], factorsTable[chartLabel])</f>
        <v>Confianza en el desempeño
[Habilidad]</v>
      </c>
      <c r="E65" s="97" t="str">
        <f ca="1">_xlfn.XLOOKUP(analysisChartTable[[#This Row],[index]], factorsTable[index], factorsTable[RANASTag])</f>
        <v>abilities</v>
      </c>
      <c r="F65" s="149" t="str">
        <f ca="1">_xlfn.XLOOKUP(analysisChartTable[[#This Row],[index]], factorsTable[index], factorsTable[displayedFactor])</f>
        <v>Confianza en el desempeño</v>
      </c>
      <c r="G65" s="149" t="str">
        <f ca="1">_xlfn.XLOOKUP(analysisChartTable[[#This Row],[index]], factorsTable[index], factorsTable[displayedRANASBlock])</f>
        <v>Habilidad</v>
      </c>
      <c r="H65" s="150">
        <f ca="1">_xlfn.XLOOKUP(analysisChartTable[[#This Row],[index]], factorsTable[index], factorsTable[sortedNondoers])</f>
        <v>0.68707482993197277</v>
      </c>
      <c r="I65" s="150">
        <f ca="1">_xlfn.XLOOKUP(analysisChartTable[[#This Row],[index]], factorsTable[index], factorsTable[sortedDoers])</f>
        <v>0.75225225225225223</v>
      </c>
      <c r="J65" s="150">
        <f ca="1">_xlfn.XLOOKUP(analysisChartTable[[#This Row],[index]], factorsTable[index], factorsTable[sortedDifference])</f>
        <v>6.5177422320279454E-2</v>
      </c>
      <c r="K65" s="151">
        <f ca="1">_xlfn.XLOOKUP(analysisChartTable[[#This Row],[index]], factorsTable[index], factorsTable[sortedNumTotal])</f>
        <v>258</v>
      </c>
      <c r="L65" s="319"/>
      <c r="M65" s="319"/>
      <c r="N65" s="319"/>
      <c r="O65" s="319"/>
      <c r="P65" s="93"/>
      <c r="Q65" s="65"/>
    </row>
    <row r="66" spans="1:17" x14ac:dyDescent="0.3">
      <c r="A66" s="65"/>
      <c r="B66" s="177"/>
      <c r="C66" s="97" cm="1">
        <f t="array" ref="C66">ROW()-ROW(analysisChartTable[#Headers])</f>
        <v>16</v>
      </c>
      <c r="D66" s="97" t="str">
        <f ca="1">_xlfn.XLOOKUP(analysisChartTable[[#This Row],[index]], factorsTable[index], factorsTable[chartLabel])</f>
        <v>Costos
[Actitud]</v>
      </c>
      <c r="E66" s="97" t="str">
        <f ca="1">_xlfn.XLOOKUP(analysisChartTable[[#This Row],[index]], factorsTable[index], factorsTable[RANASTag])</f>
        <v>attitudes</v>
      </c>
      <c r="F66" s="149" t="str">
        <f ca="1">_xlfn.XLOOKUP(analysisChartTable[[#This Row],[index]], factorsTable[index], factorsTable[displayedFactor])</f>
        <v>Costos</v>
      </c>
      <c r="G66" s="149" t="str">
        <f ca="1">_xlfn.XLOOKUP(analysisChartTable[[#This Row],[index]], factorsTable[index], factorsTable[displayedRANASBlock])</f>
        <v>Actitud</v>
      </c>
      <c r="H66" s="150">
        <f ca="1">_xlfn.XLOOKUP(analysisChartTable[[#This Row],[index]], factorsTable[index], factorsTable[sortedNondoers])</f>
        <v>0.26785714285714285</v>
      </c>
      <c r="I66" s="150">
        <f ca="1">_xlfn.XLOOKUP(analysisChartTable[[#This Row],[index]], factorsTable[index], factorsTable[sortedDoers])</f>
        <v>0.2195945945945946</v>
      </c>
      <c r="J66" s="150">
        <f ca="1">_xlfn.XLOOKUP(analysisChartTable[[#This Row],[index]], factorsTable[index], factorsTable[sortedDifference])</f>
        <v>-4.8262548262548249E-2</v>
      </c>
      <c r="K66" s="151">
        <f ca="1">_xlfn.XLOOKUP(analysisChartTable[[#This Row],[index]], factorsTable[index], factorsTable[sortedNumTotal])</f>
        <v>258</v>
      </c>
      <c r="L66" s="315" t="str" cm="1">
        <f t="array" ref="L66">UITranslateForValueTable("copyChartInfo", UITranslationTable[tag], UITranslationTable[], UITranslationTable[#Headers])</f>
        <v>ⓘ If you want to make a static copy of a chart (e.g., for reporting), the simplest options are:
- Paste it as a NON-LINKED picture. The copy will look exactly like the original, but since it's a picture, you won't be able to edit it.
- Paste it into another spreadsheet with the option "Paste Special &gt; Keep Source Formatting". You can then modify this copy as you wish (size, colours,...) Finally, copy and paste this second chart as a non-linked picture into your destination document.
In any case, please don't EVER modify the original charts on the current sheet! 😊</v>
      </c>
      <c r="M66" s="316"/>
      <c r="N66" s="316"/>
      <c r="O66" s="316"/>
      <c r="P66" s="93"/>
      <c r="Q66" s="65"/>
    </row>
    <row r="67" spans="1:17" ht="14.4" customHeight="1" x14ac:dyDescent="0.3">
      <c r="A67" s="65"/>
      <c r="B67" s="177"/>
      <c r="C67" s="97" cm="1">
        <f t="array" ref="C67">ROW()-ROW(analysisChartTable[#Headers])</f>
        <v>17</v>
      </c>
      <c r="D67" s="97" t="str">
        <f ca="1">_xlfn.XLOOKUP(analysisChartTable[[#This Row],[index]], factorsTable[index], factorsTable[chartLabel])</f>
        <v>Sentimientos
[Actitud]</v>
      </c>
      <c r="E67" s="97" t="str">
        <f ca="1">_xlfn.XLOOKUP(analysisChartTable[[#This Row],[index]], factorsTable[index], factorsTable[RANASTag])</f>
        <v>attitudes</v>
      </c>
      <c r="F67" s="149" t="str">
        <f ca="1">_xlfn.XLOOKUP(analysisChartTable[[#This Row],[index]], factorsTable[index], factorsTable[displayedFactor])</f>
        <v>Sentimientos</v>
      </c>
      <c r="G67" s="149" t="str">
        <f ca="1">_xlfn.XLOOKUP(analysisChartTable[[#This Row],[index]], factorsTable[index], factorsTable[displayedRANASBlock])</f>
        <v>Actitud</v>
      </c>
      <c r="H67" s="150">
        <f ca="1">_xlfn.XLOOKUP(analysisChartTable[[#This Row],[index]], factorsTable[index], factorsTable[sortedNondoers])</f>
        <v>0.44444444444444442</v>
      </c>
      <c r="I67" s="150">
        <f ca="1">_xlfn.XLOOKUP(analysisChartTable[[#This Row],[index]], factorsTable[index], factorsTable[sortedDoers])</f>
        <v>0.46096096096096095</v>
      </c>
      <c r="J67" s="150">
        <f ca="1">_xlfn.XLOOKUP(analysisChartTable[[#This Row],[index]], factorsTable[index], factorsTable[sortedDifference])</f>
        <v>1.6516516516516533E-2</v>
      </c>
      <c r="K67" s="151">
        <f ca="1">_xlfn.XLOOKUP(analysisChartTable[[#This Row],[index]], factorsTable[index], factorsTable[sortedNumTotal])</f>
        <v>258</v>
      </c>
      <c r="L67" s="316"/>
      <c r="M67" s="316"/>
      <c r="N67" s="316"/>
      <c r="O67" s="316"/>
      <c r="P67" s="93"/>
      <c r="Q67" s="65"/>
    </row>
    <row r="68" spans="1:17" x14ac:dyDescent="0.3">
      <c r="A68" s="65"/>
      <c r="B68" s="177"/>
      <c r="C68" s="97" cm="1">
        <f t="array" ref="C68">ROW()-ROW(analysisChartTable[#Headers])</f>
        <v>18</v>
      </c>
      <c r="D68" s="97" t="str">
        <f>_xlfn.XLOOKUP(analysisChartTable[[#This Row],[index]], factorsTable[index], factorsTable[chartLabel])</f>
        <v/>
      </c>
      <c r="E68" s="97" t="str">
        <f>_xlfn.XLOOKUP(analysisChartTable[[#This Row],[index]], factorsTable[index], factorsTable[RANASTag])</f>
        <v/>
      </c>
      <c r="F68" s="149" t="str">
        <f>_xlfn.XLOOKUP(analysisChartTable[[#This Row],[index]], factorsTable[index], factorsTable[displayedFactor])</f>
        <v/>
      </c>
      <c r="G68" s="149" t="str">
        <f>_xlfn.XLOOKUP(analysisChartTable[[#This Row],[index]], factorsTable[index], factorsTable[displayedRANASBlock])</f>
        <v/>
      </c>
      <c r="H68" s="150" t="str">
        <f>_xlfn.XLOOKUP(analysisChartTable[[#This Row],[index]], factorsTable[index], factorsTable[sortedNondoers])</f>
        <v/>
      </c>
      <c r="I68" s="150" t="str">
        <f>_xlfn.XLOOKUP(analysisChartTable[[#This Row],[index]], factorsTable[index], factorsTable[sortedDoers])</f>
        <v/>
      </c>
      <c r="J68" s="150" t="str">
        <f>_xlfn.XLOOKUP(analysisChartTable[[#This Row],[index]], factorsTable[index], factorsTable[sortedDifference])</f>
        <v/>
      </c>
      <c r="K68" s="151" t="str">
        <f>_xlfn.XLOOKUP(analysisChartTable[[#This Row],[index]], factorsTable[index], factorsTable[sortedNumTotal])</f>
        <v/>
      </c>
      <c r="L68" s="316"/>
      <c r="M68" s="316"/>
      <c r="N68" s="316"/>
      <c r="O68" s="316"/>
      <c r="P68" s="93"/>
      <c r="Q68" s="65"/>
    </row>
    <row r="69" spans="1:17" x14ac:dyDescent="0.3">
      <c r="A69" s="65"/>
      <c r="B69" s="177"/>
      <c r="C69" s="97" cm="1">
        <f t="array" ref="C69">ROW()-ROW(analysisChartTable[#Headers])</f>
        <v>19</v>
      </c>
      <c r="D69" s="97" t="str">
        <f>_xlfn.XLOOKUP(analysisChartTable[[#This Row],[index]], factorsTable[index], factorsTable[chartLabel])</f>
        <v/>
      </c>
      <c r="E69" s="97" t="str">
        <f>_xlfn.XLOOKUP(analysisChartTable[[#This Row],[index]], factorsTable[index], factorsTable[RANASTag])</f>
        <v/>
      </c>
      <c r="F69" s="149" t="str">
        <f>_xlfn.XLOOKUP(analysisChartTable[[#This Row],[index]], factorsTable[index], factorsTable[displayedFactor])</f>
        <v/>
      </c>
      <c r="G69" s="149" t="str">
        <f>_xlfn.XLOOKUP(analysisChartTable[[#This Row],[index]], factorsTable[index], factorsTable[displayedRANASBlock])</f>
        <v/>
      </c>
      <c r="H69" s="150" t="str">
        <f>_xlfn.XLOOKUP(analysisChartTable[[#This Row],[index]], factorsTable[index], factorsTable[sortedNondoers])</f>
        <v/>
      </c>
      <c r="I69" s="150" t="str">
        <f>_xlfn.XLOOKUP(analysisChartTable[[#This Row],[index]], factorsTable[index], factorsTable[sortedDoers])</f>
        <v/>
      </c>
      <c r="J69" s="150" t="str">
        <f>_xlfn.XLOOKUP(analysisChartTable[[#This Row],[index]], factorsTable[index], factorsTable[sortedDifference])</f>
        <v/>
      </c>
      <c r="K69" s="151" t="str">
        <f>_xlfn.XLOOKUP(analysisChartTable[[#This Row],[index]], factorsTable[index], factorsTable[sortedNumTotal])</f>
        <v/>
      </c>
      <c r="L69" s="316"/>
      <c r="M69" s="316"/>
      <c r="N69" s="316"/>
      <c r="O69" s="316"/>
      <c r="P69" s="93"/>
      <c r="Q69" s="65"/>
    </row>
    <row r="70" spans="1:17" x14ac:dyDescent="0.3">
      <c r="A70" s="65"/>
      <c r="B70" s="177"/>
      <c r="C70" s="97" cm="1">
        <f t="array" ref="C70">ROW()-ROW(analysisChartTable[#Headers])</f>
        <v>20</v>
      </c>
      <c r="D70" s="97" t="str">
        <f>_xlfn.XLOOKUP(analysisChartTable[[#This Row],[index]], factorsTable[index], factorsTable[chartLabel])</f>
        <v/>
      </c>
      <c r="E70" s="97" t="str">
        <f>_xlfn.XLOOKUP(analysisChartTable[[#This Row],[index]], factorsTable[index], factorsTable[RANASTag])</f>
        <v/>
      </c>
      <c r="F70" s="149" t="str">
        <f>_xlfn.XLOOKUP(analysisChartTable[[#This Row],[index]], factorsTable[index], factorsTable[displayedFactor])</f>
        <v/>
      </c>
      <c r="G70" s="149" t="str">
        <f>_xlfn.XLOOKUP(analysisChartTable[[#This Row],[index]], factorsTable[index], factorsTable[displayedRANASBlock])</f>
        <v/>
      </c>
      <c r="H70" s="150" t="str">
        <f>_xlfn.XLOOKUP(analysisChartTable[[#This Row],[index]], factorsTable[index], factorsTable[sortedNondoers])</f>
        <v/>
      </c>
      <c r="I70" s="150" t="str">
        <f>_xlfn.XLOOKUP(analysisChartTable[[#This Row],[index]], factorsTable[index], factorsTable[sortedDoers])</f>
        <v/>
      </c>
      <c r="J70" s="150" t="str">
        <f>_xlfn.XLOOKUP(analysisChartTable[[#This Row],[index]], factorsTable[index], factorsTable[sortedDifference])</f>
        <v/>
      </c>
      <c r="K70" s="151" t="str">
        <f>_xlfn.XLOOKUP(analysisChartTable[[#This Row],[index]], factorsTable[index], factorsTable[sortedNumTotal])</f>
        <v/>
      </c>
      <c r="L70" s="316"/>
      <c r="M70" s="316"/>
      <c r="N70" s="316"/>
      <c r="O70" s="316"/>
      <c r="P70" s="93"/>
      <c r="Q70" s="65"/>
    </row>
    <row r="71" spans="1:17" x14ac:dyDescent="0.3">
      <c r="A71" s="65"/>
      <c r="B71" s="177"/>
      <c r="C71" s="97" cm="1">
        <f t="array" ref="C71">ROW()-ROW(analysisChartTable[#Headers])</f>
        <v>21</v>
      </c>
      <c r="D71" s="97" t="str">
        <f>_xlfn.XLOOKUP(analysisChartTable[[#This Row],[index]], factorsTable[index], factorsTable[chartLabel])</f>
        <v/>
      </c>
      <c r="E71" s="97" t="str">
        <f>_xlfn.XLOOKUP(analysisChartTable[[#This Row],[index]], factorsTable[index], factorsTable[RANASTag])</f>
        <v/>
      </c>
      <c r="F71" s="149" t="str">
        <f>_xlfn.XLOOKUP(analysisChartTable[[#This Row],[index]], factorsTable[index], factorsTable[displayedFactor])</f>
        <v/>
      </c>
      <c r="G71" s="149" t="str">
        <f>_xlfn.XLOOKUP(analysisChartTable[[#This Row],[index]], factorsTable[index], factorsTable[displayedRANASBlock])</f>
        <v/>
      </c>
      <c r="H71" s="150" t="str">
        <f>_xlfn.XLOOKUP(analysisChartTable[[#This Row],[index]], factorsTable[index], factorsTable[sortedNondoers])</f>
        <v/>
      </c>
      <c r="I71" s="150" t="str">
        <f>_xlfn.XLOOKUP(analysisChartTable[[#This Row],[index]], factorsTable[index], factorsTable[sortedDoers])</f>
        <v/>
      </c>
      <c r="J71" s="150" t="str">
        <f>_xlfn.XLOOKUP(analysisChartTable[[#This Row],[index]], factorsTable[index], factorsTable[sortedDifference])</f>
        <v/>
      </c>
      <c r="K71" s="151" t="str">
        <f>_xlfn.XLOOKUP(analysisChartTable[[#This Row],[index]], factorsTable[index], factorsTable[sortedNumTotal])</f>
        <v/>
      </c>
      <c r="L71" s="316"/>
      <c r="M71" s="316"/>
      <c r="N71" s="316"/>
      <c r="O71" s="316"/>
      <c r="P71" s="93"/>
      <c r="Q71" s="65"/>
    </row>
    <row r="72" spans="1:17" x14ac:dyDescent="0.3">
      <c r="A72" s="65"/>
      <c r="B72" s="177"/>
      <c r="C72" s="97" cm="1">
        <f t="array" ref="C72">ROW()-ROW(analysisChartTable[#Headers])</f>
        <v>22</v>
      </c>
      <c r="D72" s="97" t="str">
        <f>_xlfn.XLOOKUP(analysisChartTable[[#This Row],[index]], factorsTable[index], factorsTable[chartLabel])</f>
        <v/>
      </c>
      <c r="E72" s="97" t="str">
        <f>_xlfn.XLOOKUP(analysisChartTable[[#This Row],[index]], factorsTable[index], factorsTable[RANASTag])</f>
        <v/>
      </c>
      <c r="F72" s="149" t="str">
        <f>_xlfn.XLOOKUP(analysisChartTable[[#This Row],[index]], factorsTable[index], factorsTable[displayedFactor])</f>
        <v/>
      </c>
      <c r="G72" s="149" t="str">
        <f>_xlfn.XLOOKUP(analysisChartTable[[#This Row],[index]], factorsTable[index], factorsTable[displayedRANASBlock])</f>
        <v/>
      </c>
      <c r="H72" s="150" t="str">
        <f>_xlfn.XLOOKUP(analysisChartTable[[#This Row],[index]], factorsTable[index], factorsTable[sortedNondoers])</f>
        <v/>
      </c>
      <c r="I72" s="150" t="str">
        <f>_xlfn.XLOOKUP(analysisChartTable[[#This Row],[index]], factorsTable[index], factorsTable[sortedDoers])</f>
        <v/>
      </c>
      <c r="J72" s="150" t="str">
        <f>_xlfn.XLOOKUP(analysisChartTable[[#This Row],[index]], factorsTable[index], factorsTable[sortedDifference])</f>
        <v/>
      </c>
      <c r="K72" s="151" t="str">
        <f>_xlfn.XLOOKUP(analysisChartTable[[#This Row],[index]], factorsTable[index], factorsTable[sortedNumTotal])</f>
        <v/>
      </c>
      <c r="L72" s="316"/>
      <c r="M72" s="316"/>
      <c r="N72" s="316"/>
      <c r="O72" s="316"/>
      <c r="P72" s="93"/>
      <c r="Q72" s="65"/>
    </row>
    <row r="73" spans="1:17" x14ac:dyDescent="0.3">
      <c r="A73" s="65"/>
      <c r="B73" s="177"/>
      <c r="C73" s="97" cm="1">
        <f t="array" ref="C73">ROW()-ROW(analysisChartTable[#Headers])</f>
        <v>23</v>
      </c>
      <c r="D73" s="97" t="str">
        <f>_xlfn.XLOOKUP(analysisChartTable[[#This Row],[index]], factorsTable[index], factorsTable[chartLabel])</f>
        <v/>
      </c>
      <c r="E73" s="97" t="str">
        <f>_xlfn.XLOOKUP(analysisChartTable[[#This Row],[index]], factorsTable[index], factorsTable[RANASTag])</f>
        <v/>
      </c>
      <c r="F73" s="149" t="str">
        <f>_xlfn.XLOOKUP(analysisChartTable[[#This Row],[index]], factorsTable[index], factorsTable[displayedFactor])</f>
        <v/>
      </c>
      <c r="G73" s="149" t="str">
        <f>_xlfn.XLOOKUP(analysisChartTable[[#This Row],[index]], factorsTable[index], factorsTable[displayedRANASBlock])</f>
        <v/>
      </c>
      <c r="H73" s="150" t="str">
        <f>_xlfn.XLOOKUP(analysisChartTable[[#This Row],[index]], factorsTable[index], factorsTable[sortedNondoers])</f>
        <v/>
      </c>
      <c r="I73" s="150" t="str">
        <f>_xlfn.XLOOKUP(analysisChartTable[[#This Row],[index]], factorsTable[index], factorsTable[sortedDoers])</f>
        <v/>
      </c>
      <c r="J73" s="150" t="str">
        <f>_xlfn.XLOOKUP(analysisChartTable[[#This Row],[index]], factorsTable[index], factorsTable[sortedDifference])</f>
        <v/>
      </c>
      <c r="K73" s="151" t="str">
        <f>_xlfn.XLOOKUP(analysisChartTable[[#This Row],[index]], factorsTable[index], factorsTable[sortedNumTotal])</f>
        <v/>
      </c>
      <c r="L73" s="316"/>
      <c r="M73" s="316"/>
      <c r="N73" s="316"/>
      <c r="O73" s="316"/>
      <c r="P73" s="93"/>
      <c r="Q73" s="65"/>
    </row>
    <row r="74" spans="1:17" x14ac:dyDescent="0.3">
      <c r="A74" s="65"/>
      <c r="B74" s="177"/>
      <c r="C74" s="97" cm="1">
        <f t="array" ref="C74">ROW()-ROW(analysisChartTable[#Headers])</f>
        <v>24</v>
      </c>
      <c r="D74" s="97" t="str">
        <f>_xlfn.XLOOKUP(analysisChartTable[[#This Row],[index]], factorsTable[index], factorsTable[chartLabel])</f>
        <v/>
      </c>
      <c r="E74" s="97" t="str">
        <f>_xlfn.XLOOKUP(analysisChartTable[[#This Row],[index]], factorsTable[index], factorsTable[RANASTag])</f>
        <v/>
      </c>
      <c r="F74" s="149" t="str">
        <f>_xlfn.XLOOKUP(analysisChartTable[[#This Row],[index]], factorsTable[index], factorsTable[displayedFactor])</f>
        <v/>
      </c>
      <c r="G74" s="149" t="str">
        <f>_xlfn.XLOOKUP(analysisChartTable[[#This Row],[index]], factorsTable[index], factorsTable[displayedRANASBlock])</f>
        <v/>
      </c>
      <c r="H74" s="150" t="str">
        <f>_xlfn.XLOOKUP(analysisChartTable[[#This Row],[index]], factorsTable[index], factorsTable[sortedNondoers])</f>
        <v/>
      </c>
      <c r="I74" s="150" t="str">
        <f>_xlfn.XLOOKUP(analysisChartTable[[#This Row],[index]], factorsTable[index], factorsTable[sortedDoers])</f>
        <v/>
      </c>
      <c r="J74" s="150" t="str">
        <f>_xlfn.XLOOKUP(analysisChartTable[[#This Row],[index]], factorsTable[index], factorsTable[sortedDifference])</f>
        <v/>
      </c>
      <c r="K74" s="151" t="str">
        <f>_xlfn.XLOOKUP(analysisChartTable[[#This Row],[index]], factorsTable[index], factorsTable[sortedNumTotal])</f>
        <v/>
      </c>
      <c r="L74" s="316"/>
      <c r="M74" s="316"/>
      <c r="N74" s="316"/>
      <c r="O74" s="316"/>
      <c r="P74" s="93"/>
      <c r="Q74" s="65"/>
    </row>
    <row r="75" spans="1:17" x14ac:dyDescent="0.3">
      <c r="A75" s="65"/>
      <c r="B75" s="177"/>
      <c r="C75" s="97" cm="1">
        <f t="array" ref="C75">ROW()-ROW(analysisChartTable[#Headers])</f>
        <v>25</v>
      </c>
      <c r="D75" s="97" t="str">
        <f>_xlfn.XLOOKUP(analysisChartTable[[#This Row],[index]], factorsTable[index], factorsTable[chartLabel])</f>
        <v/>
      </c>
      <c r="E75" s="97" t="str">
        <f>_xlfn.XLOOKUP(analysisChartTable[[#This Row],[index]], factorsTable[index], factorsTable[RANASTag])</f>
        <v/>
      </c>
      <c r="F75" s="149" t="str">
        <f>_xlfn.XLOOKUP(analysisChartTable[[#This Row],[index]], factorsTable[index], factorsTable[displayedFactor])</f>
        <v/>
      </c>
      <c r="G75" s="149" t="str">
        <f>_xlfn.XLOOKUP(analysisChartTable[[#This Row],[index]], factorsTable[index], factorsTable[displayedRANASBlock])</f>
        <v/>
      </c>
      <c r="H75" s="150" t="str">
        <f>_xlfn.XLOOKUP(analysisChartTable[[#This Row],[index]], factorsTable[index], factorsTable[sortedNondoers])</f>
        <v/>
      </c>
      <c r="I75" s="150" t="str">
        <f>_xlfn.XLOOKUP(analysisChartTable[[#This Row],[index]], factorsTable[index], factorsTable[sortedDoers])</f>
        <v/>
      </c>
      <c r="J75" s="150" t="str">
        <f>_xlfn.XLOOKUP(analysisChartTable[[#This Row],[index]], factorsTable[index], factorsTable[sortedDifference])</f>
        <v/>
      </c>
      <c r="K75" s="151" t="str">
        <f>_xlfn.XLOOKUP(analysisChartTable[[#This Row],[index]], factorsTable[index], factorsTable[sortedNumTotal])</f>
        <v/>
      </c>
      <c r="L75" s="316"/>
      <c r="M75" s="316"/>
      <c r="N75" s="316"/>
      <c r="O75" s="316"/>
      <c r="P75" s="93"/>
      <c r="Q75" s="65"/>
    </row>
    <row r="76" spans="1:17" x14ac:dyDescent="0.3">
      <c r="A76" s="65"/>
      <c r="B76" s="177"/>
      <c r="C76" s="97" cm="1">
        <f t="array" ref="C76">ROW()-ROW(analysisChartTable[#Headers])</f>
        <v>26</v>
      </c>
      <c r="D76" s="97" t="str">
        <f>_xlfn.XLOOKUP(analysisChartTable[[#This Row],[index]], factorsTable[index], factorsTable[chartLabel])</f>
        <v/>
      </c>
      <c r="E76" s="97" t="str">
        <f>_xlfn.XLOOKUP(analysisChartTable[[#This Row],[index]], factorsTable[index], factorsTable[RANASTag])</f>
        <v/>
      </c>
      <c r="F76" s="149" t="str">
        <f>_xlfn.XLOOKUP(analysisChartTable[[#This Row],[index]], factorsTable[index], factorsTable[displayedFactor])</f>
        <v/>
      </c>
      <c r="G76" s="149" t="str">
        <f>_xlfn.XLOOKUP(analysisChartTable[[#This Row],[index]], factorsTable[index], factorsTable[displayedRANASBlock])</f>
        <v/>
      </c>
      <c r="H76" s="150" t="str">
        <f>_xlfn.XLOOKUP(analysisChartTable[[#This Row],[index]], factorsTable[index], factorsTable[sortedNondoers])</f>
        <v/>
      </c>
      <c r="I76" s="150" t="str">
        <f>_xlfn.XLOOKUP(analysisChartTable[[#This Row],[index]], factorsTable[index], factorsTable[sortedDoers])</f>
        <v/>
      </c>
      <c r="J76" s="150" t="str">
        <f>_xlfn.XLOOKUP(analysisChartTable[[#This Row],[index]], factorsTable[index], factorsTable[sortedDifference])</f>
        <v/>
      </c>
      <c r="K76" s="151" t="str">
        <f>_xlfn.XLOOKUP(analysisChartTable[[#This Row],[index]], factorsTable[index], factorsTable[sortedNumTotal])</f>
        <v/>
      </c>
      <c r="L76" s="316"/>
      <c r="M76" s="316"/>
      <c r="N76" s="316"/>
      <c r="O76" s="316"/>
      <c r="P76" s="93"/>
      <c r="Q76" s="65"/>
    </row>
    <row r="77" spans="1:17" x14ac:dyDescent="0.3">
      <c r="A77" s="65"/>
      <c r="B77" s="177"/>
      <c r="C77" s="97" cm="1">
        <f t="array" ref="C77">ROW()-ROW(analysisChartTable[#Headers])</f>
        <v>27</v>
      </c>
      <c r="D77" s="97" t="str">
        <f>_xlfn.XLOOKUP(analysisChartTable[[#This Row],[index]], factorsTable[index], factorsTable[chartLabel])</f>
        <v/>
      </c>
      <c r="E77" s="97" t="str">
        <f>_xlfn.XLOOKUP(analysisChartTable[[#This Row],[index]], factorsTable[index], factorsTable[RANASTag])</f>
        <v/>
      </c>
      <c r="F77" s="149" t="str">
        <f>_xlfn.XLOOKUP(analysisChartTable[[#This Row],[index]], factorsTable[index], factorsTable[displayedFactor])</f>
        <v/>
      </c>
      <c r="G77" s="149" t="str">
        <f>_xlfn.XLOOKUP(analysisChartTable[[#This Row],[index]], factorsTable[index], factorsTable[displayedRANASBlock])</f>
        <v/>
      </c>
      <c r="H77" s="150" t="str">
        <f>_xlfn.XLOOKUP(analysisChartTable[[#This Row],[index]], factorsTable[index], factorsTable[sortedNondoers])</f>
        <v/>
      </c>
      <c r="I77" s="150" t="str">
        <f>_xlfn.XLOOKUP(analysisChartTable[[#This Row],[index]], factorsTable[index], factorsTable[sortedDoers])</f>
        <v/>
      </c>
      <c r="J77" s="150" t="str">
        <f>_xlfn.XLOOKUP(analysisChartTable[[#This Row],[index]], factorsTable[index], factorsTable[sortedDifference])</f>
        <v/>
      </c>
      <c r="K77" s="151" t="str">
        <f>_xlfn.XLOOKUP(analysisChartTable[[#This Row],[index]], factorsTable[index], factorsTable[sortedNumTotal])</f>
        <v/>
      </c>
      <c r="L77" s="316"/>
      <c r="M77" s="316"/>
      <c r="N77" s="316"/>
      <c r="O77" s="316"/>
      <c r="P77" s="93"/>
      <c r="Q77" s="65"/>
    </row>
    <row r="78" spans="1:17" x14ac:dyDescent="0.3">
      <c r="A78" s="65"/>
      <c r="B78" s="177"/>
      <c r="C78" s="97" cm="1">
        <f t="array" ref="C78">ROW()-ROW(analysisChartTable[#Headers])</f>
        <v>28</v>
      </c>
      <c r="D78" s="97" t="str">
        <f>_xlfn.XLOOKUP(analysisChartTable[[#This Row],[index]], factorsTable[index], factorsTable[chartLabel])</f>
        <v/>
      </c>
      <c r="E78" s="97" t="str">
        <f>_xlfn.XLOOKUP(analysisChartTable[[#This Row],[index]], factorsTable[index], factorsTable[RANASTag])</f>
        <v/>
      </c>
      <c r="F78" s="149" t="str">
        <f>_xlfn.XLOOKUP(analysisChartTable[[#This Row],[index]], factorsTable[index], factorsTable[displayedFactor])</f>
        <v/>
      </c>
      <c r="G78" s="149" t="str">
        <f>_xlfn.XLOOKUP(analysisChartTable[[#This Row],[index]], factorsTable[index], factorsTable[displayedRANASBlock])</f>
        <v/>
      </c>
      <c r="H78" s="150" t="str">
        <f>_xlfn.XLOOKUP(analysisChartTable[[#This Row],[index]], factorsTable[index], factorsTable[sortedNondoers])</f>
        <v/>
      </c>
      <c r="I78" s="150" t="str">
        <f>_xlfn.XLOOKUP(analysisChartTable[[#This Row],[index]], factorsTable[index], factorsTable[sortedDoers])</f>
        <v/>
      </c>
      <c r="J78" s="150" t="str">
        <f>_xlfn.XLOOKUP(analysisChartTable[[#This Row],[index]], factorsTable[index], factorsTable[sortedDifference])</f>
        <v/>
      </c>
      <c r="K78" s="151" t="str">
        <f>_xlfn.XLOOKUP(analysisChartTable[[#This Row],[index]], factorsTable[index], factorsTable[sortedNumTotal])</f>
        <v/>
      </c>
      <c r="L78" s="316"/>
      <c r="M78" s="316"/>
      <c r="N78" s="316"/>
      <c r="O78" s="316"/>
      <c r="P78" s="93"/>
      <c r="Q78" s="65"/>
    </row>
    <row r="79" spans="1:17" x14ac:dyDescent="0.3">
      <c r="A79" s="65"/>
      <c r="B79" s="177"/>
      <c r="C79" s="97" cm="1">
        <f t="array" ref="C79">ROW()-ROW(analysisChartTable[#Headers])</f>
        <v>29</v>
      </c>
      <c r="D79" s="97" t="str">
        <f>_xlfn.XLOOKUP(analysisChartTable[[#This Row],[index]], factorsTable[index], factorsTable[chartLabel])</f>
        <v/>
      </c>
      <c r="E79" s="97" t="str">
        <f>_xlfn.XLOOKUP(analysisChartTable[[#This Row],[index]], factorsTable[index], factorsTable[RANASTag])</f>
        <v/>
      </c>
      <c r="F79" s="149" t="str">
        <f>_xlfn.XLOOKUP(analysisChartTable[[#This Row],[index]], factorsTable[index], factorsTable[displayedFactor])</f>
        <v/>
      </c>
      <c r="G79" s="149" t="str">
        <f>_xlfn.XLOOKUP(analysisChartTable[[#This Row],[index]], factorsTable[index], factorsTable[displayedRANASBlock])</f>
        <v/>
      </c>
      <c r="H79" s="150" t="str">
        <f>_xlfn.XLOOKUP(analysisChartTable[[#This Row],[index]], factorsTable[index], factorsTable[sortedNondoers])</f>
        <v/>
      </c>
      <c r="I79" s="150" t="str">
        <f>_xlfn.XLOOKUP(analysisChartTable[[#This Row],[index]], factorsTable[index], factorsTable[sortedDoers])</f>
        <v/>
      </c>
      <c r="J79" s="150" t="str">
        <f>_xlfn.XLOOKUP(analysisChartTable[[#This Row],[index]], factorsTable[index], factorsTable[sortedDifference])</f>
        <v/>
      </c>
      <c r="K79" s="151" t="str">
        <f>_xlfn.XLOOKUP(analysisChartTable[[#This Row],[index]], factorsTable[index], factorsTable[sortedNumTotal])</f>
        <v/>
      </c>
      <c r="L79" s="316"/>
      <c r="M79" s="316"/>
      <c r="N79" s="316"/>
      <c r="O79" s="316"/>
      <c r="P79" s="93"/>
      <c r="Q79" s="65"/>
    </row>
    <row r="80" spans="1:17" x14ac:dyDescent="0.3">
      <c r="A80" s="65"/>
      <c r="B80" s="177"/>
      <c r="C80" s="97" cm="1">
        <f t="array" ref="C80">ROW()-ROW(analysisChartTable[#Headers])</f>
        <v>30</v>
      </c>
      <c r="D80" s="97" t="str">
        <f>_xlfn.XLOOKUP(analysisChartTable[[#This Row],[index]], factorsTable[index], factorsTable[chartLabel])</f>
        <v/>
      </c>
      <c r="E80" s="97" t="str">
        <f>_xlfn.XLOOKUP(analysisChartTable[[#This Row],[index]], factorsTable[index], factorsTable[RANASTag])</f>
        <v/>
      </c>
      <c r="F80" s="152" t="str">
        <f>_xlfn.XLOOKUP(analysisChartTable[[#This Row],[index]], factorsTable[index], factorsTable[displayedFactor])</f>
        <v/>
      </c>
      <c r="G80" s="152" t="str">
        <f>_xlfn.XLOOKUP(analysisChartTable[[#This Row],[index]], factorsTable[index], factorsTable[displayedRANASBlock])</f>
        <v/>
      </c>
      <c r="H80" s="153" t="str">
        <f>_xlfn.XLOOKUP(analysisChartTable[[#This Row],[index]], factorsTable[index], factorsTable[sortedNondoers])</f>
        <v/>
      </c>
      <c r="I80" s="153" t="str">
        <f>_xlfn.XLOOKUP(analysisChartTable[[#This Row],[index]], factorsTable[index], factorsTable[sortedDoers])</f>
        <v/>
      </c>
      <c r="J80" s="153" t="str">
        <f>_xlfn.XLOOKUP(analysisChartTable[[#This Row],[index]], factorsTable[index], factorsTable[sortedDifference])</f>
        <v/>
      </c>
      <c r="K80" s="154" t="str">
        <f>_xlfn.XLOOKUP(analysisChartTable[[#This Row],[index]], factorsTable[index], factorsTable[sortedNumTotal])</f>
        <v/>
      </c>
      <c r="L80" s="316"/>
      <c r="M80" s="316"/>
      <c r="N80" s="316"/>
      <c r="O80" s="316"/>
      <c r="P80" s="93"/>
      <c r="Q80" s="65"/>
    </row>
    <row r="81" spans="1:17" x14ac:dyDescent="0.3">
      <c r="A81" s="65"/>
      <c r="B81" s="89"/>
      <c r="C81" s="90"/>
      <c r="D81" s="90"/>
      <c r="E81" s="90"/>
      <c r="F81" s="90"/>
      <c r="G81" s="90"/>
      <c r="H81" s="90"/>
      <c r="I81" s="90"/>
      <c r="J81" s="90"/>
      <c r="K81" s="90"/>
      <c r="L81" s="317"/>
      <c r="M81" s="317"/>
      <c r="N81" s="317"/>
      <c r="O81" s="317"/>
      <c r="P81" s="95"/>
      <c r="Q81" s="65"/>
    </row>
    <row r="82" spans="1:17" x14ac:dyDescent="0.3">
      <c r="A82" s="65"/>
      <c r="B82" s="65"/>
      <c r="C82" s="65"/>
      <c r="D82" s="65"/>
      <c r="E82" s="65"/>
      <c r="F82" s="65"/>
      <c r="G82" s="65"/>
      <c r="H82" s="65"/>
      <c r="I82" s="65"/>
      <c r="J82" s="65"/>
      <c r="K82" s="65"/>
      <c r="L82" s="65"/>
      <c r="M82" s="65"/>
      <c r="N82" s="65"/>
      <c r="O82" s="65"/>
      <c r="P82" s="65"/>
      <c r="Q82" s="65"/>
    </row>
  </sheetData>
  <sheetProtection algorithmName="SHA-512" hashValue="zt6l/om+wHQtyeWxE+CVcow+/xD4GpYe9glbzCZ8+I0RsgtxIsA8rkJxjztevUpKeWSKI23Cn1u60xz7QJJV0w==" saltValue="71+pq9gkrX2Q0gLyn1a7iw==" spinCount="100000" sheet="1" objects="1" scenarios="1"/>
  <mergeCells count="11">
    <mergeCell ref="L66:O81"/>
    <mergeCell ref="L49:O65"/>
    <mergeCell ref="I7:O7"/>
    <mergeCell ref="I8:O8"/>
    <mergeCell ref="B4:G5"/>
    <mergeCell ref="B6:G7"/>
    <mergeCell ref="B3:G3"/>
    <mergeCell ref="I3:O3"/>
    <mergeCell ref="I4:O4"/>
    <mergeCell ref="I5:O5"/>
    <mergeCell ref="I6:O6"/>
  </mergeCells>
  <conditionalFormatting sqref="E8">
    <cfRule type="expression" dxfId="7" priority="1">
      <formula>ISERROR(MATCH(sortingMethod, sortMenuList, 0))</formula>
    </cfRule>
  </conditionalFormatting>
  <conditionalFormatting sqref="G51:G80">
    <cfRule type="expression" dxfId="6" priority="2">
      <formula>$E51 = "selfRegulation"</formula>
    </cfRule>
    <cfRule type="expression" dxfId="5" priority="3">
      <formula>$E51 = "abilities"</formula>
    </cfRule>
    <cfRule type="expression" dxfId="4" priority="4">
      <formula>$E51 = "norms"</formula>
    </cfRule>
    <cfRule type="expression" dxfId="3" priority="5">
      <formula>$E51 = "attitudes"</formula>
    </cfRule>
    <cfRule type="expression" dxfId="2" priority="6">
      <formula>$E51 = "risks"</formula>
    </cfRule>
  </conditionalFormatting>
  <conditionalFormatting sqref="H51:H80">
    <cfRule type="notContainsBlanks" dxfId="1" priority="16">
      <formula>LEN(TRIM(H51))&gt;0</formula>
    </cfRule>
  </conditionalFormatting>
  <conditionalFormatting sqref="I51:I80">
    <cfRule type="notContainsBlanks" dxfId="0" priority="15">
      <formula>LEN(TRIM(I51))&gt;0</formula>
    </cfRule>
  </conditionalFormatting>
  <conditionalFormatting sqref="J51:J80">
    <cfRule type="colorScale" priority="8">
      <colorScale>
        <cfvo type="formula" val="-maxAbsDiff"/>
        <cfvo type="num" val="0"/>
        <cfvo type="formula" val="maxAbsDiff"/>
        <color theme="6"/>
        <color theme="0"/>
        <color theme="6"/>
      </colorScale>
    </cfRule>
  </conditionalFormatting>
  <dataValidations count="1">
    <dataValidation type="list" allowBlank="1" showInputMessage="1" showErrorMessage="1" error="Please select a value from the drop-down menu for this cell._x000a__x000a_Veuillez sélectionner une valeur dans le menu déroulant pour cette cellule." sqref="E8" xr:uid="{76DDE5F7-1150-440D-AE51-F38B6355A6C7}">
      <formula1>sortMenuList</formula1>
    </dataValidation>
  </dataValidations>
  <pageMargins left="0.7" right="0.7" top="0.75" bottom="0.75" header="0.3" footer="0.3"/>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98BA6-9FFD-42BE-86E6-1CFCDE6D1C85}">
  <sheetPr codeName="Sheet8"/>
  <dimension ref="A1:AD259"/>
  <sheetViews>
    <sheetView zoomScale="70" zoomScaleNormal="70" workbookViewId="0">
      <pane xSplit="1" ySplit="1" topLeftCell="B2" activePane="bottomRight" state="frozen"/>
      <selection activeCell="BN1" sqref="BN1"/>
      <selection pane="topRight" activeCell="BN1" sqref="BN1"/>
      <selection pane="bottomLeft" activeCell="BN1" sqref="BN1"/>
      <selection pane="bottomRight"/>
    </sheetView>
  </sheetViews>
  <sheetFormatPr defaultColWidth="11.33203125" defaultRowHeight="14.4" x14ac:dyDescent="0.3"/>
  <cols>
    <col min="1" max="1" width="4.44140625" bestFit="1" customWidth="1"/>
    <col min="2" max="5" width="11.33203125" customWidth="1"/>
    <col min="6" max="6" width="10.6640625" bestFit="1" customWidth="1"/>
    <col min="7" max="7" width="11.33203125" customWidth="1"/>
    <col min="8" max="8" width="10.6640625" bestFit="1" customWidth="1"/>
    <col min="9" max="9" width="11.33203125" customWidth="1"/>
    <col min="10" max="10" width="10.6640625" bestFit="1" customWidth="1"/>
    <col min="11" max="11" width="11.33203125" customWidth="1"/>
    <col min="12" max="12" width="10.6640625" bestFit="1" customWidth="1"/>
    <col min="13" max="13" width="13.44140625" bestFit="1" customWidth="1"/>
    <col min="14" max="14" width="17.109375" bestFit="1" customWidth="1"/>
    <col min="15" max="15" width="14.88671875" bestFit="1" customWidth="1"/>
    <col min="16" max="17" width="7.77734375" bestFit="1" customWidth="1"/>
    <col min="18" max="18" width="8.21875" bestFit="1" customWidth="1"/>
    <col min="19" max="19" width="16.88671875" bestFit="1" customWidth="1"/>
    <col min="20" max="20" width="17.109375" bestFit="1" customWidth="1"/>
    <col min="21" max="21" width="5.21875" bestFit="1" customWidth="1"/>
    <col min="22" max="22" width="12" bestFit="1" customWidth="1"/>
    <col min="23" max="23" width="17.33203125" bestFit="1" customWidth="1"/>
    <col min="24" max="24" width="15.109375" bestFit="1" customWidth="1"/>
    <col min="25" max="25" width="16.33203125" bestFit="1" customWidth="1"/>
    <col min="26" max="26" width="19.5546875" bestFit="1" customWidth="1"/>
    <col min="27" max="27" width="12.88671875" bestFit="1" customWidth="1"/>
    <col min="28" max="28" width="7.88671875" bestFit="1" customWidth="1"/>
    <col min="29" max="29" width="11.88671875" bestFit="1" customWidth="1"/>
    <col min="30" max="30" width="36.88671875" bestFit="1" customWidth="1"/>
  </cols>
  <sheetData>
    <row r="1" spans="1:30" x14ac:dyDescent="0.3">
      <c r="A1" s="1" t="s">
        <v>25</v>
      </c>
      <c r="B1" s="28" t="s">
        <v>1</v>
      </c>
      <c r="C1" s="28" t="s">
        <v>2</v>
      </c>
      <c r="D1" s="28" t="s">
        <v>3</v>
      </c>
      <c r="E1" s="28" t="s">
        <v>4</v>
      </c>
      <c r="F1" s="73" t="s">
        <v>670</v>
      </c>
      <c r="G1" s="28" t="s">
        <v>5</v>
      </c>
      <c r="H1" s="73" t="s">
        <v>671</v>
      </c>
      <c r="I1" s="72" t="s">
        <v>6</v>
      </c>
      <c r="J1" s="73" t="s">
        <v>672</v>
      </c>
      <c r="K1" s="28" t="s">
        <v>7</v>
      </c>
      <c r="L1" s="73" t="s">
        <v>673</v>
      </c>
      <c r="M1" s="75" t="s">
        <v>696</v>
      </c>
      <c r="N1" s="75" t="s">
        <v>697</v>
      </c>
      <c r="O1" s="75" t="s">
        <v>698</v>
      </c>
      <c r="P1" s="75" t="s">
        <v>699</v>
      </c>
      <c r="Q1" s="75" t="s">
        <v>700</v>
      </c>
      <c r="R1" s="75" t="s">
        <v>701</v>
      </c>
      <c r="S1" s="75" t="s">
        <v>702</v>
      </c>
      <c r="T1" s="75" t="s">
        <v>703</v>
      </c>
      <c r="U1" s="75" t="s">
        <v>704</v>
      </c>
      <c r="V1" s="75" t="s">
        <v>575</v>
      </c>
      <c r="W1" s="75" t="s">
        <v>705</v>
      </c>
      <c r="X1" s="75" t="s">
        <v>706</v>
      </c>
      <c r="Y1" s="75" t="s">
        <v>707</v>
      </c>
      <c r="Z1" s="75" t="s">
        <v>708</v>
      </c>
      <c r="AA1" s="75" t="s">
        <v>709</v>
      </c>
      <c r="AB1" s="75" t="s">
        <v>568</v>
      </c>
      <c r="AC1" s="75" t="s">
        <v>567</v>
      </c>
      <c r="AD1" s="2" t="s">
        <v>890</v>
      </c>
    </row>
    <row r="2" spans="1:30" x14ac:dyDescent="0.3">
      <c r="A2" s="1">
        <v>1</v>
      </c>
      <c r="B2" s="71">
        <v>1</v>
      </c>
      <c r="C2" s="71">
        <v>1</v>
      </c>
      <c r="D2" s="71">
        <v>1</v>
      </c>
      <c r="E2" s="71">
        <v>1</v>
      </c>
      <c r="F2" s="74">
        <v>5</v>
      </c>
      <c r="G2" s="72" t="s">
        <v>27</v>
      </c>
      <c r="H2" s="74">
        <v>20</v>
      </c>
      <c r="I2" s="72" t="s">
        <v>28</v>
      </c>
      <c r="J2" s="74">
        <v>2</v>
      </c>
      <c r="K2" s="72" t="s">
        <v>28</v>
      </c>
      <c r="L2" s="74">
        <v>3</v>
      </c>
      <c r="M2" s="75">
        <v>4</v>
      </c>
      <c r="N2" s="75">
        <v>0.42207792207792211</v>
      </c>
      <c r="O2" s="75">
        <v>1</v>
      </c>
      <c r="P2" s="75">
        <v>1</v>
      </c>
      <c r="Q2" s="75">
        <v>1</v>
      </c>
      <c r="R2" s="75">
        <v>4</v>
      </c>
      <c r="S2" s="75">
        <v>4</v>
      </c>
      <c r="T2" s="75">
        <v>4</v>
      </c>
      <c r="U2" s="75">
        <v>1.5</v>
      </c>
      <c r="V2" s="75">
        <v>2</v>
      </c>
      <c r="W2" s="75">
        <v>0.35227272727272729</v>
      </c>
      <c r="X2" s="75">
        <v>0.6875</v>
      </c>
      <c r="Y2" s="75">
        <v>4</v>
      </c>
      <c r="Z2" s="75">
        <v>4</v>
      </c>
      <c r="AA2" s="75">
        <v>1</v>
      </c>
      <c r="AB2" s="75">
        <v>4</v>
      </c>
      <c r="AC2" s="75">
        <v>3</v>
      </c>
      <c r="AD2" s="2" t="s">
        <v>31</v>
      </c>
    </row>
    <row r="3" spans="1:30" x14ac:dyDescent="0.3">
      <c r="A3" s="1">
        <v>2</v>
      </c>
      <c r="B3" s="71">
        <v>1</v>
      </c>
      <c r="C3" s="71">
        <v>1</v>
      </c>
      <c r="D3" s="71">
        <v>1</v>
      </c>
      <c r="E3" s="71">
        <v>1</v>
      </c>
      <c r="F3" s="74">
        <v>5</v>
      </c>
      <c r="G3" s="72" t="s">
        <v>32</v>
      </c>
      <c r="H3" s="74">
        <v>20</v>
      </c>
      <c r="I3" s="72" t="s">
        <v>33</v>
      </c>
      <c r="J3" s="74">
        <v>2</v>
      </c>
      <c r="K3" s="72">
        <v>8</v>
      </c>
      <c r="L3" s="74">
        <v>1</v>
      </c>
      <c r="M3" s="75">
        <v>5</v>
      </c>
      <c r="N3" s="75">
        <v>0.57792207792207795</v>
      </c>
      <c r="O3" s="75">
        <v>1</v>
      </c>
      <c r="P3" s="75">
        <v>2</v>
      </c>
      <c r="Q3" s="75">
        <v>2</v>
      </c>
      <c r="R3" s="75">
        <v>3</v>
      </c>
      <c r="S3" s="75">
        <v>4.5</v>
      </c>
      <c r="T3" s="75">
        <v>5</v>
      </c>
      <c r="U3" s="75">
        <v>1</v>
      </c>
      <c r="V3" s="75">
        <v>2.5</v>
      </c>
      <c r="W3" s="75">
        <v>0.44318181818181818</v>
      </c>
      <c r="X3" s="75">
        <v>0.5</v>
      </c>
      <c r="Y3" s="75">
        <v>5</v>
      </c>
      <c r="Z3" s="75">
        <v>5</v>
      </c>
      <c r="AA3" s="75">
        <v>2</v>
      </c>
      <c r="AB3" s="75">
        <v>3</v>
      </c>
      <c r="AC3" s="75">
        <v>2</v>
      </c>
      <c r="AD3" s="2" t="s">
        <v>34</v>
      </c>
    </row>
    <row r="4" spans="1:30" x14ac:dyDescent="0.3">
      <c r="A4" s="1">
        <v>3</v>
      </c>
      <c r="B4" s="71">
        <v>1</v>
      </c>
      <c r="C4" s="71">
        <v>1</v>
      </c>
      <c r="D4" s="71">
        <v>1</v>
      </c>
      <c r="E4" s="71">
        <v>1</v>
      </c>
      <c r="F4" s="74">
        <v>5</v>
      </c>
      <c r="G4" s="72" t="s">
        <v>35</v>
      </c>
      <c r="H4" s="74">
        <v>20</v>
      </c>
      <c r="I4" s="72" t="s">
        <v>36</v>
      </c>
      <c r="J4" s="74">
        <v>3</v>
      </c>
      <c r="K4" s="72" t="s">
        <v>37</v>
      </c>
      <c r="L4" s="74">
        <v>4</v>
      </c>
      <c r="M4" s="75">
        <v>5</v>
      </c>
      <c r="N4" s="75">
        <v>0.50649350649350644</v>
      </c>
      <c r="O4" s="75">
        <v>1</v>
      </c>
      <c r="P4" s="75">
        <v>1</v>
      </c>
      <c r="Q4" s="75">
        <v>1</v>
      </c>
      <c r="R4" s="75">
        <v>5</v>
      </c>
      <c r="S4" s="75">
        <v>4</v>
      </c>
      <c r="T4" s="75">
        <v>4</v>
      </c>
      <c r="U4" s="75">
        <v>1</v>
      </c>
      <c r="V4" s="75">
        <v>3</v>
      </c>
      <c r="W4" s="75">
        <v>0.57196969696969702</v>
      </c>
      <c r="X4" s="75">
        <v>0.6875</v>
      </c>
      <c r="Y4" s="75">
        <v>4</v>
      </c>
      <c r="Z4" s="75">
        <v>5</v>
      </c>
      <c r="AA4" s="75">
        <v>1</v>
      </c>
      <c r="AB4" s="75">
        <v>5</v>
      </c>
      <c r="AC4" s="75">
        <v>5</v>
      </c>
      <c r="AD4" s="2" t="s">
        <v>38</v>
      </c>
    </row>
    <row r="5" spans="1:30" x14ac:dyDescent="0.3">
      <c r="A5" s="1">
        <v>4</v>
      </c>
      <c r="B5" s="71">
        <v>1</v>
      </c>
      <c r="C5" s="71">
        <v>1</v>
      </c>
      <c r="D5" s="71">
        <v>1</v>
      </c>
      <c r="E5" s="71">
        <v>1</v>
      </c>
      <c r="F5" s="74">
        <v>5</v>
      </c>
      <c r="G5" s="72" t="s">
        <v>39</v>
      </c>
      <c r="H5" s="74">
        <v>10</v>
      </c>
      <c r="I5" s="72" t="s">
        <v>40</v>
      </c>
      <c r="J5" s="74">
        <v>2</v>
      </c>
      <c r="K5" s="72" t="s">
        <v>40</v>
      </c>
      <c r="L5" s="74">
        <v>3</v>
      </c>
      <c r="M5" s="75">
        <v>3</v>
      </c>
      <c r="N5" s="75">
        <v>0.22294372294372292</v>
      </c>
      <c r="O5" s="75">
        <v>1</v>
      </c>
      <c r="P5" s="75">
        <v>1</v>
      </c>
      <c r="Q5" s="75">
        <v>1</v>
      </c>
      <c r="R5" s="75">
        <v>4</v>
      </c>
      <c r="S5" s="75">
        <v>4</v>
      </c>
      <c r="T5" s="75">
        <v>4</v>
      </c>
      <c r="U5" s="75">
        <v>1</v>
      </c>
      <c r="V5" s="75">
        <v>2</v>
      </c>
      <c r="W5" s="75">
        <v>0.30681818181818182</v>
      </c>
      <c r="X5" s="75">
        <v>0.5</v>
      </c>
      <c r="Y5" s="75">
        <v>4</v>
      </c>
      <c r="Z5" s="75">
        <v>3</v>
      </c>
      <c r="AA5" s="75">
        <v>2</v>
      </c>
      <c r="AB5" s="75">
        <v>4</v>
      </c>
      <c r="AC5" s="75">
        <v>4</v>
      </c>
      <c r="AD5" s="2" t="s">
        <v>44</v>
      </c>
    </row>
    <row r="6" spans="1:30" x14ac:dyDescent="0.3">
      <c r="A6" s="1">
        <v>5</v>
      </c>
      <c r="B6" s="71">
        <v>1</v>
      </c>
      <c r="C6" s="71">
        <v>1</v>
      </c>
      <c r="D6" s="71">
        <v>1</v>
      </c>
      <c r="E6" s="71">
        <v>1</v>
      </c>
      <c r="F6" s="74">
        <v>5</v>
      </c>
      <c r="G6" s="72" t="s">
        <v>45</v>
      </c>
      <c r="H6" s="74">
        <v>15</v>
      </c>
      <c r="I6" s="72" t="s">
        <v>46</v>
      </c>
      <c r="J6" s="74">
        <v>2</v>
      </c>
      <c r="K6" s="72" t="s">
        <v>47</v>
      </c>
      <c r="L6" s="74">
        <v>3</v>
      </c>
      <c r="M6" s="75">
        <v>5</v>
      </c>
      <c r="N6" s="75">
        <v>0.24675324675324675</v>
      </c>
      <c r="O6" s="75">
        <v>1</v>
      </c>
      <c r="P6" s="75">
        <v>1</v>
      </c>
      <c r="Q6" s="75">
        <v>1</v>
      </c>
      <c r="R6" s="75">
        <v>4</v>
      </c>
      <c r="S6" s="75">
        <v>4</v>
      </c>
      <c r="T6" s="75">
        <v>5</v>
      </c>
      <c r="U6" s="75">
        <v>1</v>
      </c>
      <c r="V6" s="75">
        <v>2.5</v>
      </c>
      <c r="W6" s="75">
        <v>0.43939393939393934</v>
      </c>
      <c r="X6" s="75">
        <v>0.6875</v>
      </c>
      <c r="Y6" s="75">
        <v>4.5</v>
      </c>
      <c r="Z6" s="75">
        <v>5</v>
      </c>
      <c r="AA6" s="75">
        <v>1</v>
      </c>
      <c r="AB6" s="75">
        <v>5</v>
      </c>
      <c r="AC6" s="75">
        <v>4</v>
      </c>
      <c r="AD6" s="2" t="s">
        <v>49</v>
      </c>
    </row>
    <row r="7" spans="1:30" x14ac:dyDescent="0.3">
      <c r="A7" s="1">
        <v>6</v>
      </c>
      <c r="B7" s="71">
        <v>1</v>
      </c>
      <c r="C7" s="71">
        <v>1</v>
      </c>
      <c r="D7" s="71">
        <v>1</v>
      </c>
      <c r="E7" s="71">
        <v>1</v>
      </c>
      <c r="F7" s="74">
        <v>5</v>
      </c>
      <c r="G7" s="72" t="s">
        <v>50</v>
      </c>
      <c r="H7" s="74">
        <v>15</v>
      </c>
      <c r="I7" s="72" t="s">
        <v>51</v>
      </c>
      <c r="J7" s="74">
        <v>2</v>
      </c>
      <c r="K7" s="72" t="s">
        <v>52</v>
      </c>
      <c r="L7" s="74">
        <v>3</v>
      </c>
      <c r="M7" s="75">
        <v>4</v>
      </c>
      <c r="N7" s="75">
        <v>0.25324675324675322</v>
      </c>
      <c r="O7" s="75">
        <v>1</v>
      </c>
      <c r="P7" s="75">
        <v>1</v>
      </c>
      <c r="Q7" s="75">
        <v>1</v>
      </c>
      <c r="R7" s="75">
        <v>4</v>
      </c>
      <c r="S7" s="75">
        <v>4</v>
      </c>
      <c r="T7" s="75">
        <v>4</v>
      </c>
      <c r="U7" s="75">
        <v>1</v>
      </c>
      <c r="V7" s="75">
        <v>2.5</v>
      </c>
      <c r="W7" s="75">
        <v>0.43560606060606061</v>
      </c>
      <c r="X7" s="75">
        <v>0.5625</v>
      </c>
      <c r="Y7" s="75">
        <v>4.5</v>
      </c>
      <c r="Z7" s="75">
        <v>4</v>
      </c>
      <c r="AA7" s="75">
        <v>2</v>
      </c>
      <c r="AB7" s="75">
        <v>4</v>
      </c>
      <c r="AC7" s="75">
        <v>4</v>
      </c>
      <c r="AD7" s="2" t="s">
        <v>54</v>
      </c>
    </row>
    <row r="8" spans="1:30" x14ac:dyDescent="0.3">
      <c r="A8" s="1">
        <v>7</v>
      </c>
      <c r="B8" s="71">
        <v>1</v>
      </c>
      <c r="C8" s="71">
        <v>1</v>
      </c>
      <c r="D8" s="71">
        <v>1</v>
      </c>
      <c r="E8" s="71">
        <v>1</v>
      </c>
      <c r="F8" s="74">
        <v>5</v>
      </c>
      <c r="G8" s="72" t="s">
        <v>39</v>
      </c>
      <c r="H8" s="74">
        <v>10</v>
      </c>
      <c r="I8" s="72" t="s">
        <v>55</v>
      </c>
      <c r="J8" s="74">
        <v>2</v>
      </c>
      <c r="K8" s="72" t="s">
        <v>56</v>
      </c>
      <c r="L8" s="74">
        <v>2</v>
      </c>
      <c r="M8" s="75">
        <v>4</v>
      </c>
      <c r="N8" s="75">
        <v>0.28354978354978355</v>
      </c>
      <c r="O8" s="75">
        <v>1</v>
      </c>
      <c r="P8" s="75">
        <v>1</v>
      </c>
      <c r="Q8" s="75">
        <v>1</v>
      </c>
      <c r="R8" s="75">
        <v>4</v>
      </c>
      <c r="S8" s="75">
        <v>4</v>
      </c>
      <c r="T8" s="75">
        <v>4</v>
      </c>
      <c r="U8" s="75">
        <v>1</v>
      </c>
      <c r="V8" s="75">
        <v>2.5</v>
      </c>
      <c r="W8" s="75">
        <v>0.43560606060606061</v>
      </c>
      <c r="X8" s="75">
        <v>0.5625</v>
      </c>
      <c r="Y8" s="75">
        <v>4.5</v>
      </c>
      <c r="Z8" s="75">
        <v>4</v>
      </c>
      <c r="AA8" s="75">
        <v>1</v>
      </c>
      <c r="AB8" s="75">
        <v>4</v>
      </c>
      <c r="AC8" s="75">
        <v>4</v>
      </c>
      <c r="AD8" s="2" t="s">
        <v>57</v>
      </c>
    </row>
    <row r="9" spans="1:30" x14ac:dyDescent="0.3">
      <c r="A9" s="1">
        <v>8</v>
      </c>
      <c r="B9" s="71">
        <v>1</v>
      </c>
      <c r="C9" s="71">
        <v>1</v>
      </c>
      <c r="D9" s="71">
        <v>1</v>
      </c>
      <c r="E9" s="71">
        <v>1</v>
      </c>
      <c r="F9" s="74">
        <v>5</v>
      </c>
      <c r="G9" s="72" t="s">
        <v>58</v>
      </c>
      <c r="H9" s="74">
        <v>15</v>
      </c>
      <c r="I9" s="72" t="s">
        <v>59</v>
      </c>
      <c r="J9" s="74">
        <v>1</v>
      </c>
      <c r="K9" s="72" t="s">
        <v>60</v>
      </c>
      <c r="L9" s="74">
        <v>3</v>
      </c>
      <c r="M9" s="75">
        <v>4</v>
      </c>
      <c r="N9" s="75">
        <v>0.27705627705627706</v>
      </c>
      <c r="O9" s="75">
        <v>1</v>
      </c>
      <c r="P9" s="75">
        <v>1</v>
      </c>
      <c r="Q9" s="75">
        <v>1</v>
      </c>
      <c r="R9" s="75">
        <v>4</v>
      </c>
      <c r="S9" s="75">
        <v>4</v>
      </c>
      <c r="T9" s="75">
        <v>4</v>
      </c>
      <c r="U9" s="75">
        <v>1</v>
      </c>
      <c r="V9" s="75">
        <v>2.5</v>
      </c>
      <c r="W9" s="75">
        <v>0.39393939393939392</v>
      </c>
      <c r="X9" s="75">
        <v>0.6875</v>
      </c>
      <c r="Y9" s="75">
        <v>4.5</v>
      </c>
      <c r="Z9" s="75">
        <v>5</v>
      </c>
      <c r="AA9" s="75">
        <v>1</v>
      </c>
      <c r="AB9" s="75">
        <v>4</v>
      </c>
      <c r="AC9" s="75">
        <v>4</v>
      </c>
      <c r="AD9" s="2" t="s">
        <v>62</v>
      </c>
    </row>
    <row r="10" spans="1:30" x14ac:dyDescent="0.3">
      <c r="A10" s="1">
        <v>9</v>
      </c>
      <c r="B10" s="71">
        <v>1</v>
      </c>
      <c r="C10" s="71">
        <v>1</v>
      </c>
      <c r="D10" s="71">
        <v>1</v>
      </c>
      <c r="E10" s="71">
        <v>1</v>
      </c>
      <c r="F10" s="74">
        <v>5</v>
      </c>
      <c r="G10" s="72" t="s">
        <v>63</v>
      </c>
      <c r="H10" s="74">
        <v>15</v>
      </c>
      <c r="I10" s="72" t="s">
        <v>64</v>
      </c>
      <c r="J10" s="74">
        <v>2</v>
      </c>
      <c r="K10" s="72" t="s">
        <v>65</v>
      </c>
      <c r="L10" s="74">
        <v>3</v>
      </c>
      <c r="M10" s="75">
        <v>4</v>
      </c>
      <c r="N10" s="75">
        <v>0.42207792207792205</v>
      </c>
      <c r="O10" s="75">
        <v>1</v>
      </c>
      <c r="P10" s="75">
        <v>1</v>
      </c>
      <c r="Q10" s="75">
        <v>1</v>
      </c>
      <c r="R10" s="75">
        <v>4</v>
      </c>
      <c r="S10" s="75">
        <v>5</v>
      </c>
      <c r="T10" s="75">
        <v>4</v>
      </c>
      <c r="U10" s="75">
        <v>1</v>
      </c>
      <c r="V10" s="75">
        <v>2.5</v>
      </c>
      <c r="W10" s="75">
        <v>0.48106060606060608</v>
      </c>
      <c r="X10" s="75">
        <v>0.6875</v>
      </c>
      <c r="Y10" s="75">
        <v>4.5</v>
      </c>
      <c r="Z10" s="75">
        <v>5</v>
      </c>
      <c r="AA10" s="75">
        <v>1</v>
      </c>
      <c r="AB10" s="75">
        <v>4</v>
      </c>
      <c r="AC10" s="75">
        <v>5</v>
      </c>
      <c r="AD10" s="2" t="s">
        <v>66</v>
      </c>
    </row>
    <row r="11" spans="1:30" x14ac:dyDescent="0.3">
      <c r="A11" s="1">
        <v>10</v>
      </c>
      <c r="B11" s="71">
        <v>1</v>
      </c>
      <c r="C11" s="71">
        <v>1</v>
      </c>
      <c r="D11" s="71">
        <v>1</v>
      </c>
      <c r="E11" s="71">
        <v>1</v>
      </c>
      <c r="F11" s="74">
        <v>5</v>
      </c>
      <c r="G11" s="72" t="s">
        <v>67</v>
      </c>
      <c r="H11" s="74">
        <v>15</v>
      </c>
      <c r="I11" s="72" t="s">
        <v>68</v>
      </c>
      <c r="J11" s="74">
        <v>2</v>
      </c>
      <c r="K11" s="72" t="s">
        <v>69</v>
      </c>
      <c r="L11" s="74">
        <v>3</v>
      </c>
      <c r="M11" s="75">
        <v>4</v>
      </c>
      <c r="N11" s="75">
        <v>0.28354978354978355</v>
      </c>
      <c r="O11" s="75">
        <v>1</v>
      </c>
      <c r="P11" s="75">
        <v>1</v>
      </c>
      <c r="Q11" s="75">
        <v>1</v>
      </c>
      <c r="R11" s="75">
        <v>4</v>
      </c>
      <c r="S11" s="75">
        <v>4</v>
      </c>
      <c r="T11" s="75">
        <v>4</v>
      </c>
      <c r="U11" s="75">
        <v>1</v>
      </c>
      <c r="V11" s="75">
        <v>2.5</v>
      </c>
      <c r="W11" s="75">
        <v>0.43560606060606061</v>
      </c>
      <c r="X11" s="75">
        <v>0.6875</v>
      </c>
      <c r="Y11" s="75">
        <v>4.5</v>
      </c>
      <c r="Z11" s="75">
        <v>4</v>
      </c>
      <c r="AA11" s="75">
        <v>1</v>
      </c>
      <c r="AB11" s="75">
        <v>4</v>
      </c>
      <c r="AC11" s="75">
        <v>4</v>
      </c>
      <c r="AD11" s="2" t="s">
        <v>70</v>
      </c>
    </row>
    <row r="12" spans="1:30" x14ac:dyDescent="0.3">
      <c r="A12" s="1">
        <v>11</v>
      </c>
      <c r="B12" s="71">
        <v>1</v>
      </c>
      <c r="C12" s="71">
        <v>1</v>
      </c>
      <c r="D12" s="71">
        <v>1</v>
      </c>
      <c r="E12" s="71">
        <v>1</v>
      </c>
      <c r="F12" s="74">
        <v>5</v>
      </c>
      <c r="G12" s="72" t="s">
        <v>39</v>
      </c>
      <c r="H12" s="74">
        <v>10</v>
      </c>
      <c r="I12" s="72" t="s">
        <v>71</v>
      </c>
      <c r="J12" s="74">
        <v>1</v>
      </c>
      <c r="K12" s="72" t="s">
        <v>72</v>
      </c>
      <c r="L12" s="74">
        <v>3</v>
      </c>
      <c r="M12" s="75">
        <v>4</v>
      </c>
      <c r="N12" s="75">
        <v>0.27705627705627706</v>
      </c>
      <c r="O12" s="75">
        <v>1</v>
      </c>
      <c r="P12" s="75">
        <v>1</v>
      </c>
      <c r="Q12" s="75">
        <v>2</v>
      </c>
      <c r="R12" s="75">
        <v>4</v>
      </c>
      <c r="S12" s="75">
        <v>3</v>
      </c>
      <c r="T12" s="75">
        <v>4</v>
      </c>
      <c r="U12" s="75">
        <v>1</v>
      </c>
      <c r="V12" s="75">
        <v>2.5</v>
      </c>
      <c r="W12" s="75">
        <v>0.43560606060606061</v>
      </c>
      <c r="X12" s="75">
        <v>0.6875</v>
      </c>
      <c r="Y12" s="75">
        <v>4.5</v>
      </c>
      <c r="Z12" s="75">
        <v>4</v>
      </c>
      <c r="AA12" s="75">
        <v>1</v>
      </c>
      <c r="AB12" s="75">
        <v>4</v>
      </c>
      <c r="AC12" s="75">
        <v>4</v>
      </c>
      <c r="AD12" s="2" t="s">
        <v>73</v>
      </c>
    </row>
    <row r="13" spans="1:30" x14ac:dyDescent="0.3">
      <c r="A13" s="1">
        <v>12</v>
      </c>
      <c r="B13" s="71">
        <v>1</v>
      </c>
      <c r="C13" s="71">
        <v>1</v>
      </c>
      <c r="D13" s="71">
        <v>1</v>
      </c>
      <c r="E13" s="71">
        <v>1</v>
      </c>
      <c r="F13" s="74">
        <v>5</v>
      </c>
      <c r="G13" s="72" t="s">
        <v>74</v>
      </c>
      <c r="H13" s="74">
        <v>15</v>
      </c>
      <c r="I13" s="72" t="s">
        <v>55</v>
      </c>
      <c r="J13" s="74">
        <v>2</v>
      </c>
      <c r="K13" s="72" t="s">
        <v>55</v>
      </c>
      <c r="L13" s="74">
        <v>3</v>
      </c>
      <c r="M13" s="75">
        <v>4</v>
      </c>
      <c r="N13" s="75">
        <v>0.30735930735930733</v>
      </c>
      <c r="O13" s="75">
        <v>1</v>
      </c>
      <c r="P13" s="75">
        <v>1</v>
      </c>
      <c r="Q13" s="75">
        <v>1</v>
      </c>
      <c r="R13" s="75">
        <v>4</v>
      </c>
      <c r="S13" s="75">
        <v>4</v>
      </c>
      <c r="T13" s="75">
        <v>4</v>
      </c>
      <c r="U13" s="75">
        <v>1</v>
      </c>
      <c r="V13" s="75">
        <v>2.5</v>
      </c>
      <c r="W13" s="75">
        <v>0.43560606060606061</v>
      </c>
      <c r="X13" s="75">
        <v>0.6875</v>
      </c>
      <c r="Y13" s="75">
        <v>4.5</v>
      </c>
      <c r="Z13" s="75">
        <v>5</v>
      </c>
      <c r="AA13" s="75">
        <v>1</v>
      </c>
      <c r="AB13" s="75">
        <v>4</v>
      </c>
      <c r="AC13" s="75">
        <v>4</v>
      </c>
      <c r="AD13" s="2" t="s">
        <v>75</v>
      </c>
    </row>
    <row r="14" spans="1:30" x14ac:dyDescent="0.3">
      <c r="A14" s="1">
        <v>13</v>
      </c>
      <c r="B14" s="71">
        <v>1</v>
      </c>
      <c r="C14" s="71">
        <v>1</v>
      </c>
      <c r="D14" s="71">
        <v>1</v>
      </c>
      <c r="E14" s="71">
        <v>1</v>
      </c>
      <c r="F14" s="74">
        <v>5</v>
      </c>
      <c r="G14" s="72" t="s">
        <v>76</v>
      </c>
      <c r="H14" s="74">
        <v>10</v>
      </c>
      <c r="I14" s="72" t="s">
        <v>77</v>
      </c>
      <c r="J14" s="74">
        <v>1</v>
      </c>
      <c r="K14" s="72" t="s">
        <v>78</v>
      </c>
      <c r="L14" s="74">
        <v>3</v>
      </c>
      <c r="M14" s="75">
        <v>4</v>
      </c>
      <c r="N14" s="75">
        <v>0.33116883116883117</v>
      </c>
      <c r="O14" s="75">
        <v>1</v>
      </c>
      <c r="P14" s="75">
        <v>2</v>
      </c>
      <c r="Q14" s="75">
        <v>2</v>
      </c>
      <c r="R14" s="75">
        <v>4</v>
      </c>
      <c r="S14" s="75">
        <v>3</v>
      </c>
      <c r="T14" s="75">
        <v>4</v>
      </c>
      <c r="U14" s="75">
        <v>1</v>
      </c>
      <c r="V14" s="75">
        <v>2</v>
      </c>
      <c r="W14" s="75">
        <v>0.34848484848484851</v>
      </c>
      <c r="X14" s="75">
        <v>0.4375</v>
      </c>
      <c r="Y14" s="75">
        <v>4.5</v>
      </c>
      <c r="Z14" s="75">
        <v>4</v>
      </c>
      <c r="AA14" s="75">
        <v>2</v>
      </c>
      <c r="AB14" s="75">
        <v>1</v>
      </c>
      <c r="AC14" s="75">
        <v>1</v>
      </c>
      <c r="AD14" s="2" t="s">
        <v>80</v>
      </c>
    </row>
    <row r="15" spans="1:30" x14ac:dyDescent="0.3">
      <c r="A15" s="1">
        <v>14</v>
      </c>
      <c r="B15" s="71">
        <v>1</v>
      </c>
      <c r="C15" s="71">
        <v>1</v>
      </c>
      <c r="D15" s="71">
        <v>1</v>
      </c>
      <c r="E15" s="71">
        <v>1</v>
      </c>
      <c r="F15" s="74">
        <v>5</v>
      </c>
      <c r="G15" s="72" t="s">
        <v>76</v>
      </c>
      <c r="H15" s="74">
        <v>10</v>
      </c>
      <c r="I15" s="72" t="s">
        <v>77</v>
      </c>
      <c r="J15" s="74">
        <v>1</v>
      </c>
      <c r="K15" s="72">
        <v>8</v>
      </c>
      <c r="L15" s="74">
        <v>1</v>
      </c>
      <c r="M15" s="75">
        <v>3</v>
      </c>
      <c r="N15" s="75">
        <v>0.22294372294372292</v>
      </c>
      <c r="O15" s="75">
        <v>1</v>
      </c>
      <c r="P15" s="75">
        <v>2</v>
      </c>
      <c r="Q15" s="75">
        <v>2</v>
      </c>
      <c r="R15" s="75">
        <v>3</v>
      </c>
      <c r="S15" s="75">
        <v>2</v>
      </c>
      <c r="T15" s="75">
        <v>3</v>
      </c>
      <c r="U15" s="75">
        <v>1</v>
      </c>
      <c r="V15" s="75">
        <v>2</v>
      </c>
      <c r="W15" s="75">
        <v>0.30681818181818182</v>
      </c>
      <c r="X15" s="75">
        <v>0.3125</v>
      </c>
      <c r="Y15" s="75">
        <v>4.5</v>
      </c>
      <c r="Z15" s="75">
        <v>3</v>
      </c>
      <c r="AA15" s="75">
        <v>3</v>
      </c>
      <c r="AB15" s="75">
        <v>4</v>
      </c>
      <c r="AC15" s="75">
        <v>1</v>
      </c>
      <c r="AD15" s="2" t="s">
        <v>82</v>
      </c>
    </row>
    <row r="16" spans="1:30" x14ac:dyDescent="0.3">
      <c r="A16" s="1">
        <v>15</v>
      </c>
      <c r="B16" s="71">
        <v>1</v>
      </c>
      <c r="C16" s="71">
        <v>1</v>
      </c>
      <c r="D16" s="71">
        <v>1</v>
      </c>
      <c r="E16" s="71">
        <v>1</v>
      </c>
      <c r="F16" s="74">
        <v>5</v>
      </c>
      <c r="G16" s="72" t="s">
        <v>83</v>
      </c>
      <c r="H16" s="74">
        <v>15</v>
      </c>
      <c r="I16" s="72" t="s">
        <v>77</v>
      </c>
      <c r="J16" s="74">
        <v>1</v>
      </c>
      <c r="K16" s="72" t="s">
        <v>84</v>
      </c>
      <c r="L16" s="74">
        <v>2</v>
      </c>
      <c r="M16" s="75">
        <v>4</v>
      </c>
      <c r="N16" s="75">
        <v>0.3441558441558441</v>
      </c>
      <c r="O16" s="75">
        <v>1</v>
      </c>
      <c r="P16" s="75">
        <v>2</v>
      </c>
      <c r="Q16" s="75">
        <v>2</v>
      </c>
      <c r="R16" s="75">
        <v>3</v>
      </c>
      <c r="S16" s="75">
        <v>2.5</v>
      </c>
      <c r="T16" s="75">
        <v>4</v>
      </c>
      <c r="U16" s="75">
        <v>1</v>
      </c>
      <c r="V16" s="75">
        <v>2</v>
      </c>
      <c r="W16" s="75">
        <v>0.34848484848484851</v>
      </c>
      <c r="X16" s="75">
        <v>0.5</v>
      </c>
      <c r="Y16" s="75">
        <v>5</v>
      </c>
      <c r="Z16" s="75">
        <v>4</v>
      </c>
      <c r="AA16" s="75">
        <v>2</v>
      </c>
      <c r="AB16" s="75">
        <v>4</v>
      </c>
      <c r="AC16" s="75">
        <v>1</v>
      </c>
      <c r="AD16" s="2" t="s">
        <v>87</v>
      </c>
    </row>
    <row r="17" spans="1:30" x14ac:dyDescent="0.3">
      <c r="A17" s="1">
        <v>16</v>
      </c>
      <c r="B17" s="71">
        <v>1</v>
      </c>
      <c r="C17" s="71">
        <v>1</v>
      </c>
      <c r="D17" s="71">
        <v>1</v>
      </c>
      <c r="E17" s="71">
        <v>1</v>
      </c>
      <c r="F17" s="74">
        <v>5</v>
      </c>
      <c r="G17" s="72" t="s">
        <v>88</v>
      </c>
      <c r="H17" s="74">
        <v>15</v>
      </c>
      <c r="I17" s="72" t="s">
        <v>89</v>
      </c>
      <c r="J17" s="74">
        <v>2</v>
      </c>
      <c r="K17" s="72" t="s">
        <v>90</v>
      </c>
      <c r="L17" s="74">
        <v>3</v>
      </c>
      <c r="M17" s="75">
        <v>4</v>
      </c>
      <c r="N17" s="75">
        <v>0.36147186147186144</v>
      </c>
      <c r="O17" s="75">
        <v>1</v>
      </c>
      <c r="P17" s="75">
        <v>1</v>
      </c>
      <c r="Q17" s="75">
        <v>2</v>
      </c>
      <c r="R17" s="75">
        <v>3</v>
      </c>
      <c r="S17" s="75">
        <v>3.5</v>
      </c>
      <c r="T17" s="75">
        <v>4</v>
      </c>
      <c r="U17" s="75">
        <v>1</v>
      </c>
      <c r="V17" s="75">
        <v>2.5</v>
      </c>
      <c r="W17" s="75">
        <v>0.39015151515151514</v>
      </c>
      <c r="X17" s="75">
        <v>0.3125</v>
      </c>
      <c r="Y17" s="75">
        <v>5</v>
      </c>
      <c r="Z17" s="75">
        <v>3</v>
      </c>
      <c r="AA17" s="75">
        <v>2</v>
      </c>
      <c r="AB17" s="75">
        <v>4</v>
      </c>
      <c r="AC17" s="75">
        <v>1</v>
      </c>
      <c r="AD17" s="2" t="s">
        <v>91</v>
      </c>
    </row>
    <row r="18" spans="1:30" x14ac:dyDescent="0.3">
      <c r="A18" s="1">
        <v>17</v>
      </c>
      <c r="B18" s="71">
        <v>1</v>
      </c>
      <c r="C18" s="71">
        <v>1</v>
      </c>
      <c r="D18" s="71">
        <v>1</v>
      </c>
      <c r="E18" s="71">
        <v>1</v>
      </c>
      <c r="F18" s="74">
        <v>5</v>
      </c>
      <c r="G18" s="72" t="s">
        <v>58</v>
      </c>
      <c r="H18" s="74">
        <v>15</v>
      </c>
      <c r="I18" s="72" t="s">
        <v>92</v>
      </c>
      <c r="J18" s="74">
        <v>1</v>
      </c>
      <c r="K18" s="72" t="s">
        <v>92</v>
      </c>
      <c r="L18" s="74">
        <v>2</v>
      </c>
      <c r="M18" s="75">
        <v>4</v>
      </c>
      <c r="N18" s="75">
        <v>0.3441558441558441</v>
      </c>
      <c r="O18" s="75">
        <v>1</v>
      </c>
      <c r="P18" s="75">
        <v>1</v>
      </c>
      <c r="Q18" s="75">
        <v>1</v>
      </c>
      <c r="R18" s="75">
        <v>3</v>
      </c>
      <c r="S18" s="75">
        <v>3</v>
      </c>
      <c r="T18" s="75">
        <v>3</v>
      </c>
      <c r="U18" s="75">
        <v>1</v>
      </c>
      <c r="V18" s="75">
        <v>2</v>
      </c>
      <c r="W18" s="75">
        <v>0.34848484848484851</v>
      </c>
      <c r="X18" s="75">
        <v>0.3125</v>
      </c>
      <c r="Y18" s="75">
        <v>4.5</v>
      </c>
      <c r="Z18" s="75">
        <v>4</v>
      </c>
      <c r="AA18" s="75">
        <v>2</v>
      </c>
      <c r="AB18" s="75">
        <v>4</v>
      </c>
      <c r="AC18" s="75">
        <v>1</v>
      </c>
      <c r="AD18" s="2" t="s">
        <v>93</v>
      </c>
    </row>
    <row r="19" spans="1:30" x14ac:dyDescent="0.3">
      <c r="A19" s="1">
        <v>18</v>
      </c>
      <c r="B19" s="71">
        <v>1</v>
      </c>
      <c r="C19" s="71">
        <v>1</v>
      </c>
      <c r="D19" s="71">
        <v>1</v>
      </c>
      <c r="E19" s="71">
        <v>1</v>
      </c>
      <c r="F19" s="74">
        <v>5</v>
      </c>
      <c r="G19" s="72" t="s">
        <v>94</v>
      </c>
      <c r="H19" s="74">
        <v>15</v>
      </c>
      <c r="I19" s="72" t="s">
        <v>95</v>
      </c>
      <c r="J19" s="74">
        <v>2</v>
      </c>
      <c r="K19" s="72" t="s">
        <v>96</v>
      </c>
      <c r="L19" s="74">
        <v>3</v>
      </c>
      <c r="M19" s="75">
        <v>4</v>
      </c>
      <c r="N19" s="75">
        <v>0.45887445887445882</v>
      </c>
      <c r="O19" s="75">
        <v>1</v>
      </c>
      <c r="P19" s="75">
        <v>2</v>
      </c>
      <c r="Q19" s="75">
        <v>2</v>
      </c>
      <c r="R19" s="75">
        <v>3</v>
      </c>
      <c r="S19" s="75">
        <v>4</v>
      </c>
      <c r="T19" s="75">
        <v>4</v>
      </c>
      <c r="U19" s="75">
        <v>1</v>
      </c>
      <c r="V19" s="75">
        <v>3</v>
      </c>
      <c r="W19" s="75">
        <v>0.43560606060606061</v>
      </c>
      <c r="X19" s="75">
        <v>0.5</v>
      </c>
      <c r="Y19" s="75">
        <v>4.5</v>
      </c>
      <c r="Z19" s="75">
        <v>5</v>
      </c>
      <c r="AA19" s="75">
        <v>2</v>
      </c>
      <c r="AB19" s="75">
        <v>3</v>
      </c>
      <c r="AC19" s="75">
        <v>2</v>
      </c>
      <c r="AD19" s="2" t="s">
        <v>97</v>
      </c>
    </row>
    <row r="20" spans="1:30" x14ac:dyDescent="0.3">
      <c r="A20" s="1">
        <v>19</v>
      </c>
      <c r="B20" s="71">
        <v>1</v>
      </c>
      <c r="C20" s="71">
        <v>1</v>
      </c>
      <c r="D20" s="71">
        <v>0</v>
      </c>
      <c r="E20" s="71">
        <v>1</v>
      </c>
      <c r="F20" s="74">
        <v>2.5</v>
      </c>
      <c r="G20" s="72" t="s">
        <v>98</v>
      </c>
      <c r="H20" s="74">
        <v>10</v>
      </c>
      <c r="I20" s="72" t="s">
        <v>99</v>
      </c>
      <c r="J20" s="74">
        <v>2</v>
      </c>
      <c r="K20" s="72" t="s">
        <v>100</v>
      </c>
      <c r="L20" s="74">
        <v>2</v>
      </c>
      <c r="M20" s="75">
        <v>5</v>
      </c>
      <c r="N20" s="75">
        <v>0.37878787878787873</v>
      </c>
      <c r="O20" s="75">
        <v>1</v>
      </c>
      <c r="P20" s="75">
        <v>2</v>
      </c>
      <c r="Q20" s="75">
        <v>2</v>
      </c>
      <c r="R20" s="75">
        <v>4</v>
      </c>
      <c r="S20" s="75">
        <v>4</v>
      </c>
      <c r="T20" s="75">
        <v>4</v>
      </c>
      <c r="U20" s="75">
        <v>1</v>
      </c>
      <c r="V20" s="75">
        <v>2.5</v>
      </c>
      <c r="W20" s="75">
        <v>0.48106060606060608</v>
      </c>
      <c r="X20" s="75">
        <v>0.5</v>
      </c>
      <c r="Y20" s="75">
        <v>4</v>
      </c>
      <c r="Z20" s="75">
        <v>4</v>
      </c>
      <c r="AA20" s="75">
        <v>2</v>
      </c>
      <c r="AB20" s="75">
        <v>3</v>
      </c>
      <c r="AC20" s="75">
        <v>1</v>
      </c>
      <c r="AD20" s="2" t="s">
        <v>102</v>
      </c>
    </row>
    <row r="21" spans="1:30" x14ac:dyDescent="0.3">
      <c r="A21" s="1">
        <v>20</v>
      </c>
      <c r="B21" s="71">
        <v>1</v>
      </c>
      <c r="C21" s="71">
        <v>1</v>
      </c>
      <c r="D21" s="71">
        <v>1</v>
      </c>
      <c r="E21" s="71">
        <v>1</v>
      </c>
      <c r="F21" s="74">
        <v>5</v>
      </c>
      <c r="G21" s="72" t="s">
        <v>79</v>
      </c>
      <c r="H21" s="74">
        <v>10</v>
      </c>
      <c r="I21" s="72" t="s">
        <v>103</v>
      </c>
      <c r="J21" s="74">
        <v>1</v>
      </c>
      <c r="K21" s="72" t="s">
        <v>84</v>
      </c>
      <c r="L21" s="74">
        <v>2</v>
      </c>
      <c r="M21" s="75">
        <v>5</v>
      </c>
      <c r="N21" s="75">
        <v>0.37445887445887444</v>
      </c>
      <c r="O21" s="75">
        <v>1</v>
      </c>
      <c r="P21" s="75">
        <v>1</v>
      </c>
      <c r="Q21" s="75">
        <v>1</v>
      </c>
      <c r="R21" s="75">
        <v>5</v>
      </c>
      <c r="S21" s="75">
        <v>4</v>
      </c>
      <c r="T21" s="75">
        <v>4</v>
      </c>
      <c r="U21" s="75">
        <v>1</v>
      </c>
      <c r="V21" s="75">
        <v>2.5</v>
      </c>
      <c r="W21" s="75">
        <v>0.39393939393939392</v>
      </c>
      <c r="X21" s="75">
        <v>0.5625</v>
      </c>
      <c r="Y21" s="75">
        <v>4</v>
      </c>
      <c r="Z21" s="75">
        <v>4</v>
      </c>
      <c r="AA21" s="75">
        <v>1</v>
      </c>
      <c r="AB21" s="75">
        <v>4</v>
      </c>
      <c r="AC21" s="75">
        <v>1</v>
      </c>
      <c r="AD21" s="2" t="s">
        <v>105</v>
      </c>
    </row>
    <row r="22" spans="1:30" x14ac:dyDescent="0.3">
      <c r="A22" s="1">
        <v>21</v>
      </c>
      <c r="B22" s="71">
        <v>1</v>
      </c>
      <c r="C22" s="71">
        <v>1</v>
      </c>
      <c r="D22" s="71">
        <v>1</v>
      </c>
      <c r="E22" s="71">
        <v>1</v>
      </c>
      <c r="F22" s="74">
        <v>5</v>
      </c>
      <c r="G22" s="72" t="s">
        <v>79</v>
      </c>
      <c r="H22" s="74">
        <v>10</v>
      </c>
      <c r="I22" s="72" t="s">
        <v>106</v>
      </c>
      <c r="J22" s="74">
        <v>2</v>
      </c>
      <c r="K22" s="72" t="s">
        <v>99</v>
      </c>
      <c r="L22" s="74">
        <v>3</v>
      </c>
      <c r="M22" s="75">
        <v>4</v>
      </c>
      <c r="N22" s="75">
        <v>0.30735930735930733</v>
      </c>
      <c r="O22" s="75">
        <v>1</v>
      </c>
      <c r="P22" s="75">
        <v>1</v>
      </c>
      <c r="Q22" s="75">
        <v>1</v>
      </c>
      <c r="R22" s="75">
        <v>4</v>
      </c>
      <c r="S22" s="75">
        <v>4</v>
      </c>
      <c r="T22" s="75">
        <v>4</v>
      </c>
      <c r="U22" s="75">
        <v>1</v>
      </c>
      <c r="V22" s="75">
        <v>2.5</v>
      </c>
      <c r="W22" s="75">
        <v>0.34848484848484851</v>
      </c>
      <c r="X22" s="75">
        <v>0.4375</v>
      </c>
      <c r="Y22" s="75">
        <v>3.5</v>
      </c>
      <c r="Z22" s="75">
        <v>4</v>
      </c>
      <c r="AA22" s="75">
        <v>2</v>
      </c>
      <c r="AB22" s="75">
        <v>5</v>
      </c>
      <c r="AC22" s="75">
        <v>2</v>
      </c>
      <c r="AD22" s="2" t="s">
        <v>107</v>
      </c>
    </row>
    <row r="23" spans="1:30" x14ac:dyDescent="0.3">
      <c r="A23" s="1">
        <v>22</v>
      </c>
      <c r="B23" s="71">
        <v>1</v>
      </c>
      <c r="C23" s="71">
        <v>0</v>
      </c>
      <c r="D23" s="71">
        <v>1</v>
      </c>
      <c r="E23" s="71">
        <v>1</v>
      </c>
      <c r="F23" s="74">
        <v>2.5</v>
      </c>
      <c r="G23" s="72" t="s">
        <v>108</v>
      </c>
      <c r="H23" s="74">
        <v>10</v>
      </c>
      <c r="I23" s="72" t="s">
        <v>109</v>
      </c>
      <c r="J23" s="74">
        <v>1</v>
      </c>
      <c r="K23" s="72" t="s">
        <v>77</v>
      </c>
      <c r="L23" s="74">
        <v>2</v>
      </c>
      <c r="M23" s="75">
        <v>4</v>
      </c>
      <c r="N23" s="75">
        <v>0.25324675324675322</v>
      </c>
      <c r="O23" s="75">
        <v>1</v>
      </c>
      <c r="P23" s="75">
        <v>1</v>
      </c>
      <c r="Q23" s="75">
        <v>1</v>
      </c>
      <c r="R23" s="75">
        <v>4</v>
      </c>
      <c r="S23" s="75">
        <v>3.5</v>
      </c>
      <c r="T23" s="75">
        <v>4</v>
      </c>
      <c r="U23" s="75">
        <v>1</v>
      </c>
      <c r="V23" s="75">
        <v>2.5</v>
      </c>
      <c r="W23" s="75">
        <v>0.26515151515151514</v>
      </c>
      <c r="X23" s="75">
        <v>0.3125</v>
      </c>
      <c r="Y23" s="75">
        <v>4.5</v>
      </c>
      <c r="Z23" s="75">
        <v>4</v>
      </c>
      <c r="AA23" s="75">
        <v>2</v>
      </c>
      <c r="AB23" s="75">
        <v>4</v>
      </c>
      <c r="AC23" s="75">
        <v>2</v>
      </c>
      <c r="AD23" s="2" t="s">
        <v>111</v>
      </c>
    </row>
    <row r="24" spans="1:30" x14ac:dyDescent="0.3">
      <c r="A24" s="1">
        <v>23</v>
      </c>
      <c r="B24" s="71">
        <v>1</v>
      </c>
      <c r="C24" s="71">
        <v>1</v>
      </c>
      <c r="D24" s="71">
        <v>1</v>
      </c>
      <c r="E24" s="71">
        <v>1</v>
      </c>
      <c r="F24" s="74">
        <v>5</v>
      </c>
      <c r="G24" s="72" t="s">
        <v>112</v>
      </c>
      <c r="H24" s="74">
        <v>10</v>
      </c>
      <c r="I24" s="72" t="s">
        <v>113</v>
      </c>
      <c r="J24" s="74">
        <v>1</v>
      </c>
      <c r="K24" s="72" t="s">
        <v>113</v>
      </c>
      <c r="L24" s="74">
        <v>2</v>
      </c>
      <c r="M24" s="75">
        <v>4</v>
      </c>
      <c r="N24" s="75">
        <v>0.33116883116883117</v>
      </c>
      <c r="O24" s="75">
        <v>1</v>
      </c>
      <c r="P24" s="75">
        <v>1</v>
      </c>
      <c r="Q24" s="75">
        <v>1</v>
      </c>
      <c r="R24" s="75">
        <v>4</v>
      </c>
      <c r="S24" s="75">
        <v>4</v>
      </c>
      <c r="T24" s="75">
        <v>4</v>
      </c>
      <c r="U24" s="75">
        <v>1</v>
      </c>
      <c r="V24" s="75">
        <v>2.5</v>
      </c>
      <c r="W24" s="75">
        <v>0.35227272727272729</v>
      </c>
      <c r="X24" s="75">
        <v>0.5</v>
      </c>
      <c r="Y24" s="75">
        <v>4.5</v>
      </c>
      <c r="Z24" s="75">
        <v>5</v>
      </c>
      <c r="AA24" s="75">
        <v>1</v>
      </c>
      <c r="AB24" s="75">
        <v>3</v>
      </c>
      <c r="AC24" s="75">
        <v>1</v>
      </c>
      <c r="AD24" s="2" t="s">
        <v>116</v>
      </c>
    </row>
    <row r="25" spans="1:30" x14ac:dyDescent="0.3">
      <c r="A25" s="1">
        <v>24</v>
      </c>
      <c r="B25" s="71">
        <v>1</v>
      </c>
      <c r="C25" s="71">
        <v>1</v>
      </c>
      <c r="D25" s="71">
        <v>1</v>
      </c>
      <c r="E25" s="71">
        <v>1</v>
      </c>
      <c r="F25" s="74">
        <v>5</v>
      </c>
      <c r="G25" s="72" t="s">
        <v>117</v>
      </c>
      <c r="H25" s="74">
        <v>15</v>
      </c>
      <c r="I25" s="72" t="s">
        <v>118</v>
      </c>
      <c r="J25" s="74">
        <v>2</v>
      </c>
      <c r="K25" s="72" t="s">
        <v>115</v>
      </c>
      <c r="L25" s="74">
        <v>2</v>
      </c>
      <c r="M25" s="75">
        <v>5</v>
      </c>
      <c r="N25" s="75">
        <v>0.36147186147186144</v>
      </c>
      <c r="O25" s="75">
        <v>1</v>
      </c>
      <c r="P25" s="75">
        <v>1</v>
      </c>
      <c r="Q25" s="75">
        <v>4</v>
      </c>
      <c r="R25" s="75">
        <v>3</v>
      </c>
      <c r="S25" s="75">
        <v>4</v>
      </c>
      <c r="T25" s="75">
        <v>4</v>
      </c>
      <c r="U25" s="75">
        <v>2</v>
      </c>
      <c r="V25" s="75">
        <v>3</v>
      </c>
      <c r="W25" s="75">
        <v>0.39393939393939392</v>
      </c>
      <c r="X25" s="75">
        <v>0.5</v>
      </c>
      <c r="Y25" s="75">
        <v>4.5</v>
      </c>
      <c r="Z25" s="75">
        <v>5</v>
      </c>
      <c r="AA25" s="75">
        <v>1</v>
      </c>
      <c r="AB25" s="75">
        <v>4</v>
      </c>
      <c r="AC25" s="75">
        <v>1</v>
      </c>
      <c r="AD25" s="2" t="s">
        <v>119</v>
      </c>
    </row>
    <row r="26" spans="1:30" x14ac:dyDescent="0.3">
      <c r="A26" s="1">
        <v>25</v>
      </c>
      <c r="B26" s="71">
        <v>1</v>
      </c>
      <c r="C26" s="71">
        <v>1</v>
      </c>
      <c r="D26" s="71">
        <v>1</v>
      </c>
      <c r="E26" s="71">
        <v>1</v>
      </c>
      <c r="F26" s="74">
        <v>5</v>
      </c>
      <c r="G26" s="72" t="s">
        <v>58</v>
      </c>
      <c r="H26" s="74">
        <v>15</v>
      </c>
      <c r="I26" s="72" t="s">
        <v>120</v>
      </c>
      <c r="J26" s="74">
        <v>2</v>
      </c>
      <c r="K26" s="72" t="s">
        <v>121</v>
      </c>
      <c r="L26" s="74">
        <v>2</v>
      </c>
      <c r="M26" s="75">
        <v>4</v>
      </c>
      <c r="N26" s="75">
        <v>0.33766233766233761</v>
      </c>
      <c r="O26" s="75">
        <v>1</v>
      </c>
      <c r="P26" s="75">
        <v>2</v>
      </c>
      <c r="Q26" s="75">
        <v>3</v>
      </c>
      <c r="R26" s="75">
        <v>3</v>
      </c>
      <c r="S26" s="75">
        <v>2.5</v>
      </c>
      <c r="T26" s="75">
        <v>4</v>
      </c>
      <c r="U26" s="75">
        <v>2.5</v>
      </c>
      <c r="V26" s="75">
        <v>3</v>
      </c>
      <c r="W26" s="75">
        <v>0.43939393939393934</v>
      </c>
      <c r="X26" s="75">
        <v>0.4375</v>
      </c>
      <c r="Y26" s="75">
        <v>2.5</v>
      </c>
      <c r="Z26" s="75">
        <v>4</v>
      </c>
      <c r="AA26" s="75">
        <v>2</v>
      </c>
      <c r="AB26" s="75">
        <v>4</v>
      </c>
      <c r="AC26" s="75">
        <v>3</v>
      </c>
      <c r="AD26" s="2" t="s">
        <v>122</v>
      </c>
    </row>
    <row r="27" spans="1:30" x14ac:dyDescent="0.3">
      <c r="A27" s="1">
        <v>26</v>
      </c>
      <c r="B27" s="71">
        <v>1</v>
      </c>
      <c r="C27" s="71">
        <v>1</v>
      </c>
      <c r="D27" s="71">
        <v>1</v>
      </c>
      <c r="E27" s="71">
        <v>1</v>
      </c>
      <c r="F27" s="74">
        <v>5</v>
      </c>
      <c r="G27" s="72" t="s">
        <v>123</v>
      </c>
      <c r="H27" s="74">
        <v>15</v>
      </c>
      <c r="I27" s="72" t="s">
        <v>29</v>
      </c>
      <c r="J27" s="74">
        <v>1</v>
      </c>
      <c r="K27" s="72" t="s">
        <v>41</v>
      </c>
      <c r="L27" s="74">
        <v>3</v>
      </c>
      <c r="M27" s="75">
        <v>4</v>
      </c>
      <c r="N27" s="75">
        <v>0.367965367965368</v>
      </c>
      <c r="O27" s="75">
        <v>1</v>
      </c>
      <c r="P27" s="75">
        <v>2</v>
      </c>
      <c r="Q27" s="75">
        <v>2</v>
      </c>
      <c r="R27" s="75">
        <v>3</v>
      </c>
      <c r="S27" s="75">
        <v>3</v>
      </c>
      <c r="T27" s="75">
        <v>4</v>
      </c>
      <c r="U27" s="75">
        <v>1.5</v>
      </c>
      <c r="V27" s="75">
        <v>2.5</v>
      </c>
      <c r="W27" s="75">
        <v>0.48106060606060608</v>
      </c>
      <c r="X27" s="75">
        <v>0.3125</v>
      </c>
      <c r="Y27" s="75">
        <v>2.5</v>
      </c>
      <c r="Z27" s="75">
        <v>3</v>
      </c>
      <c r="AA27" s="75">
        <v>2</v>
      </c>
      <c r="AB27" s="75">
        <v>3</v>
      </c>
      <c r="AC27" s="75">
        <v>3</v>
      </c>
      <c r="AD27" s="2" t="s">
        <v>124</v>
      </c>
    </row>
    <row r="28" spans="1:30" x14ac:dyDescent="0.3">
      <c r="A28" s="1">
        <v>27</v>
      </c>
      <c r="B28" s="71">
        <v>1</v>
      </c>
      <c r="C28" s="71">
        <v>1</v>
      </c>
      <c r="D28" s="71">
        <v>1</v>
      </c>
      <c r="E28" s="71">
        <v>1</v>
      </c>
      <c r="F28" s="74">
        <v>5</v>
      </c>
      <c r="G28" s="72" t="s">
        <v>43</v>
      </c>
      <c r="H28" s="74">
        <v>5</v>
      </c>
      <c r="I28" s="72" t="s">
        <v>114</v>
      </c>
      <c r="J28" s="74">
        <v>1</v>
      </c>
      <c r="K28" s="72" t="s">
        <v>125</v>
      </c>
      <c r="L28" s="74">
        <v>2</v>
      </c>
      <c r="M28" s="75">
        <v>4</v>
      </c>
      <c r="N28" s="75">
        <v>0.1688311688311688</v>
      </c>
      <c r="O28" s="75">
        <v>1</v>
      </c>
      <c r="P28" s="75">
        <v>1</v>
      </c>
      <c r="Q28" s="75">
        <v>2</v>
      </c>
      <c r="R28" s="75">
        <v>3</v>
      </c>
      <c r="S28" s="75">
        <v>3</v>
      </c>
      <c r="T28" s="75">
        <v>5</v>
      </c>
      <c r="U28" s="75">
        <v>1</v>
      </c>
      <c r="V28" s="75">
        <v>2.5</v>
      </c>
      <c r="W28" s="75">
        <v>0.30303030303030298</v>
      </c>
      <c r="X28" s="75">
        <v>0.5</v>
      </c>
      <c r="Y28" s="75">
        <v>3</v>
      </c>
      <c r="Z28" s="75">
        <v>5</v>
      </c>
      <c r="AA28" s="75">
        <v>2</v>
      </c>
      <c r="AB28" s="75">
        <v>3</v>
      </c>
      <c r="AC28" s="75">
        <v>2</v>
      </c>
      <c r="AD28" s="2" t="s">
        <v>127</v>
      </c>
    </row>
    <row r="29" spans="1:30" x14ac:dyDescent="0.3">
      <c r="A29" s="1">
        <v>28</v>
      </c>
      <c r="B29" s="71">
        <v>1</v>
      </c>
      <c r="C29" s="71">
        <v>1</v>
      </c>
      <c r="D29" s="71">
        <v>1</v>
      </c>
      <c r="E29" s="71">
        <v>1</v>
      </c>
      <c r="F29" s="74">
        <v>5</v>
      </c>
      <c r="G29" s="72" t="s">
        <v>126</v>
      </c>
      <c r="H29" s="74">
        <v>10</v>
      </c>
      <c r="I29" s="72" t="s">
        <v>128</v>
      </c>
      <c r="J29" s="74">
        <v>2</v>
      </c>
      <c r="K29" s="72" t="s">
        <v>29</v>
      </c>
      <c r="L29" s="74">
        <v>2</v>
      </c>
      <c r="M29" s="75">
        <v>4</v>
      </c>
      <c r="N29" s="75">
        <v>0.22294372294372292</v>
      </c>
      <c r="O29" s="75">
        <v>1</v>
      </c>
      <c r="P29" s="75">
        <v>1</v>
      </c>
      <c r="Q29" s="75">
        <v>2</v>
      </c>
      <c r="R29" s="75">
        <v>4</v>
      </c>
      <c r="S29" s="75">
        <v>3.5</v>
      </c>
      <c r="T29" s="75">
        <v>4</v>
      </c>
      <c r="U29" s="75">
        <v>1</v>
      </c>
      <c r="V29" s="75">
        <v>2.5</v>
      </c>
      <c r="W29" s="75">
        <v>0.26136363636363635</v>
      </c>
      <c r="X29" s="75">
        <v>0.625</v>
      </c>
      <c r="Y29" s="75">
        <v>3</v>
      </c>
      <c r="Z29" s="75">
        <v>5</v>
      </c>
      <c r="AA29" s="75">
        <v>1</v>
      </c>
      <c r="AB29" s="75">
        <v>3</v>
      </c>
      <c r="AC29" s="75">
        <v>2</v>
      </c>
      <c r="AD29" s="2" t="s">
        <v>129</v>
      </c>
    </row>
    <row r="30" spans="1:30" x14ac:dyDescent="0.3">
      <c r="A30" s="1">
        <v>29</v>
      </c>
      <c r="B30" s="71">
        <v>1</v>
      </c>
      <c r="C30" s="71">
        <v>1</v>
      </c>
      <c r="D30" s="71">
        <v>1</v>
      </c>
      <c r="E30" s="71">
        <v>0</v>
      </c>
      <c r="F30" s="74">
        <v>2.5</v>
      </c>
      <c r="G30" s="72" t="s">
        <v>79</v>
      </c>
      <c r="H30" s="74">
        <v>10</v>
      </c>
      <c r="I30" s="72" t="s">
        <v>115</v>
      </c>
      <c r="J30" s="74">
        <v>1</v>
      </c>
      <c r="K30" s="72" t="s">
        <v>43</v>
      </c>
      <c r="L30" s="74">
        <v>2</v>
      </c>
      <c r="M30" s="75">
        <v>4</v>
      </c>
      <c r="N30" s="75">
        <v>0.16233766233766234</v>
      </c>
      <c r="O30" s="75">
        <v>1</v>
      </c>
      <c r="P30" s="75">
        <v>1</v>
      </c>
      <c r="Q30" s="75">
        <v>2</v>
      </c>
      <c r="R30" s="75">
        <v>4</v>
      </c>
      <c r="S30" s="75">
        <v>3</v>
      </c>
      <c r="T30" s="75">
        <v>5</v>
      </c>
      <c r="U30" s="75">
        <v>1</v>
      </c>
      <c r="V30" s="75">
        <v>2.5</v>
      </c>
      <c r="W30" s="75">
        <v>0.17803030303030301</v>
      </c>
      <c r="X30" s="75">
        <v>0.4375</v>
      </c>
      <c r="Y30" s="75">
        <v>3</v>
      </c>
      <c r="Z30" s="75">
        <v>4</v>
      </c>
      <c r="AA30" s="75">
        <v>1</v>
      </c>
      <c r="AB30" s="75">
        <v>3</v>
      </c>
      <c r="AC30" s="75">
        <v>2</v>
      </c>
      <c r="AD30" s="2" t="s">
        <v>131</v>
      </c>
    </row>
    <row r="31" spans="1:30" x14ac:dyDescent="0.3">
      <c r="A31" s="1">
        <v>30</v>
      </c>
      <c r="B31" s="71">
        <v>1</v>
      </c>
      <c r="C31" s="71">
        <v>0</v>
      </c>
      <c r="D31" s="71">
        <v>1</v>
      </c>
      <c r="E31" s="71">
        <v>0</v>
      </c>
      <c r="F31" s="74">
        <v>0</v>
      </c>
      <c r="G31" s="72" t="s">
        <v>130</v>
      </c>
      <c r="H31" s="74">
        <v>5</v>
      </c>
      <c r="I31" s="72">
        <v>2</v>
      </c>
      <c r="J31" s="74">
        <v>0</v>
      </c>
      <c r="K31" s="72">
        <v>5</v>
      </c>
      <c r="L31" s="74">
        <v>1</v>
      </c>
      <c r="M31" s="75">
        <v>3</v>
      </c>
      <c r="N31" s="75">
        <v>0.19913419913419914</v>
      </c>
      <c r="O31" s="75">
        <v>1</v>
      </c>
      <c r="P31" s="75">
        <v>1</v>
      </c>
      <c r="Q31" s="75">
        <v>1</v>
      </c>
      <c r="R31" s="75">
        <v>3</v>
      </c>
      <c r="S31" s="75">
        <v>2.5</v>
      </c>
      <c r="T31" s="75">
        <v>4</v>
      </c>
      <c r="U31" s="75">
        <v>1</v>
      </c>
      <c r="V31" s="75">
        <v>2.5</v>
      </c>
      <c r="W31" s="75">
        <v>0.26136363636363635</v>
      </c>
      <c r="X31" s="75">
        <v>0.4375</v>
      </c>
      <c r="Y31" s="75">
        <v>4.5</v>
      </c>
      <c r="Z31" s="75">
        <v>4</v>
      </c>
      <c r="AA31" s="75">
        <v>2</v>
      </c>
      <c r="AB31" s="75">
        <v>1</v>
      </c>
      <c r="AC31" s="75">
        <v>1</v>
      </c>
      <c r="AD31" s="2" t="s">
        <v>132</v>
      </c>
    </row>
    <row r="32" spans="1:30" x14ac:dyDescent="0.3">
      <c r="A32" s="1">
        <v>31</v>
      </c>
      <c r="B32" s="71">
        <v>1</v>
      </c>
      <c r="C32" s="71">
        <v>1</v>
      </c>
      <c r="D32" s="71">
        <v>0</v>
      </c>
      <c r="E32" s="71">
        <v>1</v>
      </c>
      <c r="F32" s="74">
        <v>2.5</v>
      </c>
      <c r="G32" s="72" t="s">
        <v>130</v>
      </c>
      <c r="H32" s="74">
        <v>5</v>
      </c>
      <c r="I32" s="72" t="s">
        <v>30</v>
      </c>
      <c r="J32" s="74">
        <v>1</v>
      </c>
      <c r="K32" s="72" t="s">
        <v>43</v>
      </c>
      <c r="L32" s="74">
        <v>2</v>
      </c>
      <c r="M32" s="75">
        <v>5</v>
      </c>
      <c r="N32" s="75">
        <v>0.25324675324675328</v>
      </c>
      <c r="O32" s="75">
        <v>1</v>
      </c>
      <c r="P32" s="75">
        <v>1</v>
      </c>
      <c r="Q32" s="75">
        <v>2</v>
      </c>
      <c r="R32" s="75">
        <v>5</v>
      </c>
      <c r="S32" s="75">
        <v>3</v>
      </c>
      <c r="T32" s="75">
        <v>4</v>
      </c>
      <c r="U32" s="75">
        <v>1</v>
      </c>
      <c r="V32" s="75">
        <v>3</v>
      </c>
      <c r="W32" s="75">
        <v>0.17424242424242425</v>
      </c>
      <c r="X32" s="75">
        <v>0.5</v>
      </c>
      <c r="Y32" s="75">
        <v>3</v>
      </c>
      <c r="Z32" s="75">
        <v>5</v>
      </c>
      <c r="AA32" s="75">
        <v>2</v>
      </c>
      <c r="AB32" s="75">
        <v>4</v>
      </c>
      <c r="AC32" s="75">
        <v>1</v>
      </c>
      <c r="AD32" s="2" t="s">
        <v>134</v>
      </c>
    </row>
    <row r="33" spans="1:30" x14ac:dyDescent="0.3">
      <c r="A33" s="1">
        <v>32</v>
      </c>
      <c r="B33" s="71">
        <v>1</v>
      </c>
      <c r="C33" s="71">
        <v>1</v>
      </c>
      <c r="D33" s="71">
        <v>1</v>
      </c>
      <c r="E33" s="71">
        <v>1</v>
      </c>
      <c r="F33" s="74">
        <v>5</v>
      </c>
      <c r="G33" s="72" t="s">
        <v>108</v>
      </c>
      <c r="H33" s="74">
        <v>10</v>
      </c>
      <c r="I33" s="72" t="s">
        <v>121</v>
      </c>
      <c r="J33" s="74">
        <v>1</v>
      </c>
      <c r="K33" s="72" t="s">
        <v>121</v>
      </c>
      <c r="L33" s="74">
        <v>2</v>
      </c>
      <c r="M33" s="75">
        <v>5</v>
      </c>
      <c r="N33" s="75">
        <v>0.22294372294372297</v>
      </c>
      <c r="O33" s="75">
        <v>1</v>
      </c>
      <c r="P33" s="75">
        <v>1</v>
      </c>
      <c r="Q33" s="75">
        <v>1</v>
      </c>
      <c r="R33" s="75">
        <v>5</v>
      </c>
      <c r="S33" s="75">
        <v>4</v>
      </c>
      <c r="T33" s="75">
        <v>5</v>
      </c>
      <c r="U33" s="75">
        <v>1</v>
      </c>
      <c r="V33" s="75">
        <v>3</v>
      </c>
      <c r="W33" s="75">
        <v>0.34848484848484851</v>
      </c>
      <c r="X33" s="75">
        <v>0.625</v>
      </c>
      <c r="Y33" s="75">
        <v>4</v>
      </c>
      <c r="Z33" s="75">
        <v>5</v>
      </c>
      <c r="AA33" s="75">
        <v>2</v>
      </c>
      <c r="AB33" s="75">
        <v>3</v>
      </c>
      <c r="AC33" s="75">
        <v>2</v>
      </c>
      <c r="AD33" s="2" t="s">
        <v>135</v>
      </c>
    </row>
    <row r="34" spans="1:30" x14ac:dyDescent="0.3">
      <c r="A34" s="1">
        <v>33</v>
      </c>
      <c r="B34" s="71">
        <v>1</v>
      </c>
      <c r="C34" s="71">
        <v>0</v>
      </c>
      <c r="D34" s="71">
        <v>1</v>
      </c>
      <c r="E34" s="71">
        <v>0</v>
      </c>
      <c r="F34" s="74">
        <v>0</v>
      </c>
      <c r="G34" s="72" t="s">
        <v>76</v>
      </c>
      <c r="H34" s="74">
        <v>10</v>
      </c>
      <c r="I34" s="72" t="s">
        <v>136</v>
      </c>
      <c r="J34" s="74">
        <v>2</v>
      </c>
      <c r="K34" s="72" t="s">
        <v>121</v>
      </c>
      <c r="L34" s="74">
        <v>2</v>
      </c>
      <c r="M34" s="75">
        <v>5</v>
      </c>
      <c r="N34" s="75">
        <v>0.24675324675324672</v>
      </c>
      <c r="O34" s="75">
        <v>1</v>
      </c>
      <c r="P34" s="75">
        <v>1</v>
      </c>
      <c r="Q34" s="75">
        <v>1</v>
      </c>
      <c r="R34" s="75">
        <v>5</v>
      </c>
      <c r="S34" s="75">
        <v>4</v>
      </c>
      <c r="T34" s="75">
        <v>5</v>
      </c>
      <c r="U34" s="75">
        <v>1</v>
      </c>
      <c r="V34" s="75">
        <v>3</v>
      </c>
      <c r="W34" s="75">
        <v>0.26136363636363635</v>
      </c>
      <c r="X34" s="75">
        <v>0.625</v>
      </c>
      <c r="Y34" s="75">
        <v>4</v>
      </c>
      <c r="Z34" s="75">
        <v>5</v>
      </c>
      <c r="AA34" s="75">
        <v>1</v>
      </c>
      <c r="AB34" s="75">
        <v>5</v>
      </c>
      <c r="AC34" s="75">
        <v>2</v>
      </c>
      <c r="AD34" s="2" t="s">
        <v>137</v>
      </c>
    </row>
    <row r="35" spans="1:30" x14ac:dyDescent="0.3">
      <c r="A35" s="1">
        <v>34</v>
      </c>
      <c r="B35" s="71">
        <v>1</v>
      </c>
      <c r="C35" s="71">
        <v>1</v>
      </c>
      <c r="D35" s="71">
        <v>1</v>
      </c>
      <c r="E35" s="71">
        <v>1</v>
      </c>
      <c r="F35" s="74">
        <v>5</v>
      </c>
      <c r="G35" s="72" t="s">
        <v>138</v>
      </c>
      <c r="H35" s="74">
        <v>10</v>
      </c>
      <c r="I35" s="72" t="s">
        <v>139</v>
      </c>
      <c r="J35" s="74">
        <v>2</v>
      </c>
      <c r="K35" s="72" t="s">
        <v>140</v>
      </c>
      <c r="L35" s="74">
        <v>3</v>
      </c>
      <c r="M35" s="75">
        <v>5</v>
      </c>
      <c r="N35" s="75">
        <v>0.25324675324675328</v>
      </c>
      <c r="O35" s="75">
        <v>1</v>
      </c>
      <c r="P35" s="75">
        <v>2</v>
      </c>
      <c r="Q35" s="75">
        <v>2</v>
      </c>
      <c r="R35" s="75">
        <v>5</v>
      </c>
      <c r="S35" s="75">
        <v>3</v>
      </c>
      <c r="T35" s="75">
        <v>5</v>
      </c>
      <c r="U35" s="75">
        <v>1.5</v>
      </c>
      <c r="V35" s="75">
        <v>3</v>
      </c>
      <c r="W35" s="75">
        <v>0.39015151515151514</v>
      </c>
      <c r="X35" s="75">
        <v>0.3125</v>
      </c>
      <c r="Y35" s="75">
        <v>3</v>
      </c>
      <c r="Z35" s="75">
        <v>5</v>
      </c>
      <c r="AA35" s="75">
        <v>1</v>
      </c>
      <c r="AB35" s="75">
        <v>2</v>
      </c>
      <c r="AC35" s="75">
        <v>5</v>
      </c>
      <c r="AD35" s="2" t="s">
        <v>141</v>
      </c>
    </row>
    <row r="36" spans="1:30" x14ac:dyDescent="0.3">
      <c r="A36" s="1">
        <v>35</v>
      </c>
      <c r="B36" s="71">
        <v>0</v>
      </c>
      <c r="C36" s="71">
        <v>0</v>
      </c>
      <c r="D36" s="71">
        <v>1</v>
      </c>
      <c r="E36" s="71">
        <v>0</v>
      </c>
      <c r="F36" s="74">
        <v>-2.5</v>
      </c>
      <c r="G36" s="72" t="s">
        <v>142</v>
      </c>
      <c r="H36" s="74">
        <v>10</v>
      </c>
      <c r="I36" s="72" t="s">
        <v>43</v>
      </c>
      <c r="J36" s="74">
        <v>1</v>
      </c>
      <c r="K36" s="72" t="s">
        <v>43</v>
      </c>
      <c r="L36" s="74">
        <v>2</v>
      </c>
      <c r="M36" s="75">
        <v>3</v>
      </c>
      <c r="N36" s="75">
        <v>0.16233766233766234</v>
      </c>
      <c r="O36" s="75">
        <v>1</v>
      </c>
      <c r="P36" s="75">
        <v>1</v>
      </c>
      <c r="Q36" s="75">
        <v>1</v>
      </c>
      <c r="R36" s="75">
        <v>3</v>
      </c>
      <c r="S36" s="75">
        <v>2</v>
      </c>
      <c r="T36" s="75">
        <v>3</v>
      </c>
      <c r="U36" s="75">
        <v>1</v>
      </c>
      <c r="V36" s="75">
        <v>2.5</v>
      </c>
      <c r="W36" s="75">
        <v>8.7121212121212127E-2</v>
      </c>
      <c r="X36" s="75">
        <v>0.3125</v>
      </c>
      <c r="Y36" s="75">
        <v>3</v>
      </c>
      <c r="Z36" s="75">
        <v>3</v>
      </c>
      <c r="AA36" s="75">
        <v>2</v>
      </c>
      <c r="AB36" s="75">
        <v>4</v>
      </c>
      <c r="AC36" s="75">
        <v>1</v>
      </c>
      <c r="AD36" s="2" t="s">
        <v>143</v>
      </c>
    </row>
    <row r="37" spans="1:30" x14ac:dyDescent="0.3">
      <c r="A37" s="1">
        <v>36</v>
      </c>
      <c r="B37" s="71">
        <v>1</v>
      </c>
      <c r="C37" s="71">
        <v>1</v>
      </c>
      <c r="D37" s="71">
        <v>1</v>
      </c>
      <c r="E37" s="71">
        <v>0</v>
      </c>
      <c r="F37" s="74">
        <v>2.5</v>
      </c>
      <c r="G37" s="72" t="s">
        <v>142</v>
      </c>
      <c r="H37" s="74">
        <v>10</v>
      </c>
      <c r="I37" s="72">
        <v>2</v>
      </c>
      <c r="J37" s="74">
        <v>0</v>
      </c>
      <c r="K37" s="72">
        <v>2</v>
      </c>
      <c r="L37" s="74">
        <v>1</v>
      </c>
      <c r="M37" s="75">
        <v>5</v>
      </c>
      <c r="N37" s="75">
        <v>0.19913419913419914</v>
      </c>
      <c r="O37" s="75">
        <v>1</v>
      </c>
      <c r="P37" s="75">
        <v>1</v>
      </c>
      <c r="Q37" s="75">
        <v>1</v>
      </c>
      <c r="R37" s="75">
        <v>3</v>
      </c>
      <c r="S37" s="75">
        <v>3</v>
      </c>
      <c r="T37" s="75">
        <v>4</v>
      </c>
      <c r="U37" s="75">
        <v>1</v>
      </c>
      <c r="V37" s="75">
        <v>2.5</v>
      </c>
      <c r="W37" s="75">
        <v>0.30303030303030298</v>
      </c>
      <c r="X37" s="75">
        <v>0.625</v>
      </c>
      <c r="Y37" s="75">
        <v>4</v>
      </c>
      <c r="Z37" s="75">
        <v>5</v>
      </c>
      <c r="AA37" s="75">
        <v>1</v>
      </c>
      <c r="AB37" s="75">
        <v>2</v>
      </c>
      <c r="AC37" s="75">
        <v>1</v>
      </c>
      <c r="AD37" s="2" t="s">
        <v>144</v>
      </c>
    </row>
    <row r="38" spans="1:30" x14ac:dyDescent="0.3">
      <c r="A38" s="1">
        <v>37</v>
      </c>
      <c r="B38" s="71">
        <v>1</v>
      </c>
      <c r="C38" s="71">
        <v>0</v>
      </c>
      <c r="D38" s="71">
        <v>0</v>
      </c>
      <c r="E38" s="71">
        <v>0</v>
      </c>
      <c r="F38" s="74">
        <v>-2.5</v>
      </c>
      <c r="G38" s="72" t="s">
        <v>145</v>
      </c>
      <c r="H38" s="74">
        <v>10</v>
      </c>
      <c r="I38" s="72">
        <v>2</v>
      </c>
      <c r="J38" s="74">
        <v>0</v>
      </c>
      <c r="K38" s="72">
        <v>2</v>
      </c>
      <c r="L38" s="74">
        <v>1</v>
      </c>
      <c r="M38" s="75">
        <v>5</v>
      </c>
      <c r="N38" s="75">
        <v>0.11471861471861473</v>
      </c>
      <c r="O38" s="75">
        <v>1</v>
      </c>
      <c r="P38" s="75">
        <v>1</v>
      </c>
      <c r="Q38" s="75">
        <v>1</v>
      </c>
      <c r="R38" s="75">
        <v>4</v>
      </c>
      <c r="S38" s="75">
        <v>3.5</v>
      </c>
      <c r="T38" s="75">
        <v>5</v>
      </c>
      <c r="U38" s="75">
        <v>1</v>
      </c>
      <c r="V38" s="75">
        <v>2</v>
      </c>
      <c r="W38" s="75">
        <v>0.26136363636363635</v>
      </c>
      <c r="X38" s="75">
        <v>0.5625</v>
      </c>
      <c r="Y38" s="75">
        <v>4</v>
      </c>
      <c r="Z38" s="75">
        <v>5</v>
      </c>
      <c r="AA38" s="75">
        <v>2</v>
      </c>
      <c r="AB38" s="75">
        <v>3</v>
      </c>
      <c r="AC38" s="75">
        <v>2</v>
      </c>
      <c r="AD38" s="2" t="s">
        <v>146</v>
      </c>
    </row>
    <row r="39" spans="1:30" x14ac:dyDescent="0.3">
      <c r="A39" s="1">
        <v>38</v>
      </c>
      <c r="B39" s="71">
        <v>1</v>
      </c>
      <c r="C39" s="71">
        <v>0</v>
      </c>
      <c r="D39" s="71">
        <v>1</v>
      </c>
      <c r="E39" s="71">
        <v>0</v>
      </c>
      <c r="F39" s="74">
        <v>0</v>
      </c>
      <c r="G39" s="72" t="s">
        <v>147</v>
      </c>
      <c r="H39" s="74">
        <v>5</v>
      </c>
      <c r="I39" s="72" t="s">
        <v>148</v>
      </c>
      <c r="J39" s="74">
        <v>1</v>
      </c>
      <c r="K39" s="72" t="s">
        <v>149</v>
      </c>
      <c r="L39" s="74">
        <v>2</v>
      </c>
      <c r="M39" s="75">
        <v>3</v>
      </c>
      <c r="N39" s="75">
        <v>0.22294372294372292</v>
      </c>
      <c r="O39" s="75">
        <v>0.66666666666666663</v>
      </c>
      <c r="P39" s="75">
        <v>1</v>
      </c>
      <c r="Q39" s="75">
        <v>3</v>
      </c>
      <c r="R39" s="75">
        <v>2</v>
      </c>
      <c r="S39" s="75">
        <v>2</v>
      </c>
      <c r="T39" s="75">
        <v>2</v>
      </c>
      <c r="U39" s="75">
        <v>1</v>
      </c>
      <c r="V39" s="75">
        <v>2.5</v>
      </c>
      <c r="W39" s="75">
        <v>0.13257575757575757</v>
      </c>
      <c r="X39" s="75">
        <v>0.25</v>
      </c>
      <c r="Y39" s="75">
        <v>4.5</v>
      </c>
      <c r="Z39" s="75">
        <v>2</v>
      </c>
      <c r="AA39" s="75">
        <v>3</v>
      </c>
      <c r="AB39" s="75">
        <v>5</v>
      </c>
      <c r="AC39" s="75">
        <v>1</v>
      </c>
      <c r="AD39" s="2" t="s">
        <v>152</v>
      </c>
    </row>
    <row r="40" spans="1:30" x14ac:dyDescent="0.3">
      <c r="A40" s="1">
        <v>39</v>
      </c>
      <c r="B40" s="71">
        <v>1</v>
      </c>
      <c r="C40" s="71">
        <v>1</v>
      </c>
      <c r="D40" s="71">
        <v>1</v>
      </c>
      <c r="E40" s="71">
        <v>0</v>
      </c>
      <c r="F40" s="74">
        <v>2.5</v>
      </c>
      <c r="G40" s="72" t="s">
        <v>147</v>
      </c>
      <c r="H40" s="74">
        <v>5</v>
      </c>
      <c r="I40" s="72" t="s">
        <v>153</v>
      </c>
      <c r="J40" s="74">
        <v>1</v>
      </c>
      <c r="K40" s="72">
        <v>1</v>
      </c>
      <c r="L40" s="74">
        <v>1</v>
      </c>
      <c r="M40" s="75">
        <v>4</v>
      </c>
      <c r="N40" s="75">
        <v>0.19264069264069264</v>
      </c>
      <c r="O40" s="75">
        <v>1</v>
      </c>
      <c r="P40" s="75">
        <v>1</v>
      </c>
      <c r="Q40" s="75">
        <v>3</v>
      </c>
      <c r="R40" s="75">
        <v>4</v>
      </c>
      <c r="S40" s="75">
        <v>2.5</v>
      </c>
      <c r="T40" s="75">
        <v>2</v>
      </c>
      <c r="U40" s="75">
        <v>1</v>
      </c>
      <c r="V40" s="75">
        <v>3.5</v>
      </c>
      <c r="W40" s="75">
        <v>0.21969696969696967</v>
      </c>
      <c r="X40" s="75">
        <v>0.625</v>
      </c>
      <c r="Y40" s="75">
        <v>5</v>
      </c>
      <c r="Z40" s="75">
        <v>5</v>
      </c>
      <c r="AA40" s="75">
        <v>2</v>
      </c>
      <c r="AB40" s="75">
        <v>4</v>
      </c>
      <c r="AC40" s="75">
        <v>5</v>
      </c>
      <c r="AD40" s="2" t="s">
        <v>155</v>
      </c>
    </row>
    <row r="41" spans="1:30" x14ac:dyDescent="0.3">
      <c r="A41" s="1">
        <v>40</v>
      </c>
      <c r="B41" s="71">
        <v>1</v>
      </c>
      <c r="C41" s="71">
        <v>1</v>
      </c>
      <c r="D41" s="71">
        <v>1</v>
      </c>
      <c r="E41" s="71">
        <v>1</v>
      </c>
      <c r="F41" s="74">
        <v>5</v>
      </c>
      <c r="G41" s="72">
        <v>6</v>
      </c>
      <c r="H41" s="74">
        <v>5</v>
      </c>
      <c r="I41" s="72">
        <v>8</v>
      </c>
      <c r="J41" s="74">
        <v>0</v>
      </c>
      <c r="K41" s="72">
        <v>1</v>
      </c>
      <c r="L41" s="74">
        <v>1</v>
      </c>
      <c r="M41" s="75">
        <v>3</v>
      </c>
      <c r="N41" s="75">
        <v>0.13852813852813853</v>
      </c>
      <c r="O41" s="75">
        <v>1</v>
      </c>
      <c r="P41" s="75">
        <v>2</v>
      </c>
      <c r="Q41" s="75">
        <v>3</v>
      </c>
      <c r="R41" s="75">
        <v>3</v>
      </c>
      <c r="S41" s="75">
        <v>2.5</v>
      </c>
      <c r="T41" s="75">
        <v>4</v>
      </c>
      <c r="U41" s="75">
        <v>1</v>
      </c>
      <c r="V41" s="75">
        <v>2</v>
      </c>
      <c r="W41" s="75">
        <v>0.26136363636363635</v>
      </c>
      <c r="X41" s="75">
        <v>0.375</v>
      </c>
      <c r="Y41" s="75">
        <v>4</v>
      </c>
      <c r="Z41" s="75">
        <v>4</v>
      </c>
      <c r="AA41" s="75">
        <v>2</v>
      </c>
      <c r="AB41" s="75">
        <v>2</v>
      </c>
      <c r="AC41" s="75">
        <v>2</v>
      </c>
      <c r="AD41" s="2" t="s">
        <v>158</v>
      </c>
    </row>
    <row r="42" spans="1:30" x14ac:dyDescent="0.3">
      <c r="A42" s="1">
        <v>41</v>
      </c>
      <c r="B42" s="71">
        <v>1</v>
      </c>
      <c r="C42" s="71">
        <v>1</v>
      </c>
      <c r="D42" s="71">
        <v>1</v>
      </c>
      <c r="E42" s="71">
        <v>1</v>
      </c>
      <c r="F42" s="74">
        <v>5</v>
      </c>
      <c r="G42" s="72" t="s">
        <v>159</v>
      </c>
      <c r="H42" s="74">
        <v>10</v>
      </c>
      <c r="I42" s="72" t="s">
        <v>160</v>
      </c>
      <c r="J42" s="74">
        <v>2</v>
      </c>
      <c r="K42" s="72" t="s">
        <v>157</v>
      </c>
      <c r="L42" s="74">
        <v>2</v>
      </c>
      <c r="M42" s="75">
        <v>4</v>
      </c>
      <c r="N42" s="75">
        <v>0.33766233766233761</v>
      </c>
      <c r="O42" s="75">
        <v>1</v>
      </c>
      <c r="P42" s="75">
        <v>1</v>
      </c>
      <c r="Q42" s="75">
        <v>3</v>
      </c>
      <c r="R42" s="75">
        <v>3</v>
      </c>
      <c r="S42" s="75">
        <v>4</v>
      </c>
      <c r="T42" s="75">
        <v>3</v>
      </c>
      <c r="U42" s="75">
        <v>1</v>
      </c>
      <c r="V42" s="75">
        <v>2.5</v>
      </c>
      <c r="W42" s="75">
        <v>0.17424242424242425</v>
      </c>
      <c r="X42" s="75">
        <v>0.5</v>
      </c>
      <c r="Y42" s="75">
        <v>4.5</v>
      </c>
      <c r="Z42" s="75">
        <v>4</v>
      </c>
      <c r="AA42" s="75">
        <v>2</v>
      </c>
      <c r="AB42" s="75">
        <v>2</v>
      </c>
      <c r="AC42" s="75">
        <v>3</v>
      </c>
      <c r="AD42" s="2" t="s">
        <v>162</v>
      </c>
    </row>
    <row r="43" spans="1:30" x14ac:dyDescent="0.3">
      <c r="A43" s="1">
        <v>42</v>
      </c>
      <c r="B43" s="71">
        <v>1</v>
      </c>
      <c r="C43" s="71">
        <v>1</v>
      </c>
      <c r="D43" s="71">
        <v>1</v>
      </c>
      <c r="E43" s="71">
        <v>0</v>
      </c>
      <c r="F43" s="74">
        <v>2.5</v>
      </c>
      <c r="G43" s="72" t="s">
        <v>163</v>
      </c>
      <c r="H43" s="74">
        <v>5</v>
      </c>
      <c r="I43" s="72" t="s">
        <v>164</v>
      </c>
      <c r="J43" s="74">
        <v>1</v>
      </c>
      <c r="K43" s="72" t="s">
        <v>161</v>
      </c>
      <c r="L43" s="74">
        <v>2</v>
      </c>
      <c r="M43" s="75">
        <v>3</v>
      </c>
      <c r="N43" s="75">
        <v>0.18614718614718617</v>
      </c>
      <c r="O43" s="75">
        <v>1</v>
      </c>
      <c r="P43" s="75">
        <v>4</v>
      </c>
      <c r="Q43" s="75">
        <v>3</v>
      </c>
      <c r="R43" s="75">
        <v>3</v>
      </c>
      <c r="S43" s="75">
        <v>3.5</v>
      </c>
      <c r="T43" s="75">
        <v>3</v>
      </c>
      <c r="U43" s="75">
        <v>1</v>
      </c>
      <c r="V43" s="75">
        <v>2</v>
      </c>
      <c r="W43" s="75">
        <v>0.34848484848484851</v>
      </c>
      <c r="X43" s="75">
        <v>0.5625</v>
      </c>
      <c r="Y43" s="75">
        <v>4.5</v>
      </c>
      <c r="Z43" s="75">
        <v>4</v>
      </c>
      <c r="AA43" s="75">
        <v>3</v>
      </c>
      <c r="AB43" s="75">
        <v>3</v>
      </c>
      <c r="AC43" s="75">
        <v>2</v>
      </c>
      <c r="AD43" s="2" t="s">
        <v>165</v>
      </c>
    </row>
    <row r="44" spans="1:30" x14ac:dyDescent="0.3">
      <c r="A44" s="1">
        <v>43</v>
      </c>
      <c r="B44" s="71">
        <v>1</v>
      </c>
      <c r="C44" s="71">
        <v>1</v>
      </c>
      <c r="D44" s="71">
        <v>0</v>
      </c>
      <c r="E44" s="71">
        <v>0</v>
      </c>
      <c r="F44" s="74">
        <v>0</v>
      </c>
      <c r="G44" s="72" t="s">
        <v>166</v>
      </c>
      <c r="H44" s="74">
        <v>10</v>
      </c>
      <c r="I44" s="72" t="s">
        <v>99</v>
      </c>
      <c r="J44" s="74">
        <v>2</v>
      </c>
      <c r="K44" s="72">
        <v>8</v>
      </c>
      <c r="L44" s="74">
        <v>1</v>
      </c>
      <c r="M44" s="75">
        <v>2</v>
      </c>
      <c r="N44" s="75">
        <v>0.18614718614718614</v>
      </c>
      <c r="O44" s="75">
        <v>1</v>
      </c>
      <c r="P44" s="75">
        <v>2</v>
      </c>
      <c r="Q44" s="75">
        <v>4</v>
      </c>
      <c r="R44" s="75">
        <v>2</v>
      </c>
      <c r="S44" s="75">
        <v>2</v>
      </c>
      <c r="T44" s="75">
        <v>2</v>
      </c>
      <c r="U44" s="75">
        <v>1.5</v>
      </c>
      <c r="V44" s="75">
        <v>2</v>
      </c>
      <c r="W44" s="75">
        <v>0.26515151515151514</v>
      </c>
      <c r="X44" s="75">
        <v>0.25</v>
      </c>
      <c r="Y44" s="75">
        <v>4</v>
      </c>
      <c r="Z44" s="75">
        <v>4</v>
      </c>
      <c r="AA44" s="75">
        <v>4</v>
      </c>
      <c r="AB44" s="75">
        <v>2</v>
      </c>
      <c r="AC44" s="75">
        <v>1</v>
      </c>
      <c r="AD44" s="2" t="s">
        <v>169</v>
      </c>
    </row>
    <row r="45" spans="1:30" x14ac:dyDescent="0.3">
      <c r="A45" s="1">
        <v>44</v>
      </c>
      <c r="B45" s="71">
        <v>1</v>
      </c>
      <c r="C45" s="71">
        <v>1</v>
      </c>
      <c r="D45" s="71">
        <v>1</v>
      </c>
      <c r="E45" s="71">
        <v>1</v>
      </c>
      <c r="F45" s="74">
        <v>5</v>
      </c>
      <c r="G45" s="72" t="s">
        <v>170</v>
      </c>
      <c r="H45" s="74">
        <v>15</v>
      </c>
      <c r="I45" s="72" t="s">
        <v>125</v>
      </c>
      <c r="J45" s="74">
        <v>1</v>
      </c>
      <c r="K45" s="72" t="s">
        <v>109</v>
      </c>
      <c r="L45" s="74">
        <v>2</v>
      </c>
      <c r="M45" s="75">
        <v>5</v>
      </c>
      <c r="N45" s="75">
        <v>0.27705627705627706</v>
      </c>
      <c r="O45" s="75">
        <v>1</v>
      </c>
      <c r="P45" s="75">
        <v>1</v>
      </c>
      <c r="Q45" s="75">
        <v>2</v>
      </c>
      <c r="R45" s="75">
        <v>4</v>
      </c>
      <c r="S45" s="75">
        <v>4.5</v>
      </c>
      <c r="T45" s="75">
        <v>5</v>
      </c>
      <c r="U45" s="75">
        <v>1</v>
      </c>
      <c r="V45" s="75">
        <v>3</v>
      </c>
      <c r="W45" s="75">
        <v>0.35227272727272729</v>
      </c>
      <c r="X45" s="75">
        <v>0.6875</v>
      </c>
      <c r="Y45" s="75">
        <v>3.5</v>
      </c>
      <c r="Z45" s="75">
        <v>5</v>
      </c>
      <c r="AA45" s="75">
        <v>1</v>
      </c>
      <c r="AB45" s="75">
        <v>4</v>
      </c>
      <c r="AC45" s="75">
        <v>1</v>
      </c>
      <c r="AD45" s="2" t="s">
        <v>171</v>
      </c>
    </row>
    <row r="46" spans="1:30" x14ac:dyDescent="0.3">
      <c r="A46" s="1">
        <v>45</v>
      </c>
      <c r="B46" s="71">
        <v>1</v>
      </c>
      <c r="C46" s="71">
        <v>0</v>
      </c>
      <c r="D46" s="71">
        <v>1</v>
      </c>
      <c r="E46" s="71">
        <v>1</v>
      </c>
      <c r="F46" s="74">
        <v>2.5</v>
      </c>
      <c r="G46" s="72" t="s">
        <v>172</v>
      </c>
      <c r="H46" s="74">
        <v>10</v>
      </c>
      <c r="I46" s="72" t="s">
        <v>121</v>
      </c>
      <c r="J46" s="74">
        <v>1</v>
      </c>
      <c r="K46" s="72">
        <v>1</v>
      </c>
      <c r="L46" s="74">
        <v>1</v>
      </c>
      <c r="M46" s="75">
        <v>5</v>
      </c>
      <c r="N46" s="75">
        <v>0.18614718614718614</v>
      </c>
      <c r="O46" s="75">
        <v>1</v>
      </c>
      <c r="P46" s="75">
        <v>1</v>
      </c>
      <c r="Q46" s="75">
        <v>2</v>
      </c>
      <c r="R46" s="75">
        <v>4</v>
      </c>
      <c r="S46" s="75">
        <v>4</v>
      </c>
      <c r="T46" s="75">
        <v>5</v>
      </c>
      <c r="U46" s="75">
        <v>1</v>
      </c>
      <c r="V46" s="75">
        <v>1.5</v>
      </c>
      <c r="W46" s="75">
        <v>0.17045454545454547</v>
      </c>
      <c r="X46" s="75">
        <v>0.3125</v>
      </c>
      <c r="Y46" s="75">
        <v>2.5</v>
      </c>
      <c r="Z46" s="75">
        <v>4</v>
      </c>
      <c r="AA46" s="75">
        <v>2</v>
      </c>
      <c r="AB46" s="75">
        <v>4</v>
      </c>
      <c r="AC46" s="75">
        <v>2</v>
      </c>
      <c r="AD46" s="2" t="s">
        <v>173</v>
      </c>
    </row>
    <row r="47" spans="1:30" x14ac:dyDescent="0.3">
      <c r="A47" s="1">
        <v>46</v>
      </c>
      <c r="B47" s="71">
        <v>0</v>
      </c>
      <c r="C47" s="71">
        <v>0</v>
      </c>
      <c r="D47" s="71">
        <v>1</v>
      </c>
      <c r="E47" s="71">
        <v>0</v>
      </c>
      <c r="F47" s="74">
        <v>-2.5</v>
      </c>
      <c r="G47" s="72">
        <v>6</v>
      </c>
      <c r="H47" s="74">
        <v>5</v>
      </c>
      <c r="I47" s="72" t="s">
        <v>125</v>
      </c>
      <c r="J47" s="74">
        <v>1</v>
      </c>
      <c r="K47" s="72">
        <v>5</v>
      </c>
      <c r="L47" s="74">
        <v>1</v>
      </c>
      <c r="M47" s="75">
        <v>3</v>
      </c>
      <c r="N47" s="75">
        <v>0.22943722943722947</v>
      </c>
      <c r="O47" s="75">
        <v>1</v>
      </c>
      <c r="P47" s="75">
        <v>2</v>
      </c>
      <c r="Q47" s="75">
        <v>3</v>
      </c>
      <c r="R47" s="75">
        <v>4</v>
      </c>
      <c r="S47" s="75">
        <v>3.5</v>
      </c>
      <c r="T47" s="75">
        <v>2</v>
      </c>
      <c r="U47" s="75">
        <v>1</v>
      </c>
      <c r="V47" s="75">
        <v>1.5</v>
      </c>
      <c r="W47" s="75">
        <v>0.26136363636363635</v>
      </c>
      <c r="X47" s="75">
        <v>0.375</v>
      </c>
      <c r="Y47" s="75">
        <v>4.5</v>
      </c>
      <c r="Z47" s="75">
        <v>4</v>
      </c>
      <c r="AA47" s="75">
        <v>3</v>
      </c>
      <c r="AB47" s="75">
        <v>4</v>
      </c>
      <c r="AC47" s="75">
        <v>2</v>
      </c>
      <c r="AD47" s="2" t="s">
        <v>174</v>
      </c>
    </row>
    <row r="48" spans="1:30" x14ac:dyDescent="0.3">
      <c r="A48" s="1">
        <v>47</v>
      </c>
      <c r="B48" s="71">
        <v>1</v>
      </c>
      <c r="C48" s="71">
        <v>1</v>
      </c>
      <c r="D48" s="71">
        <v>1</v>
      </c>
      <c r="E48" s="71">
        <v>0</v>
      </c>
      <c r="F48" s="74">
        <v>2.5</v>
      </c>
      <c r="G48" s="72">
        <v>6</v>
      </c>
      <c r="H48" s="74">
        <v>5</v>
      </c>
      <c r="I48" s="72">
        <v>8</v>
      </c>
      <c r="J48" s="74">
        <v>0</v>
      </c>
      <c r="K48" s="72">
        <v>8</v>
      </c>
      <c r="L48" s="74">
        <v>1</v>
      </c>
      <c r="M48" s="75">
        <v>3</v>
      </c>
      <c r="N48" s="75">
        <v>0.19913419913419914</v>
      </c>
      <c r="O48" s="75">
        <v>1</v>
      </c>
      <c r="P48" s="75">
        <v>2</v>
      </c>
      <c r="Q48" s="75">
        <v>2</v>
      </c>
      <c r="R48" s="75">
        <v>2</v>
      </c>
      <c r="S48" s="75">
        <v>2.5</v>
      </c>
      <c r="T48" s="75">
        <v>2</v>
      </c>
      <c r="U48" s="75">
        <v>3</v>
      </c>
      <c r="V48" s="75">
        <v>2</v>
      </c>
      <c r="W48" s="75">
        <v>0.26136363636363635</v>
      </c>
      <c r="X48" s="75">
        <v>0.375</v>
      </c>
      <c r="Y48" s="75">
        <v>3</v>
      </c>
      <c r="Z48" s="75">
        <v>2</v>
      </c>
      <c r="AA48" s="75">
        <v>4</v>
      </c>
      <c r="AB48" s="75">
        <v>3</v>
      </c>
      <c r="AC48" s="75">
        <v>2</v>
      </c>
      <c r="AD48" s="2" t="s">
        <v>175</v>
      </c>
    </row>
    <row r="49" spans="1:30" x14ac:dyDescent="0.3">
      <c r="A49" s="1">
        <v>48</v>
      </c>
      <c r="B49" s="71">
        <v>1</v>
      </c>
      <c r="C49" s="71">
        <v>0</v>
      </c>
      <c r="D49" s="71">
        <v>1</v>
      </c>
      <c r="E49" s="71">
        <v>0</v>
      </c>
      <c r="F49" s="74">
        <v>0</v>
      </c>
      <c r="G49" s="72">
        <v>6</v>
      </c>
      <c r="H49" s="74">
        <v>5</v>
      </c>
      <c r="I49" s="72" t="s">
        <v>176</v>
      </c>
      <c r="J49" s="74">
        <v>1</v>
      </c>
      <c r="K49" s="72" t="s">
        <v>177</v>
      </c>
      <c r="L49" s="74">
        <v>2</v>
      </c>
      <c r="M49" s="75">
        <v>4</v>
      </c>
      <c r="N49" s="75">
        <v>0.18614718614718614</v>
      </c>
      <c r="O49" s="75">
        <v>1</v>
      </c>
      <c r="P49" s="75">
        <v>1</v>
      </c>
      <c r="Q49" s="75">
        <v>2</v>
      </c>
      <c r="R49" s="75">
        <v>2</v>
      </c>
      <c r="S49" s="75">
        <v>2.5</v>
      </c>
      <c r="T49" s="75">
        <v>2</v>
      </c>
      <c r="U49" s="75">
        <v>1</v>
      </c>
      <c r="V49" s="75">
        <v>2</v>
      </c>
      <c r="W49" s="75">
        <v>0.17424242424242425</v>
      </c>
      <c r="X49" s="75">
        <v>0.4375</v>
      </c>
      <c r="Y49" s="75">
        <v>4</v>
      </c>
      <c r="Z49" s="75">
        <v>3</v>
      </c>
      <c r="AA49" s="75">
        <v>2</v>
      </c>
      <c r="AB49" s="75">
        <v>5</v>
      </c>
      <c r="AC49" s="75">
        <v>2</v>
      </c>
      <c r="AD49" s="2" t="s">
        <v>179</v>
      </c>
    </row>
    <row r="50" spans="1:30" x14ac:dyDescent="0.3">
      <c r="A50" s="1">
        <v>49</v>
      </c>
      <c r="B50" s="71">
        <v>0</v>
      </c>
      <c r="C50" s="71">
        <v>1</v>
      </c>
      <c r="D50" s="71">
        <v>1</v>
      </c>
      <c r="E50" s="71">
        <v>0</v>
      </c>
      <c r="F50" s="74">
        <v>0</v>
      </c>
      <c r="G50" s="72" t="s">
        <v>104</v>
      </c>
      <c r="H50" s="74">
        <v>15</v>
      </c>
      <c r="I50" s="72" t="s">
        <v>96</v>
      </c>
      <c r="J50" s="74">
        <v>2</v>
      </c>
      <c r="K50" s="72" t="s">
        <v>154</v>
      </c>
      <c r="L50" s="74">
        <v>2</v>
      </c>
      <c r="M50" s="75">
        <v>4</v>
      </c>
      <c r="N50" s="75">
        <v>0.46969696969696972</v>
      </c>
      <c r="O50" s="75">
        <v>1</v>
      </c>
      <c r="P50" s="75">
        <v>2</v>
      </c>
      <c r="Q50" s="75">
        <v>2</v>
      </c>
      <c r="R50" s="75">
        <v>4</v>
      </c>
      <c r="S50" s="75">
        <v>4</v>
      </c>
      <c r="T50" s="75">
        <v>4</v>
      </c>
      <c r="U50" s="75">
        <v>2</v>
      </c>
      <c r="V50" s="75">
        <v>3</v>
      </c>
      <c r="W50" s="75">
        <v>0.48106060606060608</v>
      </c>
      <c r="X50" s="75">
        <v>0.5</v>
      </c>
      <c r="Y50" s="75">
        <v>4</v>
      </c>
      <c r="Z50" s="75">
        <v>4</v>
      </c>
      <c r="AA50" s="75">
        <v>2</v>
      </c>
      <c r="AB50" s="75">
        <v>4</v>
      </c>
      <c r="AC50" s="75">
        <v>4</v>
      </c>
      <c r="AD50" s="2" t="s">
        <v>181</v>
      </c>
    </row>
    <row r="51" spans="1:30" x14ac:dyDescent="0.3">
      <c r="A51" s="1">
        <v>50</v>
      </c>
      <c r="B51" s="71">
        <v>0</v>
      </c>
      <c r="C51" s="71">
        <v>1</v>
      </c>
      <c r="D51" s="71">
        <v>1</v>
      </c>
      <c r="E51" s="71">
        <v>1</v>
      </c>
      <c r="F51" s="74">
        <v>2.5</v>
      </c>
      <c r="G51" s="72" t="s">
        <v>182</v>
      </c>
      <c r="H51" s="74">
        <v>15</v>
      </c>
      <c r="I51" s="72" t="s">
        <v>183</v>
      </c>
      <c r="J51" s="74">
        <v>1</v>
      </c>
      <c r="K51" s="72" t="s">
        <v>153</v>
      </c>
      <c r="L51" s="74">
        <v>2</v>
      </c>
      <c r="M51" s="75">
        <v>4</v>
      </c>
      <c r="N51" s="75">
        <v>0.367965367965368</v>
      </c>
      <c r="O51" s="75">
        <v>1</v>
      </c>
      <c r="P51" s="75">
        <v>2</v>
      </c>
      <c r="Q51" s="75">
        <v>2</v>
      </c>
      <c r="R51" s="75">
        <v>4</v>
      </c>
      <c r="S51" s="75">
        <v>4</v>
      </c>
      <c r="T51" s="75">
        <v>4</v>
      </c>
      <c r="U51" s="75">
        <v>1.5</v>
      </c>
      <c r="V51" s="75">
        <v>3</v>
      </c>
      <c r="W51" s="75">
        <v>0.43560606060606061</v>
      </c>
      <c r="X51" s="75">
        <v>0.5</v>
      </c>
      <c r="Y51" s="75">
        <v>3</v>
      </c>
      <c r="Z51" s="75">
        <v>4</v>
      </c>
      <c r="AA51" s="75">
        <v>2</v>
      </c>
      <c r="AB51" s="75">
        <v>5</v>
      </c>
      <c r="AC51" s="75">
        <v>4</v>
      </c>
      <c r="AD51" s="2" t="s">
        <v>184</v>
      </c>
    </row>
    <row r="52" spans="1:30" x14ac:dyDescent="0.3">
      <c r="A52" s="1">
        <v>51</v>
      </c>
      <c r="B52" s="71">
        <v>1</v>
      </c>
      <c r="C52" s="71">
        <v>1</v>
      </c>
      <c r="D52" s="71">
        <v>1</v>
      </c>
      <c r="E52" s="71">
        <v>0</v>
      </c>
      <c r="F52" s="74">
        <v>2.5</v>
      </c>
      <c r="G52" s="72" t="s">
        <v>76</v>
      </c>
      <c r="H52" s="74">
        <v>10</v>
      </c>
      <c r="I52" s="72" t="s">
        <v>154</v>
      </c>
      <c r="J52" s="74">
        <v>1</v>
      </c>
      <c r="K52" s="72" t="s">
        <v>185</v>
      </c>
      <c r="L52" s="74">
        <v>2</v>
      </c>
      <c r="M52" s="75">
        <v>4</v>
      </c>
      <c r="N52" s="75">
        <v>0.28354978354978355</v>
      </c>
      <c r="O52" s="75">
        <v>1</v>
      </c>
      <c r="P52" s="75">
        <v>2</v>
      </c>
      <c r="Q52" s="75">
        <v>1</v>
      </c>
      <c r="R52" s="75">
        <v>4</v>
      </c>
      <c r="S52" s="75">
        <v>4.5</v>
      </c>
      <c r="T52" s="75">
        <v>4</v>
      </c>
      <c r="U52" s="75">
        <v>2</v>
      </c>
      <c r="V52" s="75">
        <v>3</v>
      </c>
      <c r="W52" s="75">
        <v>0.26136363636363635</v>
      </c>
      <c r="X52" s="75">
        <v>0.3125</v>
      </c>
      <c r="Y52" s="75">
        <v>3.5</v>
      </c>
      <c r="Z52" s="75">
        <v>4</v>
      </c>
      <c r="AA52" s="75">
        <v>1</v>
      </c>
      <c r="AB52" s="75">
        <v>5</v>
      </c>
      <c r="AC52" s="75">
        <v>5</v>
      </c>
      <c r="AD52" s="2" t="s">
        <v>186</v>
      </c>
    </row>
    <row r="53" spans="1:30" x14ac:dyDescent="0.3">
      <c r="A53" s="1">
        <v>52</v>
      </c>
      <c r="B53" s="71">
        <v>1</v>
      </c>
      <c r="C53" s="71">
        <v>0</v>
      </c>
      <c r="D53" s="71">
        <v>1</v>
      </c>
      <c r="E53" s="71">
        <v>0</v>
      </c>
      <c r="F53" s="74">
        <v>0</v>
      </c>
      <c r="G53" s="72" t="s">
        <v>112</v>
      </c>
      <c r="H53" s="74">
        <v>10</v>
      </c>
      <c r="I53" s="72" t="s">
        <v>154</v>
      </c>
      <c r="J53" s="74">
        <v>1</v>
      </c>
      <c r="K53" s="72" t="s">
        <v>187</v>
      </c>
      <c r="L53" s="74">
        <v>2</v>
      </c>
      <c r="M53" s="75">
        <v>5</v>
      </c>
      <c r="N53" s="75">
        <v>0.30735930735930733</v>
      </c>
      <c r="O53" s="75">
        <v>1</v>
      </c>
      <c r="P53" s="75">
        <v>2</v>
      </c>
      <c r="Q53" s="75">
        <v>1</v>
      </c>
      <c r="R53" s="75">
        <v>5</v>
      </c>
      <c r="S53" s="75">
        <v>4.5</v>
      </c>
      <c r="T53" s="75">
        <v>5</v>
      </c>
      <c r="U53" s="75">
        <v>1</v>
      </c>
      <c r="V53" s="75">
        <v>3</v>
      </c>
      <c r="W53" s="75">
        <v>0.35227272727272729</v>
      </c>
      <c r="X53" s="75">
        <v>0.4375</v>
      </c>
      <c r="Y53" s="75">
        <v>4</v>
      </c>
      <c r="Z53" s="75">
        <v>5</v>
      </c>
      <c r="AA53" s="75">
        <v>1</v>
      </c>
      <c r="AB53" s="75">
        <v>5</v>
      </c>
      <c r="AC53" s="75">
        <v>4</v>
      </c>
      <c r="AD53" s="2" t="s">
        <v>188</v>
      </c>
    </row>
    <row r="54" spans="1:30" x14ac:dyDescent="0.3">
      <c r="A54" s="1">
        <v>53</v>
      </c>
      <c r="B54" s="71">
        <v>1</v>
      </c>
      <c r="C54" s="71">
        <v>0</v>
      </c>
      <c r="D54" s="71">
        <v>1</v>
      </c>
      <c r="E54" s="71">
        <v>1</v>
      </c>
      <c r="F54" s="74">
        <v>2.5</v>
      </c>
      <c r="G54" s="72" t="s">
        <v>42</v>
      </c>
      <c r="H54" s="74">
        <v>10</v>
      </c>
      <c r="I54" s="72">
        <v>8</v>
      </c>
      <c r="J54" s="74">
        <v>0</v>
      </c>
      <c r="K54" s="72" t="s">
        <v>109</v>
      </c>
      <c r="L54" s="74">
        <v>2</v>
      </c>
      <c r="M54" s="75">
        <v>4</v>
      </c>
      <c r="N54" s="75">
        <v>0.29004329004329005</v>
      </c>
      <c r="O54" s="75">
        <v>1</v>
      </c>
      <c r="P54" s="75">
        <v>4</v>
      </c>
      <c r="Q54" s="75">
        <v>1</v>
      </c>
      <c r="R54" s="75">
        <v>4</v>
      </c>
      <c r="S54" s="75">
        <v>4</v>
      </c>
      <c r="T54" s="75">
        <v>4</v>
      </c>
      <c r="U54" s="75">
        <v>1.5</v>
      </c>
      <c r="V54" s="75">
        <v>2</v>
      </c>
      <c r="W54" s="75">
        <v>0.26136363636363635</v>
      </c>
      <c r="X54" s="75">
        <v>0.3125</v>
      </c>
      <c r="Y54" s="75">
        <v>4</v>
      </c>
      <c r="Z54" s="75">
        <v>4</v>
      </c>
      <c r="AA54" s="75">
        <v>3</v>
      </c>
      <c r="AB54" s="75">
        <v>4</v>
      </c>
      <c r="AC54" s="75">
        <v>1</v>
      </c>
      <c r="AD54" s="2" t="s">
        <v>189</v>
      </c>
    </row>
    <row r="55" spans="1:30" x14ac:dyDescent="0.3">
      <c r="A55" s="1">
        <v>54</v>
      </c>
      <c r="B55" s="71">
        <v>1</v>
      </c>
      <c r="C55" s="71">
        <v>1</v>
      </c>
      <c r="D55" s="71">
        <v>1</v>
      </c>
      <c r="E55" s="71">
        <v>0</v>
      </c>
      <c r="F55" s="74">
        <v>2.5</v>
      </c>
      <c r="G55" s="72" t="s">
        <v>190</v>
      </c>
      <c r="H55" s="74">
        <v>10</v>
      </c>
      <c r="I55" s="72" t="s">
        <v>71</v>
      </c>
      <c r="J55" s="74">
        <v>1</v>
      </c>
      <c r="K55" s="72" t="s">
        <v>191</v>
      </c>
      <c r="L55" s="74">
        <v>2</v>
      </c>
      <c r="M55" s="75">
        <v>4</v>
      </c>
      <c r="N55" s="75">
        <v>0.39826839826839827</v>
      </c>
      <c r="O55" s="75">
        <v>1</v>
      </c>
      <c r="P55" s="75">
        <v>3</v>
      </c>
      <c r="Q55" s="75">
        <v>3</v>
      </c>
      <c r="R55" s="75">
        <v>4</v>
      </c>
      <c r="S55" s="75">
        <v>3.5</v>
      </c>
      <c r="T55" s="75">
        <v>4</v>
      </c>
      <c r="U55" s="75">
        <v>1</v>
      </c>
      <c r="V55" s="75">
        <v>2.5</v>
      </c>
      <c r="W55" s="75">
        <v>0.34848484848484851</v>
      </c>
      <c r="X55" s="75">
        <v>0.4375</v>
      </c>
      <c r="Y55" s="75">
        <v>4</v>
      </c>
      <c r="Z55" s="75">
        <v>4</v>
      </c>
      <c r="AA55" s="75">
        <v>3</v>
      </c>
      <c r="AB55" s="75">
        <v>4</v>
      </c>
      <c r="AC55" s="75">
        <v>2</v>
      </c>
      <c r="AD55" s="2" t="s">
        <v>192</v>
      </c>
    </row>
    <row r="56" spans="1:30" x14ac:dyDescent="0.3">
      <c r="A56" s="1">
        <v>55</v>
      </c>
      <c r="B56" s="71">
        <v>1</v>
      </c>
      <c r="C56" s="71">
        <v>1</v>
      </c>
      <c r="D56" s="71">
        <v>1</v>
      </c>
      <c r="E56" s="71">
        <v>1</v>
      </c>
      <c r="F56" s="74">
        <v>5</v>
      </c>
      <c r="G56" s="72" t="s">
        <v>193</v>
      </c>
      <c r="H56" s="74">
        <v>10</v>
      </c>
      <c r="I56" s="72" t="s">
        <v>194</v>
      </c>
      <c r="J56" s="74">
        <v>1</v>
      </c>
      <c r="K56" s="72" t="s">
        <v>195</v>
      </c>
      <c r="L56" s="74">
        <v>2</v>
      </c>
      <c r="M56" s="75">
        <v>5</v>
      </c>
      <c r="N56" s="75">
        <v>0.33766233766233761</v>
      </c>
      <c r="O56" s="75">
        <v>1</v>
      </c>
      <c r="P56" s="75">
        <v>1</v>
      </c>
      <c r="Q56" s="75">
        <v>2</v>
      </c>
      <c r="R56" s="75">
        <v>5</v>
      </c>
      <c r="S56" s="75">
        <v>4</v>
      </c>
      <c r="T56" s="75">
        <v>5</v>
      </c>
      <c r="U56" s="75">
        <v>1</v>
      </c>
      <c r="V56" s="75">
        <v>2.5</v>
      </c>
      <c r="W56" s="75">
        <v>0.26515151515151514</v>
      </c>
      <c r="X56" s="75">
        <v>0.625</v>
      </c>
      <c r="Y56" s="75">
        <v>3.5</v>
      </c>
      <c r="Z56" s="75">
        <v>4</v>
      </c>
      <c r="AA56" s="75">
        <v>1</v>
      </c>
      <c r="AB56" s="75">
        <v>5</v>
      </c>
      <c r="AC56" s="75">
        <v>2</v>
      </c>
      <c r="AD56" s="2" t="s">
        <v>196</v>
      </c>
    </row>
    <row r="57" spans="1:30" x14ac:dyDescent="0.3">
      <c r="A57" s="1">
        <v>56</v>
      </c>
      <c r="B57" s="71">
        <v>1</v>
      </c>
      <c r="C57" s="71">
        <v>1</v>
      </c>
      <c r="D57" s="71">
        <v>1</v>
      </c>
      <c r="E57" s="71">
        <v>1</v>
      </c>
      <c r="F57" s="74">
        <v>5</v>
      </c>
      <c r="G57" s="72" t="s">
        <v>197</v>
      </c>
      <c r="H57" s="74">
        <v>10</v>
      </c>
      <c r="I57" s="72">
        <v>8</v>
      </c>
      <c r="J57" s="74">
        <v>0</v>
      </c>
      <c r="K57" s="72">
        <v>8</v>
      </c>
      <c r="L57" s="74">
        <v>1</v>
      </c>
      <c r="M57" s="75">
        <v>4</v>
      </c>
      <c r="N57" s="75">
        <v>0.33766233766233761</v>
      </c>
      <c r="O57" s="75">
        <v>1</v>
      </c>
      <c r="P57" s="75">
        <v>1</v>
      </c>
      <c r="Q57" s="75">
        <v>2</v>
      </c>
      <c r="R57" s="75">
        <v>5</v>
      </c>
      <c r="S57" s="75">
        <v>4.5</v>
      </c>
      <c r="T57" s="75">
        <v>5</v>
      </c>
      <c r="U57" s="75">
        <v>1</v>
      </c>
      <c r="V57" s="75">
        <v>2.5</v>
      </c>
      <c r="W57" s="75">
        <v>0.30681818181818182</v>
      </c>
      <c r="X57" s="75">
        <v>0.5625</v>
      </c>
      <c r="Y57" s="75">
        <v>4</v>
      </c>
      <c r="Z57" s="75">
        <v>4</v>
      </c>
      <c r="AA57" s="75">
        <v>2</v>
      </c>
      <c r="AB57" s="75">
        <v>5</v>
      </c>
      <c r="AC57" s="75">
        <v>1</v>
      </c>
      <c r="AD57" s="2" t="s">
        <v>200</v>
      </c>
    </row>
    <row r="58" spans="1:30" x14ac:dyDescent="0.3">
      <c r="A58" s="1">
        <v>57</v>
      </c>
      <c r="B58" s="71">
        <v>1</v>
      </c>
      <c r="C58" s="71">
        <v>1</v>
      </c>
      <c r="D58" s="71">
        <v>1</v>
      </c>
      <c r="E58" s="71">
        <v>1</v>
      </c>
      <c r="F58" s="74">
        <v>5</v>
      </c>
      <c r="G58" s="72" t="s">
        <v>201</v>
      </c>
      <c r="H58" s="74">
        <v>10</v>
      </c>
      <c r="I58" s="72" t="s">
        <v>109</v>
      </c>
      <c r="J58" s="74">
        <v>1</v>
      </c>
      <c r="K58" s="72" t="s">
        <v>109</v>
      </c>
      <c r="L58" s="74">
        <v>2</v>
      </c>
      <c r="M58" s="75">
        <v>5</v>
      </c>
      <c r="N58" s="75">
        <v>0.367965367965368</v>
      </c>
      <c r="O58" s="75">
        <v>1</v>
      </c>
      <c r="P58" s="75">
        <v>1</v>
      </c>
      <c r="Q58" s="75">
        <v>2</v>
      </c>
      <c r="R58" s="75">
        <v>5</v>
      </c>
      <c r="S58" s="75">
        <v>4</v>
      </c>
      <c r="T58" s="75">
        <v>5</v>
      </c>
      <c r="U58" s="75">
        <v>1</v>
      </c>
      <c r="V58" s="75">
        <v>2.5</v>
      </c>
      <c r="W58" s="75">
        <v>0.26515151515151514</v>
      </c>
      <c r="X58" s="75">
        <v>0.4375</v>
      </c>
      <c r="Y58" s="75">
        <v>4</v>
      </c>
      <c r="Z58" s="75">
        <v>5</v>
      </c>
      <c r="AA58" s="75">
        <v>1</v>
      </c>
      <c r="AB58" s="75">
        <v>3</v>
      </c>
      <c r="AC58" s="75">
        <v>1</v>
      </c>
      <c r="AD58" s="2" t="s">
        <v>202</v>
      </c>
    </row>
    <row r="59" spans="1:30" x14ac:dyDescent="0.3">
      <c r="A59" s="1">
        <v>58</v>
      </c>
      <c r="B59" s="71">
        <v>1</v>
      </c>
      <c r="C59" s="71">
        <v>1</v>
      </c>
      <c r="D59" s="71">
        <v>1</v>
      </c>
      <c r="E59" s="71">
        <v>1</v>
      </c>
      <c r="F59" s="74">
        <v>5</v>
      </c>
      <c r="G59" s="72" t="s">
        <v>147</v>
      </c>
      <c r="H59" s="74">
        <v>5</v>
      </c>
      <c r="I59" s="72" t="s">
        <v>203</v>
      </c>
      <c r="J59" s="74">
        <v>1</v>
      </c>
      <c r="K59" s="72">
        <v>8</v>
      </c>
      <c r="L59" s="74">
        <v>1</v>
      </c>
      <c r="M59" s="75">
        <v>5</v>
      </c>
      <c r="N59" s="75">
        <v>0.28354978354978355</v>
      </c>
      <c r="O59" s="75">
        <v>1</v>
      </c>
      <c r="P59" s="75">
        <v>1</v>
      </c>
      <c r="Q59" s="75">
        <v>1</v>
      </c>
      <c r="R59" s="75">
        <v>5</v>
      </c>
      <c r="S59" s="75">
        <v>4.5</v>
      </c>
      <c r="T59" s="75">
        <v>4</v>
      </c>
      <c r="U59" s="75">
        <v>1</v>
      </c>
      <c r="V59" s="75">
        <v>2.5</v>
      </c>
      <c r="W59" s="75">
        <v>0.30681818181818182</v>
      </c>
      <c r="X59" s="75">
        <v>0.4375</v>
      </c>
      <c r="Y59" s="75">
        <v>4</v>
      </c>
      <c r="Z59" s="75">
        <v>4</v>
      </c>
      <c r="AA59" s="75">
        <v>2</v>
      </c>
      <c r="AB59" s="75">
        <v>4</v>
      </c>
      <c r="AC59" s="75">
        <v>4</v>
      </c>
      <c r="AD59" s="2" t="s">
        <v>204</v>
      </c>
    </row>
    <row r="60" spans="1:30" x14ac:dyDescent="0.3">
      <c r="A60" s="1">
        <v>59</v>
      </c>
      <c r="B60" s="71">
        <v>1</v>
      </c>
      <c r="C60" s="71">
        <v>1</v>
      </c>
      <c r="D60" s="71">
        <v>1</v>
      </c>
      <c r="E60" s="71">
        <v>1</v>
      </c>
      <c r="F60" s="74">
        <v>5</v>
      </c>
      <c r="G60" s="72" t="s">
        <v>205</v>
      </c>
      <c r="H60" s="74">
        <v>10</v>
      </c>
      <c r="I60" s="72" t="s">
        <v>109</v>
      </c>
      <c r="J60" s="74">
        <v>1</v>
      </c>
      <c r="K60" s="72" t="s">
        <v>100</v>
      </c>
      <c r="L60" s="74">
        <v>2</v>
      </c>
      <c r="M60" s="75">
        <v>4</v>
      </c>
      <c r="N60" s="75">
        <v>0.22943722943722941</v>
      </c>
      <c r="O60" s="75">
        <v>1</v>
      </c>
      <c r="P60" s="75">
        <v>1</v>
      </c>
      <c r="Q60" s="75">
        <v>1</v>
      </c>
      <c r="R60" s="75">
        <v>4</v>
      </c>
      <c r="S60" s="75">
        <v>5</v>
      </c>
      <c r="T60" s="75">
        <v>4</v>
      </c>
      <c r="U60" s="75">
        <v>1</v>
      </c>
      <c r="V60" s="75">
        <v>2</v>
      </c>
      <c r="W60" s="75">
        <v>0.26515151515151514</v>
      </c>
      <c r="X60" s="75">
        <v>0.4375</v>
      </c>
      <c r="Y60" s="75">
        <v>4</v>
      </c>
      <c r="Z60" s="75">
        <v>4</v>
      </c>
      <c r="AA60" s="75">
        <v>1</v>
      </c>
      <c r="AB60" s="75">
        <v>5</v>
      </c>
      <c r="AC60" s="75">
        <v>1</v>
      </c>
      <c r="AD60" s="2" t="s">
        <v>206</v>
      </c>
    </row>
    <row r="61" spans="1:30" x14ac:dyDescent="0.3">
      <c r="A61" s="1">
        <v>60</v>
      </c>
      <c r="B61" s="71">
        <v>1</v>
      </c>
      <c r="C61" s="71">
        <v>0</v>
      </c>
      <c r="D61" s="71">
        <v>1</v>
      </c>
      <c r="E61" s="71">
        <v>1</v>
      </c>
      <c r="F61" s="74">
        <v>2.5</v>
      </c>
      <c r="G61" s="72" t="s">
        <v>207</v>
      </c>
      <c r="H61" s="74">
        <v>20</v>
      </c>
      <c r="I61" s="72" t="s">
        <v>208</v>
      </c>
      <c r="J61" s="74">
        <v>2</v>
      </c>
      <c r="K61" s="72" t="s">
        <v>191</v>
      </c>
      <c r="L61" s="74">
        <v>2</v>
      </c>
      <c r="M61" s="75">
        <v>3</v>
      </c>
      <c r="N61" s="75">
        <v>0.66878306878306881</v>
      </c>
      <c r="O61" s="75">
        <v>1</v>
      </c>
      <c r="P61" s="75">
        <v>2</v>
      </c>
      <c r="Q61" s="75">
        <v>3</v>
      </c>
      <c r="R61" s="75">
        <v>4</v>
      </c>
      <c r="S61" s="75">
        <v>3.5</v>
      </c>
      <c r="T61" s="75">
        <v>4</v>
      </c>
      <c r="U61" s="75">
        <v>2</v>
      </c>
      <c r="V61" s="75">
        <v>3</v>
      </c>
      <c r="W61" s="75">
        <v>0.48863636363636365</v>
      </c>
      <c r="X61" s="75">
        <v>0.75</v>
      </c>
      <c r="Y61" s="75">
        <v>4</v>
      </c>
      <c r="Z61" s="75">
        <v>4</v>
      </c>
      <c r="AA61" s="75">
        <v>2</v>
      </c>
      <c r="AB61" s="75">
        <v>3</v>
      </c>
      <c r="AC61" s="75">
        <v>2</v>
      </c>
      <c r="AD61" s="2" t="s">
        <v>209</v>
      </c>
    </row>
    <row r="62" spans="1:30" x14ac:dyDescent="0.3">
      <c r="A62" s="1">
        <v>61</v>
      </c>
      <c r="B62" s="71">
        <v>1</v>
      </c>
      <c r="C62" s="71">
        <v>1</v>
      </c>
      <c r="D62" s="71">
        <v>1</v>
      </c>
      <c r="E62" s="71">
        <v>1</v>
      </c>
      <c r="F62" s="74">
        <v>5</v>
      </c>
      <c r="G62" s="72" t="s">
        <v>210</v>
      </c>
      <c r="H62" s="74">
        <v>15</v>
      </c>
      <c r="I62" s="72" t="s">
        <v>211</v>
      </c>
      <c r="J62" s="74">
        <v>2</v>
      </c>
      <c r="K62" s="72" t="s">
        <v>47</v>
      </c>
      <c r="L62" s="74">
        <v>3</v>
      </c>
      <c r="M62" s="75">
        <v>5</v>
      </c>
      <c r="N62" s="75">
        <v>0.3708994708994709</v>
      </c>
      <c r="O62" s="75">
        <v>1</v>
      </c>
      <c r="P62" s="75">
        <v>1</v>
      </c>
      <c r="Q62" s="75">
        <v>1</v>
      </c>
      <c r="R62" s="75">
        <v>5</v>
      </c>
      <c r="S62" s="75">
        <v>4</v>
      </c>
      <c r="T62" s="75">
        <v>4</v>
      </c>
      <c r="U62" s="75">
        <v>1.5</v>
      </c>
      <c r="V62" s="75">
        <v>1.6666666666666667</v>
      </c>
      <c r="W62" s="75">
        <v>0.52651515151515149</v>
      </c>
      <c r="X62" s="75">
        <v>0.5625</v>
      </c>
      <c r="Y62" s="75">
        <v>4.5</v>
      </c>
      <c r="Z62" s="75">
        <v>5</v>
      </c>
      <c r="AA62" s="75">
        <v>1</v>
      </c>
      <c r="AB62" s="75">
        <v>4</v>
      </c>
      <c r="AC62" s="75">
        <v>2</v>
      </c>
      <c r="AD62" s="2" t="s">
        <v>212</v>
      </c>
    </row>
    <row r="63" spans="1:30" x14ac:dyDescent="0.3">
      <c r="A63" s="1">
        <v>62</v>
      </c>
      <c r="B63" s="71">
        <v>1</v>
      </c>
      <c r="C63" s="71">
        <v>1</v>
      </c>
      <c r="D63" s="71">
        <v>1</v>
      </c>
      <c r="E63" s="71">
        <v>1</v>
      </c>
      <c r="F63" s="74">
        <v>5</v>
      </c>
      <c r="G63" s="72" t="s">
        <v>213</v>
      </c>
      <c r="H63" s="74">
        <v>20</v>
      </c>
      <c r="I63" s="72" t="s">
        <v>120</v>
      </c>
      <c r="J63" s="74">
        <v>2</v>
      </c>
      <c r="K63" s="72" t="s">
        <v>214</v>
      </c>
      <c r="L63" s="74">
        <v>3</v>
      </c>
      <c r="M63" s="75">
        <v>4</v>
      </c>
      <c r="N63" s="75">
        <v>0.33386243386243386</v>
      </c>
      <c r="O63" s="75">
        <v>1</v>
      </c>
      <c r="P63" s="75">
        <v>2</v>
      </c>
      <c r="Q63" s="75">
        <v>1</v>
      </c>
      <c r="R63" s="75">
        <v>4</v>
      </c>
      <c r="S63" s="75">
        <v>4</v>
      </c>
      <c r="T63" s="75">
        <v>4</v>
      </c>
      <c r="U63" s="75">
        <v>1.5</v>
      </c>
      <c r="V63" s="75">
        <v>2</v>
      </c>
      <c r="W63" s="75">
        <v>0.48106060606060608</v>
      </c>
      <c r="X63" s="75">
        <v>0.625</v>
      </c>
      <c r="Y63" s="75">
        <v>4</v>
      </c>
      <c r="Z63" s="75">
        <v>4</v>
      </c>
      <c r="AA63" s="75">
        <v>1</v>
      </c>
      <c r="AB63" s="75">
        <v>5</v>
      </c>
      <c r="AC63" s="75">
        <v>4</v>
      </c>
      <c r="AD63" s="2" t="s">
        <v>215</v>
      </c>
    </row>
    <row r="64" spans="1:30" x14ac:dyDescent="0.3">
      <c r="A64" s="1">
        <v>63</v>
      </c>
      <c r="B64" s="71">
        <v>1</v>
      </c>
      <c r="C64" s="71">
        <v>1</v>
      </c>
      <c r="D64" s="71">
        <v>1</v>
      </c>
      <c r="E64" s="71">
        <v>1</v>
      </c>
      <c r="F64" s="74">
        <v>5</v>
      </c>
      <c r="G64" s="72" t="s">
        <v>216</v>
      </c>
      <c r="H64" s="74">
        <v>15</v>
      </c>
      <c r="I64" s="72" t="s">
        <v>217</v>
      </c>
      <c r="J64" s="74">
        <v>2</v>
      </c>
      <c r="K64" s="72" t="s">
        <v>154</v>
      </c>
      <c r="L64" s="74">
        <v>2</v>
      </c>
      <c r="M64" s="75">
        <v>4</v>
      </c>
      <c r="N64" s="75">
        <v>0.34708994708994712</v>
      </c>
      <c r="O64" s="75">
        <v>1</v>
      </c>
      <c r="P64" s="75">
        <v>1</v>
      </c>
      <c r="Q64" s="75">
        <v>1</v>
      </c>
      <c r="R64" s="75">
        <v>4</v>
      </c>
      <c r="S64" s="75">
        <v>4</v>
      </c>
      <c r="T64" s="75">
        <v>4</v>
      </c>
      <c r="U64" s="75">
        <v>1</v>
      </c>
      <c r="V64" s="75">
        <v>2</v>
      </c>
      <c r="W64" s="75">
        <v>0.34848484848484851</v>
      </c>
      <c r="X64" s="75">
        <v>0.6875</v>
      </c>
      <c r="Y64" s="75">
        <v>4.5</v>
      </c>
      <c r="Z64" s="75">
        <v>5</v>
      </c>
      <c r="AA64" s="75">
        <v>1</v>
      </c>
      <c r="AB64" s="75">
        <v>5</v>
      </c>
      <c r="AC64" s="75">
        <v>4</v>
      </c>
      <c r="AD64" s="2" t="s">
        <v>218</v>
      </c>
    </row>
    <row r="65" spans="1:30" x14ac:dyDescent="0.3">
      <c r="A65" s="1">
        <v>64</v>
      </c>
      <c r="B65" s="71">
        <v>1</v>
      </c>
      <c r="C65" s="71">
        <v>1</v>
      </c>
      <c r="D65" s="71">
        <v>1</v>
      </c>
      <c r="E65" s="71">
        <v>1</v>
      </c>
      <c r="F65" s="74">
        <v>5</v>
      </c>
      <c r="G65" s="72" t="s">
        <v>219</v>
      </c>
      <c r="H65" s="74">
        <v>15</v>
      </c>
      <c r="I65" s="72" t="s">
        <v>220</v>
      </c>
      <c r="J65" s="74">
        <v>2</v>
      </c>
      <c r="K65" s="72" t="s">
        <v>221</v>
      </c>
      <c r="L65" s="74">
        <v>3</v>
      </c>
      <c r="M65" s="75">
        <v>4</v>
      </c>
      <c r="N65" s="75">
        <v>0.27301587301587299</v>
      </c>
      <c r="O65" s="75">
        <v>1</v>
      </c>
      <c r="P65" s="75">
        <v>2</v>
      </c>
      <c r="Q65" s="75">
        <v>1</v>
      </c>
      <c r="R65" s="75">
        <v>4</v>
      </c>
      <c r="S65" s="75">
        <v>4</v>
      </c>
      <c r="T65" s="75">
        <v>4</v>
      </c>
      <c r="U65" s="75">
        <v>1</v>
      </c>
      <c r="V65" s="75">
        <v>2.3333333333333335</v>
      </c>
      <c r="W65" s="75">
        <v>0.43939393939393934</v>
      </c>
      <c r="X65" s="75">
        <v>0.5625</v>
      </c>
      <c r="Y65" s="75">
        <v>4</v>
      </c>
      <c r="Z65" s="75">
        <v>4</v>
      </c>
      <c r="AA65" s="75">
        <v>1</v>
      </c>
      <c r="AB65" s="75">
        <v>4</v>
      </c>
      <c r="AC65" s="75">
        <v>4</v>
      </c>
      <c r="AD65" s="2" t="s">
        <v>222</v>
      </c>
    </row>
    <row r="66" spans="1:30" x14ac:dyDescent="0.3">
      <c r="A66" s="1">
        <v>65</v>
      </c>
      <c r="B66" s="71">
        <v>1</v>
      </c>
      <c r="C66" s="71">
        <v>1</v>
      </c>
      <c r="D66" s="71">
        <v>1</v>
      </c>
      <c r="E66" s="71">
        <v>1</v>
      </c>
      <c r="F66" s="74">
        <v>5</v>
      </c>
      <c r="G66" s="72" t="s">
        <v>223</v>
      </c>
      <c r="H66" s="74">
        <v>10</v>
      </c>
      <c r="I66" s="72" t="s">
        <v>55</v>
      </c>
      <c r="J66" s="74">
        <v>2</v>
      </c>
      <c r="K66" s="72" t="s">
        <v>224</v>
      </c>
      <c r="L66" s="74">
        <v>3</v>
      </c>
      <c r="M66" s="75">
        <v>4</v>
      </c>
      <c r="N66" s="75">
        <v>0.24920634920634921</v>
      </c>
      <c r="O66" s="75">
        <v>1</v>
      </c>
      <c r="P66" s="75">
        <v>2</v>
      </c>
      <c r="Q66" s="75">
        <v>1</v>
      </c>
      <c r="R66" s="75">
        <v>4</v>
      </c>
      <c r="S66" s="75">
        <v>3.5</v>
      </c>
      <c r="T66" s="75">
        <v>3</v>
      </c>
      <c r="U66" s="75">
        <v>1.5</v>
      </c>
      <c r="V66" s="75">
        <v>2.6666666666666665</v>
      </c>
      <c r="W66" s="75">
        <v>0.39393939393939392</v>
      </c>
      <c r="X66" s="75">
        <v>0.5</v>
      </c>
      <c r="Y66" s="75">
        <v>4.5</v>
      </c>
      <c r="Z66" s="75">
        <v>4</v>
      </c>
      <c r="AA66" s="75">
        <v>2</v>
      </c>
      <c r="AB66" s="75">
        <v>4</v>
      </c>
      <c r="AC66" s="75">
        <v>4</v>
      </c>
      <c r="AD66" s="2" t="s">
        <v>225</v>
      </c>
    </row>
    <row r="67" spans="1:30" x14ac:dyDescent="0.3">
      <c r="A67" s="1">
        <v>66</v>
      </c>
      <c r="B67" s="71">
        <v>1</v>
      </c>
      <c r="C67" s="71">
        <v>1</v>
      </c>
      <c r="D67" s="71">
        <v>1</v>
      </c>
      <c r="E67" s="71">
        <v>1</v>
      </c>
      <c r="F67" s="74">
        <v>5</v>
      </c>
      <c r="G67" s="72" t="s">
        <v>226</v>
      </c>
      <c r="H67" s="74">
        <v>15</v>
      </c>
      <c r="I67" s="72" t="s">
        <v>120</v>
      </c>
      <c r="J67" s="74">
        <v>2</v>
      </c>
      <c r="K67" s="72" t="s">
        <v>37</v>
      </c>
      <c r="L67" s="74">
        <v>4</v>
      </c>
      <c r="M67" s="75">
        <v>4</v>
      </c>
      <c r="N67" s="75">
        <v>0.3708994708994709</v>
      </c>
      <c r="O67" s="75">
        <v>1</v>
      </c>
      <c r="P67" s="75">
        <v>2</v>
      </c>
      <c r="Q67" s="75">
        <v>1</v>
      </c>
      <c r="R67" s="75">
        <v>4</v>
      </c>
      <c r="S67" s="75">
        <v>4</v>
      </c>
      <c r="T67" s="75">
        <v>4</v>
      </c>
      <c r="U67" s="75">
        <v>2</v>
      </c>
      <c r="V67" s="75">
        <v>2.6666666666666665</v>
      </c>
      <c r="W67" s="75">
        <v>0.43560606060606061</v>
      </c>
      <c r="X67" s="75">
        <v>0.75</v>
      </c>
      <c r="Y67" s="75">
        <v>4</v>
      </c>
      <c r="Z67" s="75">
        <v>4</v>
      </c>
      <c r="AA67" s="75">
        <v>2</v>
      </c>
      <c r="AB67" s="75">
        <v>4</v>
      </c>
      <c r="AC67" s="75">
        <v>4</v>
      </c>
      <c r="AD67" s="2" t="s">
        <v>227</v>
      </c>
    </row>
    <row r="68" spans="1:30" x14ac:dyDescent="0.3">
      <c r="A68" s="1">
        <v>67</v>
      </c>
      <c r="B68" s="71">
        <v>1</v>
      </c>
      <c r="C68" s="71">
        <v>1</v>
      </c>
      <c r="D68" s="71">
        <v>1</v>
      </c>
      <c r="E68" s="71">
        <v>1</v>
      </c>
      <c r="F68" s="74">
        <v>5</v>
      </c>
      <c r="G68" s="72" t="s">
        <v>228</v>
      </c>
      <c r="H68" s="74">
        <v>15</v>
      </c>
      <c r="I68" s="72" t="s">
        <v>229</v>
      </c>
      <c r="J68" s="74">
        <v>3</v>
      </c>
      <c r="K68" s="72" t="s">
        <v>120</v>
      </c>
      <c r="L68" s="74">
        <v>3</v>
      </c>
      <c r="M68" s="75">
        <v>5</v>
      </c>
      <c r="N68" s="75">
        <v>0.50423280423280425</v>
      </c>
      <c r="O68" s="75">
        <v>1</v>
      </c>
      <c r="P68" s="75">
        <v>1</v>
      </c>
      <c r="Q68" s="75">
        <v>1</v>
      </c>
      <c r="R68" s="75">
        <v>5</v>
      </c>
      <c r="S68" s="75">
        <v>4</v>
      </c>
      <c r="T68" s="75">
        <v>5</v>
      </c>
      <c r="U68" s="75">
        <v>1</v>
      </c>
      <c r="V68" s="75">
        <v>2</v>
      </c>
      <c r="W68" s="75">
        <v>0.43560606060606061</v>
      </c>
      <c r="X68" s="75">
        <v>0.6875</v>
      </c>
      <c r="Y68" s="75">
        <v>4.5</v>
      </c>
      <c r="Z68" s="75">
        <v>5</v>
      </c>
      <c r="AA68" s="75">
        <v>1</v>
      </c>
      <c r="AB68" s="75">
        <v>5</v>
      </c>
      <c r="AC68" s="75">
        <v>5</v>
      </c>
      <c r="AD68" s="2" t="s">
        <v>230</v>
      </c>
    </row>
    <row r="69" spans="1:30" x14ac:dyDescent="0.3">
      <c r="A69" s="1">
        <v>68</v>
      </c>
      <c r="B69" s="71">
        <v>1</v>
      </c>
      <c r="C69" s="71">
        <v>1</v>
      </c>
      <c r="D69" s="71">
        <v>1</v>
      </c>
      <c r="E69" s="71">
        <v>1</v>
      </c>
      <c r="F69" s="74">
        <v>5</v>
      </c>
      <c r="G69" s="72" t="s">
        <v>231</v>
      </c>
      <c r="H69" s="74">
        <v>15</v>
      </c>
      <c r="I69" s="72" t="s">
        <v>232</v>
      </c>
      <c r="J69" s="74">
        <v>2</v>
      </c>
      <c r="K69" s="72" t="s">
        <v>232</v>
      </c>
      <c r="L69" s="74">
        <v>3</v>
      </c>
      <c r="M69" s="75">
        <v>5</v>
      </c>
      <c r="N69" s="75">
        <v>0.41375661375661377</v>
      </c>
      <c r="O69" s="75">
        <v>1</v>
      </c>
      <c r="P69" s="75">
        <v>1</v>
      </c>
      <c r="Q69" s="75">
        <v>1</v>
      </c>
      <c r="R69" s="75">
        <v>4</v>
      </c>
      <c r="S69" s="75">
        <v>4</v>
      </c>
      <c r="T69" s="75">
        <v>4</v>
      </c>
      <c r="U69" s="75">
        <v>1</v>
      </c>
      <c r="V69" s="75">
        <v>2.3333333333333335</v>
      </c>
      <c r="W69" s="75">
        <v>0.43560606060606061</v>
      </c>
      <c r="X69" s="75">
        <v>0.625</v>
      </c>
      <c r="Y69" s="75">
        <v>4.5</v>
      </c>
      <c r="Z69" s="75">
        <v>4</v>
      </c>
      <c r="AA69" s="75">
        <v>1</v>
      </c>
      <c r="AB69" s="75">
        <v>4</v>
      </c>
      <c r="AC69" s="75">
        <v>4</v>
      </c>
      <c r="AD69" s="2" t="s">
        <v>233</v>
      </c>
    </row>
    <row r="70" spans="1:30" x14ac:dyDescent="0.3">
      <c r="A70" s="1">
        <v>69</v>
      </c>
      <c r="B70" s="71">
        <v>1</v>
      </c>
      <c r="C70" s="71">
        <v>1</v>
      </c>
      <c r="D70" s="71">
        <v>1</v>
      </c>
      <c r="E70" s="71">
        <v>1</v>
      </c>
      <c r="F70" s="74">
        <v>5</v>
      </c>
      <c r="G70" s="72" t="s">
        <v>234</v>
      </c>
      <c r="H70" s="74">
        <v>15</v>
      </c>
      <c r="I70" s="72" t="s">
        <v>55</v>
      </c>
      <c r="J70" s="74">
        <v>2</v>
      </c>
      <c r="K70" s="72" t="s">
        <v>235</v>
      </c>
      <c r="L70" s="74">
        <v>3</v>
      </c>
      <c r="M70" s="75">
        <v>4</v>
      </c>
      <c r="N70" s="75">
        <v>0.31005291005291008</v>
      </c>
      <c r="O70" s="75">
        <v>1</v>
      </c>
      <c r="P70" s="75">
        <v>2</v>
      </c>
      <c r="Q70" s="75">
        <v>1</v>
      </c>
      <c r="R70" s="75">
        <v>4</v>
      </c>
      <c r="S70" s="75">
        <v>4</v>
      </c>
      <c r="T70" s="75">
        <v>4</v>
      </c>
      <c r="U70" s="75">
        <v>1</v>
      </c>
      <c r="V70" s="75">
        <v>2.3333333333333335</v>
      </c>
      <c r="W70" s="75">
        <v>0.43560606060606061</v>
      </c>
      <c r="X70" s="75">
        <v>0.6875</v>
      </c>
      <c r="Y70" s="75">
        <v>4.5</v>
      </c>
      <c r="Z70" s="75">
        <v>4</v>
      </c>
      <c r="AA70" s="75">
        <v>1</v>
      </c>
      <c r="AB70" s="75">
        <v>4</v>
      </c>
      <c r="AC70" s="75">
        <v>4</v>
      </c>
      <c r="AD70" s="2" t="s">
        <v>236</v>
      </c>
    </row>
    <row r="71" spans="1:30" x14ac:dyDescent="0.3">
      <c r="A71" s="1">
        <v>70</v>
      </c>
      <c r="B71" s="71">
        <v>1</v>
      </c>
      <c r="C71" s="71">
        <v>1</v>
      </c>
      <c r="D71" s="71">
        <v>1</v>
      </c>
      <c r="E71" s="71">
        <v>1</v>
      </c>
      <c r="F71" s="74">
        <v>5</v>
      </c>
      <c r="G71" s="72" t="s">
        <v>237</v>
      </c>
      <c r="H71" s="74">
        <v>10</v>
      </c>
      <c r="I71" s="72" t="s">
        <v>238</v>
      </c>
      <c r="J71" s="74">
        <v>3</v>
      </c>
      <c r="K71" s="72" t="s">
        <v>224</v>
      </c>
      <c r="L71" s="74">
        <v>3</v>
      </c>
      <c r="M71" s="75">
        <v>4</v>
      </c>
      <c r="N71" s="75">
        <v>0.28624338624338624</v>
      </c>
      <c r="O71" s="75">
        <v>1</v>
      </c>
      <c r="P71" s="75">
        <v>1</v>
      </c>
      <c r="Q71" s="75">
        <v>1</v>
      </c>
      <c r="R71" s="75">
        <v>4</v>
      </c>
      <c r="S71" s="75">
        <v>4</v>
      </c>
      <c r="T71" s="75">
        <v>4</v>
      </c>
      <c r="U71" s="75">
        <v>1</v>
      </c>
      <c r="V71" s="75">
        <v>2.6666666666666665</v>
      </c>
      <c r="W71" s="75">
        <v>0.43560606060606061</v>
      </c>
      <c r="X71" s="75">
        <v>0.6875</v>
      </c>
      <c r="Y71" s="75">
        <v>4.5</v>
      </c>
      <c r="Z71" s="75">
        <v>4</v>
      </c>
      <c r="AA71" s="75">
        <v>1</v>
      </c>
      <c r="AB71" s="75">
        <v>4</v>
      </c>
      <c r="AC71" s="75">
        <v>4</v>
      </c>
      <c r="AD71" s="2" t="s">
        <v>239</v>
      </c>
    </row>
    <row r="72" spans="1:30" x14ac:dyDescent="0.3">
      <c r="A72" s="1">
        <v>71</v>
      </c>
      <c r="B72" s="71">
        <v>1</v>
      </c>
      <c r="C72" s="71">
        <v>1</v>
      </c>
      <c r="D72" s="71">
        <v>1</v>
      </c>
      <c r="E72" s="71">
        <v>1</v>
      </c>
      <c r="F72" s="74">
        <v>5</v>
      </c>
      <c r="G72" s="72" t="s">
        <v>240</v>
      </c>
      <c r="H72" s="74">
        <v>15</v>
      </c>
      <c r="I72" s="72" t="s">
        <v>69</v>
      </c>
      <c r="J72" s="74">
        <v>2</v>
      </c>
      <c r="K72" s="72" t="s">
        <v>241</v>
      </c>
      <c r="L72" s="74">
        <v>3</v>
      </c>
      <c r="M72" s="75">
        <v>4</v>
      </c>
      <c r="N72" s="75">
        <v>0.34708994708994712</v>
      </c>
      <c r="O72" s="75">
        <v>1</v>
      </c>
      <c r="P72" s="75">
        <v>2</v>
      </c>
      <c r="Q72" s="75">
        <v>1</v>
      </c>
      <c r="R72" s="75">
        <v>4</v>
      </c>
      <c r="S72" s="75">
        <v>4</v>
      </c>
      <c r="T72" s="75">
        <v>4</v>
      </c>
      <c r="U72" s="75">
        <v>1</v>
      </c>
      <c r="V72" s="75">
        <v>2.6666666666666665</v>
      </c>
      <c r="W72" s="75">
        <v>0.43560606060606061</v>
      </c>
      <c r="X72" s="75">
        <v>0.6875</v>
      </c>
      <c r="Y72" s="75">
        <v>4.5</v>
      </c>
      <c r="Z72" s="75">
        <v>4</v>
      </c>
      <c r="AA72" s="75">
        <v>1</v>
      </c>
      <c r="AB72" s="75">
        <v>4</v>
      </c>
      <c r="AC72" s="75">
        <v>4</v>
      </c>
      <c r="AD72" s="2" t="s">
        <v>242</v>
      </c>
    </row>
    <row r="73" spans="1:30" x14ac:dyDescent="0.3">
      <c r="A73" s="1">
        <v>72</v>
      </c>
      <c r="B73" s="71">
        <v>1</v>
      </c>
      <c r="C73" s="71">
        <v>1</v>
      </c>
      <c r="D73" s="71">
        <v>1</v>
      </c>
      <c r="E73" s="71">
        <v>1</v>
      </c>
      <c r="F73" s="74">
        <v>5</v>
      </c>
      <c r="G73" s="72" t="s">
        <v>243</v>
      </c>
      <c r="H73" s="74">
        <v>15</v>
      </c>
      <c r="I73" s="72" t="s">
        <v>244</v>
      </c>
      <c r="J73" s="74">
        <v>2</v>
      </c>
      <c r="K73" s="72" t="s">
        <v>77</v>
      </c>
      <c r="L73" s="74">
        <v>2</v>
      </c>
      <c r="M73" s="75">
        <v>4</v>
      </c>
      <c r="N73" s="75">
        <v>0.40052910052910057</v>
      </c>
      <c r="O73" s="75">
        <v>1</v>
      </c>
      <c r="P73" s="75">
        <v>2</v>
      </c>
      <c r="Q73" s="75">
        <v>1</v>
      </c>
      <c r="R73" s="75">
        <v>4</v>
      </c>
      <c r="S73" s="75">
        <v>4</v>
      </c>
      <c r="T73" s="75">
        <v>5</v>
      </c>
      <c r="U73" s="75">
        <v>1</v>
      </c>
      <c r="V73" s="75">
        <v>1.6666666666666667</v>
      </c>
      <c r="W73" s="75">
        <v>0.48106060606060608</v>
      </c>
      <c r="X73" s="75">
        <v>0.4375</v>
      </c>
      <c r="Y73" s="75">
        <v>4.5</v>
      </c>
      <c r="Z73" s="75">
        <v>4</v>
      </c>
      <c r="AA73" s="75">
        <v>1</v>
      </c>
      <c r="AB73" s="75">
        <v>4</v>
      </c>
      <c r="AC73" s="75">
        <v>1</v>
      </c>
      <c r="AD73" s="2" t="s">
        <v>245</v>
      </c>
    </row>
    <row r="74" spans="1:30" x14ac:dyDescent="0.3">
      <c r="A74" s="1">
        <v>73</v>
      </c>
      <c r="B74" s="71">
        <v>1</v>
      </c>
      <c r="C74" s="71">
        <v>1</v>
      </c>
      <c r="D74" s="71">
        <v>1</v>
      </c>
      <c r="E74" s="71">
        <v>1</v>
      </c>
      <c r="F74" s="74">
        <v>5</v>
      </c>
      <c r="G74" s="72" t="s">
        <v>74</v>
      </c>
      <c r="H74" s="74">
        <v>15</v>
      </c>
      <c r="I74" s="72" t="s">
        <v>99</v>
      </c>
      <c r="J74" s="74">
        <v>2</v>
      </c>
      <c r="K74" s="72" t="s">
        <v>99</v>
      </c>
      <c r="L74" s="74">
        <v>3</v>
      </c>
      <c r="M74" s="75">
        <v>5</v>
      </c>
      <c r="N74" s="75">
        <v>0.24920634920634921</v>
      </c>
      <c r="O74" s="75">
        <v>1</v>
      </c>
      <c r="P74" s="75">
        <v>2</v>
      </c>
      <c r="Q74" s="75">
        <v>1</v>
      </c>
      <c r="R74" s="75">
        <v>3</v>
      </c>
      <c r="S74" s="75">
        <v>3.5</v>
      </c>
      <c r="T74" s="75">
        <v>4</v>
      </c>
      <c r="U74" s="75">
        <v>1</v>
      </c>
      <c r="V74" s="75">
        <v>2</v>
      </c>
      <c r="W74" s="75">
        <v>0.34848484848484851</v>
      </c>
      <c r="X74" s="75">
        <v>0.4375</v>
      </c>
      <c r="Y74" s="75">
        <v>5</v>
      </c>
      <c r="Z74" s="75">
        <v>5</v>
      </c>
      <c r="AA74" s="75">
        <v>1</v>
      </c>
      <c r="AB74" s="75">
        <v>4</v>
      </c>
      <c r="AC74" s="75">
        <v>1</v>
      </c>
      <c r="AD74" s="2" t="s">
        <v>247</v>
      </c>
    </row>
    <row r="75" spans="1:30" x14ac:dyDescent="0.3">
      <c r="A75" s="1">
        <v>74</v>
      </c>
      <c r="B75" s="71">
        <v>1</v>
      </c>
      <c r="C75" s="71">
        <v>1</v>
      </c>
      <c r="D75" s="71">
        <v>1</v>
      </c>
      <c r="E75" s="71">
        <v>1</v>
      </c>
      <c r="F75" s="74">
        <v>5</v>
      </c>
      <c r="G75" s="72" t="s">
        <v>112</v>
      </c>
      <c r="H75" s="74">
        <v>10</v>
      </c>
      <c r="I75" s="72" t="s">
        <v>248</v>
      </c>
      <c r="J75" s="74">
        <v>2</v>
      </c>
      <c r="K75" s="72" t="s">
        <v>96</v>
      </c>
      <c r="L75" s="74">
        <v>3</v>
      </c>
      <c r="M75" s="75">
        <v>4</v>
      </c>
      <c r="N75" s="75">
        <v>0.33386243386243386</v>
      </c>
      <c r="O75" s="75">
        <v>1</v>
      </c>
      <c r="P75" s="75">
        <v>1</v>
      </c>
      <c r="Q75" s="75">
        <v>1</v>
      </c>
      <c r="R75" s="75">
        <v>4</v>
      </c>
      <c r="S75" s="75">
        <v>3.5</v>
      </c>
      <c r="T75" s="75">
        <v>4</v>
      </c>
      <c r="U75" s="75">
        <v>1</v>
      </c>
      <c r="V75" s="75">
        <v>2.3333333333333335</v>
      </c>
      <c r="W75" s="75">
        <v>0.43560606060606061</v>
      </c>
      <c r="X75" s="75">
        <v>0.3125</v>
      </c>
      <c r="Y75" s="75">
        <v>4.5</v>
      </c>
      <c r="Z75" s="75">
        <v>4</v>
      </c>
      <c r="AA75" s="75">
        <v>1</v>
      </c>
      <c r="AB75" s="75">
        <v>3</v>
      </c>
      <c r="AC75" s="75">
        <v>1</v>
      </c>
      <c r="AD75" s="2" t="s">
        <v>249</v>
      </c>
    </row>
    <row r="76" spans="1:30" x14ac:dyDescent="0.3">
      <c r="A76" s="1">
        <v>75</v>
      </c>
      <c r="B76" s="71">
        <v>1</v>
      </c>
      <c r="C76" s="71">
        <v>1</v>
      </c>
      <c r="D76" s="71">
        <v>1</v>
      </c>
      <c r="E76" s="71">
        <v>1</v>
      </c>
      <c r="F76" s="74">
        <v>5</v>
      </c>
      <c r="G76" s="72" t="s">
        <v>83</v>
      </c>
      <c r="H76" s="74">
        <v>15</v>
      </c>
      <c r="I76" s="72" t="s">
        <v>77</v>
      </c>
      <c r="J76" s="74">
        <v>1</v>
      </c>
      <c r="K76" s="72" t="s">
        <v>77</v>
      </c>
      <c r="L76" s="74">
        <v>2</v>
      </c>
      <c r="M76" s="75">
        <v>4</v>
      </c>
      <c r="N76" s="75">
        <v>0.32063492063492061</v>
      </c>
      <c r="O76" s="75">
        <v>1</v>
      </c>
      <c r="P76" s="75">
        <v>1</v>
      </c>
      <c r="Q76" s="75">
        <v>1</v>
      </c>
      <c r="R76" s="75">
        <v>4</v>
      </c>
      <c r="S76" s="75">
        <v>3</v>
      </c>
      <c r="T76" s="75">
        <v>3</v>
      </c>
      <c r="U76" s="75">
        <v>1</v>
      </c>
      <c r="V76" s="75">
        <v>2.3333333333333335</v>
      </c>
      <c r="W76" s="75">
        <v>0.34848484848484851</v>
      </c>
      <c r="X76" s="75">
        <v>0.4375</v>
      </c>
      <c r="Y76" s="75">
        <v>5</v>
      </c>
      <c r="Z76" s="75">
        <v>4</v>
      </c>
      <c r="AA76" s="75">
        <v>1</v>
      </c>
      <c r="AB76" s="75">
        <v>4</v>
      </c>
      <c r="AC76" s="75">
        <v>1</v>
      </c>
      <c r="AD76" s="2" t="s">
        <v>250</v>
      </c>
    </row>
    <row r="77" spans="1:30" x14ac:dyDescent="0.3">
      <c r="A77" s="1">
        <v>76</v>
      </c>
      <c r="B77" s="71">
        <v>1</v>
      </c>
      <c r="C77" s="71">
        <v>1</v>
      </c>
      <c r="D77" s="71">
        <v>1</v>
      </c>
      <c r="E77" s="71">
        <v>1</v>
      </c>
      <c r="F77" s="74">
        <v>5</v>
      </c>
      <c r="G77" s="72" t="s">
        <v>251</v>
      </c>
      <c r="H77" s="74">
        <v>15</v>
      </c>
      <c r="I77" s="72" t="s">
        <v>252</v>
      </c>
      <c r="J77" s="74">
        <v>2</v>
      </c>
      <c r="K77" s="72" t="s">
        <v>96</v>
      </c>
      <c r="L77" s="74">
        <v>3</v>
      </c>
      <c r="M77" s="75">
        <v>3</v>
      </c>
      <c r="N77" s="75">
        <v>0.34708994708994712</v>
      </c>
      <c r="O77" s="75">
        <v>1</v>
      </c>
      <c r="P77" s="75">
        <v>1</v>
      </c>
      <c r="Q77" s="75">
        <v>1</v>
      </c>
      <c r="R77" s="75">
        <v>4</v>
      </c>
      <c r="S77" s="75">
        <v>4</v>
      </c>
      <c r="T77" s="75">
        <v>4</v>
      </c>
      <c r="U77" s="75">
        <v>1</v>
      </c>
      <c r="V77" s="75">
        <v>1.6666666666666667</v>
      </c>
      <c r="W77" s="75">
        <v>0.39015151515151514</v>
      </c>
      <c r="X77" s="75">
        <v>0.5</v>
      </c>
      <c r="Y77" s="75">
        <v>4.5</v>
      </c>
      <c r="Z77" s="75">
        <v>5</v>
      </c>
      <c r="AA77" s="75">
        <v>1</v>
      </c>
      <c r="AB77" s="75">
        <v>2</v>
      </c>
      <c r="AC77" s="75">
        <v>1</v>
      </c>
      <c r="AD77" s="2" t="s">
        <v>254</v>
      </c>
    </row>
    <row r="78" spans="1:30" x14ac:dyDescent="0.3">
      <c r="A78" s="1">
        <v>77</v>
      </c>
      <c r="B78" s="71">
        <v>1</v>
      </c>
      <c r="C78" s="71">
        <v>1</v>
      </c>
      <c r="D78" s="71">
        <v>0</v>
      </c>
      <c r="E78" s="71">
        <v>0</v>
      </c>
      <c r="F78" s="74">
        <v>0</v>
      </c>
      <c r="G78" s="72" t="s">
        <v>255</v>
      </c>
      <c r="H78" s="74">
        <v>15</v>
      </c>
      <c r="I78" s="72" t="s">
        <v>154</v>
      </c>
      <c r="J78" s="74">
        <v>1</v>
      </c>
      <c r="K78" s="72" t="s">
        <v>154</v>
      </c>
      <c r="L78" s="74">
        <v>2</v>
      </c>
      <c r="M78" s="75">
        <v>4</v>
      </c>
      <c r="N78" s="75">
        <v>0.27301587301587299</v>
      </c>
      <c r="O78" s="75">
        <v>1</v>
      </c>
      <c r="P78" s="75">
        <v>2</v>
      </c>
      <c r="Q78" s="75">
        <v>2</v>
      </c>
      <c r="R78" s="75">
        <v>4</v>
      </c>
      <c r="S78" s="75">
        <v>2.5</v>
      </c>
      <c r="T78" s="75">
        <v>4</v>
      </c>
      <c r="U78" s="75">
        <v>1.5</v>
      </c>
      <c r="V78" s="75">
        <v>2</v>
      </c>
      <c r="W78" s="75">
        <v>0.35227272727272729</v>
      </c>
      <c r="X78" s="75">
        <v>0.4375</v>
      </c>
      <c r="Y78" s="75">
        <v>4.5</v>
      </c>
      <c r="Z78" s="75">
        <v>5</v>
      </c>
      <c r="AA78" s="75">
        <v>3</v>
      </c>
      <c r="AB78" s="75">
        <v>5</v>
      </c>
      <c r="AC78" s="75">
        <v>3</v>
      </c>
      <c r="AD78" s="2" t="s">
        <v>256</v>
      </c>
    </row>
    <row r="79" spans="1:30" x14ac:dyDescent="0.3">
      <c r="A79" s="1">
        <v>78</v>
      </c>
      <c r="B79" s="71">
        <v>1</v>
      </c>
      <c r="C79" s="71">
        <v>1</v>
      </c>
      <c r="D79" s="71">
        <v>1</v>
      </c>
      <c r="E79" s="71">
        <v>1</v>
      </c>
      <c r="F79" s="74">
        <v>5</v>
      </c>
      <c r="G79" s="72" t="s">
        <v>257</v>
      </c>
      <c r="H79" s="74">
        <v>10</v>
      </c>
      <c r="I79" s="72" t="s">
        <v>246</v>
      </c>
      <c r="J79" s="74">
        <v>1</v>
      </c>
      <c r="K79" s="72" t="s">
        <v>96</v>
      </c>
      <c r="L79" s="74">
        <v>3</v>
      </c>
      <c r="M79" s="75">
        <v>4</v>
      </c>
      <c r="N79" s="75">
        <v>0.31005291005291008</v>
      </c>
      <c r="O79" s="75">
        <v>1</v>
      </c>
      <c r="P79" s="75">
        <v>1</v>
      </c>
      <c r="Q79" s="75">
        <v>1</v>
      </c>
      <c r="R79" s="75">
        <v>3</v>
      </c>
      <c r="S79" s="75">
        <v>4</v>
      </c>
      <c r="T79" s="75">
        <v>5</v>
      </c>
      <c r="U79" s="75">
        <v>1</v>
      </c>
      <c r="V79" s="75">
        <v>2.6666666666666665</v>
      </c>
      <c r="W79" s="75">
        <v>0.26136363636363635</v>
      </c>
      <c r="X79" s="75">
        <v>0.5</v>
      </c>
      <c r="Y79" s="75">
        <v>5</v>
      </c>
      <c r="Z79" s="75">
        <v>4</v>
      </c>
      <c r="AA79" s="75">
        <v>1</v>
      </c>
      <c r="AB79" s="75">
        <v>3</v>
      </c>
      <c r="AC79" s="75">
        <v>2</v>
      </c>
      <c r="AD79" s="2" t="s">
        <v>258</v>
      </c>
    </row>
    <row r="80" spans="1:30" x14ac:dyDescent="0.3">
      <c r="A80" s="1">
        <v>79</v>
      </c>
      <c r="B80" s="71">
        <v>1</v>
      </c>
      <c r="C80" s="71">
        <v>0</v>
      </c>
      <c r="D80" s="71">
        <v>0</v>
      </c>
      <c r="E80" s="71">
        <v>1</v>
      </c>
      <c r="F80" s="74">
        <v>0</v>
      </c>
      <c r="G80" s="72" t="s">
        <v>76</v>
      </c>
      <c r="H80" s="74">
        <v>10</v>
      </c>
      <c r="I80" s="72" t="s">
        <v>246</v>
      </c>
      <c r="J80" s="74">
        <v>1</v>
      </c>
      <c r="K80" s="72" t="s">
        <v>126</v>
      </c>
      <c r="L80" s="74">
        <v>2</v>
      </c>
      <c r="M80" s="75">
        <v>4</v>
      </c>
      <c r="N80" s="75">
        <v>0.27301587301587299</v>
      </c>
      <c r="O80" s="75">
        <v>1</v>
      </c>
      <c r="P80" s="75">
        <v>2</v>
      </c>
      <c r="Q80" s="75">
        <v>2</v>
      </c>
      <c r="R80" s="75">
        <v>4</v>
      </c>
      <c r="S80" s="75">
        <v>3.5</v>
      </c>
      <c r="T80" s="75">
        <v>4</v>
      </c>
      <c r="U80" s="75">
        <v>1.5</v>
      </c>
      <c r="V80" s="75">
        <v>2</v>
      </c>
      <c r="W80" s="75">
        <v>0.34848484848484851</v>
      </c>
      <c r="X80" s="75">
        <v>0.4375</v>
      </c>
      <c r="Y80" s="75">
        <v>5</v>
      </c>
      <c r="Z80" s="75">
        <v>4</v>
      </c>
      <c r="AA80" s="75">
        <v>2</v>
      </c>
      <c r="AB80" s="75">
        <v>5</v>
      </c>
      <c r="AC80" s="75">
        <v>1</v>
      </c>
      <c r="AD80" s="2" t="s">
        <v>259</v>
      </c>
    </row>
    <row r="81" spans="1:30" x14ac:dyDescent="0.3">
      <c r="A81" s="1">
        <v>80</v>
      </c>
      <c r="B81" s="71">
        <v>1</v>
      </c>
      <c r="C81" s="71">
        <v>1</v>
      </c>
      <c r="D81" s="71">
        <v>1</v>
      </c>
      <c r="E81" s="71">
        <v>1</v>
      </c>
      <c r="F81" s="74">
        <v>5</v>
      </c>
      <c r="G81" s="72" t="s">
        <v>260</v>
      </c>
      <c r="H81" s="74">
        <v>10</v>
      </c>
      <c r="I81" s="72" t="s">
        <v>96</v>
      </c>
      <c r="J81" s="74">
        <v>2</v>
      </c>
      <c r="K81" s="72" t="s">
        <v>96</v>
      </c>
      <c r="L81" s="74">
        <v>3</v>
      </c>
      <c r="M81" s="75">
        <v>4</v>
      </c>
      <c r="N81" s="75">
        <v>0.40052910052910057</v>
      </c>
      <c r="O81" s="75">
        <v>1</v>
      </c>
      <c r="P81" s="75">
        <v>2</v>
      </c>
      <c r="Q81" s="75">
        <v>2</v>
      </c>
      <c r="R81" s="75">
        <v>4</v>
      </c>
      <c r="S81" s="75">
        <v>3.5</v>
      </c>
      <c r="T81" s="75">
        <v>4</v>
      </c>
      <c r="U81" s="75">
        <v>1</v>
      </c>
      <c r="V81" s="75">
        <v>2</v>
      </c>
      <c r="W81" s="75">
        <v>0.21590909090909091</v>
      </c>
      <c r="X81" s="75">
        <v>0.5</v>
      </c>
      <c r="Y81" s="75">
        <v>5</v>
      </c>
      <c r="Z81" s="75">
        <v>4</v>
      </c>
      <c r="AA81" s="75">
        <v>1</v>
      </c>
      <c r="AB81" s="75">
        <v>5</v>
      </c>
      <c r="AC81" s="75">
        <v>1</v>
      </c>
      <c r="AD81" s="2" t="s">
        <v>262</v>
      </c>
    </row>
    <row r="82" spans="1:30" x14ac:dyDescent="0.3">
      <c r="A82" s="1">
        <v>81</v>
      </c>
      <c r="B82" s="71">
        <v>1</v>
      </c>
      <c r="C82" s="71">
        <v>1</v>
      </c>
      <c r="D82" s="71">
        <v>1</v>
      </c>
      <c r="E82" s="71">
        <v>1</v>
      </c>
      <c r="F82" s="74">
        <v>5</v>
      </c>
      <c r="G82" s="72" t="s">
        <v>76</v>
      </c>
      <c r="H82" s="74">
        <v>10</v>
      </c>
      <c r="I82" s="72" t="s">
        <v>248</v>
      </c>
      <c r="J82" s="74">
        <v>2</v>
      </c>
      <c r="K82" s="72" t="s">
        <v>96</v>
      </c>
      <c r="L82" s="74">
        <v>3</v>
      </c>
      <c r="M82" s="75">
        <v>5</v>
      </c>
      <c r="N82" s="75">
        <v>0.31005291005291008</v>
      </c>
      <c r="O82" s="75">
        <v>1</v>
      </c>
      <c r="P82" s="75">
        <v>2</v>
      </c>
      <c r="Q82" s="75">
        <v>2</v>
      </c>
      <c r="R82" s="75">
        <v>4</v>
      </c>
      <c r="S82" s="75">
        <v>3</v>
      </c>
      <c r="T82" s="75">
        <v>4</v>
      </c>
      <c r="U82" s="75">
        <v>2.5</v>
      </c>
      <c r="V82" s="75">
        <v>2.3333333333333335</v>
      </c>
      <c r="W82" s="75">
        <v>0.43560606060606061</v>
      </c>
      <c r="X82" s="75">
        <v>0.4375</v>
      </c>
      <c r="Y82" s="75">
        <v>4</v>
      </c>
      <c r="Z82" s="75">
        <v>5</v>
      </c>
      <c r="AA82" s="75">
        <v>1</v>
      </c>
      <c r="AB82" s="75">
        <v>4</v>
      </c>
      <c r="AC82" s="75">
        <v>1</v>
      </c>
      <c r="AD82" s="2" t="s">
        <v>263</v>
      </c>
    </row>
    <row r="83" spans="1:30" x14ac:dyDescent="0.3">
      <c r="A83" s="1">
        <v>82</v>
      </c>
      <c r="B83" s="71">
        <v>1</v>
      </c>
      <c r="C83" s="71">
        <v>1</v>
      </c>
      <c r="D83" s="71">
        <v>1</v>
      </c>
      <c r="E83" s="71">
        <v>1</v>
      </c>
      <c r="F83" s="74">
        <v>5</v>
      </c>
      <c r="G83" s="72" t="s">
        <v>264</v>
      </c>
      <c r="H83" s="74">
        <v>10</v>
      </c>
      <c r="I83" s="72" t="s">
        <v>109</v>
      </c>
      <c r="J83" s="74">
        <v>1</v>
      </c>
      <c r="K83" s="72" t="s">
        <v>84</v>
      </c>
      <c r="L83" s="74">
        <v>2</v>
      </c>
      <c r="M83" s="75">
        <v>4</v>
      </c>
      <c r="N83" s="75">
        <v>0.33968253968253964</v>
      </c>
      <c r="O83" s="75">
        <v>1</v>
      </c>
      <c r="P83" s="75">
        <v>1</v>
      </c>
      <c r="Q83" s="75">
        <v>1</v>
      </c>
      <c r="R83" s="75">
        <v>4</v>
      </c>
      <c r="S83" s="75">
        <v>4</v>
      </c>
      <c r="T83" s="75">
        <v>4</v>
      </c>
      <c r="U83" s="75">
        <v>1</v>
      </c>
      <c r="V83" s="75">
        <v>2.6666666666666665</v>
      </c>
      <c r="W83" s="75">
        <v>0.26136363636363635</v>
      </c>
      <c r="X83" s="75">
        <v>0.4375</v>
      </c>
      <c r="Y83" s="75">
        <v>4.5</v>
      </c>
      <c r="Z83" s="75">
        <v>5</v>
      </c>
      <c r="AA83" s="75">
        <v>1</v>
      </c>
      <c r="AB83" s="75">
        <v>4</v>
      </c>
      <c r="AC83" s="75">
        <v>2</v>
      </c>
      <c r="AD83" s="2" t="s">
        <v>265</v>
      </c>
    </row>
    <row r="84" spans="1:30" x14ac:dyDescent="0.3">
      <c r="A84" s="1">
        <v>83</v>
      </c>
      <c r="B84" s="71">
        <v>1</v>
      </c>
      <c r="C84" s="71">
        <v>1</v>
      </c>
      <c r="D84" s="71">
        <v>1</v>
      </c>
      <c r="E84" s="71">
        <v>1</v>
      </c>
      <c r="F84" s="74">
        <v>5</v>
      </c>
      <c r="G84" s="72" t="s">
        <v>130</v>
      </c>
      <c r="H84" s="74">
        <v>5</v>
      </c>
      <c r="I84" s="72" t="s">
        <v>41</v>
      </c>
      <c r="J84" s="74">
        <v>2</v>
      </c>
      <c r="K84" s="72" t="s">
        <v>115</v>
      </c>
      <c r="L84" s="74">
        <v>2</v>
      </c>
      <c r="M84" s="75">
        <v>5</v>
      </c>
      <c r="N84" s="75">
        <v>0.24920634920634921</v>
      </c>
      <c r="O84" s="75">
        <v>1</v>
      </c>
      <c r="P84" s="75">
        <v>3</v>
      </c>
      <c r="Q84" s="75">
        <v>1</v>
      </c>
      <c r="R84" s="75">
        <v>5</v>
      </c>
      <c r="S84" s="75">
        <v>3</v>
      </c>
      <c r="T84" s="75">
        <v>5</v>
      </c>
      <c r="U84" s="75">
        <v>2</v>
      </c>
      <c r="V84" s="75">
        <v>2</v>
      </c>
      <c r="W84" s="75">
        <v>0.26136363636363635</v>
      </c>
      <c r="X84" s="75">
        <v>0.4375</v>
      </c>
      <c r="Y84" s="75">
        <v>3.5</v>
      </c>
      <c r="Z84" s="75">
        <v>4</v>
      </c>
      <c r="AA84" s="75">
        <v>3</v>
      </c>
      <c r="AB84" s="75">
        <v>3</v>
      </c>
      <c r="AC84" s="75">
        <v>3</v>
      </c>
      <c r="AD84" s="2" t="s">
        <v>266</v>
      </c>
    </row>
    <row r="85" spans="1:30" x14ac:dyDescent="0.3">
      <c r="A85" s="1">
        <v>84</v>
      </c>
      <c r="B85" s="71">
        <v>1</v>
      </c>
      <c r="C85" s="71">
        <v>1</v>
      </c>
      <c r="D85" s="71">
        <v>1</v>
      </c>
      <c r="E85" s="71">
        <v>1</v>
      </c>
      <c r="F85" s="74">
        <v>5</v>
      </c>
      <c r="G85" s="72" t="s">
        <v>130</v>
      </c>
      <c r="H85" s="74">
        <v>5</v>
      </c>
      <c r="I85" s="72" t="s">
        <v>41</v>
      </c>
      <c r="J85" s="74">
        <v>2</v>
      </c>
      <c r="K85" s="72" t="s">
        <v>41</v>
      </c>
      <c r="L85" s="74">
        <v>3</v>
      </c>
      <c r="M85" s="75">
        <v>4</v>
      </c>
      <c r="N85" s="75">
        <v>0.28624338624338624</v>
      </c>
      <c r="O85" s="75">
        <v>1</v>
      </c>
      <c r="P85" s="75">
        <v>4</v>
      </c>
      <c r="Q85" s="75">
        <v>3</v>
      </c>
      <c r="R85" s="75">
        <v>4</v>
      </c>
      <c r="S85" s="75">
        <v>5</v>
      </c>
      <c r="T85" s="75">
        <v>3</v>
      </c>
      <c r="U85" s="75">
        <v>1.5</v>
      </c>
      <c r="V85" s="75">
        <v>2.3333333333333335</v>
      </c>
      <c r="W85" s="75">
        <v>0.30303030303030298</v>
      </c>
      <c r="X85" s="75">
        <v>0.5625</v>
      </c>
      <c r="Y85" s="75">
        <v>3</v>
      </c>
      <c r="Z85" s="75">
        <v>5</v>
      </c>
      <c r="AA85" s="75">
        <v>3</v>
      </c>
      <c r="AB85" s="75">
        <v>3</v>
      </c>
      <c r="AC85" s="75">
        <v>3</v>
      </c>
      <c r="AD85" s="2" t="s">
        <v>267</v>
      </c>
    </row>
    <row r="86" spans="1:30" x14ac:dyDescent="0.3">
      <c r="A86" s="1">
        <v>85</v>
      </c>
      <c r="B86" s="71">
        <v>1</v>
      </c>
      <c r="C86" s="71">
        <v>0</v>
      </c>
      <c r="D86" s="71">
        <v>1</v>
      </c>
      <c r="E86" s="71">
        <v>0</v>
      </c>
      <c r="F86" s="74">
        <v>0</v>
      </c>
      <c r="G86" s="72" t="s">
        <v>130</v>
      </c>
      <c r="H86" s="74">
        <v>5</v>
      </c>
      <c r="I86" s="72">
        <v>1</v>
      </c>
      <c r="J86" s="74">
        <v>0</v>
      </c>
      <c r="K86" s="72">
        <v>2</v>
      </c>
      <c r="L86" s="74">
        <v>1</v>
      </c>
      <c r="M86" s="75">
        <v>4</v>
      </c>
      <c r="N86" s="75">
        <v>0.18835978835978837</v>
      </c>
      <c r="O86" s="75">
        <v>1</v>
      </c>
      <c r="P86" s="75">
        <v>2</v>
      </c>
      <c r="Q86" s="75">
        <v>1</v>
      </c>
      <c r="R86" s="75">
        <v>3</v>
      </c>
      <c r="S86" s="75">
        <v>3.5</v>
      </c>
      <c r="T86" s="75">
        <v>3</v>
      </c>
      <c r="U86" s="75">
        <v>1.5</v>
      </c>
      <c r="V86" s="75">
        <v>2.6666666666666665</v>
      </c>
      <c r="W86" s="75">
        <v>0.17803030303030301</v>
      </c>
      <c r="X86" s="75">
        <v>0.3125</v>
      </c>
      <c r="Y86" s="75">
        <v>3</v>
      </c>
      <c r="Z86" s="75">
        <v>2</v>
      </c>
      <c r="AA86" s="75">
        <v>1</v>
      </c>
      <c r="AB86" s="75">
        <v>3</v>
      </c>
      <c r="AC86" s="75">
        <v>1</v>
      </c>
      <c r="AD86" s="2" t="s">
        <v>268</v>
      </c>
    </row>
    <row r="87" spans="1:30" x14ac:dyDescent="0.3">
      <c r="A87" s="1">
        <v>86</v>
      </c>
      <c r="B87" s="71">
        <v>1</v>
      </c>
      <c r="C87" s="71">
        <v>1</v>
      </c>
      <c r="D87" s="71">
        <v>1</v>
      </c>
      <c r="E87" s="71">
        <v>1</v>
      </c>
      <c r="F87" s="74">
        <v>5</v>
      </c>
      <c r="G87" s="72" t="s">
        <v>133</v>
      </c>
      <c r="H87" s="74">
        <v>10</v>
      </c>
      <c r="I87" s="72" t="s">
        <v>120</v>
      </c>
      <c r="J87" s="74">
        <v>2</v>
      </c>
      <c r="K87" s="72" t="s">
        <v>120</v>
      </c>
      <c r="L87" s="74">
        <v>3</v>
      </c>
      <c r="M87" s="75">
        <v>5</v>
      </c>
      <c r="N87" s="75">
        <v>0.3708994708994709</v>
      </c>
      <c r="O87" s="75">
        <v>1</v>
      </c>
      <c r="P87" s="75">
        <v>2</v>
      </c>
      <c r="Q87" s="75">
        <v>1</v>
      </c>
      <c r="R87" s="75">
        <v>5</v>
      </c>
      <c r="S87" s="75">
        <v>3</v>
      </c>
      <c r="T87" s="75">
        <v>5</v>
      </c>
      <c r="U87" s="75">
        <v>1.5</v>
      </c>
      <c r="V87" s="75">
        <v>1.6666666666666667</v>
      </c>
      <c r="W87" s="75">
        <v>0.43560606060606061</v>
      </c>
      <c r="X87" s="75">
        <v>0.6875</v>
      </c>
      <c r="Y87" s="75">
        <v>4</v>
      </c>
      <c r="Z87" s="75">
        <v>5</v>
      </c>
      <c r="AA87" s="75">
        <v>2</v>
      </c>
      <c r="AB87" s="75">
        <v>4</v>
      </c>
      <c r="AC87" s="75">
        <v>2</v>
      </c>
      <c r="AD87" s="2" t="s">
        <v>269</v>
      </c>
    </row>
    <row r="88" spans="1:30" x14ac:dyDescent="0.3">
      <c r="A88" s="1">
        <v>87</v>
      </c>
      <c r="B88" s="71">
        <v>1</v>
      </c>
      <c r="C88" s="71">
        <v>1</v>
      </c>
      <c r="D88" s="71">
        <v>1</v>
      </c>
      <c r="E88" s="71">
        <v>1</v>
      </c>
      <c r="F88" s="74">
        <v>5</v>
      </c>
      <c r="G88" s="72" t="s">
        <v>270</v>
      </c>
      <c r="H88" s="74">
        <v>15</v>
      </c>
      <c r="I88" s="72" t="s">
        <v>154</v>
      </c>
      <c r="J88" s="74">
        <v>1</v>
      </c>
      <c r="K88" s="72" t="s">
        <v>271</v>
      </c>
      <c r="L88" s="74">
        <v>2</v>
      </c>
      <c r="M88" s="75">
        <v>5</v>
      </c>
      <c r="N88" s="75">
        <v>0.18835978835978837</v>
      </c>
      <c r="O88" s="75">
        <v>1</v>
      </c>
      <c r="P88" s="75">
        <v>2</v>
      </c>
      <c r="Q88" s="75">
        <v>1</v>
      </c>
      <c r="R88" s="75">
        <v>3</v>
      </c>
      <c r="S88" s="75">
        <v>4</v>
      </c>
      <c r="T88" s="75">
        <v>5</v>
      </c>
      <c r="U88" s="75">
        <v>1.5</v>
      </c>
      <c r="V88" s="75">
        <v>2.3333333333333335</v>
      </c>
      <c r="W88" s="75">
        <v>0.22348484848484848</v>
      </c>
      <c r="X88" s="75">
        <v>0.625</v>
      </c>
      <c r="Y88" s="75">
        <v>3.5</v>
      </c>
      <c r="Z88" s="75">
        <v>5</v>
      </c>
      <c r="AA88" s="75">
        <v>1</v>
      </c>
      <c r="AB88" s="75">
        <v>2</v>
      </c>
      <c r="AC88" s="75">
        <v>1</v>
      </c>
      <c r="AD88" s="2" t="s">
        <v>272</v>
      </c>
    </row>
    <row r="89" spans="1:30" x14ac:dyDescent="0.3">
      <c r="A89" s="1">
        <v>88</v>
      </c>
      <c r="B89" s="71">
        <v>1</v>
      </c>
      <c r="C89" s="71">
        <v>1</v>
      </c>
      <c r="D89" s="71">
        <v>1</v>
      </c>
      <c r="E89" s="71">
        <v>1</v>
      </c>
      <c r="F89" s="74">
        <v>5</v>
      </c>
      <c r="G89" s="72" t="s">
        <v>273</v>
      </c>
      <c r="H89" s="74">
        <v>10</v>
      </c>
      <c r="I89" s="72" t="s">
        <v>156</v>
      </c>
      <c r="J89" s="74">
        <v>1</v>
      </c>
      <c r="K89" s="72" t="s">
        <v>86</v>
      </c>
      <c r="L89" s="74">
        <v>2</v>
      </c>
      <c r="M89" s="75">
        <v>5</v>
      </c>
      <c r="N89" s="75">
        <v>0.24920634920634921</v>
      </c>
      <c r="O89" s="75">
        <v>1</v>
      </c>
      <c r="P89" s="75">
        <v>1</v>
      </c>
      <c r="Q89" s="75">
        <v>2</v>
      </c>
      <c r="R89" s="75">
        <v>5</v>
      </c>
      <c r="S89" s="75">
        <v>3.5</v>
      </c>
      <c r="T89" s="75">
        <v>5</v>
      </c>
      <c r="U89" s="75">
        <v>1</v>
      </c>
      <c r="V89" s="75">
        <v>1.3333333333333333</v>
      </c>
      <c r="W89" s="75">
        <v>0.26515151515151514</v>
      </c>
      <c r="X89" s="75">
        <v>0.5625</v>
      </c>
      <c r="Y89" s="75">
        <v>4.5</v>
      </c>
      <c r="Z89" s="75">
        <v>5</v>
      </c>
      <c r="AA89" s="75">
        <v>2</v>
      </c>
      <c r="AB89" s="75">
        <v>5</v>
      </c>
      <c r="AC89" s="75">
        <v>1</v>
      </c>
      <c r="AD89" s="2" t="s">
        <v>274</v>
      </c>
    </row>
    <row r="90" spans="1:30" x14ac:dyDescent="0.3">
      <c r="A90" s="1">
        <v>89</v>
      </c>
      <c r="B90" s="71">
        <v>1</v>
      </c>
      <c r="C90" s="71">
        <v>0</v>
      </c>
      <c r="D90" s="71">
        <v>1</v>
      </c>
      <c r="E90" s="71">
        <v>0</v>
      </c>
      <c r="F90" s="74">
        <v>0</v>
      </c>
      <c r="G90" s="72" t="s">
        <v>275</v>
      </c>
      <c r="H90" s="74">
        <v>10</v>
      </c>
      <c r="I90" s="72" t="s">
        <v>43</v>
      </c>
      <c r="J90" s="74">
        <v>1</v>
      </c>
      <c r="K90" s="72">
        <v>1</v>
      </c>
      <c r="L90" s="74">
        <v>1</v>
      </c>
      <c r="M90" s="75">
        <v>3</v>
      </c>
      <c r="N90" s="75">
        <v>0.1275132275132275</v>
      </c>
      <c r="O90" s="75">
        <v>1</v>
      </c>
      <c r="P90" s="75">
        <v>3</v>
      </c>
      <c r="Q90" s="75">
        <v>1</v>
      </c>
      <c r="R90" s="75">
        <v>5</v>
      </c>
      <c r="S90" s="75">
        <v>2.5</v>
      </c>
      <c r="T90" s="75">
        <v>4</v>
      </c>
      <c r="U90" s="75">
        <v>1</v>
      </c>
      <c r="V90" s="75">
        <v>2.3333333333333335</v>
      </c>
      <c r="W90" s="75">
        <v>8.7121212121212127E-2</v>
      </c>
      <c r="X90" s="75">
        <v>0.4375</v>
      </c>
      <c r="Y90" s="75">
        <v>4</v>
      </c>
      <c r="Z90" s="75">
        <v>4</v>
      </c>
      <c r="AA90" s="75">
        <v>2</v>
      </c>
      <c r="AB90" s="75">
        <v>1</v>
      </c>
      <c r="AC90" s="75">
        <v>1</v>
      </c>
      <c r="AD90" s="2" t="s">
        <v>276</v>
      </c>
    </row>
    <row r="91" spans="1:30" x14ac:dyDescent="0.3">
      <c r="A91" s="1">
        <v>90</v>
      </c>
      <c r="B91" s="71">
        <v>1</v>
      </c>
      <c r="C91" s="71">
        <v>1</v>
      </c>
      <c r="D91" s="71">
        <v>1</v>
      </c>
      <c r="E91" s="71">
        <v>1</v>
      </c>
      <c r="F91" s="74">
        <v>5</v>
      </c>
      <c r="G91" s="72" t="s">
        <v>277</v>
      </c>
      <c r="H91" s="74">
        <v>5</v>
      </c>
      <c r="I91" s="72" t="s">
        <v>121</v>
      </c>
      <c r="J91" s="74">
        <v>1</v>
      </c>
      <c r="K91" s="72" t="s">
        <v>85</v>
      </c>
      <c r="L91" s="74">
        <v>3</v>
      </c>
      <c r="M91" s="75">
        <v>5</v>
      </c>
      <c r="N91" s="75">
        <v>0.31005291005291008</v>
      </c>
      <c r="O91" s="75">
        <v>1</v>
      </c>
      <c r="P91" s="75">
        <v>3</v>
      </c>
      <c r="Q91" s="75">
        <v>3</v>
      </c>
      <c r="R91" s="75">
        <v>5</v>
      </c>
      <c r="S91" s="75">
        <v>4</v>
      </c>
      <c r="T91" s="75">
        <v>5</v>
      </c>
      <c r="U91" s="75">
        <v>1</v>
      </c>
      <c r="V91" s="75">
        <v>2.3333333333333335</v>
      </c>
      <c r="W91" s="75">
        <v>0.30303030303030298</v>
      </c>
      <c r="X91" s="75">
        <v>0.5625</v>
      </c>
      <c r="Y91" s="75">
        <v>2.5</v>
      </c>
      <c r="Z91" s="75">
        <v>5</v>
      </c>
      <c r="AA91" s="75">
        <v>2</v>
      </c>
      <c r="AB91" s="75">
        <v>5</v>
      </c>
      <c r="AC91" s="75">
        <v>2</v>
      </c>
      <c r="AD91" s="2" t="s">
        <v>279</v>
      </c>
    </row>
    <row r="92" spans="1:30" x14ac:dyDescent="0.3">
      <c r="A92" s="1">
        <v>91</v>
      </c>
      <c r="B92" s="71">
        <v>1</v>
      </c>
      <c r="C92" s="71">
        <v>1</v>
      </c>
      <c r="D92" s="71">
        <v>1</v>
      </c>
      <c r="E92" s="71">
        <v>1</v>
      </c>
      <c r="F92" s="74">
        <v>5</v>
      </c>
      <c r="G92" s="72" t="s">
        <v>130</v>
      </c>
      <c r="H92" s="74">
        <v>5</v>
      </c>
      <c r="I92" s="72" t="s">
        <v>156</v>
      </c>
      <c r="J92" s="74">
        <v>1</v>
      </c>
      <c r="K92" s="72" t="s">
        <v>121</v>
      </c>
      <c r="L92" s="74">
        <v>2</v>
      </c>
      <c r="M92" s="75">
        <v>5</v>
      </c>
      <c r="N92" s="75">
        <v>0.34708994708994712</v>
      </c>
      <c r="O92" s="75">
        <v>1</v>
      </c>
      <c r="P92" s="75">
        <v>2</v>
      </c>
      <c r="Q92" s="75">
        <v>2</v>
      </c>
      <c r="R92" s="75">
        <v>4</v>
      </c>
      <c r="S92" s="75">
        <v>3</v>
      </c>
      <c r="T92" s="75">
        <v>5</v>
      </c>
      <c r="U92" s="75">
        <v>2</v>
      </c>
      <c r="V92" s="75">
        <v>1.6666666666666667</v>
      </c>
      <c r="W92" s="75">
        <v>0.34848484848484851</v>
      </c>
      <c r="X92" s="75">
        <v>0.625</v>
      </c>
      <c r="Y92" s="75">
        <v>3.5</v>
      </c>
      <c r="Z92" s="75">
        <v>5</v>
      </c>
      <c r="AA92" s="75">
        <v>2</v>
      </c>
      <c r="AB92" s="75">
        <v>5</v>
      </c>
      <c r="AC92" s="75">
        <v>4</v>
      </c>
      <c r="AD92" s="2" t="s">
        <v>280</v>
      </c>
    </row>
    <row r="93" spans="1:30" x14ac:dyDescent="0.3">
      <c r="A93" s="1">
        <v>92</v>
      </c>
      <c r="B93" s="71">
        <v>1</v>
      </c>
      <c r="C93" s="71">
        <v>1</v>
      </c>
      <c r="D93" s="71">
        <v>1</v>
      </c>
      <c r="E93" s="71">
        <v>1</v>
      </c>
      <c r="F93" s="74">
        <v>5</v>
      </c>
      <c r="G93" s="72" t="s">
        <v>110</v>
      </c>
      <c r="H93" s="74">
        <v>10</v>
      </c>
      <c r="I93" s="72" t="s">
        <v>281</v>
      </c>
      <c r="J93" s="74">
        <v>2</v>
      </c>
      <c r="K93" s="72" t="s">
        <v>121</v>
      </c>
      <c r="L93" s="74">
        <v>2</v>
      </c>
      <c r="M93" s="75">
        <v>4</v>
      </c>
      <c r="N93" s="75">
        <v>0.28624338624338624</v>
      </c>
      <c r="O93" s="75">
        <v>1</v>
      </c>
      <c r="P93" s="75">
        <v>2</v>
      </c>
      <c r="Q93" s="75">
        <v>2</v>
      </c>
      <c r="R93" s="75">
        <v>5</v>
      </c>
      <c r="S93" s="75">
        <v>4</v>
      </c>
      <c r="T93" s="75">
        <v>4</v>
      </c>
      <c r="U93" s="75">
        <v>1.5</v>
      </c>
      <c r="V93" s="75">
        <v>2.3333333333333335</v>
      </c>
      <c r="W93" s="75">
        <v>0.26136363636363635</v>
      </c>
      <c r="X93" s="75">
        <v>0.625</v>
      </c>
      <c r="Y93" s="75">
        <v>3</v>
      </c>
      <c r="Z93" s="75">
        <v>5</v>
      </c>
      <c r="AA93" s="75">
        <v>2</v>
      </c>
      <c r="AB93" s="75">
        <v>5</v>
      </c>
      <c r="AC93" s="75">
        <v>3</v>
      </c>
      <c r="AD93" s="2" t="s">
        <v>282</v>
      </c>
    </row>
    <row r="94" spans="1:30" x14ac:dyDescent="0.3">
      <c r="A94" s="1">
        <v>93</v>
      </c>
      <c r="B94" s="71">
        <v>1</v>
      </c>
      <c r="C94" s="71">
        <v>1</v>
      </c>
      <c r="D94" s="71">
        <v>1</v>
      </c>
      <c r="E94" s="71">
        <v>0</v>
      </c>
      <c r="F94" s="74">
        <v>2.5</v>
      </c>
      <c r="G94" s="72">
        <v>6</v>
      </c>
      <c r="H94" s="74">
        <v>5</v>
      </c>
      <c r="I94" s="72" t="s">
        <v>149</v>
      </c>
      <c r="J94" s="74">
        <v>1</v>
      </c>
      <c r="K94" s="72">
        <v>5</v>
      </c>
      <c r="L94" s="74">
        <v>1</v>
      </c>
      <c r="M94" s="75">
        <v>5</v>
      </c>
      <c r="N94" s="75">
        <v>0.31587301587301586</v>
      </c>
      <c r="O94" s="75">
        <v>1</v>
      </c>
      <c r="P94" s="75">
        <v>3</v>
      </c>
      <c r="Q94" s="75">
        <v>2</v>
      </c>
      <c r="R94" s="75">
        <v>4</v>
      </c>
      <c r="S94" s="75">
        <v>4</v>
      </c>
      <c r="T94" s="75">
        <v>5</v>
      </c>
      <c r="U94" s="75">
        <v>1.5</v>
      </c>
      <c r="V94" s="75">
        <v>3.6666666666666665</v>
      </c>
      <c r="W94" s="75">
        <v>0.43939393939393934</v>
      </c>
      <c r="X94" s="75">
        <v>0.4375</v>
      </c>
      <c r="Y94" s="75">
        <v>4.5</v>
      </c>
      <c r="Z94" s="75">
        <v>5</v>
      </c>
      <c r="AA94" s="75">
        <v>2</v>
      </c>
      <c r="AB94" s="75">
        <v>4</v>
      </c>
      <c r="AC94" s="75">
        <v>3</v>
      </c>
      <c r="AD94" s="2" t="s">
        <v>283</v>
      </c>
    </row>
    <row r="95" spans="1:30" x14ac:dyDescent="0.3">
      <c r="A95" s="1">
        <v>94</v>
      </c>
      <c r="B95" s="71">
        <v>0</v>
      </c>
      <c r="C95" s="71">
        <v>0</v>
      </c>
      <c r="D95" s="71">
        <v>1</v>
      </c>
      <c r="E95" s="71">
        <v>0</v>
      </c>
      <c r="F95" s="74">
        <v>-2.5</v>
      </c>
      <c r="G95" s="72" t="s">
        <v>43</v>
      </c>
      <c r="H95" s="74">
        <v>5</v>
      </c>
      <c r="I95" s="72" t="s">
        <v>114</v>
      </c>
      <c r="J95" s="74">
        <v>1</v>
      </c>
      <c r="K95" s="72" t="s">
        <v>157</v>
      </c>
      <c r="L95" s="74">
        <v>2</v>
      </c>
      <c r="M95" s="75">
        <v>2</v>
      </c>
      <c r="N95" s="75">
        <v>0.18835978835978837</v>
      </c>
      <c r="O95" s="75">
        <v>0.66666666666666663</v>
      </c>
      <c r="P95" s="75">
        <v>4</v>
      </c>
      <c r="Q95" s="75">
        <v>4</v>
      </c>
      <c r="R95" s="75">
        <v>3</v>
      </c>
      <c r="S95" s="75">
        <v>2</v>
      </c>
      <c r="T95" s="75">
        <v>2</v>
      </c>
      <c r="U95" s="75">
        <v>3</v>
      </c>
      <c r="V95" s="75">
        <v>3.6666666666666665</v>
      </c>
      <c r="W95" s="75">
        <v>0.17424242424242425</v>
      </c>
      <c r="X95" s="75">
        <v>0.25</v>
      </c>
      <c r="Y95" s="75">
        <v>3.5</v>
      </c>
      <c r="Z95" s="75">
        <v>2</v>
      </c>
      <c r="AA95" s="75">
        <v>4</v>
      </c>
      <c r="AB95" s="75">
        <v>1</v>
      </c>
      <c r="AC95" s="75">
        <v>1</v>
      </c>
      <c r="AD95" s="2" t="s">
        <v>284</v>
      </c>
    </row>
    <row r="96" spans="1:30" x14ac:dyDescent="0.3">
      <c r="A96" s="1">
        <v>95</v>
      </c>
      <c r="B96" s="71">
        <v>0</v>
      </c>
      <c r="C96" s="71">
        <v>1</v>
      </c>
      <c r="D96" s="71">
        <v>1</v>
      </c>
      <c r="E96" s="71">
        <v>0</v>
      </c>
      <c r="F96" s="74">
        <v>0</v>
      </c>
      <c r="G96" s="72" t="s">
        <v>150</v>
      </c>
      <c r="H96" s="74">
        <v>10</v>
      </c>
      <c r="I96" s="72" t="s">
        <v>153</v>
      </c>
      <c r="J96" s="74">
        <v>1</v>
      </c>
      <c r="K96" s="72" t="s">
        <v>285</v>
      </c>
      <c r="L96" s="74">
        <v>2</v>
      </c>
      <c r="M96" s="75">
        <v>4</v>
      </c>
      <c r="N96" s="75">
        <v>0.30264550264550266</v>
      </c>
      <c r="O96" s="75">
        <v>1</v>
      </c>
      <c r="P96" s="75">
        <v>3</v>
      </c>
      <c r="Q96" s="75">
        <v>2</v>
      </c>
      <c r="R96" s="75">
        <v>3</v>
      </c>
      <c r="S96" s="75">
        <v>3</v>
      </c>
      <c r="T96" s="75">
        <v>5</v>
      </c>
      <c r="U96" s="75">
        <v>2</v>
      </c>
      <c r="V96" s="75">
        <v>3</v>
      </c>
      <c r="W96" s="75">
        <v>0.26136363636363635</v>
      </c>
      <c r="X96" s="75">
        <v>0.4375</v>
      </c>
      <c r="Y96" s="75">
        <v>4</v>
      </c>
      <c r="Z96" s="75">
        <v>5</v>
      </c>
      <c r="AA96" s="75">
        <v>3</v>
      </c>
      <c r="AB96" s="75">
        <v>3</v>
      </c>
      <c r="AC96" s="75">
        <v>3</v>
      </c>
      <c r="AD96" s="2" t="s">
        <v>286</v>
      </c>
    </row>
    <row r="97" spans="1:30" x14ac:dyDescent="0.3">
      <c r="A97" s="1">
        <v>96</v>
      </c>
      <c r="B97" s="71">
        <v>1</v>
      </c>
      <c r="C97" s="71">
        <v>1</v>
      </c>
      <c r="D97" s="71">
        <v>1</v>
      </c>
      <c r="E97" s="71">
        <v>1</v>
      </c>
      <c r="F97" s="74">
        <v>5</v>
      </c>
      <c r="G97" s="72">
        <v>1</v>
      </c>
      <c r="H97" s="74">
        <v>5</v>
      </c>
      <c r="I97" s="72">
        <v>8</v>
      </c>
      <c r="J97" s="74">
        <v>0</v>
      </c>
      <c r="K97" s="72">
        <v>1</v>
      </c>
      <c r="L97" s="74">
        <v>1</v>
      </c>
      <c r="M97" s="75">
        <v>4</v>
      </c>
      <c r="N97" s="75">
        <v>0.18835978835978837</v>
      </c>
      <c r="O97" s="75">
        <v>1</v>
      </c>
      <c r="P97" s="75">
        <v>3</v>
      </c>
      <c r="Q97" s="75">
        <v>3</v>
      </c>
      <c r="R97" s="75">
        <v>2</v>
      </c>
      <c r="S97" s="75">
        <v>3</v>
      </c>
      <c r="T97" s="75">
        <v>4</v>
      </c>
      <c r="U97" s="75">
        <v>1.5</v>
      </c>
      <c r="V97" s="75">
        <v>2.6666666666666665</v>
      </c>
      <c r="W97" s="75">
        <v>0.13257575757575757</v>
      </c>
      <c r="X97" s="75">
        <v>0.375</v>
      </c>
      <c r="Y97" s="75">
        <v>2</v>
      </c>
      <c r="Z97" s="75">
        <v>3</v>
      </c>
      <c r="AA97" s="75">
        <v>3</v>
      </c>
      <c r="AB97" s="75">
        <v>2</v>
      </c>
      <c r="AC97" s="75">
        <v>2</v>
      </c>
      <c r="AD97" s="2" t="s">
        <v>287</v>
      </c>
    </row>
    <row r="98" spans="1:30" x14ac:dyDescent="0.3">
      <c r="A98" s="1">
        <v>97</v>
      </c>
      <c r="B98" s="71">
        <v>1</v>
      </c>
      <c r="C98" s="71">
        <v>1</v>
      </c>
      <c r="D98" s="71">
        <v>0</v>
      </c>
      <c r="E98" s="71">
        <v>1</v>
      </c>
      <c r="F98" s="74">
        <v>2.5</v>
      </c>
      <c r="G98" s="72" t="s">
        <v>168</v>
      </c>
      <c r="H98" s="74">
        <v>5</v>
      </c>
      <c r="I98" s="72" t="s">
        <v>153</v>
      </c>
      <c r="J98" s="74">
        <v>1</v>
      </c>
      <c r="K98" s="72" t="s">
        <v>114</v>
      </c>
      <c r="L98" s="74">
        <v>2</v>
      </c>
      <c r="M98" s="75">
        <v>4</v>
      </c>
      <c r="N98" s="75">
        <v>0.27883597883597883</v>
      </c>
      <c r="O98" s="75">
        <v>0.33333333333333331</v>
      </c>
      <c r="P98" s="75">
        <v>3</v>
      </c>
      <c r="Q98" s="75">
        <v>3</v>
      </c>
      <c r="R98" s="75">
        <v>4</v>
      </c>
      <c r="S98" s="75">
        <v>3</v>
      </c>
      <c r="T98" s="75">
        <v>3</v>
      </c>
      <c r="U98" s="75">
        <v>1</v>
      </c>
      <c r="V98" s="75">
        <v>3</v>
      </c>
      <c r="W98" s="75">
        <v>0.31060606060606061</v>
      </c>
      <c r="X98" s="75">
        <v>0.5625</v>
      </c>
      <c r="Y98" s="75">
        <v>3.5</v>
      </c>
      <c r="Z98" s="75">
        <v>5</v>
      </c>
      <c r="AA98" s="75">
        <v>2</v>
      </c>
      <c r="AB98" s="75">
        <v>5</v>
      </c>
      <c r="AC98" s="75">
        <v>1</v>
      </c>
      <c r="AD98" s="2" t="s">
        <v>288</v>
      </c>
    </row>
    <row r="99" spans="1:30" x14ac:dyDescent="0.3">
      <c r="A99" s="1">
        <v>98</v>
      </c>
      <c r="B99" s="71">
        <v>1</v>
      </c>
      <c r="C99" s="71">
        <v>1</v>
      </c>
      <c r="D99" s="71">
        <v>1</v>
      </c>
      <c r="E99" s="71">
        <v>0</v>
      </c>
      <c r="F99" s="74">
        <v>2.5</v>
      </c>
      <c r="G99" s="72" t="s">
        <v>289</v>
      </c>
      <c r="H99" s="74">
        <v>10</v>
      </c>
      <c r="I99" s="72" t="s">
        <v>246</v>
      </c>
      <c r="J99" s="74">
        <v>1</v>
      </c>
      <c r="K99" s="72">
        <v>5</v>
      </c>
      <c r="L99" s="74">
        <v>1</v>
      </c>
      <c r="M99" s="75">
        <v>5</v>
      </c>
      <c r="N99" s="75">
        <v>0.28465608465608466</v>
      </c>
      <c r="O99" s="75">
        <v>1</v>
      </c>
      <c r="P99" s="75">
        <v>3</v>
      </c>
      <c r="Q99" s="75">
        <v>5</v>
      </c>
      <c r="R99" s="75">
        <v>2</v>
      </c>
      <c r="S99" s="75">
        <v>4</v>
      </c>
      <c r="T99" s="75">
        <v>5</v>
      </c>
      <c r="U99" s="75">
        <v>3</v>
      </c>
      <c r="V99" s="75">
        <v>3.3333333333333335</v>
      </c>
      <c r="W99" s="75">
        <v>0.17803030303030301</v>
      </c>
      <c r="X99" s="75">
        <v>0.4375</v>
      </c>
      <c r="Y99" s="75">
        <v>4.5</v>
      </c>
      <c r="Z99" s="75">
        <v>5</v>
      </c>
      <c r="AA99" s="75">
        <v>2</v>
      </c>
      <c r="AB99" s="75">
        <v>5</v>
      </c>
      <c r="AC99" s="75">
        <v>3</v>
      </c>
      <c r="AD99" s="2" t="s">
        <v>291</v>
      </c>
    </row>
    <row r="100" spans="1:30" x14ac:dyDescent="0.3">
      <c r="A100" s="1">
        <v>99</v>
      </c>
      <c r="B100" s="71">
        <v>1</v>
      </c>
      <c r="C100" s="71">
        <v>1</v>
      </c>
      <c r="D100" s="71">
        <v>1</v>
      </c>
      <c r="E100" s="71">
        <v>0</v>
      </c>
      <c r="F100" s="74">
        <v>2.5</v>
      </c>
      <c r="G100" s="72" t="s">
        <v>43</v>
      </c>
      <c r="H100" s="74">
        <v>5</v>
      </c>
      <c r="I100" s="72" t="s">
        <v>92</v>
      </c>
      <c r="J100" s="74">
        <v>1</v>
      </c>
      <c r="K100" s="72" t="s">
        <v>113</v>
      </c>
      <c r="L100" s="74">
        <v>2</v>
      </c>
      <c r="M100" s="75">
        <v>2</v>
      </c>
      <c r="N100" s="75">
        <v>0.20158730158730162</v>
      </c>
      <c r="O100" s="75">
        <v>1</v>
      </c>
      <c r="P100" s="75">
        <v>3</v>
      </c>
      <c r="Q100" s="75">
        <v>4</v>
      </c>
      <c r="R100" s="75">
        <v>4</v>
      </c>
      <c r="S100" s="75">
        <v>3</v>
      </c>
      <c r="T100" s="75">
        <v>2</v>
      </c>
      <c r="U100" s="75">
        <v>2.5</v>
      </c>
      <c r="V100" s="75">
        <v>3.3333333333333335</v>
      </c>
      <c r="W100" s="75">
        <v>0.26515151515151514</v>
      </c>
      <c r="X100" s="75">
        <v>0.375</v>
      </c>
      <c r="Y100" s="75">
        <v>4</v>
      </c>
      <c r="Z100" s="75">
        <v>4</v>
      </c>
      <c r="AA100" s="75">
        <v>3</v>
      </c>
      <c r="AB100" s="75">
        <v>3</v>
      </c>
      <c r="AC100" s="75">
        <v>2</v>
      </c>
      <c r="AD100" s="2" t="s">
        <v>292</v>
      </c>
    </row>
    <row r="101" spans="1:30" x14ac:dyDescent="0.3">
      <c r="A101" s="1">
        <v>100</v>
      </c>
      <c r="B101" s="71">
        <v>1</v>
      </c>
      <c r="C101" s="71">
        <v>1</v>
      </c>
      <c r="D101" s="71">
        <v>1</v>
      </c>
      <c r="E101" s="71">
        <v>1</v>
      </c>
      <c r="F101" s="74">
        <v>5</v>
      </c>
      <c r="G101" s="72" t="s">
        <v>168</v>
      </c>
      <c r="H101" s="74">
        <v>5</v>
      </c>
      <c r="I101" s="72" t="s">
        <v>293</v>
      </c>
      <c r="J101" s="74">
        <v>2</v>
      </c>
      <c r="K101" s="72" t="s">
        <v>294</v>
      </c>
      <c r="L101" s="74">
        <v>2</v>
      </c>
      <c r="M101" s="75">
        <v>5</v>
      </c>
      <c r="N101" s="75">
        <v>0.36349206349206353</v>
      </c>
      <c r="O101" s="75">
        <v>1</v>
      </c>
      <c r="P101" s="75">
        <v>3</v>
      </c>
      <c r="Q101" s="75">
        <v>3</v>
      </c>
      <c r="R101" s="75">
        <v>4</v>
      </c>
      <c r="S101" s="75">
        <v>3.5</v>
      </c>
      <c r="T101" s="75">
        <v>5</v>
      </c>
      <c r="U101" s="75">
        <v>3</v>
      </c>
      <c r="V101" s="75">
        <v>3</v>
      </c>
      <c r="W101" s="75">
        <v>0.52272727272727271</v>
      </c>
      <c r="X101" s="75">
        <v>0.625</v>
      </c>
      <c r="Y101" s="75">
        <v>4</v>
      </c>
      <c r="Z101" s="75">
        <v>5</v>
      </c>
      <c r="AA101" s="75">
        <v>3</v>
      </c>
      <c r="AB101" s="75">
        <v>2</v>
      </c>
      <c r="AC101" s="75">
        <v>2</v>
      </c>
      <c r="AD101" s="2" t="s">
        <v>295</v>
      </c>
    </row>
    <row r="102" spans="1:30" x14ac:dyDescent="0.3">
      <c r="A102" s="1">
        <v>101</v>
      </c>
      <c r="B102" s="71">
        <v>1</v>
      </c>
      <c r="C102" s="71">
        <v>1</v>
      </c>
      <c r="D102" s="71">
        <v>1</v>
      </c>
      <c r="E102" s="71">
        <v>1</v>
      </c>
      <c r="F102" s="74">
        <v>5</v>
      </c>
      <c r="G102" s="72" t="s">
        <v>110</v>
      </c>
      <c r="H102" s="74">
        <v>10</v>
      </c>
      <c r="I102" s="72" t="s">
        <v>84</v>
      </c>
      <c r="J102" s="74">
        <v>1</v>
      </c>
      <c r="K102" s="72">
        <v>2</v>
      </c>
      <c r="L102" s="74">
        <v>1</v>
      </c>
      <c r="M102" s="75">
        <v>5</v>
      </c>
      <c r="N102" s="75">
        <v>0.3883597883597884</v>
      </c>
      <c r="O102" s="75">
        <v>1</v>
      </c>
      <c r="P102" s="75">
        <v>2</v>
      </c>
      <c r="Q102" s="75">
        <v>2</v>
      </c>
      <c r="R102" s="75">
        <v>3</v>
      </c>
      <c r="S102" s="75">
        <v>3</v>
      </c>
      <c r="T102" s="75">
        <v>4</v>
      </c>
      <c r="U102" s="75">
        <v>3</v>
      </c>
      <c r="V102" s="75">
        <v>2.3333333333333335</v>
      </c>
      <c r="W102" s="75">
        <v>0.39393939393939392</v>
      </c>
      <c r="X102" s="75">
        <v>0.5625</v>
      </c>
      <c r="Y102" s="75">
        <v>4</v>
      </c>
      <c r="Z102" s="75">
        <v>3</v>
      </c>
      <c r="AA102" s="75">
        <v>2</v>
      </c>
      <c r="AB102" s="75">
        <v>3</v>
      </c>
      <c r="AC102" s="75">
        <v>3</v>
      </c>
      <c r="AD102" s="2" t="s">
        <v>296</v>
      </c>
    </row>
    <row r="103" spans="1:30" x14ac:dyDescent="0.3">
      <c r="A103" s="1">
        <v>102</v>
      </c>
      <c r="B103" s="71">
        <v>1</v>
      </c>
      <c r="C103" s="71">
        <v>1</v>
      </c>
      <c r="D103" s="71">
        <v>1</v>
      </c>
      <c r="E103" s="71">
        <v>1</v>
      </c>
      <c r="F103" s="74">
        <v>5</v>
      </c>
      <c r="G103" s="72" t="s">
        <v>297</v>
      </c>
      <c r="H103" s="74">
        <v>10</v>
      </c>
      <c r="I103" s="72" t="s">
        <v>298</v>
      </c>
      <c r="J103" s="74">
        <v>1</v>
      </c>
      <c r="K103" s="72" t="s">
        <v>157</v>
      </c>
      <c r="L103" s="74">
        <v>2</v>
      </c>
      <c r="M103" s="75">
        <v>5</v>
      </c>
      <c r="N103" s="75">
        <v>0.23597883597883595</v>
      </c>
      <c r="O103" s="75">
        <v>1</v>
      </c>
      <c r="P103" s="75">
        <v>2</v>
      </c>
      <c r="Q103" s="75">
        <v>2</v>
      </c>
      <c r="R103" s="75">
        <v>3</v>
      </c>
      <c r="S103" s="75">
        <v>5</v>
      </c>
      <c r="T103" s="75">
        <v>3</v>
      </c>
      <c r="U103" s="75">
        <v>1.5</v>
      </c>
      <c r="V103" s="75">
        <v>3.3333333333333335</v>
      </c>
      <c r="W103" s="75">
        <v>0.34848484848484851</v>
      </c>
      <c r="X103" s="75">
        <v>0.5</v>
      </c>
      <c r="Y103" s="75">
        <v>3.5</v>
      </c>
      <c r="Z103" s="75">
        <v>4</v>
      </c>
      <c r="AA103" s="75">
        <v>3</v>
      </c>
      <c r="AB103" s="75">
        <v>3</v>
      </c>
      <c r="AC103" s="75">
        <v>2</v>
      </c>
      <c r="AD103" s="2" t="s">
        <v>299</v>
      </c>
    </row>
    <row r="104" spans="1:30" x14ac:dyDescent="0.3">
      <c r="A104" s="1">
        <v>103</v>
      </c>
      <c r="B104" s="71">
        <v>1</v>
      </c>
      <c r="C104" s="71">
        <v>1</v>
      </c>
      <c r="D104" s="71">
        <v>1</v>
      </c>
      <c r="E104" s="71">
        <v>1</v>
      </c>
      <c r="F104" s="74">
        <v>5</v>
      </c>
      <c r="G104" s="72" t="s">
        <v>300</v>
      </c>
      <c r="H104" s="74">
        <v>15</v>
      </c>
      <c r="I104" s="72" t="s">
        <v>301</v>
      </c>
      <c r="J104" s="74">
        <v>2</v>
      </c>
      <c r="K104" s="72" t="s">
        <v>154</v>
      </c>
      <c r="L104" s="74">
        <v>2</v>
      </c>
      <c r="M104" s="75">
        <v>4</v>
      </c>
      <c r="N104" s="75">
        <v>0.36349206349206353</v>
      </c>
      <c r="O104" s="75">
        <v>1</v>
      </c>
      <c r="P104" s="75">
        <v>2</v>
      </c>
      <c r="Q104" s="75">
        <v>2</v>
      </c>
      <c r="R104" s="75">
        <v>4</v>
      </c>
      <c r="S104" s="75">
        <v>4</v>
      </c>
      <c r="T104" s="75">
        <v>4</v>
      </c>
      <c r="U104" s="75">
        <v>1.5</v>
      </c>
      <c r="V104" s="75">
        <v>2.6666666666666665</v>
      </c>
      <c r="W104" s="75">
        <v>0.48106060606060608</v>
      </c>
      <c r="X104" s="75">
        <v>0.4375</v>
      </c>
      <c r="Y104" s="75">
        <v>3.5</v>
      </c>
      <c r="Z104" s="75">
        <v>4</v>
      </c>
      <c r="AA104" s="75">
        <v>2</v>
      </c>
      <c r="AB104" s="75">
        <v>5</v>
      </c>
      <c r="AC104" s="75">
        <v>4</v>
      </c>
      <c r="AD104" s="2" t="s">
        <v>302</v>
      </c>
    </row>
    <row r="105" spans="1:30" x14ac:dyDescent="0.3">
      <c r="A105" s="1">
        <v>104</v>
      </c>
      <c r="B105" s="71">
        <v>1</v>
      </c>
      <c r="C105" s="71">
        <v>1</v>
      </c>
      <c r="D105" s="71">
        <v>1</v>
      </c>
      <c r="E105" s="71">
        <v>0</v>
      </c>
      <c r="F105" s="74">
        <v>2.5</v>
      </c>
      <c r="G105" s="72" t="s">
        <v>303</v>
      </c>
      <c r="H105" s="74">
        <v>10</v>
      </c>
      <c r="I105" s="72" t="s">
        <v>77</v>
      </c>
      <c r="J105" s="74">
        <v>1</v>
      </c>
      <c r="K105" s="72" t="s">
        <v>304</v>
      </c>
      <c r="L105" s="74">
        <v>2</v>
      </c>
      <c r="M105" s="75">
        <v>4</v>
      </c>
      <c r="N105" s="75">
        <v>0.27301587301587299</v>
      </c>
      <c r="O105" s="75">
        <v>1</v>
      </c>
      <c r="P105" s="75">
        <v>2</v>
      </c>
      <c r="Q105" s="75">
        <v>2</v>
      </c>
      <c r="R105" s="75">
        <v>4</v>
      </c>
      <c r="S105" s="75">
        <v>4</v>
      </c>
      <c r="T105" s="75">
        <v>4</v>
      </c>
      <c r="U105" s="75">
        <v>2</v>
      </c>
      <c r="V105" s="75">
        <v>2.6666666666666665</v>
      </c>
      <c r="W105" s="75">
        <v>0.30681818181818182</v>
      </c>
      <c r="X105" s="75">
        <v>0.4375</v>
      </c>
      <c r="Y105" s="75">
        <v>4</v>
      </c>
      <c r="Z105" s="75">
        <v>5</v>
      </c>
      <c r="AA105" s="75">
        <v>2</v>
      </c>
      <c r="AB105" s="75">
        <v>5</v>
      </c>
      <c r="AC105" s="75">
        <v>4</v>
      </c>
      <c r="AD105" s="2" t="s">
        <v>305</v>
      </c>
    </row>
    <row r="106" spans="1:30" x14ac:dyDescent="0.3">
      <c r="A106" s="1">
        <v>105</v>
      </c>
      <c r="B106" s="71">
        <v>1</v>
      </c>
      <c r="C106" s="71">
        <v>1</v>
      </c>
      <c r="D106" s="71">
        <v>1</v>
      </c>
      <c r="E106" s="71">
        <v>1</v>
      </c>
      <c r="F106" s="74">
        <v>5</v>
      </c>
      <c r="G106" s="72" t="s">
        <v>306</v>
      </c>
      <c r="H106" s="74">
        <v>15</v>
      </c>
      <c r="I106" s="72" t="s">
        <v>81</v>
      </c>
      <c r="J106" s="74">
        <v>1</v>
      </c>
      <c r="K106" s="72" t="s">
        <v>307</v>
      </c>
      <c r="L106" s="74">
        <v>2</v>
      </c>
      <c r="M106" s="75">
        <v>5</v>
      </c>
      <c r="N106" s="75">
        <v>0.37671957671957673</v>
      </c>
      <c r="O106" s="75">
        <v>1</v>
      </c>
      <c r="P106" s="75">
        <v>1</v>
      </c>
      <c r="Q106" s="75">
        <v>1</v>
      </c>
      <c r="R106" s="75">
        <v>5</v>
      </c>
      <c r="S106" s="75">
        <v>5</v>
      </c>
      <c r="T106" s="75">
        <v>5</v>
      </c>
      <c r="U106" s="75">
        <v>1</v>
      </c>
      <c r="V106" s="75">
        <v>2.6666666666666665</v>
      </c>
      <c r="W106" s="75">
        <v>0.35227272727272729</v>
      </c>
      <c r="X106" s="75">
        <v>0.4375</v>
      </c>
      <c r="Y106" s="75">
        <v>4</v>
      </c>
      <c r="Z106" s="75">
        <v>5</v>
      </c>
      <c r="AA106" s="75">
        <v>1</v>
      </c>
      <c r="AB106" s="75">
        <v>5</v>
      </c>
      <c r="AC106" s="75">
        <v>4</v>
      </c>
      <c r="AD106" s="2" t="s">
        <v>309</v>
      </c>
    </row>
    <row r="107" spans="1:30" x14ac:dyDescent="0.3">
      <c r="A107" s="1">
        <v>106</v>
      </c>
      <c r="B107" s="71">
        <v>1</v>
      </c>
      <c r="C107" s="71">
        <v>1</v>
      </c>
      <c r="D107" s="71">
        <v>1</v>
      </c>
      <c r="E107" s="71">
        <v>1</v>
      </c>
      <c r="F107" s="74">
        <v>5</v>
      </c>
      <c r="G107" s="72" t="s">
        <v>310</v>
      </c>
      <c r="H107" s="74">
        <v>10</v>
      </c>
      <c r="I107" s="72" t="s">
        <v>311</v>
      </c>
      <c r="J107" s="74">
        <v>2</v>
      </c>
      <c r="K107" s="72" t="s">
        <v>248</v>
      </c>
      <c r="L107" s="74">
        <v>3</v>
      </c>
      <c r="M107" s="75">
        <v>5</v>
      </c>
      <c r="N107" s="75">
        <v>0.28624338624338624</v>
      </c>
      <c r="O107" s="75">
        <v>1</v>
      </c>
      <c r="P107" s="75">
        <v>3</v>
      </c>
      <c r="Q107" s="75">
        <v>2</v>
      </c>
      <c r="R107" s="75">
        <v>5</v>
      </c>
      <c r="S107" s="75">
        <v>4.5</v>
      </c>
      <c r="T107" s="75">
        <v>4</v>
      </c>
      <c r="U107" s="75">
        <v>1</v>
      </c>
      <c r="V107" s="75">
        <v>3</v>
      </c>
      <c r="W107" s="75">
        <v>0.26136363636363635</v>
      </c>
      <c r="X107" s="75">
        <v>0.5</v>
      </c>
      <c r="Y107" s="75">
        <v>4.5</v>
      </c>
      <c r="Z107" s="75">
        <v>5</v>
      </c>
      <c r="AA107" s="75">
        <v>3</v>
      </c>
      <c r="AB107" s="75">
        <v>5</v>
      </c>
      <c r="AC107" s="75">
        <v>4</v>
      </c>
      <c r="AD107" s="2" t="s">
        <v>312</v>
      </c>
    </row>
    <row r="108" spans="1:30" x14ac:dyDescent="0.3">
      <c r="A108" s="1">
        <v>107</v>
      </c>
      <c r="B108" s="71">
        <v>1</v>
      </c>
      <c r="C108" s="71">
        <v>1</v>
      </c>
      <c r="D108" s="71">
        <v>1</v>
      </c>
      <c r="E108" s="71">
        <v>1</v>
      </c>
      <c r="F108" s="74">
        <v>5</v>
      </c>
      <c r="G108" s="72" t="s">
        <v>313</v>
      </c>
      <c r="H108" s="74">
        <v>10</v>
      </c>
      <c r="I108" s="72">
        <v>8</v>
      </c>
      <c r="J108" s="74">
        <v>0</v>
      </c>
      <c r="K108" s="72">
        <v>99</v>
      </c>
      <c r="L108" s="74">
        <v>1</v>
      </c>
      <c r="M108" s="75">
        <v>3</v>
      </c>
      <c r="N108" s="75">
        <v>0.19894179894179895</v>
      </c>
      <c r="O108" s="75">
        <v>1</v>
      </c>
      <c r="P108" s="75">
        <v>4</v>
      </c>
      <c r="Q108" s="75">
        <v>3</v>
      </c>
      <c r="R108" s="75">
        <v>1</v>
      </c>
      <c r="S108" s="75">
        <v>3</v>
      </c>
      <c r="T108" s="75">
        <v>1</v>
      </c>
      <c r="U108" s="75">
        <v>1</v>
      </c>
      <c r="V108" s="75">
        <v>2.3333333333333335</v>
      </c>
      <c r="W108" s="75">
        <v>8.7121212121212127E-2</v>
      </c>
      <c r="X108" s="75">
        <v>0.4375</v>
      </c>
      <c r="Y108" s="75">
        <v>4</v>
      </c>
      <c r="Z108" s="75">
        <v>1</v>
      </c>
      <c r="AA108" s="75">
        <v>4</v>
      </c>
      <c r="AB108" s="75">
        <v>2</v>
      </c>
      <c r="AC108" s="75">
        <v>1</v>
      </c>
      <c r="AD108" s="2" t="s">
        <v>314</v>
      </c>
    </row>
    <row r="109" spans="1:30" x14ac:dyDescent="0.3">
      <c r="A109" s="1">
        <v>108</v>
      </c>
      <c r="B109" s="71">
        <v>1</v>
      </c>
      <c r="C109" s="71">
        <v>1</v>
      </c>
      <c r="D109" s="71">
        <v>1</v>
      </c>
      <c r="E109" s="71">
        <v>0</v>
      </c>
      <c r="F109" s="74">
        <v>2.5</v>
      </c>
      <c r="G109" s="72" t="s">
        <v>315</v>
      </c>
      <c r="H109" s="74">
        <v>15</v>
      </c>
      <c r="I109" s="72" t="s">
        <v>316</v>
      </c>
      <c r="J109" s="74">
        <v>2</v>
      </c>
      <c r="K109" s="72" t="s">
        <v>154</v>
      </c>
      <c r="L109" s="74">
        <v>2</v>
      </c>
      <c r="M109" s="75">
        <v>4</v>
      </c>
      <c r="N109" s="75">
        <v>0.44338624338624338</v>
      </c>
      <c r="O109" s="75">
        <v>1</v>
      </c>
      <c r="P109" s="75">
        <v>2</v>
      </c>
      <c r="Q109" s="75">
        <v>2</v>
      </c>
      <c r="R109" s="75">
        <v>4</v>
      </c>
      <c r="S109" s="75">
        <v>4</v>
      </c>
      <c r="T109" s="75">
        <v>4</v>
      </c>
      <c r="U109" s="75">
        <v>1</v>
      </c>
      <c r="V109" s="75">
        <v>3.3333333333333335</v>
      </c>
      <c r="W109" s="75">
        <v>0.39393939393939392</v>
      </c>
      <c r="X109" s="75">
        <v>0.5</v>
      </c>
      <c r="Y109" s="75">
        <v>4.5</v>
      </c>
      <c r="Z109" s="75">
        <v>5</v>
      </c>
      <c r="AA109" s="75">
        <v>2</v>
      </c>
      <c r="AB109" s="75">
        <v>4</v>
      </c>
      <c r="AC109" s="75">
        <v>4</v>
      </c>
      <c r="AD109" s="2" t="s">
        <v>317</v>
      </c>
    </row>
    <row r="110" spans="1:30" x14ac:dyDescent="0.3">
      <c r="A110" s="1">
        <v>109</v>
      </c>
      <c r="B110" s="71">
        <v>1</v>
      </c>
      <c r="C110" s="71">
        <v>0</v>
      </c>
      <c r="D110" s="71">
        <v>1</v>
      </c>
      <c r="E110" s="71">
        <v>1</v>
      </c>
      <c r="F110" s="74">
        <v>2.5</v>
      </c>
      <c r="G110" s="72" t="s">
        <v>150</v>
      </c>
      <c r="H110" s="74">
        <v>10</v>
      </c>
      <c r="I110" s="72" t="s">
        <v>84</v>
      </c>
      <c r="J110" s="74">
        <v>1</v>
      </c>
      <c r="K110" s="72">
        <v>8</v>
      </c>
      <c r="L110" s="74">
        <v>1</v>
      </c>
      <c r="M110" s="75">
        <v>3</v>
      </c>
      <c r="N110" s="75">
        <v>0.21216931216931215</v>
      </c>
      <c r="O110" s="75">
        <v>0.66666666666666663</v>
      </c>
      <c r="P110" s="75">
        <v>2</v>
      </c>
      <c r="Q110" s="75">
        <v>2</v>
      </c>
      <c r="R110" s="75">
        <v>4</v>
      </c>
      <c r="S110" s="75">
        <v>4</v>
      </c>
      <c r="T110" s="75">
        <v>4</v>
      </c>
      <c r="U110" s="75">
        <v>1.5</v>
      </c>
      <c r="V110" s="75">
        <v>2</v>
      </c>
      <c r="W110" s="75">
        <v>0.26515151515151514</v>
      </c>
      <c r="X110" s="75">
        <v>0.4375</v>
      </c>
      <c r="Y110" s="75">
        <v>4</v>
      </c>
      <c r="Z110" s="75">
        <v>4</v>
      </c>
      <c r="AA110" s="75">
        <v>2</v>
      </c>
      <c r="AB110" s="75">
        <v>4</v>
      </c>
      <c r="AC110" s="75">
        <v>4</v>
      </c>
      <c r="AD110" s="2" t="s">
        <v>318</v>
      </c>
    </row>
    <row r="111" spans="1:30" x14ac:dyDescent="0.3">
      <c r="A111" s="1">
        <v>110</v>
      </c>
      <c r="B111" s="71">
        <v>1</v>
      </c>
      <c r="C111" s="71">
        <v>1</v>
      </c>
      <c r="D111" s="71">
        <v>1</v>
      </c>
      <c r="E111" s="71">
        <v>1</v>
      </c>
      <c r="F111" s="74">
        <v>5</v>
      </c>
      <c r="G111" s="72" t="s">
        <v>205</v>
      </c>
      <c r="H111" s="74">
        <v>10</v>
      </c>
      <c r="I111" s="72" t="s">
        <v>100</v>
      </c>
      <c r="J111" s="74">
        <v>1</v>
      </c>
      <c r="K111" s="72" t="s">
        <v>194</v>
      </c>
      <c r="L111" s="74">
        <v>2</v>
      </c>
      <c r="M111" s="75">
        <v>4</v>
      </c>
      <c r="N111" s="75">
        <v>0.23597883597883595</v>
      </c>
      <c r="O111" s="75">
        <v>1</v>
      </c>
      <c r="P111" s="75">
        <v>2</v>
      </c>
      <c r="Q111" s="75">
        <v>2</v>
      </c>
      <c r="R111" s="75">
        <v>4</v>
      </c>
      <c r="S111" s="75">
        <v>4</v>
      </c>
      <c r="T111" s="75">
        <v>4</v>
      </c>
      <c r="U111" s="75">
        <v>1.5</v>
      </c>
      <c r="V111" s="75">
        <v>2.3333333333333335</v>
      </c>
      <c r="W111" s="75">
        <v>0.35227272727272729</v>
      </c>
      <c r="X111" s="75">
        <v>0.5</v>
      </c>
      <c r="Y111" s="75">
        <v>4</v>
      </c>
      <c r="Z111" s="75">
        <v>4</v>
      </c>
      <c r="AA111" s="75">
        <v>1</v>
      </c>
      <c r="AB111" s="75">
        <v>4</v>
      </c>
      <c r="AC111" s="75">
        <v>1</v>
      </c>
      <c r="AD111" s="2" t="s">
        <v>319</v>
      </c>
    </row>
    <row r="112" spans="1:30" x14ac:dyDescent="0.3">
      <c r="A112" s="1">
        <v>111</v>
      </c>
      <c r="B112" s="71">
        <v>1</v>
      </c>
      <c r="C112" s="71">
        <v>1</v>
      </c>
      <c r="D112" s="71">
        <v>1</v>
      </c>
      <c r="E112" s="71">
        <v>1</v>
      </c>
      <c r="F112" s="74">
        <v>5</v>
      </c>
      <c r="G112" s="72" t="s">
        <v>223</v>
      </c>
      <c r="H112" s="74">
        <v>10</v>
      </c>
      <c r="I112" s="72" t="s">
        <v>194</v>
      </c>
      <c r="J112" s="74">
        <v>1</v>
      </c>
      <c r="K112" s="72" t="s">
        <v>194</v>
      </c>
      <c r="L112" s="74">
        <v>2</v>
      </c>
      <c r="M112" s="75">
        <v>4</v>
      </c>
      <c r="N112" s="75">
        <v>0.23597883597883595</v>
      </c>
      <c r="O112" s="75">
        <v>1</v>
      </c>
      <c r="P112" s="75">
        <v>2</v>
      </c>
      <c r="Q112" s="75">
        <v>2</v>
      </c>
      <c r="R112" s="75">
        <v>5</v>
      </c>
      <c r="S112" s="75">
        <v>3.5</v>
      </c>
      <c r="T112" s="75">
        <v>5</v>
      </c>
      <c r="U112" s="75">
        <v>3</v>
      </c>
      <c r="V112" s="75">
        <v>2.3333333333333335</v>
      </c>
      <c r="W112" s="75">
        <v>0.35227272727272729</v>
      </c>
      <c r="X112" s="75">
        <v>0.5</v>
      </c>
      <c r="Y112" s="75">
        <v>4.5</v>
      </c>
      <c r="Z112" s="75">
        <v>5</v>
      </c>
      <c r="AA112" s="75">
        <v>1</v>
      </c>
      <c r="AB112" s="75">
        <v>4</v>
      </c>
      <c r="AC112" s="75">
        <v>4</v>
      </c>
      <c r="AD112" s="2" t="s">
        <v>320</v>
      </c>
    </row>
    <row r="113" spans="1:30" x14ac:dyDescent="0.3">
      <c r="A113" s="1">
        <v>112</v>
      </c>
      <c r="B113" s="71">
        <v>1</v>
      </c>
      <c r="C113" s="71">
        <v>1</v>
      </c>
      <c r="D113" s="71">
        <v>1</v>
      </c>
      <c r="E113" s="71">
        <v>1</v>
      </c>
      <c r="F113" s="74">
        <v>5</v>
      </c>
      <c r="G113" s="72" t="s">
        <v>275</v>
      </c>
      <c r="H113" s="74">
        <v>10</v>
      </c>
      <c r="I113" s="72" t="s">
        <v>321</v>
      </c>
      <c r="J113" s="74">
        <v>1</v>
      </c>
      <c r="K113" s="72" t="s">
        <v>100</v>
      </c>
      <c r="L113" s="74">
        <v>2</v>
      </c>
      <c r="M113" s="75">
        <v>5</v>
      </c>
      <c r="N113" s="75">
        <v>0.21216931216931215</v>
      </c>
      <c r="O113" s="75">
        <v>1</v>
      </c>
      <c r="P113" s="75">
        <v>2</v>
      </c>
      <c r="Q113" s="75">
        <v>2</v>
      </c>
      <c r="R113" s="75">
        <v>5</v>
      </c>
      <c r="S113" s="75">
        <v>4</v>
      </c>
      <c r="T113" s="75">
        <v>4</v>
      </c>
      <c r="U113" s="75">
        <v>1.5</v>
      </c>
      <c r="V113" s="75">
        <v>2.3333333333333335</v>
      </c>
      <c r="W113" s="75">
        <v>0.26136363636363635</v>
      </c>
      <c r="X113" s="75">
        <v>0.4375</v>
      </c>
      <c r="Y113" s="75">
        <v>5</v>
      </c>
      <c r="Z113" s="75">
        <v>4</v>
      </c>
      <c r="AA113" s="75">
        <v>2</v>
      </c>
      <c r="AB113" s="75">
        <v>4</v>
      </c>
      <c r="AC113" s="75">
        <v>4</v>
      </c>
      <c r="AD113" s="2" t="s">
        <v>322</v>
      </c>
    </row>
    <row r="114" spans="1:30" x14ac:dyDescent="0.3">
      <c r="A114" s="1">
        <v>113</v>
      </c>
      <c r="B114" s="71">
        <v>1</v>
      </c>
      <c r="C114" s="71">
        <v>1</v>
      </c>
      <c r="D114" s="71">
        <v>1</v>
      </c>
      <c r="E114" s="71">
        <v>1</v>
      </c>
      <c r="F114" s="74">
        <v>5</v>
      </c>
      <c r="G114" s="72" t="s">
        <v>323</v>
      </c>
      <c r="H114" s="74">
        <v>20</v>
      </c>
      <c r="I114" s="72" t="s">
        <v>120</v>
      </c>
      <c r="J114" s="74">
        <v>2</v>
      </c>
      <c r="K114" s="72" t="s">
        <v>324</v>
      </c>
      <c r="L114" s="74">
        <v>4</v>
      </c>
      <c r="M114" s="75">
        <v>5</v>
      </c>
      <c r="N114" s="75">
        <v>0.49206349206349209</v>
      </c>
      <c r="O114" s="75">
        <v>1</v>
      </c>
      <c r="P114" s="75">
        <v>3</v>
      </c>
      <c r="Q114" s="75">
        <v>4</v>
      </c>
      <c r="R114" s="75">
        <v>4</v>
      </c>
      <c r="S114" s="75">
        <v>3.5</v>
      </c>
      <c r="T114" s="75">
        <v>4</v>
      </c>
      <c r="U114" s="75">
        <v>1</v>
      </c>
      <c r="V114" s="75">
        <v>4</v>
      </c>
      <c r="W114" s="75">
        <v>0.57196969696969702</v>
      </c>
      <c r="X114" s="75">
        <v>0.6875</v>
      </c>
      <c r="Y114" s="75">
        <v>3</v>
      </c>
      <c r="Z114" s="75">
        <v>4</v>
      </c>
      <c r="AA114" s="75">
        <v>1</v>
      </c>
      <c r="AB114" s="75">
        <v>4</v>
      </c>
      <c r="AC114" s="75">
        <v>3</v>
      </c>
      <c r="AD114" s="2" t="s">
        <v>325</v>
      </c>
    </row>
    <row r="115" spans="1:30" x14ac:dyDescent="0.3">
      <c r="A115" s="1">
        <v>114</v>
      </c>
      <c r="B115" s="71">
        <v>1</v>
      </c>
      <c r="C115" s="71">
        <v>1</v>
      </c>
      <c r="D115" s="71">
        <v>1</v>
      </c>
      <c r="E115" s="71">
        <v>1</v>
      </c>
      <c r="F115" s="74">
        <v>5</v>
      </c>
      <c r="G115" s="72" t="s">
        <v>326</v>
      </c>
      <c r="H115" s="74">
        <v>20</v>
      </c>
      <c r="I115" s="72" t="s">
        <v>214</v>
      </c>
      <c r="J115" s="74">
        <v>2</v>
      </c>
      <c r="K115" s="72" t="s">
        <v>327</v>
      </c>
      <c r="L115" s="74">
        <v>4</v>
      </c>
      <c r="M115" s="75">
        <v>4</v>
      </c>
      <c r="N115" s="75">
        <v>0.49206349206349209</v>
      </c>
      <c r="O115" s="75">
        <v>1</v>
      </c>
      <c r="P115" s="75">
        <v>2</v>
      </c>
      <c r="Q115" s="75">
        <v>3</v>
      </c>
      <c r="R115" s="75">
        <v>4</v>
      </c>
      <c r="S115" s="75">
        <v>4</v>
      </c>
      <c r="T115" s="75">
        <v>4</v>
      </c>
      <c r="U115" s="75">
        <v>1</v>
      </c>
      <c r="V115" s="75">
        <v>4</v>
      </c>
      <c r="W115" s="75">
        <v>0.52651515151515149</v>
      </c>
      <c r="X115" s="75">
        <v>0.5625</v>
      </c>
      <c r="Y115" s="75">
        <v>3.5</v>
      </c>
      <c r="Z115" s="75">
        <v>4</v>
      </c>
      <c r="AA115" s="75">
        <v>2</v>
      </c>
      <c r="AB115" s="75">
        <v>4</v>
      </c>
      <c r="AC115" s="75">
        <v>4</v>
      </c>
      <c r="AD115" s="2" t="s">
        <v>328</v>
      </c>
    </row>
    <row r="116" spans="1:30" x14ac:dyDescent="0.3">
      <c r="A116" s="1">
        <v>115</v>
      </c>
      <c r="B116" s="71">
        <v>1</v>
      </c>
      <c r="C116" s="71">
        <v>1</v>
      </c>
      <c r="D116" s="71">
        <v>1</v>
      </c>
      <c r="E116" s="71">
        <v>1</v>
      </c>
      <c r="F116" s="74">
        <v>5</v>
      </c>
      <c r="G116" s="72" t="s">
        <v>329</v>
      </c>
      <c r="H116" s="74">
        <v>10</v>
      </c>
      <c r="I116" s="72" t="s">
        <v>40</v>
      </c>
      <c r="J116" s="74">
        <v>2</v>
      </c>
      <c r="K116" s="72" t="s">
        <v>224</v>
      </c>
      <c r="L116" s="74">
        <v>3</v>
      </c>
      <c r="M116" s="75">
        <v>4</v>
      </c>
      <c r="N116" s="75">
        <v>0.32936507936507936</v>
      </c>
      <c r="O116" s="75">
        <v>1</v>
      </c>
      <c r="P116" s="75">
        <v>2</v>
      </c>
      <c r="Q116" s="75">
        <v>3</v>
      </c>
      <c r="R116" s="75">
        <v>4</v>
      </c>
      <c r="S116" s="75">
        <v>4</v>
      </c>
      <c r="T116" s="75">
        <v>4</v>
      </c>
      <c r="U116" s="75">
        <v>1</v>
      </c>
      <c r="V116" s="75">
        <v>3</v>
      </c>
      <c r="W116" s="75">
        <v>0.43560606060606061</v>
      </c>
      <c r="X116" s="75">
        <v>0.75</v>
      </c>
      <c r="Y116" s="75">
        <v>4.5</v>
      </c>
      <c r="Z116" s="75">
        <v>5</v>
      </c>
      <c r="AA116" s="75">
        <v>1</v>
      </c>
      <c r="AB116" s="75">
        <v>5</v>
      </c>
      <c r="AC116" s="75">
        <v>4</v>
      </c>
      <c r="AD116" s="2" t="s">
        <v>330</v>
      </c>
    </row>
    <row r="117" spans="1:30" x14ac:dyDescent="0.3">
      <c r="A117" s="1">
        <v>116</v>
      </c>
      <c r="B117" s="71">
        <v>1</v>
      </c>
      <c r="C117" s="71">
        <v>1</v>
      </c>
      <c r="D117" s="71">
        <v>1</v>
      </c>
      <c r="E117" s="71">
        <v>1</v>
      </c>
      <c r="F117" s="74">
        <v>5</v>
      </c>
      <c r="G117" s="72" t="s">
        <v>39</v>
      </c>
      <c r="H117" s="74">
        <v>10</v>
      </c>
      <c r="I117" s="72" t="s">
        <v>55</v>
      </c>
      <c r="J117" s="74">
        <v>2</v>
      </c>
      <c r="K117" s="72" t="s">
        <v>224</v>
      </c>
      <c r="L117" s="74">
        <v>3</v>
      </c>
      <c r="M117" s="75">
        <v>4</v>
      </c>
      <c r="N117" s="75">
        <v>0.32936507936507936</v>
      </c>
      <c r="O117" s="75">
        <v>1</v>
      </c>
      <c r="P117" s="75">
        <v>2</v>
      </c>
      <c r="Q117" s="75">
        <v>3</v>
      </c>
      <c r="R117" s="75">
        <v>4</v>
      </c>
      <c r="S117" s="75">
        <v>4</v>
      </c>
      <c r="T117" s="75">
        <v>4</v>
      </c>
      <c r="U117" s="75">
        <v>1</v>
      </c>
      <c r="V117" s="75">
        <v>3</v>
      </c>
      <c r="W117" s="75">
        <v>0.48106060606060608</v>
      </c>
      <c r="X117" s="75">
        <v>0.5625</v>
      </c>
      <c r="Y117" s="75">
        <v>4.5</v>
      </c>
      <c r="Z117" s="75">
        <v>4</v>
      </c>
      <c r="AA117" s="75">
        <v>1</v>
      </c>
      <c r="AB117" s="75">
        <v>4</v>
      </c>
      <c r="AC117" s="75">
        <v>4</v>
      </c>
      <c r="AD117" s="2" t="s">
        <v>331</v>
      </c>
    </row>
    <row r="118" spans="1:30" x14ac:dyDescent="0.3">
      <c r="A118" s="1">
        <v>117</v>
      </c>
      <c r="B118" s="71">
        <v>1</v>
      </c>
      <c r="C118" s="71">
        <v>1</v>
      </c>
      <c r="D118" s="71">
        <v>1</v>
      </c>
      <c r="E118" s="71">
        <v>1</v>
      </c>
      <c r="F118" s="74">
        <v>5</v>
      </c>
      <c r="G118" s="72" t="s">
        <v>332</v>
      </c>
      <c r="H118" s="74">
        <v>15</v>
      </c>
      <c r="I118" s="72" t="s">
        <v>40</v>
      </c>
      <c r="J118" s="74">
        <v>2</v>
      </c>
      <c r="K118" s="72" t="s">
        <v>46</v>
      </c>
      <c r="L118" s="74">
        <v>3</v>
      </c>
      <c r="M118" s="75">
        <v>4</v>
      </c>
      <c r="N118" s="75">
        <v>0.36507936507936506</v>
      </c>
      <c r="O118" s="75">
        <v>1</v>
      </c>
      <c r="P118" s="75">
        <v>1</v>
      </c>
      <c r="Q118" s="75">
        <v>3</v>
      </c>
      <c r="R118" s="75">
        <v>4</v>
      </c>
      <c r="S118" s="75">
        <v>4</v>
      </c>
      <c r="T118" s="75">
        <v>4</v>
      </c>
      <c r="U118" s="75">
        <v>1</v>
      </c>
      <c r="V118" s="75">
        <v>3</v>
      </c>
      <c r="W118" s="75">
        <v>0.43560606060606061</v>
      </c>
      <c r="X118" s="75">
        <v>0.6875</v>
      </c>
      <c r="Y118" s="75">
        <v>4.5</v>
      </c>
      <c r="Z118" s="75">
        <v>4</v>
      </c>
      <c r="AA118" s="75">
        <v>1</v>
      </c>
      <c r="AB118" s="75">
        <v>5</v>
      </c>
      <c r="AC118" s="75">
        <v>4</v>
      </c>
      <c r="AD118" s="2" t="s">
        <v>333</v>
      </c>
    </row>
    <row r="119" spans="1:30" x14ac:dyDescent="0.3">
      <c r="A119" s="1">
        <v>118</v>
      </c>
      <c r="B119" s="71">
        <v>1</v>
      </c>
      <c r="C119" s="71">
        <v>1</v>
      </c>
      <c r="D119" s="71">
        <v>1</v>
      </c>
      <c r="E119" s="71">
        <v>1</v>
      </c>
      <c r="F119" s="74">
        <v>5</v>
      </c>
      <c r="G119" s="72" t="s">
        <v>39</v>
      </c>
      <c r="H119" s="74">
        <v>10</v>
      </c>
      <c r="I119" s="72" t="s">
        <v>235</v>
      </c>
      <c r="J119" s="74">
        <v>2</v>
      </c>
      <c r="K119" s="72" t="s">
        <v>334</v>
      </c>
      <c r="L119" s="74">
        <v>3</v>
      </c>
      <c r="M119" s="75">
        <v>4</v>
      </c>
      <c r="N119" s="75">
        <v>0.42063492063492064</v>
      </c>
      <c r="O119" s="75">
        <v>1</v>
      </c>
      <c r="P119" s="75">
        <v>2</v>
      </c>
      <c r="Q119" s="75">
        <v>3</v>
      </c>
      <c r="R119" s="75">
        <v>4</v>
      </c>
      <c r="S119" s="75">
        <v>4</v>
      </c>
      <c r="T119" s="75">
        <v>4</v>
      </c>
      <c r="U119" s="75">
        <v>1</v>
      </c>
      <c r="V119" s="75">
        <v>3</v>
      </c>
      <c r="W119" s="75">
        <v>0.43560606060606061</v>
      </c>
      <c r="X119" s="75">
        <v>0.6875</v>
      </c>
      <c r="Y119" s="75">
        <v>4.5</v>
      </c>
      <c r="Z119" s="75">
        <v>5</v>
      </c>
      <c r="AA119" s="75">
        <v>1</v>
      </c>
      <c r="AB119" s="75">
        <v>4</v>
      </c>
      <c r="AC119" s="75">
        <v>4</v>
      </c>
      <c r="AD119" s="2" t="s">
        <v>335</v>
      </c>
    </row>
    <row r="120" spans="1:30" x14ac:dyDescent="0.3">
      <c r="A120" s="1">
        <v>119</v>
      </c>
      <c r="B120" s="71">
        <v>1</v>
      </c>
      <c r="C120" s="71">
        <v>1</v>
      </c>
      <c r="D120" s="71">
        <v>1</v>
      </c>
      <c r="E120" s="71">
        <v>1</v>
      </c>
      <c r="F120" s="74">
        <v>5</v>
      </c>
      <c r="G120" s="72" t="s">
        <v>336</v>
      </c>
      <c r="H120" s="74">
        <v>15</v>
      </c>
      <c r="I120" s="72" t="s">
        <v>221</v>
      </c>
      <c r="J120" s="74">
        <v>2</v>
      </c>
      <c r="K120" s="72" t="s">
        <v>224</v>
      </c>
      <c r="L120" s="74">
        <v>3</v>
      </c>
      <c r="M120" s="75">
        <v>4</v>
      </c>
      <c r="N120" s="75">
        <v>0.36507936507936506</v>
      </c>
      <c r="O120" s="75">
        <v>1</v>
      </c>
      <c r="P120" s="75">
        <v>2</v>
      </c>
      <c r="Q120" s="75">
        <v>3</v>
      </c>
      <c r="R120" s="75">
        <v>4</v>
      </c>
      <c r="S120" s="75">
        <v>4</v>
      </c>
      <c r="T120" s="75">
        <v>4</v>
      </c>
      <c r="U120" s="75">
        <v>1</v>
      </c>
      <c r="V120" s="75">
        <v>3</v>
      </c>
      <c r="W120" s="75">
        <v>0.43560606060606061</v>
      </c>
      <c r="X120" s="75">
        <v>0.6875</v>
      </c>
      <c r="Y120" s="75">
        <v>4.5</v>
      </c>
      <c r="Z120" s="75">
        <v>5</v>
      </c>
      <c r="AA120" s="75">
        <v>1</v>
      </c>
      <c r="AB120" s="75">
        <v>4</v>
      </c>
      <c r="AC120" s="75">
        <v>4</v>
      </c>
      <c r="AD120" s="2" t="s">
        <v>337</v>
      </c>
    </row>
    <row r="121" spans="1:30" x14ac:dyDescent="0.3">
      <c r="A121" s="1">
        <v>120</v>
      </c>
      <c r="B121" s="71">
        <v>1</v>
      </c>
      <c r="C121" s="71">
        <v>1</v>
      </c>
      <c r="D121" s="71">
        <v>1</v>
      </c>
      <c r="E121" s="71">
        <v>1</v>
      </c>
      <c r="F121" s="74">
        <v>5</v>
      </c>
      <c r="G121" s="72" t="s">
        <v>338</v>
      </c>
      <c r="H121" s="74">
        <v>15</v>
      </c>
      <c r="I121" s="72" t="s">
        <v>339</v>
      </c>
      <c r="J121" s="74">
        <v>2</v>
      </c>
      <c r="K121" s="72" t="s">
        <v>340</v>
      </c>
      <c r="L121" s="74">
        <v>3</v>
      </c>
      <c r="M121" s="75">
        <v>4</v>
      </c>
      <c r="N121" s="75">
        <v>0.42063492063492064</v>
      </c>
      <c r="O121" s="75">
        <v>1</v>
      </c>
      <c r="P121" s="75">
        <v>3</v>
      </c>
      <c r="Q121" s="75">
        <v>3</v>
      </c>
      <c r="R121" s="75">
        <v>4</v>
      </c>
      <c r="S121" s="75">
        <v>3.5</v>
      </c>
      <c r="T121" s="75">
        <v>4</v>
      </c>
      <c r="U121" s="75">
        <v>1</v>
      </c>
      <c r="V121" s="75">
        <v>3</v>
      </c>
      <c r="W121" s="75">
        <v>0.43560606060606061</v>
      </c>
      <c r="X121" s="75">
        <v>0.75</v>
      </c>
      <c r="Y121" s="75">
        <v>4.5</v>
      </c>
      <c r="Z121" s="75">
        <v>4</v>
      </c>
      <c r="AA121" s="75">
        <v>1</v>
      </c>
      <c r="AB121" s="75">
        <v>4</v>
      </c>
      <c r="AC121" s="75">
        <v>4</v>
      </c>
      <c r="AD121" s="2" t="s">
        <v>341</v>
      </c>
    </row>
    <row r="122" spans="1:30" x14ac:dyDescent="0.3">
      <c r="A122" s="1">
        <v>121</v>
      </c>
      <c r="B122" s="71">
        <v>1</v>
      </c>
      <c r="C122" s="71">
        <v>1</v>
      </c>
      <c r="D122" s="71">
        <v>1</v>
      </c>
      <c r="E122" s="71">
        <v>1</v>
      </c>
      <c r="F122" s="74">
        <v>5</v>
      </c>
      <c r="G122" s="72" t="s">
        <v>39</v>
      </c>
      <c r="H122" s="74">
        <v>10</v>
      </c>
      <c r="I122" s="72" t="s">
        <v>55</v>
      </c>
      <c r="J122" s="74">
        <v>2</v>
      </c>
      <c r="K122" s="72" t="s">
        <v>72</v>
      </c>
      <c r="L122" s="74">
        <v>3</v>
      </c>
      <c r="M122" s="75">
        <v>4</v>
      </c>
      <c r="N122" s="75">
        <v>0.42063492063492064</v>
      </c>
      <c r="O122" s="75">
        <v>1</v>
      </c>
      <c r="P122" s="75">
        <v>3</v>
      </c>
      <c r="Q122" s="75">
        <v>3</v>
      </c>
      <c r="R122" s="75">
        <v>4</v>
      </c>
      <c r="S122" s="75">
        <v>3.5</v>
      </c>
      <c r="T122" s="75">
        <v>4</v>
      </c>
      <c r="U122" s="75">
        <v>1</v>
      </c>
      <c r="V122" s="75">
        <v>3</v>
      </c>
      <c r="W122" s="75">
        <v>0.43560606060606061</v>
      </c>
      <c r="X122" s="75">
        <v>0.6875</v>
      </c>
      <c r="Y122" s="75">
        <v>4.5</v>
      </c>
      <c r="Z122" s="75">
        <v>4</v>
      </c>
      <c r="AA122" s="75">
        <v>2</v>
      </c>
      <c r="AB122" s="75">
        <v>4</v>
      </c>
      <c r="AC122" s="75">
        <v>4</v>
      </c>
      <c r="AD122" s="2" t="s">
        <v>342</v>
      </c>
    </row>
    <row r="123" spans="1:30" x14ac:dyDescent="0.3">
      <c r="A123" s="1">
        <v>122</v>
      </c>
      <c r="B123" s="71">
        <v>1</v>
      </c>
      <c r="C123" s="71">
        <v>1</v>
      </c>
      <c r="D123" s="71">
        <v>1</v>
      </c>
      <c r="E123" s="71">
        <v>1</v>
      </c>
      <c r="F123" s="74">
        <v>5</v>
      </c>
      <c r="G123" s="72" t="s">
        <v>58</v>
      </c>
      <c r="H123" s="74">
        <v>15</v>
      </c>
      <c r="I123" s="72" t="s">
        <v>84</v>
      </c>
      <c r="J123" s="74">
        <v>1</v>
      </c>
      <c r="K123" s="72" t="s">
        <v>77</v>
      </c>
      <c r="L123" s="74">
        <v>2</v>
      </c>
      <c r="M123" s="75">
        <v>4</v>
      </c>
      <c r="N123" s="75">
        <v>0.30952380952380953</v>
      </c>
      <c r="O123" s="75">
        <v>1</v>
      </c>
      <c r="P123" s="75">
        <v>2</v>
      </c>
      <c r="Q123" s="75">
        <v>3</v>
      </c>
      <c r="R123" s="75">
        <v>4</v>
      </c>
      <c r="S123" s="75">
        <v>3.5</v>
      </c>
      <c r="T123" s="75">
        <v>4</v>
      </c>
      <c r="U123" s="75">
        <v>1</v>
      </c>
      <c r="V123" s="75">
        <v>3</v>
      </c>
      <c r="W123" s="75">
        <v>0.39393939393939392</v>
      </c>
      <c r="X123" s="75">
        <v>0.5625</v>
      </c>
      <c r="Y123" s="75">
        <v>4.5</v>
      </c>
      <c r="Z123" s="75">
        <v>5</v>
      </c>
      <c r="AA123" s="75">
        <v>2</v>
      </c>
      <c r="AB123" s="75">
        <v>4</v>
      </c>
      <c r="AC123" s="75">
        <v>1</v>
      </c>
      <c r="AD123" s="2" t="s">
        <v>344</v>
      </c>
    </row>
    <row r="124" spans="1:30" x14ac:dyDescent="0.3">
      <c r="A124" s="1">
        <v>123</v>
      </c>
      <c r="B124" s="71">
        <v>1</v>
      </c>
      <c r="C124" s="71">
        <v>1</v>
      </c>
      <c r="D124" s="71">
        <v>1</v>
      </c>
      <c r="E124" s="71">
        <v>1</v>
      </c>
      <c r="F124" s="74">
        <v>5</v>
      </c>
      <c r="G124" s="72" t="s">
        <v>112</v>
      </c>
      <c r="H124" s="74">
        <v>10</v>
      </c>
      <c r="I124" s="72" t="s">
        <v>154</v>
      </c>
      <c r="J124" s="74">
        <v>1</v>
      </c>
      <c r="K124" s="72" t="s">
        <v>244</v>
      </c>
      <c r="L124" s="74">
        <v>3</v>
      </c>
      <c r="M124" s="75">
        <v>4</v>
      </c>
      <c r="N124" s="75">
        <v>0.36507936507936506</v>
      </c>
      <c r="O124" s="75">
        <v>1</v>
      </c>
      <c r="P124" s="75">
        <v>2</v>
      </c>
      <c r="Q124" s="75">
        <v>3</v>
      </c>
      <c r="R124" s="75">
        <v>3</v>
      </c>
      <c r="S124" s="75">
        <v>3.5</v>
      </c>
      <c r="T124" s="75">
        <v>4</v>
      </c>
      <c r="U124" s="75">
        <v>1</v>
      </c>
      <c r="V124" s="75">
        <v>3</v>
      </c>
      <c r="W124" s="75">
        <v>0.34848484848484851</v>
      </c>
      <c r="X124" s="75">
        <v>0.4375</v>
      </c>
      <c r="Y124" s="75">
        <v>5</v>
      </c>
      <c r="Z124" s="75">
        <v>4</v>
      </c>
      <c r="AA124" s="75">
        <v>3</v>
      </c>
      <c r="AB124" s="75">
        <v>3</v>
      </c>
      <c r="AC124" s="75">
        <v>1</v>
      </c>
      <c r="AD124" s="2" t="s">
        <v>345</v>
      </c>
    </row>
    <row r="125" spans="1:30" x14ac:dyDescent="0.3">
      <c r="A125" s="1">
        <v>124</v>
      </c>
      <c r="B125" s="71">
        <v>1</v>
      </c>
      <c r="C125" s="71">
        <v>1</v>
      </c>
      <c r="D125" s="71">
        <v>1</v>
      </c>
      <c r="E125" s="71">
        <v>1</v>
      </c>
      <c r="F125" s="74">
        <v>5</v>
      </c>
      <c r="G125" s="72" t="s">
        <v>112</v>
      </c>
      <c r="H125" s="74">
        <v>10</v>
      </c>
      <c r="I125" s="72" t="s">
        <v>346</v>
      </c>
      <c r="J125" s="74">
        <v>2</v>
      </c>
      <c r="K125" s="72" t="s">
        <v>347</v>
      </c>
      <c r="L125" s="74">
        <v>3</v>
      </c>
      <c r="M125" s="75">
        <v>4</v>
      </c>
      <c r="N125" s="75">
        <v>0.40079365079365081</v>
      </c>
      <c r="O125" s="75">
        <v>1</v>
      </c>
      <c r="P125" s="75">
        <v>2</v>
      </c>
      <c r="Q125" s="75">
        <v>2</v>
      </c>
      <c r="R125" s="75">
        <v>4</v>
      </c>
      <c r="S125" s="75">
        <v>3.5</v>
      </c>
      <c r="T125" s="75">
        <v>4</v>
      </c>
      <c r="U125" s="75">
        <v>1</v>
      </c>
      <c r="V125" s="75">
        <v>3</v>
      </c>
      <c r="W125" s="75">
        <v>0.39393939393939392</v>
      </c>
      <c r="X125" s="75">
        <v>0.5625</v>
      </c>
      <c r="Y125" s="75">
        <v>4.5</v>
      </c>
      <c r="Z125" s="75">
        <v>5</v>
      </c>
      <c r="AA125" s="75">
        <v>1</v>
      </c>
      <c r="AB125" s="75">
        <v>4</v>
      </c>
      <c r="AC125" s="75">
        <v>1</v>
      </c>
      <c r="AD125" s="2" t="s">
        <v>348</v>
      </c>
    </row>
    <row r="126" spans="1:30" x14ac:dyDescent="0.3">
      <c r="A126" s="1">
        <v>125</v>
      </c>
      <c r="B126" s="71">
        <v>1</v>
      </c>
      <c r="C126" s="71">
        <v>1</v>
      </c>
      <c r="D126" s="71">
        <v>1</v>
      </c>
      <c r="E126" s="71">
        <v>1</v>
      </c>
      <c r="F126" s="74">
        <v>5</v>
      </c>
      <c r="G126" s="72" t="s">
        <v>112</v>
      </c>
      <c r="H126" s="74">
        <v>10</v>
      </c>
      <c r="I126" s="72" t="s">
        <v>252</v>
      </c>
      <c r="J126" s="74">
        <v>2</v>
      </c>
      <c r="K126" s="72" t="s">
        <v>96</v>
      </c>
      <c r="L126" s="74">
        <v>3</v>
      </c>
      <c r="M126" s="75">
        <v>5</v>
      </c>
      <c r="N126" s="75">
        <v>0.36507936507936506</v>
      </c>
      <c r="O126" s="75">
        <v>1</v>
      </c>
      <c r="P126" s="75">
        <v>2</v>
      </c>
      <c r="Q126" s="75">
        <v>3</v>
      </c>
      <c r="R126" s="75">
        <v>4</v>
      </c>
      <c r="S126" s="75">
        <v>3</v>
      </c>
      <c r="T126" s="75">
        <v>5</v>
      </c>
      <c r="U126" s="75">
        <v>1</v>
      </c>
      <c r="V126" s="75">
        <v>3</v>
      </c>
      <c r="W126" s="75">
        <v>0.39393939393939392</v>
      </c>
      <c r="X126" s="75">
        <v>0.5</v>
      </c>
      <c r="Y126" s="75">
        <v>5</v>
      </c>
      <c r="Z126" s="75">
        <v>4</v>
      </c>
      <c r="AA126" s="75">
        <v>1</v>
      </c>
      <c r="AB126" s="75">
        <v>4</v>
      </c>
      <c r="AC126" s="75">
        <v>1</v>
      </c>
      <c r="AD126" s="2" t="s">
        <v>349</v>
      </c>
    </row>
    <row r="127" spans="1:30" x14ac:dyDescent="0.3">
      <c r="A127" s="1">
        <v>126</v>
      </c>
      <c r="B127" s="71">
        <v>1</v>
      </c>
      <c r="C127" s="71">
        <v>1</v>
      </c>
      <c r="D127" s="71">
        <v>1</v>
      </c>
      <c r="E127" s="71">
        <v>1</v>
      </c>
      <c r="F127" s="74">
        <v>5</v>
      </c>
      <c r="G127" s="72" t="s">
        <v>150</v>
      </c>
      <c r="H127" s="74">
        <v>10</v>
      </c>
      <c r="I127" s="72" t="s">
        <v>99</v>
      </c>
      <c r="J127" s="74">
        <v>2</v>
      </c>
      <c r="K127" s="72" t="s">
        <v>99</v>
      </c>
      <c r="L127" s="74">
        <v>3</v>
      </c>
      <c r="M127" s="75">
        <v>4</v>
      </c>
      <c r="N127" s="75">
        <v>0.49206349206349209</v>
      </c>
      <c r="O127" s="75">
        <v>1</v>
      </c>
      <c r="P127" s="75">
        <v>1</v>
      </c>
      <c r="Q127" s="75">
        <v>1</v>
      </c>
      <c r="R127" s="75">
        <v>3</v>
      </c>
      <c r="S127" s="75">
        <v>3.5</v>
      </c>
      <c r="T127" s="75">
        <v>4</v>
      </c>
      <c r="U127" s="75">
        <v>1</v>
      </c>
      <c r="V127" s="75">
        <v>2.5</v>
      </c>
      <c r="W127" s="75">
        <v>0.30303030303030298</v>
      </c>
      <c r="X127" s="75">
        <v>0.4375</v>
      </c>
      <c r="Y127" s="75">
        <v>4.5</v>
      </c>
      <c r="Z127" s="75">
        <v>4</v>
      </c>
      <c r="AA127" s="75">
        <v>1</v>
      </c>
      <c r="AB127" s="75">
        <v>4</v>
      </c>
      <c r="AC127" s="75">
        <v>1</v>
      </c>
      <c r="AD127" s="2" t="s">
        <v>350</v>
      </c>
    </row>
    <row r="128" spans="1:30" x14ac:dyDescent="0.3">
      <c r="A128" s="1">
        <v>127</v>
      </c>
      <c r="B128" s="71">
        <v>1</v>
      </c>
      <c r="C128" s="71">
        <v>1</v>
      </c>
      <c r="D128" s="71">
        <v>0</v>
      </c>
      <c r="E128" s="71">
        <v>1</v>
      </c>
      <c r="F128" s="74">
        <v>2.5</v>
      </c>
      <c r="G128" s="72" t="s">
        <v>39</v>
      </c>
      <c r="H128" s="74">
        <v>10</v>
      </c>
      <c r="I128" s="72" t="s">
        <v>246</v>
      </c>
      <c r="J128" s="74">
        <v>1</v>
      </c>
      <c r="K128" s="72" t="s">
        <v>99</v>
      </c>
      <c r="L128" s="74">
        <v>3</v>
      </c>
      <c r="M128" s="75">
        <v>4</v>
      </c>
      <c r="N128" s="75">
        <v>0.36507936507936506</v>
      </c>
      <c r="O128" s="75">
        <v>1</v>
      </c>
      <c r="P128" s="75">
        <v>2</v>
      </c>
      <c r="Q128" s="75">
        <v>2</v>
      </c>
      <c r="R128" s="75">
        <v>4</v>
      </c>
      <c r="S128" s="75">
        <v>3</v>
      </c>
      <c r="T128" s="75">
        <v>3</v>
      </c>
      <c r="U128" s="75">
        <v>2</v>
      </c>
      <c r="V128" s="75">
        <v>3</v>
      </c>
      <c r="W128" s="75">
        <v>0.39393939393939392</v>
      </c>
      <c r="X128" s="75">
        <v>0.5</v>
      </c>
      <c r="Y128" s="75">
        <v>4.5</v>
      </c>
      <c r="Z128" s="75">
        <v>4</v>
      </c>
      <c r="AA128" s="75">
        <v>2</v>
      </c>
      <c r="AB128" s="75">
        <v>3</v>
      </c>
      <c r="AC128" s="75">
        <v>1</v>
      </c>
      <c r="AD128" s="2" t="s">
        <v>351</v>
      </c>
    </row>
    <row r="129" spans="1:30" x14ac:dyDescent="0.3">
      <c r="A129" s="1">
        <v>128</v>
      </c>
      <c r="B129" s="71">
        <v>1</v>
      </c>
      <c r="C129" s="71">
        <v>1</v>
      </c>
      <c r="D129" s="71">
        <v>0</v>
      </c>
      <c r="E129" s="71">
        <v>1</v>
      </c>
      <c r="F129" s="74">
        <v>2.5</v>
      </c>
      <c r="G129" s="72" t="s">
        <v>352</v>
      </c>
      <c r="H129" s="74">
        <v>15</v>
      </c>
      <c r="I129" s="72" t="s">
        <v>353</v>
      </c>
      <c r="J129" s="74">
        <v>2</v>
      </c>
      <c r="K129" s="72" t="s">
        <v>92</v>
      </c>
      <c r="L129" s="74">
        <v>2</v>
      </c>
      <c r="M129" s="75">
        <v>5</v>
      </c>
      <c r="N129" s="75">
        <v>0.49206349206349209</v>
      </c>
      <c r="O129" s="75">
        <v>1</v>
      </c>
      <c r="P129" s="75">
        <v>2</v>
      </c>
      <c r="Q129" s="75">
        <v>2</v>
      </c>
      <c r="R129" s="75">
        <v>4</v>
      </c>
      <c r="S129" s="75">
        <v>3</v>
      </c>
      <c r="T129" s="75">
        <v>4</v>
      </c>
      <c r="U129" s="75">
        <v>1</v>
      </c>
      <c r="V129" s="75">
        <v>3.5</v>
      </c>
      <c r="W129" s="75">
        <v>0.39393939393939392</v>
      </c>
      <c r="X129" s="75">
        <v>0.4375</v>
      </c>
      <c r="Y129" s="75">
        <v>4.5</v>
      </c>
      <c r="Z129" s="75">
        <v>4</v>
      </c>
      <c r="AA129" s="75">
        <v>1</v>
      </c>
      <c r="AB129" s="75">
        <v>3</v>
      </c>
      <c r="AC129" s="75">
        <v>1</v>
      </c>
      <c r="AD129" s="2" t="s">
        <v>354</v>
      </c>
    </row>
    <row r="130" spans="1:30" x14ac:dyDescent="0.3">
      <c r="A130" s="1">
        <v>129</v>
      </c>
      <c r="B130" s="71">
        <v>1</v>
      </c>
      <c r="C130" s="71">
        <v>0</v>
      </c>
      <c r="D130" s="71">
        <v>0</v>
      </c>
      <c r="E130" s="71">
        <v>1</v>
      </c>
      <c r="F130" s="74">
        <v>0</v>
      </c>
      <c r="G130" s="72" t="s">
        <v>355</v>
      </c>
      <c r="H130" s="74">
        <v>15</v>
      </c>
      <c r="I130" s="72" t="s">
        <v>356</v>
      </c>
      <c r="J130" s="74">
        <v>2</v>
      </c>
      <c r="K130" s="72" t="s">
        <v>153</v>
      </c>
      <c r="L130" s="74">
        <v>2</v>
      </c>
      <c r="M130" s="75">
        <v>4</v>
      </c>
      <c r="N130" s="75">
        <v>0.27380952380952378</v>
      </c>
      <c r="O130" s="75">
        <v>1</v>
      </c>
      <c r="P130" s="75">
        <v>3</v>
      </c>
      <c r="Q130" s="75">
        <v>3</v>
      </c>
      <c r="R130" s="75">
        <v>3</v>
      </c>
      <c r="S130" s="75">
        <v>2.5</v>
      </c>
      <c r="T130" s="75">
        <v>4</v>
      </c>
      <c r="U130" s="75">
        <v>2</v>
      </c>
      <c r="V130" s="75">
        <v>3</v>
      </c>
      <c r="W130" s="75">
        <v>0.30681818181818182</v>
      </c>
      <c r="X130" s="75">
        <v>0.4375</v>
      </c>
      <c r="Y130" s="75">
        <v>4.5</v>
      </c>
      <c r="Z130" s="75">
        <v>4</v>
      </c>
      <c r="AA130" s="75">
        <v>2</v>
      </c>
      <c r="AB130" s="75">
        <v>4</v>
      </c>
      <c r="AC130" s="75">
        <v>2</v>
      </c>
      <c r="AD130" s="2" t="s">
        <v>357</v>
      </c>
    </row>
    <row r="131" spans="1:30" x14ac:dyDescent="0.3">
      <c r="A131" s="1">
        <v>130</v>
      </c>
      <c r="B131" s="71">
        <v>1</v>
      </c>
      <c r="C131" s="71">
        <v>1</v>
      </c>
      <c r="D131" s="71">
        <v>1</v>
      </c>
      <c r="E131" s="71">
        <v>1</v>
      </c>
      <c r="F131" s="74">
        <v>5</v>
      </c>
      <c r="G131" s="72" t="s">
        <v>76</v>
      </c>
      <c r="H131" s="74">
        <v>10</v>
      </c>
      <c r="I131" s="72" t="s">
        <v>154</v>
      </c>
      <c r="J131" s="74">
        <v>1</v>
      </c>
      <c r="K131" s="72" t="s">
        <v>154</v>
      </c>
      <c r="L131" s="74">
        <v>2</v>
      </c>
      <c r="M131" s="75">
        <v>4</v>
      </c>
      <c r="N131" s="75">
        <v>0.38095238095238093</v>
      </c>
      <c r="O131" s="75">
        <v>1</v>
      </c>
      <c r="P131" s="75">
        <v>2</v>
      </c>
      <c r="Q131" s="75">
        <v>2</v>
      </c>
      <c r="R131" s="75">
        <v>4</v>
      </c>
      <c r="S131" s="75">
        <v>3</v>
      </c>
      <c r="T131" s="75">
        <v>4</v>
      </c>
      <c r="U131" s="75">
        <v>1</v>
      </c>
      <c r="V131" s="75">
        <v>3</v>
      </c>
      <c r="W131" s="75">
        <v>0.30681818181818182</v>
      </c>
      <c r="X131" s="75">
        <v>0.4375</v>
      </c>
      <c r="Y131" s="75">
        <v>4.5</v>
      </c>
      <c r="Z131" s="75">
        <v>4</v>
      </c>
      <c r="AA131" s="75">
        <v>1</v>
      </c>
      <c r="AB131" s="75">
        <v>2</v>
      </c>
      <c r="AC131" s="75">
        <v>1</v>
      </c>
      <c r="AD131" s="2" t="s">
        <v>358</v>
      </c>
    </row>
    <row r="132" spans="1:30" x14ac:dyDescent="0.3">
      <c r="A132" s="1">
        <v>131</v>
      </c>
      <c r="B132" s="71">
        <v>1</v>
      </c>
      <c r="C132" s="71">
        <v>1</v>
      </c>
      <c r="D132" s="71">
        <v>1</v>
      </c>
      <c r="E132" s="71">
        <v>1</v>
      </c>
      <c r="F132" s="74">
        <v>5</v>
      </c>
      <c r="G132" s="72" t="s">
        <v>58</v>
      </c>
      <c r="H132" s="74">
        <v>15</v>
      </c>
      <c r="I132" s="72" t="s">
        <v>109</v>
      </c>
      <c r="J132" s="74">
        <v>1</v>
      </c>
      <c r="K132" s="72" t="s">
        <v>77</v>
      </c>
      <c r="L132" s="74">
        <v>2</v>
      </c>
      <c r="M132" s="75">
        <v>5</v>
      </c>
      <c r="N132" s="75">
        <v>0.34523809523809523</v>
      </c>
      <c r="O132" s="75">
        <v>1</v>
      </c>
      <c r="P132" s="75">
        <v>1</v>
      </c>
      <c r="Q132" s="75">
        <v>2</v>
      </c>
      <c r="R132" s="75">
        <v>4</v>
      </c>
      <c r="S132" s="75">
        <v>4.5</v>
      </c>
      <c r="T132" s="75">
        <v>5</v>
      </c>
      <c r="U132" s="75">
        <v>1</v>
      </c>
      <c r="V132" s="75">
        <v>3</v>
      </c>
      <c r="W132" s="75">
        <v>0.30681818181818182</v>
      </c>
      <c r="X132" s="75">
        <v>0.4375</v>
      </c>
      <c r="Y132" s="75">
        <v>4.5</v>
      </c>
      <c r="Z132" s="75">
        <v>4</v>
      </c>
      <c r="AA132" s="75">
        <v>1</v>
      </c>
      <c r="AB132" s="75">
        <v>4</v>
      </c>
      <c r="AC132" s="75">
        <v>1</v>
      </c>
      <c r="AD132" s="2" t="s">
        <v>359</v>
      </c>
    </row>
    <row r="133" spans="1:30" x14ac:dyDescent="0.3">
      <c r="A133" s="1">
        <v>132</v>
      </c>
      <c r="B133" s="71">
        <v>1</v>
      </c>
      <c r="C133" s="71">
        <v>1</v>
      </c>
      <c r="D133" s="71">
        <v>1</v>
      </c>
      <c r="E133" s="71">
        <v>1</v>
      </c>
      <c r="F133" s="74">
        <v>5</v>
      </c>
      <c r="G133" s="72" t="s">
        <v>130</v>
      </c>
      <c r="H133" s="74">
        <v>5</v>
      </c>
      <c r="I133" s="72">
        <v>1</v>
      </c>
      <c r="J133" s="74">
        <v>0</v>
      </c>
      <c r="K133" s="72">
        <v>1</v>
      </c>
      <c r="L133" s="74">
        <v>1</v>
      </c>
      <c r="M133" s="75">
        <v>4</v>
      </c>
      <c r="N133" s="75">
        <v>0.12698412698412698</v>
      </c>
      <c r="O133" s="75">
        <v>0.33333333333333331</v>
      </c>
      <c r="P133" s="75">
        <v>3</v>
      </c>
      <c r="Q133" s="75">
        <v>2</v>
      </c>
      <c r="R133" s="75">
        <v>3</v>
      </c>
      <c r="S133" s="75">
        <v>2</v>
      </c>
      <c r="T133" s="75">
        <v>4</v>
      </c>
      <c r="U133" s="75">
        <v>2</v>
      </c>
      <c r="V133" s="75">
        <v>2.5</v>
      </c>
      <c r="W133" s="75">
        <v>0.21969696969696967</v>
      </c>
      <c r="X133" s="75">
        <v>0.375</v>
      </c>
      <c r="Y133" s="75">
        <v>3</v>
      </c>
      <c r="Z133" s="75">
        <v>3</v>
      </c>
      <c r="AA133" s="75">
        <v>3</v>
      </c>
      <c r="AB133" s="75">
        <v>3</v>
      </c>
      <c r="AC133" s="75">
        <v>2</v>
      </c>
      <c r="AD133" s="2" t="s">
        <v>360</v>
      </c>
    </row>
    <row r="134" spans="1:30" x14ac:dyDescent="0.3">
      <c r="A134" s="1">
        <v>133</v>
      </c>
      <c r="B134" s="71">
        <v>1</v>
      </c>
      <c r="C134" s="71">
        <v>0</v>
      </c>
      <c r="D134" s="71">
        <v>1</v>
      </c>
      <c r="E134" s="71">
        <v>0</v>
      </c>
      <c r="F134" s="74">
        <v>0</v>
      </c>
      <c r="G134" s="72" t="s">
        <v>43</v>
      </c>
      <c r="H134" s="74">
        <v>5</v>
      </c>
      <c r="I134" s="72">
        <v>1</v>
      </c>
      <c r="J134" s="74">
        <v>0</v>
      </c>
      <c r="K134" s="72">
        <v>8</v>
      </c>
      <c r="L134" s="74">
        <v>1</v>
      </c>
      <c r="M134" s="75">
        <v>4</v>
      </c>
      <c r="N134" s="75">
        <v>0.12698412698412698</v>
      </c>
      <c r="O134" s="75">
        <v>0.33333333333333331</v>
      </c>
      <c r="P134" s="75">
        <v>2</v>
      </c>
      <c r="Q134" s="75">
        <v>1</v>
      </c>
      <c r="R134" s="75">
        <v>3</v>
      </c>
      <c r="S134" s="75">
        <v>2.5</v>
      </c>
      <c r="T134" s="75">
        <v>4</v>
      </c>
      <c r="U134" s="75">
        <v>2</v>
      </c>
      <c r="V134" s="75">
        <v>2.5</v>
      </c>
      <c r="W134" s="75">
        <v>0.17803030303030301</v>
      </c>
      <c r="X134" s="75">
        <v>0.3125</v>
      </c>
      <c r="Y134" s="75">
        <v>3</v>
      </c>
      <c r="Z134" s="75">
        <v>4</v>
      </c>
      <c r="AA134" s="75">
        <v>2</v>
      </c>
      <c r="AB134" s="75">
        <v>2</v>
      </c>
      <c r="AC134" s="75">
        <v>1</v>
      </c>
      <c r="AD134" s="2" t="s">
        <v>361</v>
      </c>
    </row>
    <row r="135" spans="1:30" x14ac:dyDescent="0.3">
      <c r="A135" s="1">
        <v>134</v>
      </c>
      <c r="B135" s="71">
        <v>1</v>
      </c>
      <c r="C135" s="71">
        <v>0</v>
      </c>
      <c r="D135" s="71">
        <v>1</v>
      </c>
      <c r="E135" s="71">
        <v>0</v>
      </c>
      <c r="F135" s="74">
        <v>0</v>
      </c>
      <c r="G135" s="72" t="s">
        <v>76</v>
      </c>
      <c r="H135" s="74">
        <v>10</v>
      </c>
      <c r="I135" s="72">
        <v>1</v>
      </c>
      <c r="J135" s="74">
        <v>0</v>
      </c>
      <c r="K135" s="72">
        <v>1</v>
      </c>
      <c r="L135" s="74">
        <v>1</v>
      </c>
      <c r="M135" s="75">
        <v>4</v>
      </c>
      <c r="N135" s="75">
        <v>9.1269841269841265E-2</v>
      </c>
      <c r="O135" s="75">
        <v>0.33333333333333331</v>
      </c>
      <c r="P135" s="75">
        <v>2</v>
      </c>
      <c r="Q135" s="75">
        <v>2</v>
      </c>
      <c r="R135" s="75">
        <v>3</v>
      </c>
      <c r="S135" s="75">
        <v>1.5</v>
      </c>
      <c r="T135" s="75">
        <v>3</v>
      </c>
      <c r="U135" s="75">
        <v>1</v>
      </c>
      <c r="V135" s="75">
        <v>2.5</v>
      </c>
      <c r="W135" s="75">
        <v>0.17424242424242425</v>
      </c>
      <c r="X135" s="75">
        <v>0.4375</v>
      </c>
      <c r="Y135" s="75">
        <v>2.5</v>
      </c>
      <c r="Z135" s="75">
        <v>4</v>
      </c>
      <c r="AA135" s="75">
        <v>3</v>
      </c>
      <c r="AB135" s="75">
        <v>3</v>
      </c>
      <c r="AC135" s="75">
        <v>3</v>
      </c>
      <c r="AD135" s="2" t="s">
        <v>362</v>
      </c>
    </row>
    <row r="136" spans="1:30" x14ac:dyDescent="0.3">
      <c r="A136" s="1">
        <v>135</v>
      </c>
      <c r="B136" s="71">
        <v>1</v>
      </c>
      <c r="C136" s="71">
        <v>1</v>
      </c>
      <c r="D136" s="71">
        <v>1</v>
      </c>
      <c r="E136" s="71">
        <v>1</v>
      </c>
      <c r="F136" s="74">
        <v>5</v>
      </c>
      <c r="G136" s="72" t="s">
        <v>53</v>
      </c>
      <c r="H136" s="74">
        <v>15</v>
      </c>
      <c r="I136" s="72" t="s">
        <v>120</v>
      </c>
      <c r="J136" s="74">
        <v>2</v>
      </c>
      <c r="K136" s="72" t="s">
        <v>363</v>
      </c>
      <c r="L136" s="74">
        <v>2</v>
      </c>
      <c r="M136" s="75">
        <v>5</v>
      </c>
      <c r="N136" s="75">
        <v>0.25396825396825395</v>
      </c>
      <c r="O136" s="75">
        <v>0.66666666666666663</v>
      </c>
      <c r="P136" s="75">
        <v>3</v>
      </c>
      <c r="Q136" s="75">
        <v>2</v>
      </c>
      <c r="R136" s="75">
        <v>5</v>
      </c>
      <c r="S136" s="75">
        <v>2.5</v>
      </c>
      <c r="T136" s="75">
        <v>5</v>
      </c>
      <c r="U136" s="75">
        <v>3</v>
      </c>
      <c r="V136" s="75">
        <v>3.5</v>
      </c>
      <c r="W136" s="75">
        <v>0.26136363636363635</v>
      </c>
      <c r="X136" s="75">
        <v>0.5</v>
      </c>
      <c r="Y136" s="75">
        <v>3.5</v>
      </c>
      <c r="Z136" s="75">
        <v>5</v>
      </c>
      <c r="AA136" s="75">
        <v>2</v>
      </c>
      <c r="AB136" s="75">
        <v>5</v>
      </c>
      <c r="AC136" s="75">
        <v>1</v>
      </c>
      <c r="AD136" s="2" t="s">
        <v>365</v>
      </c>
    </row>
    <row r="137" spans="1:30" x14ac:dyDescent="0.3">
      <c r="A137" s="1">
        <v>136</v>
      </c>
      <c r="B137" s="71">
        <v>1</v>
      </c>
      <c r="C137" s="71">
        <v>1</v>
      </c>
      <c r="D137" s="71">
        <v>1</v>
      </c>
      <c r="E137" s="71">
        <v>1</v>
      </c>
      <c r="F137" s="74">
        <v>5</v>
      </c>
      <c r="G137" s="72" t="s">
        <v>76</v>
      </c>
      <c r="H137" s="74">
        <v>10</v>
      </c>
      <c r="I137" s="72" t="s">
        <v>366</v>
      </c>
      <c r="J137" s="74">
        <v>2</v>
      </c>
      <c r="K137" s="72" t="s">
        <v>30</v>
      </c>
      <c r="L137" s="74">
        <v>2</v>
      </c>
      <c r="M137" s="75">
        <v>4</v>
      </c>
      <c r="N137" s="75">
        <v>0.30952380952380953</v>
      </c>
      <c r="O137" s="75">
        <v>0.33333333333333331</v>
      </c>
      <c r="P137" s="75">
        <v>3</v>
      </c>
      <c r="Q137" s="75">
        <v>2</v>
      </c>
      <c r="R137" s="75">
        <v>5</v>
      </c>
      <c r="S137" s="75">
        <v>2</v>
      </c>
      <c r="T137" s="75">
        <v>5</v>
      </c>
      <c r="U137" s="75">
        <v>2</v>
      </c>
      <c r="V137" s="75">
        <v>3.5</v>
      </c>
      <c r="W137" s="75">
        <v>0.34848484848484851</v>
      </c>
      <c r="X137" s="75">
        <v>0.625</v>
      </c>
      <c r="Y137" s="75">
        <v>4</v>
      </c>
      <c r="Z137" s="75">
        <v>5</v>
      </c>
      <c r="AA137" s="75">
        <v>2</v>
      </c>
      <c r="AB137" s="75">
        <v>2</v>
      </c>
      <c r="AC137" s="75">
        <v>1</v>
      </c>
      <c r="AD137" s="2" t="s">
        <v>367</v>
      </c>
    </row>
    <row r="138" spans="1:30" x14ac:dyDescent="0.3">
      <c r="A138" s="1">
        <v>137</v>
      </c>
      <c r="B138" s="71">
        <v>1</v>
      </c>
      <c r="C138" s="71">
        <v>1</v>
      </c>
      <c r="D138" s="71">
        <v>1</v>
      </c>
      <c r="E138" s="71">
        <v>1</v>
      </c>
      <c r="F138" s="74">
        <v>5</v>
      </c>
      <c r="G138" s="72" t="s">
        <v>368</v>
      </c>
      <c r="H138" s="74">
        <v>15</v>
      </c>
      <c r="I138" s="72" t="s">
        <v>121</v>
      </c>
      <c r="J138" s="74">
        <v>1</v>
      </c>
      <c r="K138" s="72" t="s">
        <v>30</v>
      </c>
      <c r="L138" s="74">
        <v>2</v>
      </c>
      <c r="M138" s="75">
        <v>5</v>
      </c>
      <c r="N138" s="75">
        <v>0.47222222222222221</v>
      </c>
      <c r="O138" s="75">
        <v>0.33333333333333331</v>
      </c>
      <c r="P138" s="75">
        <v>2</v>
      </c>
      <c r="Q138" s="75">
        <v>3</v>
      </c>
      <c r="R138" s="75">
        <v>5</v>
      </c>
      <c r="S138" s="75">
        <v>2.5</v>
      </c>
      <c r="T138" s="75">
        <v>5</v>
      </c>
      <c r="U138" s="75">
        <v>2</v>
      </c>
      <c r="V138" s="75">
        <v>3.5</v>
      </c>
      <c r="W138" s="75">
        <v>0.39015151515151514</v>
      </c>
      <c r="X138" s="75">
        <v>0.5625</v>
      </c>
      <c r="Y138" s="75">
        <v>3</v>
      </c>
      <c r="Z138" s="75">
        <v>5</v>
      </c>
      <c r="AA138" s="75">
        <v>1</v>
      </c>
      <c r="AB138" s="75">
        <v>5</v>
      </c>
      <c r="AC138" s="75">
        <v>2</v>
      </c>
      <c r="AD138" s="2" t="s">
        <v>369</v>
      </c>
    </row>
    <row r="139" spans="1:30" x14ac:dyDescent="0.3">
      <c r="A139" s="1">
        <v>138</v>
      </c>
      <c r="B139" s="71">
        <v>1</v>
      </c>
      <c r="C139" s="71">
        <v>1</v>
      </c>
      <c r="D139" s="71">
        <v>1</v>
      </c>
      <c r="E139" s="71">
        <v>1</v>
      </c>
      <c r="F139" s="74">
        <v>5</v>
      </c>
      <c r="G139" s="72" t="s">
        <v>273</v>
      </c>
      <c r="H139" s="74">
        <v>10</v>
      </c>
      <c r="I139" s="72" t="s">
        <v>121</v>
      </c>
      <c r="J139" s="74">
        <v>1</v>
      </c>
      <c r="K139" s="72" t="s">
        <v>29</v>
      </c>
      <c r="L139" s="74">
        <v>2</v>
      </c>
      <c r="M139" s="75">
        <v>5</v>
      </c>
      <c r="N139" s="75">
        <v>0.16269841269841268</v>
      </c>
      <c r="O139" s="75">
        <v>0.33333333333333331</v>
      </c>
      <c r="P139" s="75">
        <v>2</v>
      </c>
      <c r="Q139" s="75">
        <v>3</v>
      </c>
      <c r="R139" s="75">
        <v>3</v>
      </c>
      <c r="S139" s="75">
        <v>1.5</v>
      </c>
      <c r="T139" s="75">
        <v>4</v>
      </c>
      <c r="U139" s="75">
        <v>2</v>
      </c>
      <c r="V139" s="75">
        <v>1.5</v>
      </c>
      <c r="W139" s="75">
        <v>0.26136363636363635</v>
      </c>
      <c r="X139" s="75">
        <v>0.4375</v>
      </c>
      <c r="Y139" s="75">
        <v>3</v>
      </c>
      <c r="Z139" s="75">
        <v>4</v>
      </c>
      <c r="AA139" s="75">
        <v>2</v>
      </c>
      <c r="AB139" s="75">
        <v>5</v>
      </c>
      <c r="AC139" s="75">
        <v>2</v>
      </c>
      <c r="AD139" s="2" t="s">
        <v>370</v>
      </c>
    </row>
    <row r="140" spans="1:30" x14ac:dyDescent="0.3">
      <c r="A140" s="1">
        <v>139</v>
      </c>
      <c r="B140" s="71">
        <v>1</v>
      </c>
      <c r="C140" s="71">
        <v>0</v>
      </c>
      <c r="D140" s="71">
        <v>1</v>
      </c>
      <c r="E140" s="71">
        <v>0</v>
      </c>
      <c r="F140" s="74">
        <v>0</v>
      </c>
      <c r="G140" s="72" t="s">
        <v>142</v>
      </c>
      <c r="H140" s="74">
        <v>10</v>
      </c>
      <c r="I140" s="72" t="s">
        <v>125</v>
      </c>
      <c r="J140" s="74">
        <v>1</v>
      </c>
      <c r="K140" s="72">
        <v>1</v>
      </c>
      <c r="L140" s="74">
        <v>1</v>
      </c>
      <c r="M140" s="75">
        <v>3</v>
      </c>
      <c r="N140" s="75">
        <v>0.18253968253968253</v>
      </c>
      <c r="O140" s="75">
        <v>0.33333333333333331</v>
      </c>
      <c r="P140" s="75">
        <v>1</v>
      </c>
      <c r="Q140" s="75">
        <v>4</v>
      </c>
      <c r="R140" s="75">
        <v>3</v>
      </c>
      <c r="S140" s="75">
        <v>2</v>
      </c>
      <c r="T140" s="75">
        <v>3</v>
      </c>
      <c r="U140" s="75">
        <v>1</v>
      </c>
      <c r="V140" s="75">
        <v>3</v>
      </c>
      <c r="W140" s="75">
        <v>0.21969696969696967</v>
      </c>
      <c r="X140" s="75">
        <v>0.4375</v>
      </c>
      <c r="Y140" s="75">
        <v>3.5</v>
      </c>
      <c r="Z140" s="75">
        <v>3</v>
      </c>
      <c r="AA140" s="75">
        <v>3</v>
      </c>
      <c r="AB140" s="75">
        <v>5</v>
      </c>
      <c r="AC140" s="75">
        <v>1</v>
      </c>
      <c r="AD140" s="2" t="s">
        <v>371</v>
      </c>
    </row>
    <row r="141" spans="1:30" x14ac:dyDescent="0.3">
      <c r="A141" s="1">
        <v>140</v>
      </c>
      <c r="B141" s="71">
        <v>1</v>
      </c>
      <c r="C141" s="71">
        <v>1</v>
      </c>
      <c r="D141" s="71">
        <v>1</v>
      </c>
      <c r="E141" s="71">
        <v>0</v>
      </c>
      <c r="F141" s="74">
        <v>2.5</v>
      </c>
      <c r="G141" s="72" t="s">
        <v>130</v>
      </c>
      <c r="H141" s="74">
        <v>5</v>
      </c>
      <c r="I141" s="72">
        <v>2</v>
      </c>
      <c r="J141" s="74">
        <v>0</v>
      </c>
      <c r="K141" s="72">
        <v>2</v>
      </c>
      <c r="L141" s="74">
        <v>1</v>
      </c>
      <c r="M141" s="75">
        <v>5</v>
      </c>
      <c r="N141" s="75">
        <v>0.12698412698412698</v>
      </c>
      <c r="O141" s="75">
        <v>0.33333333333333331</v>
      </c>
      <c r="P141" s="75">
        <v>1</v>
      </c>
      <c r="Q141" s="75">
        <v>3</v>
      </c>
      <c r="R141" s="75">
        <v>4</v>
      </c>
      <c r="S141" s="75">
        <v>1.5</v>
      </c>
      <c r="T141" s="75">
        <v>5</v>
      </c>
      <c r="U141" s="75">
        <v>3</v>
      </c>
      <c r="V141" s="75">
        <v>2.5</v>
      </c>
      <c r="W141" s="75">
        <v>0.17803030303030301</v>
      </c>
      <c r="X141" s="75">
        <v>0.5</v>
      </c>
      <c r="Y141" s="75">
        <v>3.5</v>
      </c>
      <c r="Z141" s="75">
        <v>5</v>
      </c>
      <c r="AA141" s="75">
        <v>2</v>
      </c>
      <c r="AB141" s="75">
        <v>3</v>
      </c>
      <c r="AC141" s="75">
        <v>3</v>
      </c>
      <c r="AD141" s="2" t="s">
        <v>372</v>
      </c>
    </row>
    <row r="142" spans="1:30" x14ac:dyDescent="0.3">
      <c r="A142" s="1">
        <v>141</v>
      </c>
      <c r="B142" s="71">
        <v>1</v>
      </c>
      <c r="C142" s="71">
        <v>0</v>
      </c>
      <c r="D142" s="71">
        <v>1</v>
      </c>
      <c r="E142" s="71">
        <v>0</v>
      </c>
      <c r="F142" s="74">
        <v>0</v>
      </c>
      <c r="G142" s="72" t="s">
        <v>156</v>
      </c>
      <c r="H142" s="74">
        <v>10</v>
      </c>
      <c r="I142" s="72">
        <v>8</v>
      </c>
      <c r="J142" s="74">
        <v>0</v>
      </c>
      <c r="K142" s="72" t="s">
        <v>149</v>
      </c>
      <c r="L142" s="74">
        <v>2</v>
      </c>
      <c r="M142" s="75">
        <v>3</v>
      </c>
      <c r="N142" s="75">
        <v>0.25396825396825395</v>
      </c>
      <c r="O142" s="75">
        <v>0.66666666666666663</v>
      </c>
      <c r="P142" s="75">
        <v>4</v>
      </c>
      <c r="Q142" s="75">
        <v>5</v>
      </c>
      <c r="R142" s="75">
        <v>4</v>
      </c>
      <c r="S142" s="75">
        <v>1</v>
      </c>
      <c r="T142" s="75">
        <v>2</v>
      </c>
      <c r="U142" s="75">
        <v>4</v>
      </c>
      <c r="V142" s="75">
        <v>3</v>
      </c>
      <c r="W142" s="75">
        <v>0.43560606060606061</v>
      </c>
      <c r="X142" s="75">
        <v>0.4375</v>
      </c>
      <c r="Y142" s="75">
        <v>3</v>
      </c>
      <c r="Z142" s="75">
        <v>3</v>
      </c>
      <c r="AA142" s="75">
        <v>3</v>
      </c>
      <c r="AB142" s="75">
        <v>5</v>
      </c>
      <c r="AC142" s="75">
        <v>1</v>
      </c>
      <c r="AD142" s="2" t="s">
        <v>374</v>
      </c>
    </row>
    <row r="143" spans="1:30" x14ac:dyDescent="0.3">
      <c r="A143" s="1">
        <v>142</v>
      </c>
      <c r="B143" s="71">
        <v>1</v>
      </c>
      <c r="C143" s="71">
        <v>0</v>
      </c>
      <c r="D143" s="71">
        <v>1</v>
      </c>
      <c r="E143" s="71">
        <v>1</v>
      </c>
      <c r="F143" s="74">
        <v>2.5</v>
      </c>
      <c r="G143" s="72" t="s">
        <v>277</v>
      </c>
      <c r="H143" s="74">
        <v>5</v>
      </c>
      <c r="I143" s="72" t="s">
        <v>154</v>
      </c>
      <c r="J143" s="74">
        <v>1</v>
      </c>
      <c r="K143" s="72">
        <v>8</v>
      </c>
      <c r="L143" s="74">
        <v>1</v>
      </c>
      <c r="M143" s="75">
        <v>4</v>
      </c>
      <c r="N143" s="75">
        <v>0.16269841269841268</v>
      </c>
      <c r="O143" s="75">
        <v>0.33333333333333331</v>
      </c>
      <c r="P143" s="75">
        <v>3</v>
      </c>
      <c r="Q143" s="75">
        <v>4</v>
      </c>
      <c r="R143" s="75">
        <v>4</v>
      </c>
      <c r="S143" s="75">
        <v>1.5</v>
      </c>
      <c r="T143" s="75">
        <v>3</v>
      </c>
      <c r="U143" s="75">
        <v>4</v>
      </c>
      <c r="V143" s="75">
        <v>3.5</v>
      </c>
      <c r="W143" s="75">
        <v>0.21969696969696967</v>
      </c>
      <c r="X143" s="75">
        <v>0.5</v>
      </c>
      <c r="Y143" s="75">
        <v>3.5</v>
      </c>
      <c r="Z143" s="75">
        <v>4</v>
      </c>
      <c r="AA143" s="75">
        <v>4</v>
      </c>
      <c r="AB143" s="75">
        <v>3</v>
      </c>
      <c r="AC143" s="75">
        <v>3</v>
      </c>
      <c r="AD143" s="2" t="s">
        <v>375</v>
      </c>
    </row>
    <row r="144" spans="1:30" x14ac:dyDescent="0.3">
      <c r="A144" s="1">
        <v>143</v>
      </c>
      <c r="B144" s="71">
        <v>1</v>
      </c>
      <c r="C144" s="71">
        <v>1</v>
      </c>
      <c r="D144" s="71">
        <v>1</v>
      </c>
      <c r="E144" s="71">
        <v>1</v>
      </c>
      <c r="F144" s="74">
        <v>5</v>
      </c>
      <c r="G144" s="72" t="s">
        <v>376</v>
      </c>
      <c r="H144" s="74">
        <v>5</v>
      </c>
      <c r="I144" s="72" t="s">
        <v>125</v>
      </c>
      <c r="J144" s="74">
        <v>1</v>
      </c>
      <c r="K144" s="72">
        <v>8</v>
      </c>
      <c r="L144" s="74">
        <v>1</v>
      </c>
      <c r="M144" s="75">
        <v>2</v>
      </c>
      <c r="N144" s="75">
        <v>0.25793650793650791</v>
      </c>
      <c r="O144" s="75">
        <v>0</v>
      </c>
      <c r="P144" s="75">
        <v>4</v>
      </c>
      <c r="Q144" s="75">
        <v>4</v>
      </c>
      <c r="R144" s="75">
        <v>3</v>
      </c>
      <c r="S144" s="75">
        <v>1</v>
      </c>
      <c r="T144" s="75">
        <v>5</v>
      </c>
      <c r="U144" s="75">
        <v>3</v>
      </c>
      <c r="V144" s="75">
        <v>3.5</v>
      </c>
      <c r="W144" s="75">
        <v>0.17803030303030301</v>
      </c>
      <c r="X144" s="75">
        <v>0.625</v>
      </c>
      <c r="Y144" s="75">
        <v>3</v>
      </c>
      <c r="Z144" s="75">
        <v>4</v>
      </c>
      <c r="AA144" s="75">
        <v>5</v>
      </c>
      <c r="AB144" s="75">
        <v>4</v>
      </c>
      <c r="AC144" s="75">
        <v>2</v>
      </c>
      <c r="AD144" s="2" t="s">
        <v>377</v>
      </c>
    </row>
    <row r="145" spans="1:30" x14ac:dyDescent="0.3">
      <c r="A145" s="1">
        <v>144</v>
      </c>
      <c r="B145" s="71">
        <v>1</v>
      </c>
      <c r="C145" s="71">
        <v>0</v>
      </c>
      <c r="D145" s="71">
        <v>1</v>
      </c>
      <c r="E145" s="71">
        <v>1</v>
      </c>
      <c r="F145" s="74">
        <v>2.5</v>
      </c>
      <c r="G145" s="72" t="s">
        <v>378</v>
      </c>
      <c r="H145" s="74">
        <v>10</v>
      </c>
      <c r="I145" s="72" t="s">
        <v>115</v>
      </c>
      <c r="J145" s="74">
        <v>1</v>
      </c>
      <c r="K145" s="72" t="s">
        <v>290</v>
      </c>
      <c r="L145" s="74">
        <v>2</v>
      </c>
      <c r="M145" s="75">
        <v>4</v>
      </c>
      <c r="N145" s="75">
        <v>0.27380952380952378</v>
      </c>
      <c r="O145" s="75">
        <v>0.66666666666666663</v>
      </c>
      <c r="P145" s="75">
        <v>3</v>
      </c>
      <c r="Q145" s="75">
        <v>2</v>
      </c>
      <c r="R145" s="75">
        <v>4</v>
      </c>
      <c r="S145" s="75">
        <v>3</v>
      </c>
      <c r="T145" s="75">
        <v>2</v>
      </c>
      <c r="U145" s="75">
        <v>2</v>
      </c>
      <c r="V145" s="75">
        <v>3.5</v>
      </c>
      <c r="W145" s="75">
        <v>0.30681818181818182</v>
      </c>
      <c r="X145" s="75">
        <v>0.4375</v>
      </c>
      <c r="Y145" s="75">
        <v>3.5</v>
      </c>
      <c r="Z145" s="75">
        <v>4</v>
      </c>
      <c r="AA145" s="75">
        <v>3</v>
      </c>
      <c r="AB145" s="75">
        <v>5</v>
      </c>
      <c r="AC145" s="75">
        <v>2</v>
      </c>
      <c r="AD145" s="2" t="s">
        <v>379</v>
      </c>
    </row>
    <row r="146" spans="1:30" x14ac:dyDescent="0.3">
      <c r="A146" s="1">
        <v>145</v>
      </c>
      <c r="B146" s="71">
        <v>0</v>
      </c>
      <c r="C146" s="71">
        <v>0</v>
      </c>
      <c r="D146" s="71">
        <v>1</v>
      </c>
      <c r="E146" s="71">
        <v>0</v>
      </c>
      <c r="F146" s="74">
        <v>-2.5</v>
      </c>
      <c r="G146" s="72">
        <v>1</v>
      </c>
      <c r="H146" s="74">
        <v>5</v>
      </c>
      <c r="I146" s="72">
        <v>99</v>
      </c>
      <c r="J146" s="74">
        <v>0</v>
      </c>
      <c r="K146" s="72">
        <v>99</v>
      </c>
      <c r="L146" s="74">
        <v>1</v>
      </c>
      <c r="M146" s="75">
        <v>2</v>
      </c>
      <c r="N146" s="75">
        <v>9.1269841269841265E-2</v>
      </c>
      <c r="O146" s="75">
        <v>0</v>
      </c>
      <c r="P146" s="75">
        <v>5</v>
      </c>
      <c r="Q146" s="75">
        <v>2</v>
      </c>
      <c r="R146" s="75">
        <v>1</v>
      </c>
      <c r="S146" s="75">
        <v>2</v>
      </c>
      <c r="T146" s="75">
        <v>1</v>
      </c>
      <c r="U146" s="75">
        <v>5</v>
      </c>
      <c r="V146" s="75">
        <v>3</v>
      </c>
      <c r="W146" s="75">
        <v>0.13257575757575757</v>
      </c>
      <c r="X146" s="75">
        <v>6.25E-2</v>
      </c>
      <c r="Y146" s="75">
        <v>3</v>
      </c>
      <c r="Z146" s="75">
        <v>1</v>
      </c>
      <c r="AA146" s="75">
        <v>4</v>
      </c>
      <c r="AB146" s="75">
        <v>1</v>
      </c>
      <c r="AC146" s="75">
        <v>1</v>
      </c>
      <c r="AD146" s="2" t="s">
        <v>380</v>
      </c>
    </row>
    <row r="147" spans="1:30" x14ac:dyDescent="0.3">
      <c r="A147" s="1">
        <v>146</v>
      </c>
      <c r="B147" s="71">
        <v>1</v>
      </c>
      <c r="C147" s="71">
        <v>0</v>
      </c>
      <c r="D147" s="71">
        <v>1</v>
      </c>
      <c r="E147" s="71">
        <v>1</v>
      </c>
      <c r="F147" s="74">
        <v>2.5</v>
      </c>
      <c r="G147" s="72" t="s">
        <v>290</v>
      </c>
      <c r="H147" s="74">
        <v>5</v>
      </c>
      <c r="I147" s="72" t="s">
        <v>51</v>
      </c>
      <c r="J147" s="74">
        <v>2</v>
      </c>
      <c r="K147" s="72" t="s">
        <v>154</v>
      </c>
      <c r="L147" s="74">
        <v>2</v>
      </c>
      <c r="M147" s="75">
        <v>2</v>
      </c>
      <c r="N147" s="75">
        <v>0.21825396825396826</v>
      </c>
      <c r="O147" s="75">
        <v>0.33333333333333331</v>
      </c>
      <c r="P147" s="75">
        <v>3</v>
      </c>
      <c r="Q147" s="75">
        <v>4</v>
      </c>
      <c r="R147" s="75">
        <v>3</v>
      </c>
      <c r="S147" s="75">
        <v>2.5</v>
      </c>
      <c r="T147" s="75">
        <v>2</v>
      </c>
      <c r="U147" s="75">
        <v>2</v>
      </c>
      <c r="V147" s="75">
        <v>1.5</v>
      </c>
      <c r="W147" s="75">
        <v>0.35606060606060602</v>
      </c>
      <c r="X147" s="75">
        <v>0.4375</v>
      </c>
      <c r="Y147" s="75">
        <v>2</v>
      </c>
      <c r="Z147" s="75">
        <v>2</v>
      </c>
      <c r="AA147" s="75">
        <v>3</v>
      </c>
      <c r="AB147" s="75">
        <v>1</v>
      </c>
      <c r="AC147" s="75">
        <v>1</v>
      </c>
      <c r="AD147" s="2" t="s">
        <v>381</v>
      </c>
    </row>
    <row r="148" spans="1:30" x14ac:dyDescent="0.3">
      <c r="A148" s="1">
        <v>147</v>
      </c>
      <c r="B148" s="71">
        <v>1</v>
      </c>
      <c r="C148" s="71">
        <v>0</v>
      </c>
      <c r="D148" s="71">
        <v>1</v>
      </c>
      <c r="E148" s="71">
        <v>0</v>
      </c>
      <c r="F148" s="74">
        <v>0</v>
      </c>
      <c r="G148" s="72">
        <v>1</v>
      </c>
      <c r="H148" s="74">
        <v>5</v>
      </c>
      <c r="I148" s="72">
        <v>8</v>
      </c>
      <c r="J148" s="74">
        <v>0</v>
      </c>
      <c r="K148" s="72">
        <v>8</v>
      </c>
      <c r="L148" s="74">
        <v>1</v>
      </c>
      <c r="M148" s="75">
        <v>3</v>
      </c>
      <c r="N148" s="75">
        <v>0.21825396825396826</v>
      </c>
      <c r="O148" s="75">
        <v>0.33333333333333331</v>
      </c>
      <c r="P148" s="75">
        <v>4</v>
      </c>
      <c r="Q148" s="75">
        <v>5</v>
      </c>
      <c r="R148" s="75">
        <v>3</v>
      </c>
      <c r="S148" s="75">
        <v>1.5</v>
      </c>
      <c r="T148" s="75">
        <v>2</v>
      </c>
      <c r="U148" s="75">
        <v>4</v>
      </c>
      <c r="V148" s="75">
        <v>2</v>
      </c>
      <c r="W148" s="75">
        <v>0.17424242424242425</v>
      </c>
      <c r="X148" s="75">
        <v>0.1875</v>
      </c>
      <c r="Y148" s="75">
        <v>3</v>
      </c>
      <c r="Z148" s="75">
        <v>2</v>
      </c>
      <c r="AA148" s="75">
        <v>4</v>
      </c>
      <c r="AB148" s="75">
        <v>5</v>
      </c>
      <c r="AC148" s="75">
        <v>1</v>
      </c>
      <c r="AD148" s="2" t="s">
        <v>382</v>
      </c>
    </row>
    <row r="149" spans="1:30" x14ac:dyDescent="0.3">
      <c r="A149" s="1">
        <v>148</v>
      </c>
      <c r="B149" s="71">
        <v>1</v>
      </c>
      <c r="C149" s="71">
        <v>0</v>
      </c>
      <c r="D149" s="71">
        <v>1</v>
      </c>
      <c r="E149" s="71">
        <v>0</v>
      </c>
      <c r="F149" s="74">
        <v>0</v>
      </c>
      <c r="G149" s="72" t="s">
        <v>383</v>
      </c>
      <c r="H149" s="74">
        <v>10</v>
      </c>
      <c r="I149" s="72">
        <v>8</v>
      </c>
      <c r="J149" s="74">
        <v>0</v>
      </c>
      <c r="K149" s="72">
        <v>5</v>
      </c>
      <c r="L149" s="74">
        <v>1</v>
      </c>
      <c r="M149" s="75">
        <v>4</v>
      </c>
      <c r="N149" s="75">
        <v>0.12698412698412698</v>
      </c>
      <c r="O149" s="75">
        <v>0.33333333333333331</v>
      </c>
      <c r="P149" s="75">
        <v>4</v>
      </c>
      <c r="Q149" s="75">
        <v>4</v>
      </c>
      <c r="R149" s="75">
        <v>5</v>
      </c>
      <c r="S149" s="75">
        <v>1.5</v>
      </c>
      <c r="T149" s="75">
        <v>4</v>
      </c>
      <c r="U149" s="75">
        <v>4</v>
      </c>
      <c r="V149" s="75">
        <v>3</v>
      </c>
      <c r="W149" s="75">
        <v>0.17424242424242425</v>
      </c>
      <c r="X149" s="75">
        <v>0.5625</v>
      </c>
      <c r="Y149" s="75">
        <v>3.5</v>
      </c>
      <c r="Z149" s="75">
        <v>3</v>
      </c>
      <c r="AA149" s="75">
        <v>4</v>
      </c>
      <c r="AB149" s="75">
        <v>2</v>
      </c>
      <c r="AC149" s="75">
        <v>3</v>
      </c>
      <c r="AD149" s="2" t="s">
        <v>384</v>
      </c>
    </row>
    <row r="150" spans="1:30" x14ac:dyDescent="0.3">
      <c r="A150" s="1">
        <v>149</v>
      </c>
      <c r="B150" s="71">
        <v>1</v>
      </c>
      <c r="C150" s="71">
        <v>1</v>
      </c>
      <c r="D150" s="71">
        <v>1</v>
      </c>
      <c r="E150" s="71">
        <v>0</v>
      </c>
      <c r="F150" s="74">
        <v>2.5</v>
      </c>
      <c r="G150" s="72">
        <v>6</v>
      </c>
      <c r="H150" s="74">
        <v>5</v>
      </c>
      <c r="I150" s="72">
        <v>8</v>
      </c>
      <c r="J150" s="74">
        <v>0</v>
      </c>
      <c r="K150" s="72">
        <v>8</v>
      </c>
      <c r="L150" s="74">
        <v>1</v>
      </c>
      <c r="M150" s="75">
        <v>3</v>
      </c>
      <c r="N150" s="75">
        <v>9.1269841269841265E-2</v>
      </c>
      <c r="O150" s="75">
        <v>0</v>
      </c>
      <c r="P150" s="75">
        <v>3</v>
      </c>
      <c r="Q150" s="75">
        <v>3</v>
      </c>
      <c r="R150" s="75">
        <v>2</v>
      </c>
      <c r="S150" s="75">
        <v>2</v>
      </c>
      <c r="T150" s="75">
        <v>4</v>
      </c>
      <c r="U150" s="75">
        <v>3</v>
      </c>
      <c r="V150" s="75">
        <v>4.5</v>
      </c>
      <c r="W150" s="75">
        <v>0.13257575757575757</v>
      </c>
      <c r="X150" s="75">
        <v>0.4375</v>
      </c>
      <c r="Y150" s="75">
        <v>5</v>
      </c>
      <c r="Z150" s="75">
        <v>2</v>
      </c>
      <c r="AA150" s="75">
        <v>3</v>
      </c>
      <c r="AB150" s="75">
        <v>3</v>
      </c>
      <c r="AC150" s="75">
        <v>1</v>
      </c>
      <c r="AD150" s="2" t="s">
        <v>385</v>
      </c>
    </row>
    <row r="151" spans="1:30" x14ac:dyDescent="0.3">
      <c r="A151" s="1">
        <v>150</v>
      </c>
      <c r="B151" s="71">
        <v>1</v>
      </c>
      <c r="C151" s="71">
        <v>1</v>
      </c>
      <c r="D151" s="71">
        <v>1</v>
      </c>
      <c r="E151" s="71">
        <v>1</v>
      </c>
      <c r="F151" s="74">
        <v>5</v>
      </c>
      <c r="G151" s="72" t="s">
        <v>147</v>
      </c>
      <c r="H151" s="74">
        <v>5</v>
      </c>
      <c r="I151" s="72">
        <v>8</v>
      </c>
      <c r="J151" s="74">
        <v>0</v>
      </c>
      <c r="K151" s="72">
        <v>8</v>
      </c>
      <c r="L151" s="74">
        <v>1</v>
      </c>
      <c r="M151" s="75">
        <v>4</v>
      </c>
      <c r="N151" s="75">
        <v>0.32936507936507936</v>
      </c>
      <c r="O151" s="75">
        <v>0</v>
      </c>
      <c r="P151" s="75">
        <v>4</v>
      </c>
      <c r="Q151" s="75">
        <v>5</v>
      </c>
      <c r="R151" s="75">
        <v>4</v>
      </c>
      <c r="S151" s="75">
        <v>2.5</v>
      </c>
      <c r="T151" s="75">
        <v>4</v>
      </c>
      <c r="U151" s="75">
        <v>3</v>
      </c>
      <c r="V151" s="75">
        <v>4</v>
      </c>
      <c r="W151" s="75">
        <v>0.21969696969696967</v>
      </c>
      <c r="X151" s="75">
        <v>0.25</v>
      </c>
      <c r="Y151" s="75">
        <v>3</v>
      </c>
      <c r="Z151" s="75">
        <v>3</v>
      </c>
      <c r="AA151" s="75">
        <v>4</v>
      </c>
      <c r="AB151" s="75">
        <v>4</v>
      </c>
      <c r="AC151" s="75">
        <v>4</v>
      </c>
      <c r="AD151" s="2" t="s">
        <v>386</v>
      </c>
    </row>
    <row r="152" spans="1:30" x14ac:dyDescent="0.3">
      <c r="A152" s="1">
        <v>151</v>
      </c>
      <c r="B152" s="71">
        <v>0</v>
      </c>
      <c r="C152" s="71">
        <v>1</v>
      </c>
      <c r="D152" s="71">
        <v>1</v>
      </c>
      <c r="E152" s="71">
        <v>1</v>
      </c>
      <c r="F152" s="74">
        <v>2.5</v>
      </c>
      <c r="G152" s="72" t="s">
        <v>387</v>
      </c>
      <c r="H152" s="74">
        <v>15</v>
      </c>
      <c r="I152" s="72" t="s">
        <v>84</v>
      </c>
      <c r="J152" s="74">
        <v>1</v>
      </c>
      <c r="K152" s="72" t="s">
        <v>100</v>
      </c>
      <c r="L152" s="74">
        <v>2</v>
      </c>
      <c r="M152" s="75">
        <v>5</v>
      </c>
      <c r="N152" s="75">
        <v>0.30952380952380953</v>
      </c>
      <c r="O152" s="75">
        <v>0.66666666666666663</v>
      </c>
      <c r="P152" s="75">
        <v>2</v>
      </c>
      <c r="Q152" s="75">
        <v>2</v>
      </c>
      <c r="R152" s="75">
        <v>4</v>
      </c>
      <c r="S152" s="75">
        <v>4</v>
      </c>
      <c r="T152" s="75">
        <v>4</v>
      </c>
      <c r="U152" s="75">
        <v>1</v>
      </c>
      <c r="V152" s="75">
        <v>2.5</v>
      </c>
      <c r="W152" s="75">
        <v>0.30681818181818182</v>
      </c>
      <c r="X152" s="75">
        <v>0.5</v>
      </c>
      <c r="Y152" s="75">
        <v>3</v>
      </c>
      <c r="Z152" s="75">
        <v>5</v>
      </c>
      <c r="AA152" s="75">
        <v>1</v>
      </c>
      <c r="AB152" s="75">
        <v>5</v>
      </c>
      <c r="AC152" s="75">
        <v>4</v>
      </c>
      <c r="AD152" s="2" t="s">
        <v>388</v>
      </c>
    </row>
    <row r="153" spans="1:30" x14ac:dyDescent="0.3">
      <c r="A153" s="1">
        <v>152</v>
      </c>
      <c r="B153" s="71">
        <v>1</v>
      </c>
      <c r="C153" s="71">
        <v>1</v>
      </c>
      <c r="D153" s="71">
        <v>1</v>
      </c>
      <c r="E153" s="71">
        <v>0</v>
      </c>
      <c r="F153" s="74">
        <v>2.5</v>
      </c>
      <c r="G153" s="72" t="s">
        <v>182</v>
      </c>
      <c r="H153" s="74">
        <v>15</v>
      </c>
      <c r="I153" s="72" t="s">
        <v>389</v>
      </c>
      <c r="J153" s="74">
        <v>1</v>
      </c>
      <c r="K153" s="72" t="s">
        <v>194</v>
      </c>
      <c r="L153" s="74">
        <v>2</v>
      </c>
      <c r="M153" s="75">
        <v>5</v>
      </c>
      <c r="N153" s="75">
        <v>0.21825396825396826</v>
      </c>
      <c r="O153" s="75">
        <v>0.66666666666666663</v>
      </c>
      <c r="P153" s="75">
        <v>3</v>
      </c>
      <c r="Q153" s="75">
        <v>4</v>
      </c>
      <c r="R153" s="75">
        <v>5</v>
      </c>
      <c r="S153" s="75">
        <v>4</v>
      </c>
      <c r="T153" s="75">
        <v>4</v>
      </c>
      <c r="U153" s="75">
        <v>1</v>
      </c>
      <c r="V153" s="75">
        <v>4</v>
      </c>
      <c r="W153" s="75">
        <v>0.30681818181818182</v>
      </c>
      <c r="X153" s="75">
        <v>0.4375</v>
      </c>
      <c r="Y153" s="75">
        <v>3.5</v>
      </c>
      <c r="Z153" s="75">
        <v>4</v>
      </c>
      <c r="AA153" s="75">
        <v>3</v>
      </c>
      <c r="AB153" s="75">
        <v>4</v>
      </c>
      <c r="AC153" s="75">
        <v>4</v>
      </c>
      <c r="AD153" s="2" t="s">
        <v>390</v>
      </c>
    </row>
    <row r="154" spans="1:30" x14ac:dyDescent="0.3">
      <c r="A154" s="1">
        <v>153</v>
      </c>
      <c r="B154" s="71">
        <v>1</v>
      </c>
      <c r="C154" s="71">
        <v>1</v>
      </c>
      <c r="D154" s="71">
        <v>1</v>
      </c>
      <c r="E154" s="71">
        <v>1</v>
      </c>
      <c r="F154" s="74">
        <v>5</v>
      </c>
      <c r="G154" s="72" t="s">
        <v>391</v>
      </c>
      <c r="H154" s="74">
        <v>10</v>
      </c>
      <c r="I154" s="72" t="s">
        <v>392</v>
      </c>
      <c r="J154" s="74">
        <v>2</v>
      </c>
      <c r="K154" s="72" t="s">
        <v>393</v>
      </c>
      <c r="L154" s="74">
        <v>2</v>
      </c>
      <c r="M154" s="75">
        <v>4</v>
      </c>
      <c r="N154" s="75">
        <v>0.36507936507936506</v>
      </c>
      <c r="O154" s="75">
        <v>1</v>
      </c>
      <c r="P154" s="75">
        <v>3</v>
      </c>
      <c r="Q154" s="75">
        <v>4</v>
      </c>
      <c r="R154" s="75">
        <v>5</v>
      </c>
      <c r="S154" s="75">
        <v>3</v>
      </c>
      <c r="T154" s="75">
        <v>5</v>
      </c>
      <c r="U154" s="75">
        <v>1</v>
      </c>
      <c r="V154" s="75">
        <v>3</v>
      </c>
      <c r="W154" s="75">
        <v>0.26515151515151514</v>
      </c>
      <c r="X154" s="75">
        <v>0.625</v>
      </c>
      <c r="Y154" s="75">
        <v>4</v>
      </c>
      <c r="Z154" s="75">
        <v>4</v>
      </c>
      <c r="AA154" s="75">
        <v>3</v>
      </c>
      <c r="AB154" s="75">
        <v>5</v>
      </c>
      <c r="AC154" s="75">
        <v>1</v>
      </c>
      <c r="AD154" s="2" t="s">
        <v>394</v>
      </c>
    </row>
    <row r="155" spans="1:30" x14ac:dyDescent="0.3">
      <c r="A155" s="1">
        <v>154</v>
      </c>
      <c r="B155" s="71">
        <v>1</v>
      </c>
      <c r="C155" s="71">
        <v>1</v>
      </c>
      <c r="D155" s="71">
        <v>1</v>
      </c>
      <c r="E155" s="71">
        <v>1</v>
      </c>
      <c r="F155" s="74">
        <v>5</v>
      </c>
      <c r="G155" s="72" t="s">
        <v>395</v>
      </c>
      <c r="H155" s="74">
        <v>5</v>
      </c>
      <c r="I155" s="72">
        <v>8</v>
      </c>
      <c r="J155" s="74">
        <v>0</v>
      </c>
      <c r="K155" s="72">
        <v>8</v>
      </c>
      <c r="L155" s="74">
        <v>1</v>
      </c>
      <c r="M155" s="75">
        <v>1</v>
      </c>
      <c r="N155" s="75">
        <v>0.16269841269841268</v>
      </c>
      <c r="O155" s="75">
        <v>0</v>
      </c>
      <c r="P155" s="75">
        <v>4</v>
      </c>
      <c r="Q155" s="75">
        <v>5</v>
      </c>
      <c r="R155" s="75">
        <v>4</v>
      </c>
      <c r="S155" s="75">
        <v>1</v>
      </c>
      <c r="T155" s="75">
        <v>1</v>
      </c>
      <c r="U155" s="75">
        <v>1</v>
      </c>
      <c r="V155" s="75">
        <v>2.5</v>
      </c>
      <c r="W155" s="75">
        <v>0.31060606060606061</v>
      </c>
      <c r="X155" s="75">
        <v>0.4375</v>
      </c>
      <c r="Y155" s="75">
        <v>1</v>
      </c>
      <c r="Z155" s="75">
        <v>3</v>
      </c>
      <c r="AA155" s="75">
        <v>4</v>
      </c>
      <c r="AB155" s="75">
        <v>3</v>
      </c>
      <c r="AC155" s="75">
        <v>1</v>
      </c>
      <c r="AD155" s="2" t="s">
        <v>396</v>
      </c>
    </row>
    <row r="156" spans="1:30" x14ac:dyDescent="0.3">
      <c r="A156" s="1">
        <v>155</v>
      </c>
      <c r="B156" s="71">
        <v>1</v>
      </c>
      <c r="C156" s="71">
        <v>0</v>
      </c>
      <c r="D156" s="71">
        <v>1</v>
      </c>
      <c r="E156" s="71">
        <v>1</v>
      </c>
      <c r="F156" s="74">
        <v>2.5</v>
      </c>
      <c r="G156" s="72" t="s">
        <v>94</v>
      </c>
      <c r="H156" s="74">
        <v>15</v>
      </c>
      <c r="I156" s="72" t="s">
        <v>397</v>
      </c>
      <c r="J156" s="74">
        <v>2</v>
      </c>
      <c r="K156" s="72" t="s">
        <v>40</v>
      </c>
      <c r="L156" s="74">
        <v>3</v>
      </c>
      <c r="M156" s="75">
        <v>4</v>
      </c>
      <c r="N156" s="75">
        <v>0.40079365079365081</v>
      </c>
      <c r="O156" s="75">
        <v>1</v>
      </c>
      <c r="P156" s="75">
        <v>2</v>
      </c>
      <c r="Q156" s="75">
        <v>2</v>
      </c>
      <c r="R156" s="75">
        <v>4</v>
      </c>
      <c r="S156" s="75">
        <v>4</v>
      </c>
      <c r="T156" s="75">
        <v>4</v>
      </c>
      <c r="U156" s="75">
        <v>2</v>
      </c>
      <c r="V156" s="75">
        <v>2.5</v>
      </c>
      <c r="W156" s="75">
        <v>0.43560606060606061</v>
      </c>
      <c r="X156" s="75">
        <v>0.5</v>
      </c>
      <c r="Y156" s="75">
        <v>3.5</v>
      </c>
      <c r="Z156" s="75">
        <v>4</v>
      </c>
      <c r="AA156" s="75">
        <v>2</v>
      </c>
      <c r="AB156" s="75">
        <v>4</v>
      </c>
      <c r="AC156" s="75">
        <v>2</v>
      </c>
      <c r="AD156" s="2" t="s">
        <v>398</v>
      </c>
    </row>
    <row r="157" spans="1:30" x14ac:dyDescent="0.3">
      <c r="A157" s="1">
        <v>156</v>
      </c>
      <c r="B157" s="71">
        <v>1</v>
      </c>
      <c r="C157" s="71">
        <v>1</v>
      </c>
      <c r="D157" s="71">
        <v>1</v>
      </c>
      <c r="E157" s="71">
        <v>1</v>
      </c>
      <c r="F157" s="74">
        <v>5</v>
      </c>
      <c r="G157" s="72" t="s">
        <v>178</v>
      </c>
      <c r="H157" s="74">
        <v>10</v>
      </c>
      <c r="I157" s="72" t="s">
        <v>109</v>
      </c>
      <c r="J157" s="74">
        <v>1</v>
      </c>
      <c r="K157" s="72" t="s">
        <v>109</v>
      </c>
      <c r="L157" s="74">
        <v>2</v>
      </c>
      <c r="M157" s="75">
        <v>5</v>
      </c>
      <c r="N157" s="75">
        <v>0.21825396825396826</v>
      </c>
      <c r="O157" s="75">
        <v>1</v>
      </c>
      <c r="P157" s="75">
        <v>2</v>
      </c>
      <c r="Q157" s="75">
        <v>2</v>
      </c>
      <c r="R157" s="75">
        <v>5</v>
      </c>
      <c r="S157" s="75">
        <v>4</v>
      </c>
      <c r="T157" s="75">
        <v>4</v>
      </c>
      <c r="U157" s="75">
        <v>1</v>
      </c>
      <c r="V157" s="75">
        <v>4</v>
      </c>
      <c r="W157" s="75">
        <v>0.21969696969696967</v>
      </c>
      <c r="X157" s="75">
        <v>0.4375</v>
      </c>
      <c r="Y157" s="75">
        <v>4</v>
      </c>
      <c r="Z157" s="75">
        <v>4</v>
      </c>
      <c r="AA157" s="75">
        <v>2</v>
      </c>
      <c r="AB157" s="75">
        <v>4</v>
      </c>
      <c r="AC157" s="75">
        <v>2</v>
      </c>
      <c r="AD157" s="2" t="s">
        <v>399</v>
      </c>
    </row>
    <row r="158" spans="1:30" x14ac:dyDescent="0.3">
      <c r="A158" s="1">
        <v>157</v>
      </c>
      <c r="B158" s="71">
        <v>1</v>
      </c>
      <c r="C158" s="71">
        <v>1</v>
      </c>
      <c r="D158" s="71">
        <v>1</v>
      </c>
      <c r="E158" s="71">
        <v>1</v>
      </c>
      <c r="F158" s="74">
        <v>5</v>
      </c>
      <c r="G158" s="72" t="s">
        <v>76</v>
      </c>
      <c r="H158" s="74">
        <v>10</v>
      </c>
      <c r="I158" s="72" t="s">
        <v>194</v>
      </c>
      <c r="J158" s="74">
        <v>1</v>
      </c>
      <c r="K158" s="72" t="s">
        <v>194</v>
      </c>
      <c r="L158" s="74">
        <v>2</v>
      </c>
      <c r="M158" s="75">
        <v>5</v>
      </c>
      <c r="N158" s="75">
        <v>0.25396825396825395</v>
      </c>
      <c r="O158" s="75">
        <v>1</v>
      </c>
      <c r="P158" s="75">
        <v>2</v>
      </c>
      <c r="Q158" s="75">
        <v>2</v>
      </c>
      <c r="R158" s="75">
        <v>5</v>
      </c>
      <c r="S158" s="75">
        <v>4</v>
      </c>
      <c r="T158" s="75">
        <v>4</v>
      </c>
      <c r="U158" s="75">
        <v>1</v>
      </c>
      <c r="V158" s="75">
        <v>4</v>
      </c>
      <c r="W158" s="75">
        <v>0.21969696969696967</v>
      </c>
      <c r="X158" s="75">
        <v>0.4375</v>
      </c>
      <c r="Y158" s="75">
        <v>4</v>
      </c>
      <c r="Z158" s="75">
        <v>4</v>
      </c>
      <c r="AA158" s="75">
        <v>3</v>
      </c>
      <c r="AB158" s="75">
        <v>4</v>
      </c>
      <c r="AC158" s="75">
        <v>1</v>
      </c>
      <c r="AD158" s="2" t="s">
        <v>401</v>
      </c>
    </row>
    <row r="159" spans="1:30" x14ac:dyDescent="0.3">
      <c r="A159" s="1">
        <v>158</v>
      </c>
      <c r="B159" s="71">
        <v>1</v>
      </c>
      <c r="C159" s="71">
        <v>1</v>
      </c>
      <c r="D159" s="71">
        <v>1</v>
      </c>
      <c r="E159" s="71">
        <v>1</v>
      </c>
      <c r="F159" s="74">
        <v>5</v>
      </c>
      <c r="G159" s="72" t="s">
        <v>76</v>
      </c>
      <c r="H159" s="74">
        <v>10</v>
      </c>
      <c r="I159" s="72">
        <v>8</v>
      </c>
      <c r="J159" s="74">
        <v>0</v>
      </c>
      <c r="K159" s="72" t="s">
        <v>194</v>
      </c>
      <c r="L159" s="74">
        <v>2</v>
      </c>
      <c r="M159" s="75">
        <v>4</v>
      </c>
      <c r="N159" s="75">
        <v>0.25396825396825395</v>
      </c>
      <c r="O159" s="75">
        <v>1</v>
      </c>
      <c r="P159" s="75">
        <v>1</v>
      </c>
      <c r="Q159" s="75">
        <v>1</v>
      </c>
      <c r="R159" s="75">
        <v>5</v>
      </c>
      <c r="S159" s="75">
        <v>4</v>
      </c>
      <c r="T159" s="75">
        <v>4</v>
      </c>
      <c r="U159" s="75">
        <v>1</v>
      </c>
      <c r="V159" s="75">
        <v>3</v>
      </c>
      <c r="W159" s="75">
        <v>0.31060606060606061</v>
      </c>
      <c r="X159" s="75">
        <v>0.5625</v>
      </c>
      <c r="Y159" s="75">
        <v>4</v>
      </c>
      <c r="Z159" s="75">
        <v>5</v>
      </c>
      <c r="AA159" s="75">
        <v>2</v>
      </c>
      <c r="AB159" s="75">
        <v>5</v>
      </c>
      <c r="AC159" s="75">
        <v>1</v>
      </c>
      <c r="AD159" s="2" t="s">
        <v>402</v>
      </c>
    </row>
    <row r="160" spans="1:30" x14ac:dyDescent="0.3">
      <c r="A160" s="1">
        <v>159</v>
      </c>
      <c r="B160" s="71">
        <v>1</v>
      </c>
      <c r="C160" s="71">
        <v>1</v>
      </c>
      <c r="D160" s="71">
        <v>1</v>
      </c>
      <c r="E160" s="71">
        <v>1</v>
      </c>
      <c r="F160" s="74">
        <v>5</v>
      </c>
      <c r="G160" s="72" t="s">
        <v>151</v>
      </c>
      <c r="H160" s="74">
        <v>5</v>
      </c>
      <c r="I160" s="72">
        <v>8</v>
      </c>
      <c r="J160" s="74">
        <v>0</v>
      </c>
      <c r="K160" s="72">
        <v>8</v>
      </c>
      <c r="L160" s="74">
        <v>1</v>
      </c>
      <c r="M160" s="75">
        <v>2</v>
      </c>
      <c r="N160" s="75">
        <v>0.21825396825396826</v>
      </c>
      <c r="O160" s="75">
        <v>1</v>
      </c>
      <c r="P160" s="75">
        <v>1</v>
      </c>
      <c r="Q160" s="75">
        <v>1</v>
      </c>
      <c r="R160" s="75">
        <v>4</v>
      </c>
      <c r="S160" s="75">
        <v>5</v>
      </c>
      <c r="T160" s="75">
        <v>5</v>
      </c>
      <c r="U160" s="75">
        <v>1</v>
      </c>
      <c r="V160" s="75">
        <v>4</v>
      </c>
      <c r="W160" s="75">
        <v>0.26136363636363635</v>
      </c>
      <c r="X160" s="75">
        <v>0.5625</v>
      </c>
      <c r="Y160" s="75">
        <v>4</v>
      </c>
      <c r="Z160" s="75">
        <v>5</v>
      </c>
      <c r="AA160" s="75">
        <v>2</v>
      </c>
      <c r="AB160" s="75">
        <v>4</v>
      </c>
      <c r="AC160" s="75">
        <v>2</v>
      </c>
      <c r="AD160" s="2" t="s">
        <v>403</v>
      </c>
    </row>
    <row r="161" spans="1:30" x14ac:dyDescent="0.3">
      <c r="A161" s="1">
        <v>160</v>
      </c>
      <c r="B161" s="71">
        <v>1</v>
      </c>
      <c r="C161" s="71">
        <v>1</v>
      </c>
      <c r="D161" s="71">
        <v>1</v>
      </c>
      <c r="E161" s="71">
        <v>1</v>
      </c>
      <c r="F161" s="74">
        <v>5</v>
      </c>
      <c r="G161" s="72" t="s">
        <v>147</v>
      </c>
      <c r="H161" s="74">
        <v>5</v>
      </c>
      <c r="I161" s="72" t="s">
        <v>153</v>
      </c>
      <c r="J161" s="74">
        <v>1</v>
      </c>
      <c r="K161" s="72" t="s">
        <v>153</v>
      </c>
      <c r="L161" s="74">
        <v>2</v>
      </c>
      <c r="M161" s="75">
        <v>5</v>
      </c>
      <c r="N161" s="75">
        <v>0.25396825396825395</v>
      </c>
      <c r="O161" s="75">
        <v>1</v>
      </c>
      <c r="P161" s="75">
        <v>1</v>
      </c>
      <c r="Q161" s="75">
        <v>2</v>
      </c>
      <c r="R161" s="75">
        <v>4</v>
      </c>
      <c r="S161" s="75">
        <v>4</v>
      </c>
      <c r="T161" s="75">
        <v>4</v>
      </c>
      <c r="U161" s="75">
        <v>1</v>
      </c>
      <c r="V161" s="75">
        <v>4</v>
      </c>
      <c r="W161" s="75">
        <v>0.30681818181818182</v>
      </c>
      <c r="X161" s="75">
        <v>0.4375</v>
      </c>
      <c r="Y161" s="75">
        <v>4</v>
      </c>
      <c r="Z161" s="75">
        <v>4</v>
      </c>
      <c r="AA161" s="75">
        <v>2</v>
      </c>
      <c r="AB161" s="75">
        <v>4</v>
      </c>
      <c r="AC161" s="75">
        <v>4</v>
      </c>
      <c r="AD161" s="2" t="s">
        <v>404</v>
      </c>
    </row>
    <row r="162" spans="1:30" x14ac:dyDescent="0.3">
      <c r="A162" s="1">
        <v>161</v>
      </c>
      <c r="B162" s="71">
        <v>1</v>
      </c>
      <c r="C162" s="71">
        <v>1</v>
      </c>
      <c r="D162" s="71">
        <v>1</v>
      </c>
      <c r="E162" s="71">
        <v>1</v>
      </c>
      <c r="F162" s="74">
        <v>5</v>
      </c>
      <c r="G162" s="72" t="s">
        <v>205</v>
      </c>
      <c r="H162" s="74">
        <v>10</v>
      </c>
      <c r="I162" s="72">
        <v>8</v>
      </c>
      <c r="J162" s="74">
        <v>0</v>
      </c>
      <c r="K162" s="72">
        <v>8</v>
      </c>
      <c r="L162" s="74">
        <v>1</v>
      </c>
      <c r="M162" s="75">
        <v>5</v>
      </c>
      <c r="N162" s="75">
        <v>0.18253968253968253</v>
      </c>
      <c r="O162" s="75">
        <v>1</v>
      </c>
      <c r="P162" s="75">
        <v>2</v>
      </c>
      <c r="Q162" s="75">
        <v>5</v>
      </c>
      <c r="R162" s="75">
        <v>3</v>
      </c>
      <c r="S162" s="75">
        <v>2</v>
      </c>
      <c r="T162" s="75">
        <v>4</v>
      </c>
      <c r="U162" s="75">
        <v>1</v>
      </c>
      <c r="V162" s="75">
        <v>3</v>
      </c>
      <c r="W162" s="75">
        <v>0.12878787878787878</v>
      </c>
      <c r="X162" s="75">
        <v>0.5625</v>
      </c>
      <c r="Y162" s="75">
        <v>4</v>
      </c>
      <c r="Z162" s="75">
        <v>5</v>
      </c>
      <c r="AA162" s="75">
        <v>4</v>
      </c>
      <c r="AB162" s="75">
        <v>2</v>
      </c>
      <c r="AC162" s="75">
        <v>4</v>
      </c>
      <c r="AD162" s="2" t="s">
        <v>405</v>
      </c>
    </row>
    <row r="163" spans="1:30" x14ac:dyDescent="0.3">
      <c r="A163" s="1">
        <v>162</v>
      </c>
      <c r="B163" s="71">
        <v>1</v>
      </c>
      <c r="C163" s="71">
        <v>1</v>
      </c>
      <c r="D163" s="71">
        <v>1</v>
      </c>
      <c r="E163" s="71">
        <v>1</v>
      </c>
      <c r="F163" s="74">
        <v>5</v>
      </c>
      <c r="G163" s="72" t="s">
        <v>39</v>
      </c>
      <c r="H163" s="74">
        <v>10</v>
      </c>
      <c r="I163" s="72" t="s">
        <v>55</v>
      </c>
      <c r="J163" s="74">
        <v>2</v>
      </c>
      <c r="K163" s="72" t="s">
        <v>55</v>
      </c>
      <c r="L163" s="74">
        <v>3</v>
      </c>
      <c r="M163" s="75">
        <v>4</v>
      </c>
      <c r="N163" s="75">
        <v>0.25</v>
      </c>
      <c r="O163" s="75">
        <v>1</v>
      </c>
      <c r="P163" s="75">
        <v>2</v>
      </c>
      <c r="Q163" s="75">
        <v>2</v>
      </c>
      <c r="R163" s="75">
        <v>4</v>
      </c>
      <c r="S163" s="75">
        <v>3.5</v>
      </c>
      <c r="T163" s="75">
        <v>4</v>
      </c>
      <c r="U163" s="75">
        <v>4</v>
      </c>
      <c r="V163" s="75">
        <v>4</v>
      </c>
      <c r="W163" s="75">
        <v>0.43560606060606061</v>
      </c>
      <c r="X163" s="75">
        <v>0.5625</v>
      </c>
      <c r="Y163" s="75">
        <v>4</v>
      </c>
      <c r="Z163" s="75">
        <v>4</v>
      </c>
      <c r="AA163" s="75">
        <v>1</v>
      </c>
      <c r="AB163" s="75">
        <v>4</v>
      </c>
      <c r="AC163" s="75">
        <v>4</v>
      </c>
      <c r="AD163" s="2" t="s">
        <v>406</v>
      </c>
    </row>
    <row r="164" spans="1:30" x14ac:dyDescent="0.3">
      <c r="A164" s="1">
        <v>163</v>
      </c>
      <c r="B164" s="71">
        <v>1</v>
      </c>
      <c r="C164" s="71">
        <v>1</v>
      </c>
      <c r="D164" s="71">
        <v>1</v>
      </c>
      <c r="E164" s="71">
        <v>1</v>
      </c>
      <c r="F164" s="74">
        <v>5</v>
      </c>
      <c r="G164" s="72" t="s">
        <v>407</v>
      </c>
      <c r="H164" s="74">
        <v>20</v>
      </c>
      <c r="I164" s="72" t="s">
        <v>180</v>
      </c>
      <c r="J164" s="74">
        <v>3</v>
      </c>
      <c r="K164" s="72" t="s">
        <v>408</v>
      </c>
      <c r="L164" s="74">
        <v>4</v>
      </c>
      <c r="M164" s="75">
        <v>4</v>
      </c>
      <c r="N164" s="75">
        <v>0.42857142857142855</v>
      </c>
      <c r="O164" s="75">
        <v>1</v>
      </c>
      <c r="P164" s="75">
        <v>1</v>
      </c>
      <c r="Q164" s="75">
        <v>1</v>
      </c>
      <c r="R164" s="75">
        <v>4</v>
      </c>
      <c r="S164" s="75">
        <v>4.5</v>
      </c>
      <c r="T164" s="75">
        <v>4</v>
      </c>
      <c r="U164" s="75">
        <v>4</v>
      </c>
      <c r="V164" s="75">
        <v>3.5</v>
      </c>
      <c r="W164" s="75">
        <v>0.52651515151515149</v>
      </c>
      <c r="X164" s="75">
        <v>0.5625</v>
      </c>
      <c r="Y164" s="75">
        <v>3.5</v>
      </c>
      <c r="Z164" s="75">
        <v>5</v>
      </c>
      <c r="AA164" s="75">
        <v>1</v>
      </c>
      <c r="AB164" s="75">
        <v>4</v>
      </c>
      <c r="AC164" s="75">
        <v>4</v>
      </c>
      <c r="AD164" s="2" t="s">
        <v>409</v>
      </c>
    </row>
    <row r="165" spans="1:30" x14ac:dyDescent="0.3">
      <c r="A165" s="1">
        <v>164</v>
      </c>
      <c r="B165" s="71">
        <v>1</v>
      </c>
      <c r="C165" s="71">
        <v>1</v>
      </c>
      <c r="D165" s="71">
        <v>1</v>
      </c>
      <c r="E165" s="71">
        <v>1</v>
      </c>
      <c r="F165" s="74">
        <v>5</v>
      </c>
      <c r="G165" s="72" t="s">
        <v>213</v>
      </c>
      <c r="H165" s="74">
        <v>20</v>
      </c>
      <c r="I165" s="72" t="s">
        <v>410</v>
      </c>
      <c r="J165" s="74">
        <v>3</v>
      </c>
      <c r="K165" s="72" t="s">
        <v>411</v>
      </c>
      <c r="L165" s="74">
        <v>4</v>
      </c>
      <c r="M165" s="75">
        <v>4</v>
      </c>
      <c r="N165" s="75">
        <v>0.39285714285714285</v>
      </c>
      <c r="O165" s="75">
        <v>1</v>
      </c>
      <c r="P165" s="75">
        <v>1</v>
      </c>
      <c r="Q165" s="75">
        <v>1</v>
      </c>
      <c r="R165" s="75">
        <v>4</v>
      </c>
      <c r="S165" s="75">
        <v>3.5</v>
      </c>
      <c r="T165" s="75">
        <v>4</v>
      </c>
      <c r="U165" s="75">
        <v>4</v>
      </c>
      <c r="V165" s="75">
        <v>4</v>
      </c>
      <c r="W165" s="75">
        <v>0.57196969696969702</v>
      </c>
      <c r="X165" s="75">
        <v>0.5625</v>
      </c>
      <c r="Y165" s="75">
        <v>3.5</v>
      </c>
      <c r="Z165" s="75">
        <v>5</v>
      </c>
      <c r="AA165" s="75">
        <v>1</v>
      </c>
      <c r="AB165" s="75">
        <v>4</v>
      </c>
      <c r="AC165" s="75">
        <v>4</v>
      </c>
      <c r="AD165" s="2" t="s">
        <v>412</v>
      </c>
    </row>
    <row r="166" spans="1:30" x14ac:dyDescent="0.3">
      <c r="A166" s="1">
        <v>165</v>
      </c>
      <c r="B166" s="71">
        <v>1</v>
      </c>
      <c r="C166" s="71">
        <v>1</v>
      </c>
      <c r="D166" s="71">
        <v>1</v>
      </c>
      <c r="E166" s="71">
        <v>1</v>
      </c>
      <c r="F166" s="74">
        <v>5</v>
      </c>
      <c r="G166" s="72" t="s">
        <v>42</v>
      </c>
      <c r="H166" s="74">
        <v>10</v>
      </c>
      <c r="I166" s="72" t="s">
        <v>413</v>
      </c>
      <c r="J166" s="74">
        <v>1</v>
      </c>
      <c r="K166" s="72" t="s">
        <v>154</v>
      </c>
      <c r="L166" s="74">
        <v>2</v>
      </c>
      <c r="M166" s="75">
        <v>4</v>
      </c>
      <c r="N166" s="75">
        <v>0.3214285714285714</v>
      </c>
      <c r="O166" s="75">
        <v>1</v>
      </c>
      <c r="P166" s="75">
        <v>1</v>
      </c>
      <c r="Q166" s="75">
        <v>1</v>
      </c>
      <c r="R166" s="75">
        <v>4</v>
      </c>
      <c r="S166" s="75">
        <v>3.5</v>
      </c>
      <c r="T166" s="75">
        <v>4</v>
      </c>
      <c r="U166" s="75">
        <v>5</v>
      </c>
      <c r="V166" s="75">
        <v>4.5</v>
      </c>
      <c r="W166" s="75">
        <v>0.39393939393939392</v>
      </c>
      <c r="X166" s="75">
        <v>0.75</v>
      </c>
      <c r="Y166" s="75">
        <v>4</v>
      </c>
      <c r="Z166" s="75">
        <v>5</v>
      </c>
      <c r="AA166" s="75">
        <v>1</v>
      </c>
      <c r="AB166" s="75">
        <v>4</v>
      </c>
      <c r="AC166" s="75">
        <v>4</v>
      </c>
      <c r="AD166" s="2" t="s">
        <v>414</v>
      </c>
    </row>
    <row r="167" spans="1:30" x14ac:dyDescent="0.3">
      <c r="A167" s="1">
        <v>166</v>
      </c>
      <c r="B167" s="71">
        <v>1</v>
      </c>
      <c r="C167" s="71">
        <v>1</v>
      </c>
      <c r="D167" s="71">
        <v>1</v>
      </c>
      <c r="E167" s="71">
        <v>1</v>
      </c>
      <c r="F167" s="74">
        <v>5</v>
      </c>
      <c r="G167" s="72" t="s">
        <v>39</v>
      </c>
      <c r="H167" s="74">
        <v>10</v>
      </c>
      <c r="I167" s="72" t="s">
        <v>415</v>
      </c>
      <c r="J167" s="74">
        <v>3</v>
      </c>
      <c r="K167" s="72" t="s">
        <v>235</v>
      </c>
      <c r="L167" s="74">
        <v>3</v>
      </c>
      <c r="M167" s="75">
        <v>4</v>
      </c>
      <c r="N167" s="75">
        <v>0.3214285714285714</v>
      </c>
      <c r="O167" s="75">
        <v>1</v>
      </c>
      <c r="P167" s="75">
        <v>1</v>
      </c>
      <c r="Q167" s="75">
        <v>2</v>
      </c>
      <c r="R167" s="75">
        <v>4</v>
      </c>
      <c r="S167" s="75">
        <v>4</v>
      </c>
      <c r="T167" s="75">
        <v>4</v>
      </c>
      <c r="U167" s="75">
        <v>4</v>
      </c>
      <c r="V167" s="75">
        <v>4.5</v>
      </c>
      <c r="W167" s="75">
        <v>0.48106060606060608</v>
      </c>
      <c r="X167" s="75">
        <v>0.6875</v>
      </c>
      <c r="Y167" s="75">
        <v>4.5</v>
      </c>
      <c r="Z167" s="75">
        <v>4</v>
      </c>
      <c r="AA167" s="75">
        <v>1</v>
      </c>
      <c r="AB167" s="75">
        <v>5</v>
      </c>
      <c r="AC167" s="75">
        <v>4</v>
      </c>
      <c r="AD167" s="2" t="s">
        <v>416</v>
      </c>
    </row>
    <row r="168" spans="1:30" x14ac:dyDescent="0.3">
      <c r="A168" s="1">
        <v>167</v>
      </c>
      <c r="B168" s="71">
        <v>1</v>
      </c>
      <c r="C168" s="71">
        <v>1</v>
      </c>
      <c r="D168" s="71">
        <v>1</v>
      </c>
      <c r="E168" s="71">
        <v>1</v>
      </c>
      <c r="F168" s="74">
        <v>5</v>
      </c>
      <c r="G168" s="72" t="s">
        <v>53</v>
      </c>
      <c r="H168" s="74">
        <v>15</v>
      </c>
      <c r="I168" s="72" t="s">
        <v>224</v>
      </c>
      <c r="J168" s="74">
        <v>2</v>
      </c>
      <c r="K168" s="72" t="s">
        <v>224</v>
      </c>
      <c r="L168" s="74">
        <v>3</v>
      </c>
      <c r="M168" s="75">
        <v>4</v>
      </c>
      <c r="N168" s="75">
        <v>0.3571428571428571</v>
      </c>
      <c r="O168" s="75">
        <v>1</v>
      </c>
      <c r="P168" s="75">
        <v>1</v>
      </c>
      <c r="Q168" s="75">
        <v>1</v>
      </c>
      <c r="R168" s="75">
        <v>4</v>
      </c>
      <c r="S168" s="75">
        <v>4</v>
      </c>
      <c r="T168" s="75">
        <v>4</v>
      </c>
      <c r="U168" s="75">
        <v>4</v>
      </c>
      <c r="V168" s="75">
        <v>4</v>
      </c>
      <c r="W168" s="75">
        <v>0.43560606060606061</v>
      </c>
      <c r="X168" s="75">
        <v>0.6875</v>
      </c>
      <c r="Y168" s="75">
        <v>4.5</v>
      </c>
      <c r="Z168" s="75">
        <v>4</v>
      </c>
      <c r="AA168" s="75">
        <v>1</v>
      </c>
      <c r="AB168" s="75">
        <v>4</v>
      </c>
      <c r="AC168" s="75">
        <v>4</v>
      </c>
      <c r="AD168" s="2" t="s">
        <v>417</v>
      </c>
    </row>
    <row r="169" spans="1:30" x14ac:dyDescent="0.3">
      <c r="A169" s="1">
        <v>168</v>
      </c>
      <c r="B169" s="71">
        <v>1</v>
      </c>
      <c r="C169" s="71">
        <v>1</v>
      </c>
      <c r="D169" s="71">
        <v>1</v>
      </c>
      <c r="E169" s="71">
        <v>1</v>
      </c>
      <c r="F169" s="74">
        <v>5</v>
      </c>
      <c r="G169" s="72" t="s">
        <v>418</v>
      </c>
      <c r="H169" s="74">
        <v>10</v>
      </c>
      <c r="I169" s="72" t="s">
        <v>224</v>
      </c>
      <c r="J169" s="74">
        <v>2</v>
      </c>
      <c r="K169" s="72" t="s">
        <v>224</v>
      </c>
      <c r="L169" s="74">
        <v>3</v>
      </c>
      <c r="M169" s="75">
        <v>4</v>
      </c>
      <c r="N169" s="75">
        <v>0.2857142857142857</v>
      </c>
      <c r="O169" s="75">
        <v>1</v>
      </c>
      <c r="P169" s="75">
        <v>1</v>
      </c>
      <c r="Q169" s="75">
        <v>1</v>
      </c>
      <c r="R169" s="75">
        <v>4</v>
      </c>
      <c r="S169" s="75">
        <v>3.5</v>
      </c>
      <c r="T169" s="75">
        <v>4</v>
      </c>
      <c r="U169" s="75">
        <v>4</v>
      </c>
      <c r="V169" s="75">
        <v>4</v>
      </c>
      <c r="W169" s="75">
        <v>0.43560606060606061</v>
      </c>
      <c r="X169" s="75">
        <v>0.6875</v>
      </c>
      <c r="Y169" s="75">
        <v>4.5</v>
      </c>
      <c r="Z169" s="75">
        <v>4</v>
      </c>
      <c r="AA169" s="75">
        <v>1</v>
      </c>
      <c r="AB169" s="75">
        <v>4</v>
      </c>
      <c r="AC169" s="75">
        <v>4</v>
      </c>
      <c r="AD169" s="2" t="s">
        <v>419</v>
      </c>
    </row>
    <row r="170" spans="1:30" x14ac:dyDescent="0.3">
      <c r="A170" s="1">
        <v>169</v>
      </c>
      <c r="B170" s="71">
        <v>1</v>
      </c>
      <c r="C170" s="71">
        <v>1</v>
      </c>
      <c r="D170" s="71">
        <v>1</v>
      </c>
      <c r="E170" s="71">
        <v>1</v>
      </c>
      <c r="F170" s="74">
        <v>5</v>
      </c>
      <c r="G170" s="72" t="s">
        <v>53</v>
      </c>
      <c r="H170" s="74">
        <v>15</v>
      </c>
      <c r="I170" s="72" t="s">
        <v>69</v>
      </c>
      <c r="J170" s="74">
        <v>2</v>
      </c>
      <c r="K170" s="72" t="s">
        <v>224</v>
      </c>
      <c r="L170" s="74">
        <v>3</v>
      </c>
      <c r="M170" s="75">
        <v>4</v>
      </c>
      <c r="N170" s="75">
        <v>0.2857142857142857</v>
      </c>
      <c r="O170" s="75">
        <v>1</v>
      </c>
      <c r="P170" s="75">
        <v>1</v>
      </c>
      <c r="Q170" s="75">
        <v>1</v>
      </c>
      <c r="R170" s="75">
        <v>4</v>
      </c>
      <c r="S170" s="75">
        <v>4</v>
      </c>
      <c r="T170" s="75">
        <v>4</v>
      </c>
      <c r="U170" s="75">
        <v>4</v>
      </c>
      <c r="V170" s="75">
        <v>4</v>
      </c>
      <c r="W170" s="75">
        <v>0.43560606060606061</v>
      </c>
      <c r="X170" s="75">
        <v>0.6875</v>
      </c>
      <c r="Y170" s="75">
        <v>4.5</v>
      </c>
      <c r="Z170" s="75">
        <v>4</v>
      </c>
      <c r="AA170" s="75">
        <v>1</v>
      </c>
      <c r="AB170" s="75">
        <v>4</v>
      </c>
      <c r="AC170" s="75">
        <v>4</v>
      </c>
      <c r="AD170" s="2" t="s">
        <v>420</v>
      </c>
    </row>
    <row r="171" spans="1:30" x14ac:dyDescent="0.3">
      <c r="A171" s="1">
        <v>170</v>
      </c>
      <c r="B171" s="71">
        <v>1</v>
      </c>
      <c r="C171" s="71">
        <v>1</v>
      </c>
      <c r="D171" s="71">
        <v>1</v>
      </c>
      <c r="E171" s="71">
        <v>1</v>
      </c>
      <c r="F171" s="74">
        <v>5</v>
      </c>
      <c r="G171" s="72" t="s">
        <v>421</v>
      </c>
      <c r="H171" s="74">
        <v>15</v>
      </c>
      <c r="I171" s="72" t="s">
        <v>72</v>
      </c>
      <c r="J171" s="74">
        <v>2</v>
      </c>
      <c r="K171" s="72" t="s">
        <v>422</v>
      </c>
      <c r="L171" s="74">
        <v>3</v>
      </c>
      <c r="M171" s="75">
        <v>4</v>
      </c>
      <c r="N171" s="75">
        <v>0.2857142857142857</v>
      </c>
      <c r="O171" s="75">
        <v>1</v>
      </c>
      <c r="P171" s="75">
        <v>1</v>
      </c>
      <c r="Q171" s="75">
        <v>1</v>
      </c>
      <c r="R171" s="75">
        <v>3</v>
      </c>
      <c r="S171" s="75">
        <v>4</v>
      </c>
      <c r="T171" s="75">
        <v>4</v>
      </c>
      <c r="U171" s="75">
        <v>4</v>
      </c>
      <c r="V171" s="75">
        <v>4</v>
      </c>
      <c r="W171" s="75">
        <v>0.43560606060606061</v>
      </c>
      <c r="X171" s="75">
        <v>0.6875</v>
      </c>
      <c r="Y171" s="75">
        <v>4</v>
      </c>
      <c r="Z171" s="75">
        <v>4</v>
      </c>
      <c r="AA171" s="75">
        <v>1</v>
      </c>
      <c r="AB171" s="75">
        <v>4</v>
      </c>
      <c r="AC171" s="75">
        <v>4</v>
      </c>
      <c r="AD171" s="2" t="s">
        <v>423</v>
      </c>
    </row>
    <row r="172" spans="1:30" x14ac:dyDescent="0.3">
      <c r="A172" s="1">
        <v>171</v>
      </c>
      <c r="B172" s="71">
        <v>1</v>
      </c>
      <c r="C172" s="71">
        <v>1</v>
      </c>
      <c r="D172" s="71">
        <v>1</v>
      </c>
      <c r="E172" s="71">
        <v>1</v>
      </c>
      <c r="F172" s="74">
        <v>5</v>
      </c>
      <c r="G172" s="72" t="s">
        <v>112</v>
      </c>
      <c r="H172" s="74">
        <v>10</v>
      </c>
      <c r="I172" s="72" t="s">
        <v>154</v>
      </c>
      <c r="J172" s="74">
        <v>1</v>
      </c>
      <c r="K172" s="72" t="s">
        <v>424</v>
      </c>
      <c r="L172" s="74">
        <v>3</v>
      </c>
      <c r="M172" s="75">
        <v>4</v>
      </c>
      <c r="N172" s="75">
        <v>0.3571428571428571</v>
      </c>
      <c r="O172" s="75">
        <v>1</v>
      </c>
      <c r="P172" s="75">
        <v>1</v>
      </c>
      <c r="Q172" s="75">
        <v>1</v>
      </c>
      <c r="R172" s="75">
        <v>3</v>
      </c>
      <c r="S172" s="75">
        <v>3.5</v>
      </c>
      <c r="T172" s="75">
        <v>5</v>
      </c>
      <c r="U172" s="75">
        <v>3</v>
      </c>
      <c r="V172" s="75">
        <v>3</v>
      </c>
      <c r="W172" s="75">
        <v>0.34848484848484851</v>
      </c>
      <c r="X172" s="75">
        <v>0.4375</v>
      </c>
      <c r="Y172" s="75">
        <v>4.5</v>
      </c>
      <c r="Z172" s="75">
        <v>5</v>
      </c>
      <c r="AA172" s="75">
        <v>1</v>
      </c>
      <c r="AB172" s="75">
        <v>4</v>
      </c>
      <c r="AC172" s="75">
        <v>1</v>
      </c>
      <c r="AD172" s="2" t="s">
        <v>425</v>
      </c>
    </row>
    <row r="173" spans="1:30" x14ac:dyDescent="0.3">
      <c r="A173" s="1">
        <v>172</v>
      </c>
      <c r="B173" s="71">
        <v>1</v>
      </c>
      <c r="C173" s="71">
        <v>1</v>
      </c>
      <c r="D173" s="71">
        <v>1</v>
      </c>
      <c r="E173" s="71">
        <v>1</v>
      </c>
      <c r="F173" s="74">
        <v>5</v>
      </c>
      <c r="G173" s="72" t="s">
        <v>426</v>
      </c>
      <c r="H173" s="74">
        <v>10</v>
      </c>
      <c r="I173" s="72" t="s">
        <v>427</v>
      </c>
      <c r="J173" s="74">
        <v>1</v>
      </c>
      <c r="K173" s="72" t="s">
        <v>77</v>
      </c>
      <c r="L173" s="74">
        <v>2</v>
      </c>
      <c r="M173" s="75">
        <v>4</v>
      </c>
      <c r="N173" s="75">
        <v>0.4642857142857143</v>
      </c>
      <c r="O173" s="75">
        <v>1</v>
      </c>
      <c r="P173" s="75">
        <v>1</v>
      </c>
      <c r="Q173" s="75">
        <v>1</v>
      </c>
      <c r="R173" s="75">
        <v>4</v>
      </c>
      <c r="S173" s="75">
        <v>3.5</v>
      </c>
      <c r="T173" s="75">
        <v>5</v>
      </c>
      <c r="U173" s="75">
        <v>4</v>
      </c>
      <c r="V173" s="75">
        <v>2.5</v>
      </c>
      <c r="W173" s="75">
        <v>0.39015151515151514</v>
      </c>
      <c r="X173" s="75">
        <v>0.4375</v>
      </c>
      <c r="Y173" s="75">
        <v>5</v>
      </c>
      <c r="Z173" s="75">
        <v>4</v>
      </c>
      <c r="AA173" s="75">
        <v>1</v>
      </c>
      <c r="AB173" s="75">
        <v>4</v>
      </c>
      <c r="AC173" s="75">
        <v>1</v>
      </c>
      <c r="AD173" s="2" t="s">
        <v>428</v>
      </c>
    </row>
    <row r="174" spans="1:30" x14ac:dyDescent="0.3">
      <c r="A174" s="1">
        <v>173</v>
      </c>
      <c r="B174" s="71">
        <v>1</v>
      </c>
      <c r="C174" s="71">
        <v>1</v>
      </c>
      <c r="D174" s="71">
        <v>1</v>
      </c>
      <c r="E174" s="71">
        <v>1</v>
      </c>
      <c r="F174" s="74">
        <v>5</v>
      </c>
      <c r="G174" s="72" t="s">
        <v>429</v>
      </c>
      <c r="H174" s="74">
        <v>15</v>
      </c>
      <c r="I174" s="72" t="s">
        <v>246</v>
      </c>
      <c r="J174" s="74">
        <v>1</v>
      </c>
      <c r="K174" s="72" t="s">
        <v>96</v>
      </c>
      <c r="L174" s="74">
        <v>3</v>
      </c>
      <c r="M174" s="75">
        <v>4</v>
      </c>
      <c r="N174" s="75">
        <v>0.2857142857142857</v>
      </c>
      <c r="O174" s="75">
        <v>1</v>
      </c>
      <c r="P174" s="75">
        <v>1</v>
      </c>
      <c r="Q174" s="75">
        <v>1</v>
      </c>
      <c r="R174" s="75">
        <v>3</v>
      </c>
      <c r="S174" s="75">
        <v>2.5</v>
      </c>
      <c r="T174" s="75">
        <v>3</v>
      </c>
      <c r="U174" s="75">
        <v>3</v>
      </c>
      <c r="V174" s="75">
        <v>3</v>
      </c>
      <c r="W174" s="75">
        <v>0.43560606060606061</v>
      </c>
      <c r="X174" s="75">
        <v>0.4375</v>
      </c>
      <c r="Y174" s="75">
        <v>4.5</v>
      </c>
      <c r="Z174" s="75">
        <v>3</v>
      </c>
      <c r="AA174" s="75">
        <v>1</v>
      </c>
      <c r="AB174" s="75">
        <v>4</v>
      </c>
      <c r="AC174" s="75">
        <v>1</v>
      </c>
      <c r="AD174" s="2" t="s">
        <v>430</v>
      </c>
    </row>
    <row r="175" spans="1:30" x14ac:dyDescent="0.3">
      <c r="A175" s="1">
        <v>174</v>
      </c>
      <c r="B175" s="71">
        <v>1</v>
      </c>
      <c r="C175" s="71">
        <v>1</v>
      </c>
      <c r="D175" s="71">
        <v>1</v>
      </c>
      <c r="E175" s="71">
        <v>1</v>
      </c>
      <c r="F175" s="74">
        <v>5</v>
      </c>
      <c r="G175" s="72" t="s">
        <v>257</v>
      </c>
      <c r="H175" s="74">
        <v>10</v>
      </c>
      <c r="I175" s="72" t="s">
        <v>261</v>
      </c>
      <c r="J175" s="74">
        <v>2</v>
      </c>
      <c r="K175" s="72" t="s">
        <v>431</v>
      </c>
      <c r="L175" s="74">
        <v>3</v>
      </c>
      <c r="M175" s="75">
        <v>3</v>
      </c>
      <c r="N175" s="75">
        <v>0.3214285714285714</v>
      </c>
      <c r="O175" s="75">
        <v>1</v>
      </c>
      <c r="P175" s="75">
        <v>1</v>
      </c>
      <c r="Q175" s="75">
        <v>1</v>
      </c>
      <c r="R175" s="75">
        <v>3</v>
      </c>
      <c r="S175" s="75">
        <v>3</v>
      </c>
      <c r="T175" s="75">
        <v>3</v>
      </c>
      <c r="U175" s="75">
        <v>3</v>
      </c>
      <c r="V175" s="75">
        <v>2.5</v>
      </c>
      <c r="W175" s="75">
        <v>0.39393939393939392</v>
      </c>
      <c r="X175" s="75">
        <v>0.4375</v>
      </c>
      <c r="Y175" s="75">
        <v>4</v>
      </c>
      <c r="Z175" s="75">
        <v>4</v>
      </c>
      <c r="AA175" s="75">
        <v>1</v>
      </c>
      <c r="AB175" s="75">
        <v>1</v>
      </c>
      <c r="AC175" s="75">
        <v>1</v>
      </c>
      <c r="AD175" s="2" t="s">
        <v>432</v>
      </c>
    </row>
    <row r="176" spans="1:30" x14ac:dyDescent="0.3">
      <c r="A176" s="1">
        <v>175</v>
      </c>
      <c r="B176" s="71">
        <v>1</v>
      </c>
      <c r="C176" s="71">
        <v>1</v>
      </c>
      <c r="D176" s="71">
        <v>1</v>
      </c>
      <c r="E176" s="71">
        <v>1</v>
      </c>
      <c r="F176" s="74">
        <v>5</v>
      </c>
      <c r="G176" s="72" t="s">
        <v>126</v>
      </c>
      <c r="H176" s="74">
        <v>10</v>
      </c>
      <c r="I176" s="72" t="s">
        <v>77</v>
      </c>
      <c r="J176" s="74">
        <v>1</v>
      </c>
      <c r="K176" s="72" t="s">
        <v>77</v>
      </c>
      <c r="L176" s="74">
        <v>2</v>
      </c>
      <c r="M176" s="75">
        <v>5</v>
      </c>
      <c r="N176" s="75">
        <v>0.25</v>
      </c>
      <c r="O176" s="75">
        <v>1</v>
      </c>
      <c r="P176" s="75">
        <v>1</v>
      </c>
      <c r="Q176" s="75">
        <v>1</v>
      </c>
      <c r="R176" s="75">
        <v>3</v>
      </c>
      <c r="S176" s="75">
        <v>3.5</v>
      </c>
      <c r="T176" s="75">
        <v>4</v>
      </c>
      <c r="U176" s="75">
        <v>4</v>
      </c>
      <c r="V176" s="75">
        <v>3</v>
      </c>
      <c r="W176" s="75">
        <v>0.39393939393939392</v>
      </c>
      <c r="X176" s="75">
        <v>0.4375</v>
      </c>
      <c r="Y176" s="75">
        <v>5</v>
      </c>
      <c r="Z176" s="75">
        <v>4</v>
      </c>
      <c r="AA176" s="75">
        <v>1</v>
      </c>
      <c r="AB176" s="75">
        <v>4</v>
      </c>
      <c r="AC176" s="75">
        <v>1</v>
      </c>
      <c r="AD176" s="2" t="s">
        <v>433</v>
      </c>
    </row>
    <row r="177" spans="1:30" x14ac:dyDescent="0.3">
      <c r="A177" s="1">
        <v>176</v>
      </c>
      <c r="B177" s="71">
        <v>0</v>
      </c>
      <c r="C177" s="71">
        <v>1</v>
      </c>
      <c r="D177" s="71">
        <v>1</v>
      </c>
      <c r="E177" s="71">
        <v>0</v>
      </c>
      <c r="F177" s="74">
        <v>0</v>
      </c>
      <c r="G177" s="72" t="s">
        <v>147</v>
      </c>
      <c r="H177" s="74">
        <v>5</v>
      </c>
      <c r="I177" s="72">
        <v>8</v>
      </c>
      <c r="J177" s="74">
        <v>0</v>
      </c>
      <c r="K177" s="72">
        <v>8</v>
      </c>
      <c r="L177" s="74">
        <v>1</v>
      </c>
      <c r="M177" s="75">
        <v>1</v>
      </c>
      <c r="N177" s="75">
        <v>0.14285714285714285</v>
      </c>
      <c r="O177" s="75">
        <v>0</v>
      </c>
      <c r="P177" s="75">
        <v>1</v>
      </c>
      <c r="Q177" s="75">
        <v>1</v>
      </c>
      <c r="R177" s="75">
        <v>1</v>
      </c>
      <c r="S177" s="75">
        <v>1</v>
      </c>
      <c r="T177" s="75">
        <v>2</v>
      </c>
      <c r="U177" s="75">
        <v>3</v>
      </c>
      <c r="V177" s="75">
        <v>1.5</v>
      </c>
      <c r="W177" s="75">
        <v>0.12878787878787878</v>
      </c>
      <c r="X177" s="75">
        <v>0.1875</v>
      </c>
      <c r="Y177" s="75">
        <v>4</v>
      </c>
      <c r="Z177" s="75">
        <v>1</v>
      </c>
      <c r="AA177" s="75">
        <v>3</v>
      </c>
      <c r="AB177" s="75">
        <v>5</v>
      </c>
      <c r="AC177" s="75">
        <v>1</v>
      </c>
      <c r="AD177" s="2" t="s">
        <v>434</v>
      </c>
    </row>
    <row r="178" spans="1:30" x14ac:dyDescent="0.3">
      <c r="A178" s="1">
        <v>177</v>
      </c>
      <c r="B178" s="71">
        <v>1</v>
      </c>
      <c r="C178" s="71">
        <v>1</v>
      </c>
      <c r="D178" s="71">
        <v>0</v>
      </c>
      <c r="E178" s="71">
        <v>1</v>
      </c>
      <c r="F178" s="74">
        <v>2.5</v>
      </c>
      <c r="G178" s="72" t="s">
        <v>76</v>
      </c>
      <c r="H178" s="74">
        <v>10</v>
      </c>
      <c r="I178" s="72" t="s">
        <v>154</v>
      </c>
      <c r="J178" s="74">
        <v>1</v>
      </c>
      <c r="K178" s="72" t="s">
        <v>96</v>
      </c>
      <c r="L178" s="74">
        <v>3</v>
      </c>
      <c r="M178" s="75">
        <v>4</v>
      </c>
      <c r="N178" s="75">
        <v>0.17857142857142855</v>
      </c>
      <c r="O178" s="75">
        <v>1</v>
      </c>
      <c r="P178" s="75">
        <v>2</v>
      </c>
      <c r="Q178" s="75">
        <v>1</v>
      </c>
      <c r="R178" s="75">
        <v>3</v>
      </c>
      <c r="S178" s="75">
        <v>3.5</v>
      </c>
      <c r="T178" s="75">
        <v>4</v>
      </c>
      <c r="U178" s="75">
        <v>3</v>
      </c>
      <c r="V178" s="75">
        <v>2.5</v>
      </c>
      <c r="W178" s="75">
        <v>0.30681818181818182</v>
      </c>
      <c r="X178" s="75">
        <v>0.4375</v>
      </c>
      <c r="Y178" s="75">
        <v>4</v>
      </c>
      <c r="Z178" s="75">
        <v>4</v>
      </c>
      <c r="AA178" s="75">
        <v>1</v>
      </c>
      <c r="AB178" s="75">
        <v>4</v>
      </c>
      <c r="AC178" s="75">
        <v>1</v>
      </c>
      <c r="AD178" s="2" t="s">
        <v>435</v>
      </c>
    </row>
    <row r="179" spans="1:30" x14ac:dyDescent="0.3">
      <c r="A179" s="1">
        <v>178</v>
      </c>
      <c r="B179" s="71">
        <v>1</v>
      </c>
      <c r="C179" s="71">
        <v>1</v>
      </c>
      <c r="D179" s="71">
        <v>1</v>
      </c>
      <c r="E179" s="71">
        <v>1</v>
      </c>
      <c r="F179" s="74">
        <v>5</v>
      </c>
      <c r="G179" s="72" t="s">
        <v>39</v>
      </c>
      <c r="H179" s="74">
        <v>10</v>
      </c>
      <c r="I179" s="72" t="s">
        <v>248</v>
      </c>
      <c r="J179" s="74">
        <v>2</v>
      </c>
      <c r="K179" s="72" t="s">
        <v>113</v>
      </c>
      <c r="L179" s="74">
        <v>2</v>
      </c>
      <c r="M179" s="75">
        <v>4</v>
      </c>
      <c r="N179" s="75">
        <v>0.21428571428571427</v>
      </c>
      <c r="O179" s="75">
        <v>1</v>
      </c>
      <c r="P179" s="75">
        <v>2</v>
      </c>
      <c r="Q179" s="75">
        <v>2</v>
      </c>
      <c r="R179" s="75">
        <v>5</v>
      </c>
      <c r="S179" s="75">
        <v>4</v>
      </c>
      <c r="T179" s="75">
        <v>5</v>
      </c>
      <c r="U179" s="75">
        <v>4</v>
      </c>
      <c r="V179" s="75">
        <v>3</v>
      </c>
      <c r="W179" s="75">
        <v>0.30681818181818182</v>
      </c>
      <c r="X179" s="75">
        <v>0.5625</v>
      </c>
      <c r="Y179" s="75">
        <v>4.5</v>
      </c>
      <c r="Z179" s="75">
        <v>4</v>
      </c>
      <c r="AA179" s="75">
        <v>1</v>
      </c>
      <c r="AB179" s="75">
        <v>4</v>
      </c>
      <c r="AC179" s="75">
        <v>1</v>
      </c>
      <c r="AD179" s="2" t="s">
        <v>436</v>
      </c>
    </row>
    <row r="180" spans="1:30" x14ac:dyDescent="0.3">
      <c r="A180" s="1">
        <v>179</v>
      </c>
      <c r="B180" s="71">
        <v>1</v>
      </c>
      <c r="C180" s="71">
        <v>1</v>
      </c>
      <c r="D180" s="71">
        <v>1</v>
      </c>
      <c r="E180" s="71">
        <v>1</v>
      </c>
      <c r="F180" s="74">
        <v>5</v>
      </c>
      <c r="G180" s="72" t="s">
        <v>112</v>
      </c>
      <c r="H180" s="74">
        <v>10</v>
      </c>
      <c r="I180" s="72" t="s">
        <v>77</v>
      </c>
      <c r="J180" s="74">
        <v>1</v>
      </c>
      <c r="K180" s="72" t="s">
        <v>437</v>
      </c>
      <c r="L180" s="74">
        <v>2</v>
      </c>
      <c r="M180" s="75">
        <v>3</v>
      </c>
      <c r="N180" s="75">
        <v>0.25</v>
      </c>
      <c r="O180" s="75">
        <v>1</v>
      </c>
      <c r="P180" s="75">
        <v>1</v>
      </c>
      <c r="Q180" s="75">
        <v>1</v>
      </c>
      <c r="R180" s="75">
        <v>3</v>
      </c>
      <c r="S180" s="75">
        <v>3.5</v>
      </c>
      <c r="T180" s="75">
        <v>4</v>
      </c>
      <c r="U180" s="75">
        <v>4</v>
      </c>
      <c r="V180" s="75">
        <v>3</v>
      </c>
      <c r="W180" s="75">
        <v>0.30681818181818182</v>
      </c>
      <c r="X180" s="75">
        <v>0.4375</v>
      </c>
      <c r="Y180" s="75">
        <v>4.5</v>
      </c>
      <c r="Z180" s="75">
        <v>4</v>
      </c>
      <c r="AA180" s="75">
        <v>1</v>
      </c>
      <c r="AB180" s="75">
        <v>4</v>
      </c>
      <c r="AC180" s="75">
        <v>1</v>
      </c>
      <c r="AD180" s="2" t="s">
        <v>438</v>
      </c>
    </row>
    <row r="181" spans="1:30" x14ac:dyDescent="0.3">
      <c r="A181" s="1">
        <v>180</v>
      </c>
      <c r="B181" s="71">
        <v>1</v>
      </c>
      <c r="C181" s="71">
        <v>1</v>
      </c>
      <c r="D181" s="71">
        <v>1</v>
      </c>
      <c r="E181" s="71">
        <v>1</v>
      </c>
      <c r="F181" s="74">
        <v>5</v>
      </c>
      <c r="G181" s="72" t="s">
        <v>112</v>
      </c>
      <c r="H181" s="74">
        <v>10</v>
      </c>
      <c r="I181" s="72" t="s">
        <v>96</v>
      </c>
      <c r="J181" s="74">
        <v>2</v>
      </c>
      <c r="K181" s="72" t="s">
        <v>106</v>
      </c>
      <c r="L181" s="74">
        <v>3</v>
      </c>
      <c r="M181" s="75">
        <v>4</v>
      </c>
      <c r="N181" s="75">
        <v>0.39285714285714285</v>
      </c>
      <c r="O181" s="75">
        <v>1</v>
      </c>
      <c r="P181" s="75">
        <v>1</v>
      </c>
      <c r="Q181" s="75">
        <v>1</v>
      </c>
      <c r="R181" s="75">
        <v>3</v>
      </c>
      <c r="S181" s="75">
        <v>3</v>
      </c>
      <c r="T181" s="75">
        <v>3</v>
      </c>
      <c r="U181" s="75">
        <v>3</v>
      </c>
      <c r="V181" s="75">
        <v>2.5</v>
      </c>
      <c r="W181" s="75">
        <v>0.43560606060606061</v>
      </c>
      <c r="X181" s="75">
        <v>0.375</v>
      </c>
      <c r="Y181" s="75">
        <v>4.5</v>
      </c>
      <c r="Z181" s="75">
        <v>4</v>
      </c>
      <c r="AA181" s="75">
        <v>1</v>
      </c>
      <c r="AB181" s="75">
        <v>2</v>
      </c>
      <c r="AC181" s="75">
        <v>1</v>
      </c>
      <c r="AD181" s="2" t="s">
        <v>439</v>
      </c>
    </row>
    <row r="182" spans="1:30" x14ac:dyDescent="0.3">
      <c r="A182" s="1">
        <v>181</v>
      </c>
      <c r="B182" s="71">
        <v>1</v>
      </c>
      <c r="C182" s="71">
        <v>1</v>
      </c>
      <c r="D182" s="71">
        <v>1</v>
      </c>
      <c r="E182" s="71">
        <v>1</v>
      </c>
      <c r="F182" s="74">
        <v>5</v>
      </c>
      <c r="G182" s="72" t="s">
        <v>440</v>
      </c>
      <c r="H182" s="74">
        <v>15</v>
      </c>
      <c r="I182" s="72" t="s">
        <v>373</v>
      </c>
      <c r="J182" s="74">
        <v>1</v>
      </c>
      <c r="K182" s="72" t="s">
        <v>121</v>
      </c>
      <c r="L182" s="74">
        <v>2</v>
      </c>
      <c r="M182" s="75">
        <v>3</v>
      </c>
      <c r="N182" s="75">
        <v>0.2857142857142857</v>
      </c>
      <c r="O182" s="75">
        <v>1</v>
      </c>
      <c r="P182" s="75">
        <v>1</v>
      </c>
      <c r="Q182" s="75">
        <v>3</v>
      </c>
      <c r="R182" s="75">
        <v>3</v>
      </c>
      <c r="S182" s="75">
        <v>2.5</v>
      </c>
      <c r="T182" s="75">
        <v>4</v>
      </c>
      <c r="U182" s="75">
        <v>3</v>
      </c>
      <c r="V182" s="75">
        <v>2.5</v>
      </c>
      <c r="W182" s="75">
        <v>0.39393939393939392</v>
      </c>
      <c r="X182" s="75">
        <v>0.375</v>
      </c>
      <c r="Y182" s="75">
        <v>3</v>
      </c>
      <c r="Z182" s="75">
        <v>4</v>
      </c>
      <c r="AA182" s="75">
        <v>2</v>
      </c>
      <c r="AB182" s="75">
        <v>3</v>
      </c>
      <c r="AC182" s="75">
        <v>2</v>
      </c>
      <c r="AD182" s="2" t="s">
        <v>441</v>
      </c>
    </row>
    <row r="183" spans="1:30" x14ac:dyDescent="0.3">
      <c r="A183" s="1">
        <v>182</v>
      </c>
      <c r="B183" s="71">
        <v>1</v>
      </c>
      <c r="C183" s="71">
        <v>0</v>
      </c>
      <c r="D183" s="71">
        <v>1</v>
      </c>
      <c r="E183" s="71">
        <v>1</v>
      </c>
      <c r="F183" s="74">
        <v>2.5</v>
      </c>
      <c r="G183" s="72" t="s">
        <v>364</v>
      </c>
      <c r="H183" s="74">
        <v>10</v>
      </c>
      <c r="I183" s="72" t="s">
        <v>114</v>
      </c>
      <c r="J183" s="74">
        <v>1</v>
      </c>
      <c r="K183" s="72">
        <v>1</v>
      </c>
      <c r="L183" s="74">
        <v>1</v>
      </c>
      <c r="M183" s="75">
        <v>3</v>
      </c>
      <c r="N183" s="75">
        <v>0.14285714285714285</v>
      </c>
      <c r="O183" s="75">
        <v>0</v>
      </c>
      <c r="P183" s="75">
        <v>1</v>
      </c>
      <c r="Q183" s="75">
        <v>1</v>
      </c>
      <c r="R183" s="75">
        <v>3</v>
      </c>
      <c r="S183" s="75">
        <v>1.5</v>
      </c>
      <c r="T183" s="75">
        <v>4</v>
      </c>
      <c r="U183" s="75">
        <v>2</v>
      </c>
      <c r="V183" s="75">
        <v>2.5</v>
      </c>
      <c r="W183" s="75">
        <v>0.17424242424242425</v>
      </c>
      <c r="X183" s="75">
        <v>0.3125</v>
      </c>
      <c r="Y183" s="75">
        <v>3.5</v>
      </c>
      <c r="Z183" s="75">
        <v>4</v>
      </c>
      <c r="AA183" s="75">
        <v>1</v>
      </c>
      <c r="AB183" s="75">
        <v>3</v>
      </c>
      <c r="AC183" s="75">
        <v>1</v>
      </c>
      <c r="AD183" s="2" t="s">
        <v>442</v>
      </c>
    </row>
    <row r="184" spans="1:30" x14ac:dyDescent="0.3">
      <c r="A184" s="1">
        <v>183</v>
      </c>
      <c r="B184" s="71">
        <v>1</v>
      </c>
      <c r="C184" s="71">
        <v>0</v>
      </c>
      <c r="D184" s="71">
        <v>1</v>
      </c>
      <c r="E184" s="71">
        <v>0</v>
      </c>
      <c r="F184" s="74">
        <v>0</v>
      </c>
      <c r="G184" s="72" t="s">
        <v>130</v>
      </c>
      <c r="H184" s="74">
        <v>5</v>
      </c>
      <c r="I184" s="72" t="s">
        <v>114</v>
      </c>
      <c r="J184" s="74">
        <v>1</v>
      </c>
      <c r="K184" s="72">
        <v>1</v>
      </c>
      <c r="L184" s="74">
        <v>1</v>
      </c>
      <c r="M184" s="75">
        <v>2</v>
      </c>
      <c r="N184" s="75">
        <v>0.21428571428571427</v>
      </c>
      <c r="O184" s="75">
        <v>0</v>
      </c>
      <c r="P184" s="75">
        <v>1</v>
      </c>
      <c r="Q184" s="75">
        <v>1</v>
      </c>
      <c r="R184" s="75">
        <v>3</v>
      </c>
      <c r="S184" s="75">
        <v>3</v>
      </c>
      <c r="T184" s="75">
        <v>2</v>
      </c>
      <c r="U184" s="75">
        <v>2</v>
      </c>
      <c r="V184" s="75">
        <v>4</v>
      </c>
      <c r="W184" s="75">
        <v>0.21969696969696967</v>
      </c>
      <c r="X184" s="75">
        <v>0.25</v>
      </c>
      <c r="Y184" s="75">
        <v>1.5</v>
      </c>
      <c r="Z184" s="75">
        <v>2</v>
      </c>
      <c r="AA184" s="75">
        <v>1</v>
      </c>
      <c r="AB184" s="75">
        <v>2</v>
      </c>
      <c r="AC184" s="75">
        <v>2</v>
      </c>
      <c r="AD184" s="2" t="s">
        <v>443</v>
      </c>
    </row>
    <row r="185" spans="1:30" x14ac:dyDescent="0.3">
      <c r="A185" s="1">
        <v>184</v>
      </c>
      <c r="B185" s="71">
        <v>1</v>
      </c>
      <c r="C185" s="71">
        <v>1</v>
      </c>
      <c r="D185" s="71">
        <v>1</v>
      </c>
      <c r="E185" s="71">
        <v>0</v>
      </c>
      <c r="F185" s="74">
        <v>2.5</v>
      </c>
      <c r="G185" s="72" t="s">
        <v>130</v>
      </c>
      <c r="H185" s="74">
        <v>5</v>
      </c>
      <c r="I185" s="72" t="s">
        <v>43</v>
      </c>
      <c r="J185" s="74">
        <v>1</v>
      </c>
      <c r="K185" s="72" t="s">
        <v>43</v>
      </c>
      <c r="L185" s="74">
        <v>2</v>
      </c>
      <c r="M185" s="75">
        <v>2</v>
      </c>
      <c r="N185" s="75">
        <v>0.21428571428571427</v>
      </c>
      <c r="O185" s="75">
        <v>0</v>
      </c>
      <c r="P185" s="75">
        <v>1</v>
      </c>
      <c r="Q185" s="75">
        <v>1</v>
      </c>
      <c r="R185" s="75">
        <v>3</v>
      </c>
      <c r="S185" s="75">
        <v>1</v>
      </c>
      <c r="T185" s="75">
        <v>2</v>
      </c>
      <c r="U185" s="75">
        <v>3</v>
      </c>
      <c r="V185" s="75">
        <v>3</v>
      </c>
      <c r="W185" s="75">
        <v>0.26136363636363635</v>
      </c>
      <c r="X185" s="75">
        <v>0.25</v>
      </c>
      <c r="Y185" s="75">
        <v>2.5</v>
      </c>
      <c r="Z185" s="75">
        <v>2</v>
      </c>
      <c r="AA185" s="75">
        <v>1</v>
      </c>
      <c r="AB185" s="75">
        <v>4</v>
      </c>
      <c r="AC185" s="75">
        <v>2</v>
      </c>
      <c r="AD185" s="2" t="s">
        <v>444</v>
      </c>
    </row>
    <row r="186" spans="1:30" x14ac:dyDescent="0.3">
      <c r="A186" s="1">
        <v>185</v>
      </c>
      <c r="B186" s="71">
        <v>1</v>
      </c>
      <c r="C186" s="71">
        <v>0</v>
      </c>
      <c r="D186" s="71">
        <v>1</v>
      </c>
      <c r="E186" s="71">
        <v>0</v>
      </c>
      <c r="F186" s="74">
        <v>0</v>
      </c>
      <c r="G186" s="72" t="s">
        <v>42</v>
      </c>
      <c r="H186" s="74">
        <v>10</v>
      </c>
      <c r="I186" s="72">
        <v>1</v>
      </c>
      <c r="J186" s="74">
        <v>0</v>
      </c>
      <c r="K186" s="72">
        <v>1</v>
      </c>
      <c r="L186" s="74">
        <v>1</v>
      </c>
      <c r="M186" s="75">
        <v>2</v>
      </c>
      <c r="N186" s="75">
        <v>0.21428571428571427</v>
      </c>
      <c r="O186" s="75">
        <v>0</v>
      </c>
      <c r="P186" s="75">
        <v>1</v>
      </c>
      <c r="Q186" s="75">
        <v>1</v>
      </c>
      <c r="R186" s="75">
        <v>1</v>
      </c>
      <c r="S186" s="75">
        <v>1</v>
      </c>
      <c r="T186" s="75">
        <v>2</v>
      </c>
      <c r="U186" s="75">
        <v>3</v>
      </c>
      <c r="V186" s="75">
        <v>3</v>
      </c>
      <c r="W186" s="75">
        <v>0.13257575757575757</v>
      </c>
      <c r="X186" s="75">
        <v>6.25E-2</v>
      </c>
      <c r="Y186" s="75">
        <v>1.5</v>
      </c>
      <c r="Z186" s="75">
        <v>1</v>
      </c>
      <c r="AA186" s="75">
        <v>1</v>
      </c>
      <c r="AB186" s="75">
        <v>2</v>
      </c>
      <c r="AC186" s="75">
        <v>1</v>
      </c>
      <c r="AD186" s="2" t="s">
        <v>445</v>
      </c>
    </row>
    <row r="187" spans="1:30" x14ac:dyDescent="0.3">
      <c r="A187" s="1">
        <v>186</v>
      </c>
      <c r="B187" s="71">
        <v>1</v>
      </c>
      <c r="C187" s="71">
        <v>1</v>
      </c>
      <c r="D187" s="71">
        <v>1</v>
      </c>
      <c r="E187" s="71">
        <v>1</v>
      </c>
      <c r="F187" s="74">
        <v>5</v>
      </c>
      <c r="G187" s="72" t="s">
        <v>108</v>
      </c>
      <c r="H187" s="74">
        <v>10</v>
      </c>
      <c r="I187" s="72" t="s">
        <v>43</v>
      </c>
      <c r="J187" s="74">
        <v>1</v>
      </c>
      <c r="K187" s="72" t="s">
        <v>126</v>
      </c>
      <c r="L187" s="74">
        <v>2</v>
      </c>
      <c r="M187" s="75">
        <v>4</v>
      </c>
      <c r="N187" s="75">
        <v>0.25</v>
      </c>
      <c r="O187" s="75">
        <v>0</v>
      </c>
      <c r="P187" s="75">
        <v>1</v>
      </c>
      <c r="Q187" s="75">
        <v>1</v>
      </c>
      <c r="R187" s="75">
        <v>3</v>
      </c>
      <c r="S187" s="75">
        <v>2</v>
      </c>
      <c r="T187" s="75">
        <v>4</v>
      </c>
      <c r="U187" s="75">
        <v>1</v>
      </c>
      <c r="V187" s="75">
        <v>2.5</v>
      </c>
      <c r="W187" s="75">
        <v>0.30681818181818182</v>
      </c>
      <c r="X187" s="75">
        <v>0.4375</v>
      </c>
      <c r="Y187" s="75">
        <v>3.5</v>
      </c>
      <c r="Z187" s="75">
        <v>5</v>
      </c>
      <c r="AA187" s="75">
        <v>2</v>
      </c>
      <c r="AB187" s="75">
        <v>2</v>
      </c>
      <c r="AC187" s="75">
        <v>1</v>
      </c>
      <c r="AD187" s="2" t="s">
        <v>446</v>
      </c>
    </row>
    <row r="188" spans="1:30" x14ac:dyDescent="0.3">
      <c r="A188" s="1">
        <v>187</v>
      </c>
      <c r="B188" s="71">
        <v>1</v>
      </c>
      <c r="C188" s="71">
        <v>1</v>
      </c>
      <c r="D188" s="71">
        <v>1</v>
      </c>
      <c r="E188" s="71">
        <v>1</v>
      </c>
      <c r="F188" s="74">
        <v>5</v>
      </c>
      <c r="G188" s="72" t="s">
        <v>447</v>
      </c>
      <c r="H188" s="74">
        <v>10</v>
      </c>
      <c r="I188" s="72" t="s">
        <v>41</v>
      </c>
      <c r="J188" s="74">
        <v>2</v>
      </c>
      <c r="K188" s="72" t="s">
        <v>41</v>
      </c>
      <c r="L188" s="74">
        <v>3</v>
      </c>
      <c r="M188" s="75">
        <v>5</v>
      </c>
      <c r="N188" s="75">
        <v>0.2857142857142857</v>
      </c>
      <c r="O188" s="75">
        <v>0.66666666666666663</v>
      </c>
      <c r="P188" s="75">
        <v>1</v>
      </c>
      <c r="Q188" s="75">
        <v>1</v>
      </c>
      <c r="R188" s="75">
        <v>3</v>
      </c>
      <c r="S188" s="75">
        <v>1.5</v>
      </c>
      <c r="T188" s="75">
        <v>4</v>
      </c>
      <c r="U188" s="75">
        <v>3</v>
      </c>
      <c r="V188" s="75">
        <v>4.5</v>
      </c>
      <c r="W188" s="75">
        <v>0.30303030303030298</v>
      </c>
      <c r="X188" s="75">
        <v>0.5</v>
      </c>
      <c r="Y188" s="75">
        <v>3</v>
      </c>
      <c r="Z188" s="75">
        <v>5</v>
      </c>
      <c r="AA188" s="75">
        <v>1</v>
      </c>
      <c r="AB188" s="75">
        <v>5</v>
      </c>
      <c r="AC188" s="75">
        <v>2</v>
      </c>
      <c r="AD188" s="2" t="s">
        <v>448</v>
      </c>
    </row>
    <row r="189" spans="1:30" x14ac:dyDescent="0.3">
      <c r="A189" s="1">
        <v>188</v>
      </c>
      <c r="B189" s="71">
        <v>1</v>
      </c>
      <c r="C189" s="71">
        <v>0</v>
      </c>
      <c r="D189" s="71">
        <v>1</v>
      </c>
      <c r="E189" s="71">
        <v>1</v>
      </c>
      <c r="F189" s="74">
        <v>2.5</v>
      </c>
      <c r="G189" s="72" t="s">
        <v>275</v>
      </c>
      <c r="H189" s="74">
        <v>10</v>
      </c>
      <c r="I189" s="72" t="s">
        <v>271</v>
      </c>
      <c r="J189" s="74">
        <v>1</v>
      </c>
      <c r="K189" s="72">
        <v>1</v>
      </c>
      <c r="L189" s="74">
        <v>1</v>
      </c>
      <c r="M189" s="75">
        <v>4</v>
      </c>
      <c r="N189" s="75">
        <v>0.17857142857142855</v>
      </c>
      <c r="O189" s="75">
        <v>0.33333333333333331</v>
      </c>
      <c r="P189" s="75">
        <v>1</v>
      </c>
      <c r="Q189" s="75">
        <v>1</v>
      </c>
      <c r="R189" s="75">
        <v>2</v>
      </c>
      <c r="S189" s="75">
        <v>2.5</v>
      </c>
      <c r="T189" s="75">
        <v>3</v>
      </c>
      <c r="U189" s="75">
        <v>5</v>
      </c>
      <c r="V189" s="75">
        <v>2.5</v>
      </c>
      <c r="W189" s="75">
        <v>0.30681818181818182</v>
      </c>
      <c r="X189" s="75">
        <v>0.3125</v>
      </c>
      <c r="Y189" s="75">
        <v>3.5</v>
      </c>
      <c r="Z189" s="75">
        <v>4</v>
      </c>
      <c r="AA189" s="75">
        <v>1</v>
      </c>
      <c r="AB189" s="75">
        <v>5</v>
      </c>
      <c r="AC189" s="75">
        <v>2</v>
      </c>
      <c r="AD189" s="2" t="s">
        <v>449</v>
      </c>
    </row>
    <row r="190" spans="1:30" x14ac:dyDescent="0.3">
      <c r="A190" s="1">
        <v>189</v>
      </c>
      <c r="B190" s="71">
        <v>1</v>
      </c>
      <c r="C190" s="71">
        <v>0</v>
      </c>
      <c r="D190" s="71">
        <v>1</v>
      </c>
      <c r="E190" s="71">
        <v>1</v>
      </c>
      <c r="F190" s="74">
        <v>2.5</v>
      </c>
      <c r="G190" s="72" t="s">
        <v>450</v>
      </c>
      <c r="H190" s="74">
        <v>10</v>
      </c>
      <c r="I190" s="72" t="s">
        <v>451</v>
      </c>
      <c r="J190" s="74">
        <v>1</v>
      </c>
      <c r="K190" s="72" t="s">
        <v>43</v>
      </c>
      <c r="L190" s="74">
        <v>2</v>
      </c>
      <c r="M190" s="75">
        <v>4</v>
      </c>
      <c r="N190" s="75">
        <v>0.14285714285714285</v>
      </c>
      <c r="O190" s="75">
        <v>0.33333333333333331</v>
      </c>
      <c r="P190" s="75">
        <v>1</v>
      </c>
      <c r="Q190" s="75">
        <v>1</v>
      </c>
      <c r="R190" s="75">
        <v>3</v>
      </c>
      <c r="S190" s="75">
        <v>1.5</v>
      </c>
      <c r="T190" s="75">
        <v>4</v>
      </c>
      <c r="U190" s="75">
        <v>3</v>
      </c>
      <c r="V190" s="75">
        <v>3</v>
      </c>
      <c r="W190" s="75">
        <v>0.26136363636363635</v>
      </c>
      <c r="X190" s="75">
        <v>0.4375</v>
      </c>
      <c r="Y190" s="75">
        <v>4</v>
      </c>
      <c r="Z190" s="75">
        <v>5</v>
      </c>
      <c r="AA190" s="75">
        <v>2</v>
      </c>
      <c r="AB190" s="75">
        <v>3</v>
      </c>
      <c r="AC190" s="75">
        <v>2</v>
      </c>
      <c r="AD190" s="2" t="s">
        <v>452</v>
      </c>
    </row>
    <row r="191" spans="1:30" x14ac:dyDescent="0.3">
      <c r="A191" s="1">
        <v>190</v>
      </c>
      <c r="B191" s="71">
        <v>1</v>
      </c>
      <c r="C191" s="71">
        <v>1</v>
      </c>
      <c r="D191" s="71">
        <v>1</v>
      </c>
      <c r="E191" s="71">
        <v>0</v>
      </c>
      <c r="F191" s="74">
        <v>2.5</v>
      </c>
      <c r="G191" s="72" t="s">
        <v>76</v>
      </c>
      <c r="H191" s="74">
        <v>10</v>
      </c>
      <c r="I191" s="72" t="s">
        <v>278</v>
      </c>
      <c r="J191" s="74">
        <v>2</v>
      </c>
      <c r="K191" s="72" t="s">
        <v>453</v>
      </c>
      <c r="L191" s="74">
        <v>2</v>
      </c>
      <c r="M191" s="75">
        <v>2</v>
      </c>
      <c r="N191" s="75">
        <v>0.14285714285714285</v>
      </c>
      <c r="O191" s="75">
        <v>0</v>
      </c>
      <c r="P191" s="75">
        <v>1</v>
      </c>
      <c r="Q191" s="75">
        <v>1</v>
      </c>
      <c r="R191" s="75">
        <v>3</v>
      </c>
      <c r="S191" s="75">
        <v>1.5</v>
      </c>
      <c r="T191" s="75">
        <v>3</v>
      </c>
      <c r="U191" s="75">
        <v>3</v>
      </c>
      <c r="V191" s="75">
        <v>3</v>
      </c>
      <c r="W191" s="75">
        <v>0.30681818181818182</v>
      </c>
      <c r="X191" s="75">
        <v>0.3125</v>
      </c>
      <c r="Y191" s="75">
        <v>3.5</v>
      </c>
      <c r="Z191" s="75">
        <v>3</v>
      </c>
      <c r="AA191" s="75">
        <v>2</v>
      </c>
      <c r="AB191" s="75">
        <v>4</v>
      </c>
      <c r="AC191" s="75">
        <v>3</v>
      </c>
      <c r="AD191" s="2" t="s">
        <v>454</v>
      </c>
    </row>
    <row r="192" spans="1:30" x14ac:dyDescent="0.3">
      <c r="A192" s="1">
        <v>191</v>
      </c>
      <c r="B192" s="71">
        <v>1</v>
      </c>
      <c r="C192" s="71">
        <v>1</v>
      </c>
      <c r="D192" s="71">
        <v>1</v>
      </c>
      <c r="E192" s="71">
        <v>1</v>
      </c>
      <c r="F192" s="74">
        <v>5</v>
      </c>
      <c r="G192" s="72" t="s">
        <v>455</v>
      </c>
      <c r="H192" s="74">
        <v>10</v>
      </c>
      <c r="I192" s="72" t="s">
        <v>456</v>
      </c>
      <c r="J192" s="74">
        <v>2</v>
      </c>
      <c r="K192" s="72" t="s">
        <v>457</v>
      </c>
      <c r="L192" s="74">
        <v>3</v>
      </c>
      <c r="M192" s="75">
        <v>5</v>
      </c>
      <c r="N192" s="75">
        <v>0.5357142857142857</v>
      </c>
      <c r="O192" s="75">
        <v>0.66666666666666663</v>
      </c>
      <c r="P192" s="75">
        <v>2</v>
      </c>
      <c r="Q192" s="75">
        <v>3</v>
      </c>
      <c r="R192" s="75">
        <v>3</v>
      </c>
      <c r="S192" s="75">
        <v>3</v>
      </c>
      <c r="T192" s="75">
        <v>5</v>
      </c>
      <c r="U192" s="75">
        <v>5</v>
      </c>
      <c r="V192" s="75">
        <v>2.5</v>
      </c>
      <c r="W192" s="75">
        <v>0.56818181818181812</v>
      </c>
      <c r="X192" s="75">
        <v>0.625</v>
      </c>
      <c r="Y192" s="75">
        <v>4</v>
      </c>
      <c r="Z192" s="75">
        <v>5</v>
      </c>
      <c r="AA192" s="75">
        <v>1</v>
      </c>
      <c r="AB192" s="75">
        <v>3</v>
      </c>
      <c r="AC192" s="75">
        <v>2</v>
      </c>
      <c r="AD192" s="2" t="s">
        <v>458</v>
      </c>
    </row>
    <row r="193" spans="1:30" x14ac:dyDescent="0.3">
      <c r="A193" s="1">
        <v>192</v>
      </c>
      <c r="B193" s="71">
        <v>1</v>
      </c>
      <c r="C193" s="71">
        <v>1</v>
      </c>
      <c r="D193" s="71">
        <v>1</v>
      </c>
      <c r="E193" s="71">
        <v>1</v>
      </c>
      <c r="F193" s="74">
        <v>5</v>
      </c>
      <c r="G193" s="72" t="s">
        <v>168</v>
      </c>
      <c r="H193" s="74">
        <v>5</v>
      </c>
      <c r="I193" s="72" t="s">
        <v>459</v>
      </c>
      <c r="J193" s="74">
        <v>2</v>
      </c>
      <c r="K193" s="72" t="s">
        <v>149</v>
      </c>
      <c r="L193" s="74">
        <v>2</v>
      </c>
      <c r="M193" s="75">
        <v>2</v>
      </c>
      <c r="N193" s="75">
        <v>0.5</v>
      </c>
      <c r="O193" s="75">
        <v>0</v>
      </c>
      <c r="P193" s="75">
        <v>5</v>
      </c>
      <c r="Q193" s="75">
        <v>4</v>
      </c>
      <c r="R193" s="75">
        <v>3</v>
      </c>
      <c r="S193" s="75">
        <v>1.5</v>
      </c>
      <c r="T193" s="75">
        <v>4</v>
      </c>
      <c r="U193" s="75">
        <v>2</v>
      </c>
      <c r="V193" s="75">
        <v>2.5</v>
      </c>
      <c r="W193" s="75">
        <v>0.30303030303030298</v>
      </c>
      <c r="X193" s="75">
        <v>0.25</v>
      </c>
      <c r="Y193" s="75">
        <v>3.5</v>
      </c>
      <c r="Z193" s="75">
        <v>4</v>
      </c>
      <c r="AA193" s="75">
        <v>1</v>
      </c>
      <c r="AB193" s="75">
        <v>5</v>
      </c>
      <c r="AC193" s="75">
        <v>2</v>
      </c>
      <c r="AD193" s="2" t="s">
        <v>460</v>
      </c>
    </row>
    <row r="194" spans="1:30" x14ac:dyDescent="0.3">
      <c r="A194" s="1">
        <v>193</v>
      </c>
      <c r="B194" s="71">
        <v>0</v>
      </c>
      <c r="C194" s="71">
        <v>1</v>
      </c>
      <c r="D194" s="71">
        <v>1</v>
      </c>
      <c r="E194" s="71">
        <v>0</v>
      </c>
      <c r="F194" s="74">
        <v>0</v>
      </c>
      <c r="G194" s="72" t="s">
        <v>125</v>
      </c>
      <c r="H194" s="74">
        <v>5</v>
      </c>
      <c r="I194" s="72" t="s">
        <v>461</v>
      </c>
      <c r="J194" s="74">
        <v>1</v>
      </c>
      <c r="K194" s="72" t="s">
        <v>462</v>
      </c>
      <c r="L194" s="74">
        <v>2</v>
      </c>
      <c r="M194" s="75">
        <v>2</v>
      </c>
      <c r="N194" s="75">
        <v>0.2857142857142857</v>
      </c>
      <c r="O194" s="75">
        <v>0</v>
      </c>
      <c r="P194" s="75">
        <v>3</v>
      </c>
      <c r="Q194" s="75">
        <v>5</v>
      </c>
      <c r="R194" s="75">
        <v>4</v>
      </c>
      <c r="S194" s="75">
        <v>2</v>
      </c>
      <c r="T194" s="75">
        <v>4</v>
      </c>
      <c r="U194" s="75">
        <v>3</v>
      </c>
      <c r="V194" s="75">
        <v>3</v>
      </c>
      <c r="W194" s="75">
        <v>0.34848484848484851</v>
      </c>
      <c r="X194" s="75">
        <v>0.5</v>
      </c>
      <c r="Y194" s="75">
        <v>4</v>
      </c>
      <c r="Z194" s="75">
        <v>3</v>
      </c>
      <c r="AA194" s="75">
        <v>4</v>
      </c>
      <c r="AB194" s="75">
        <v>5</v>
      </c>
      <c r="AC194" s="75">
        <v>2</v>
      </c>
      <c r="AD194" s="2" t="s">
        <v>463</v>
      </c>
    </row>
    <row r="195" spans="1:30" x14ac:dyDescent="0.3">
      <c r="A195" s="1">
        <v>194</v>
      </c>
      <c r="B195" s="71">
        <v>1</v>
      </c>
      <c r="C195" s="71">
        <v>0</v>
      </c>
      <c r="D195" s="71">
        <v>0</v>
      </c>
      <c r="E195" s="71">
        <v>0</v>
      </c>
      <c r="F195" s="74">
        <v>-2.5</v>
      </c>
      <c r="G195" s="72">
        <v>6</v>
      </c>
      <c r="H195" s="74">
        <v>5</v>
      </c>
      <c r="I195" s="72">
        <v>8</v>
      </c>
      <c r="J195" s="74">
        <v>0</v>
      </c>
      <c r="K195" s="72">
        <v>8</v>
      </c>
      <c r="L195" s="74">
        <v>1</v>
      </c>
      <c r="M195" s="75">
        <v>4</v>
      </c>
      <c r="N195" s="75">
        <v>0.21428571428571427</v>
      </c>
      <c r="O195" s="75">
        <v>0</v>
      </c>
      <c r="P195" s="75">
        <v>4</v>
      </c>
      <c r="Q195" s="75">
        <v>4</v>
      </c>
      <c r="R195" s="75">
        <v>3</v>
      </c>
      <c r="S195" s="75">
        <v>3</v>
      </c>
      <c r="T195" s="75">
        <v>4</v>
      </c>
      <c r="U195" s="75">
        <v>4</v>
      </c>
      <c r="V195" s="75">
        <v>3</v>
      </c>
      <c r="W195" s="75">
        <v>0.13257575757575757</v>
      </c>
      <c r="X195" s="75">
        <v>0.375</v>
      </c>
      <c r="Y195" s="75">
        <v>3.5</v>
      </c>
      <c r="Z195" s="75">
        <v>3</v>
      </c>
      <c r="AA195" s="75">
        <v>4</v>
      </c>
      <c r="AB195" s="75">
        <v>1</v>
      </c>
      <c r="AC195" s="75">
        <v>2</v>
      </c>
      <c r="AD195" s="2" t="s">
        <v>464</v>
      </c>
    </row>
    <row r="196" spans="1:30" x14ac:dyDescent="0.3">
      <c r="A196" s="1">
        <v>195</v>
      </c>
      <c r="B196" s="71">
        <v>1</v>
      </c>
      <c r="C196" s="71">
        <v>1</v>
      </c>
      <c r="D196" s="71">
        <v>1</v>
      </c>
      <c r="E196" s="71">
        <v>1</v>
      </c>
      <c r="F196" s="74">
        <v>5</v>
      </c>
      <c r="G196" s="72" t="s">
        <v>147</v>
      </c>
      <c r="H196" s="74">
        <v>5</v>
      </c>
      <c r="I196" s="72" t="s">
        <v>465</v>
      </c>
      <c r="J196" s="74">
        <v>1</v>
      </c>
      <c r="K196" s="72">
        <v>1</v>
      </c>
      <c r="L196" s="74">
        <v>1</v>
      </c>
      <c r="M196" s="75">
        <v>4</v>
      </c>
      <c r="N196" s="75">
        <v>0.25</v>
      </c>
      <c r="O196" s="75">
        <v>0.66666666666666663</v>
      </c>
      <c r="P196" s="75">
        <v>2</v>
      </c>
      <c r="Q196" s="75">
        <v>4</v>
      </c>
      <c r="R196" s="75">
        <v>4</v>
      </c>
      <c r="S196" s="75">
        <v>3</v>
      </c>
      <c r="T196" s="75">
        <v>4</v>
      </c>
      <c r="U196" s="75">
        <v>2</v>
      </c>
      <c r="V196" s="75">
        <v>2</v>
      </c>
      <c r="W196" s="75">
        <v>0.12878787878787878</v>
      </c>
      <c r="X196" s="75">
        <v>0.5625</v>
      </c>
      <c r="Y196" s="75">
        <v>4.5</v>
      </c>
      <c r="Z196" s="75">
        <v>4</v>
      </c>
      <c r="AA196" s="75">
        <v>5</v>
      </c>
      <c r="AB196" s="75">
        <v>1</v>
      </c>
      <c r="AC196" s="75">
        <v>1</v>
      </c>
      <c r="AD196" s="2" t="s">
        <v>466</v>
      </c>
    </row>
    <row r="197" spans="1:30" x14ac:dyDescent="0.3">
      <c r="A197" s="1">
        <v>196</v>
      </c>
      <c r="B197" s="71">
        <v>1</v>
      </c>
      <c r="C197" s="71">
        <v>1</v>
      </c>
      <c r="D197" s="71">
        <v>1</v>
      </c>
      <c r="E197" s="71">
        <v>1</v>
      </c>
      <c r="F197" s="74">
        <v>5</v>
      </c>
      <c r="G197" s="72" t="s">
        <v>43</v>
      </c>
      <c r="H197" s="74">
        <v>5</v>
      </c>
      <c r="I197" s="72" t="s">
        <v>109</v>
      </c>
      <c r="J197" s="74">
        <v>1</v>
      </c>
      <c r="K197" s="72" t="s">
        <v>427</v>
      </c>
      <c r="L197" s="74">
        <v>2</v>
      </c>
      <c r="M197" s="75">
        <v>5</v>
      </c>
      <c r="N197" s="75">
        <v>0.39285714285714285</v>
      </c>
      <c r="O197" s="75">
        <v>0.33333333333333331</v>
      </c>
      <c r="P197" s="75">
        <v>2</v>
      </c>
      <c r="Q197" s="75">
        <v>3</v>
      </c>
      <c r="R197" s="75">
        <v>3</v>
      </c>
      <c r="S197" s="75">
        <v>4</v>
      </c>
      <c r="T197" s="75">
        <v>3</v>
      </c>
      <c r="U197" s="75">
        <v>1</v>
      </c>
      <c r="V197" s="75">
        <v>3</v>
      </c>
      <c r="W197" s="75">
        <v>0.43939393939393934</v>
      </c>
      <c r="X197" s="75">
        <v>0.5625</v>
      </c>
      <c r="Y197" s="75">
        <v>4</v>
      </c>
      <c r="Z197" s="75">
        <v>5</v>
      </c>
      <c r="AA197" s="75">
        <v>1</v>
      </c>
      <c r="AB197" s="75">
        <v>3</v>
      </c>
      <c r="AC197" s="75">
        <v>2</v>
      </c>
      <c r="AD197" s="2" t="s">
        <v>467</v>
      </c>
    </row>
    <row r="198" spans="1:30" x14ac:dyDescent="0.3">
      <c r="A198" s="1">
        <v>197</v>
      </c>
      <c r="B198" s="71">
        <v>1</v>
      </c>
      <c r="C198" s="71">
        <v>1</v>
      </c>
      <c r="D198" s="71">
        <v>1</v>
      </c>
      <c r="E198" s="71">
        <v>1</v>
      </c>
      <c r="F198" s="74">
        <v>5</v>
      </c>
      <c r="G198" s="72" t="s">
        <v>110</v>
      </c>
      <c r="H198" s="74">
        <v>10</v>
      </c>
      <c r="I198" s="72" t="s">
        <v>347</v>
      </c>
      <c r="J198" s="74">
        <v>2</v>
      </c>
      <c r="K198" s="72">
        <v>5</v>
      </c>
      <c r="L198" s="74">
        <v>1</v>
      </c>
      <c r="M198" s="75">
        <v>4</v>
      </c>
      <c r="N198" s="75">
        <v>0.3571428571428571</v>
      </c>
      <c r="O198" s="75">
        <v>0</v>
      </c>
      <c r="P198" s="75">
        <v>3</v>
      </c>
      <c r="Q198" s="75">
        <v>3</v>
      </c>
      <c r="R198" s="75">
        <v>2</v>
      </c>
      <c r="S198" s="75">
        <v>3.5</v>
      </c>
      <c r="T198" s="75">
        <v>4</v>
      </c>
      <c r="U198" s="75">
        <v>5</v>
      </c>
      <c r="V198" s="75">
        <v>3</v>
      </c>
      <c r="W198" s="75">
        <v>0.17424242424242425</v>
      </c>
      <c r="X198" s="75">
        <v>0.625</v>
      </c>
      <c r="Y198" s="75">
        <v>4.5</v>
      </c>
      <c r="Z198" s="75">
        <v>4</v>
      </c>
      <c r="AA198" s="75">
        <v>1</v>
      </c>
      <c r="AB198" s="75">
        <v>2</v>
      </c>
      <c r="AC198" s="75">
        <v>1</v>
      </c>
      <c r="AD198" s="2" t="s">
        <v>468</v>
      </c>
    </row>
    <row r="199" spans="1:30" x14ac:dyDescent="0.3">
      <c r="A199" s="1">
        <v>198</v>
      </c>
      <c r="B199" s="71">
        <v>1</v>
      </c>
      <c r="C199" s="71">
        <v>1</v>
      </c>
      <c r="D199" s="71">
        <v>1</v>
      </c>
      <c r="E199" s="71">
        <v>0</v>
      </c>
      <c r="F199" s="74">
        <v>2.5</v>
      </c>
      <c r="G199" s="72" t="s">
        <v>147</v>
      </c>
      <c r="H199" s="74">
        <v>5</v>
      </c>
      <c r="I199" s="72" t="s">
        <v>136</v>
      </c>
      <c r="J199" s="74">
        <v>2</v>
      </c>
      <c r="K199" s="72" t="s">
        <v>149</v>
      </c>
      <c r="L199" s="74">
        <v>2</v>
      </c>
      <c r="M199" s="75">
        <v>4</v>
      </c>
      <c r="N199" s="75">
        <v>0.4642857142857143</v>
      </c>
      <c r="O199" s="75">
        <v>0.33333333333333331</v>
      </c>
      <c r="P199" s="75">
        <v>3</v>
      </c>
      <c r="Q199" s="75">
        <v>3</v>
      </c>
      <c r="R199" s="75">
        <v>3</v>
      </c>
      <c r="S199" s="75">
        <v>4</v>
      </c>
      <c r="T199" s="75">
        <v>4</v>
      </c>
      <c r="U199" s="75">
        <v>2</v>
      </c>
      <c r="V199" s="75">
        <v>3.5</v>
      </c>
      <c r="W199" s="75">
        <v>0.30303030303030298</v>
      </c>
      <c r="X199" s="75">
        <v>0.5</v>
      </c>
      <c r="Y199" s="75">
        <v>2</v>
      </c>
      <c r="Z199" s="75">
        <v>2</v>
      </c>
      <c r="AA199" s="75">
        <v>2</v>
      </c>
      <c r="AB199" s="75">
        <v>3</v>
      </c>
      <c r="AC199" s="75">
        <v>1</v>
      </c>
      <c r="AD199" s="2" t="s">
        <v>469</v>
      </c>
    </row>
    <row r="200" spans="1:30" x14ac:dyDescent="0.3">
      <c r="A200" s="1">
        <v>199</v>
      </c>
      <c r="B200" s="71">
        <v>1</v>
      </c>
      <c r="C200" s="71">
        <v>1</v>
      </c>
      <c r="D200" s="71">
        <v>1</v>
      </c>
      <c r="E200" s="71">
        <v>1</v>
      </c>
      <c r="F200" s="74">
        <v>5</v>
      </c>
      <c r="G200" s="72" t="s">
        <v>183</v>
      </c>
      <c r="H200" s="74">
        <v>10</v>
      </c>
      <c r="I200" s="72" t="s">
        <v>48</v>
      </c>
      <c r="J200" s="74">
        <v>2</v>
      </c>
      <c r="K200" s="72" t="s">
        <v>470</v>
      </c>
      <c r="L200" s="74">
        <v>2</v>
      </c>
      <c r="M200" s="75">
        <v>3</v>
      </c>
      <c r="N200" s="75">
        <v>0.4642857142857143</v>
      </c>
      <c r="O200" s="75">
        <v>0.33333333333333331</v>
      </c>
      <c r="P200" s="75">
        <v>3</v>
      </c>
      <c r="Q200" s="75">
        <v>3</v>
      </c>
      <c r="R200" s="75">
        <v>3</v>
      </c>
      <c r="S200" s="75">
        <v>3</v>
      </c>
      <c r="T200" s="75">
        <v>4</v>
      </c>
      <c r="U200" s="75">
        <v>3</v>
      </c>
      <c r="V200" s="75">
        <v>3.5</v>
      </c>
      <c r="W200" s="75">
        <v>0.43181818181818182</v>
      </c>
      <c r="X200" s="75">
        <v>0.5</v>
      </c>
      <c r="Y200" s="75">
        <v>3.5</v>
      </c>
      <c r="Z200" s="75">
        <v>3</v>
      </c>
      <c r="AA200" s="75">
        <v>2</v>
      </c>
      <c r="AB200" s="75">
        <v>5</v>
      </c>
      <c r="AC200" s="75">
        <v>2</v>
      </c>
      <c r="AD200" s="2" t="s">
        <v>471</v>
      </c>
    </row>
    <row r="201" spans="1:30" x14ac:dyDescent="0.3">
      <c r="A201" s="1">
        <v>200</v>
      </c>
      <c r="B201" s="71">
        <v>1</v>
      </c>
      <c r="C201" s="71">
        <v>0</v>
      </c>
      <c r="D201" s="71">
        <v>1</v>
      </c>
      <c r="E201" s="71">
        <v>1</v>
      </c>
      <c r="F201" s="74">
        <v>2.5</v>
      </c>
      <c r="G201" s="72" t="s">
        <v>167</v>
      </c>
      <c r="H201" s="74">
        <v>5</v>
      </c>
      <c r="I201" s="72" t="s">
        <v>153</v>
      </c>
      <c r="J201" s="74">
        <v>1</v>
      </c>
      <c r="K201" s="72" t="s">
        <v>400</v>
      </c>
      <c r="L201" s="74">
        <v>2</v>
      </c>
      <c r="M201" s="75">
        <v>4</v>
      </c>
      <c r="N201" s="75">
        <v>0.21428571428571427</v>
      </c>
      <c r="O201" s="75">
        <v>0.33333333333333331</v>
      </c>
      <c r="P201" s="75">
        <v>4</v>
      </c>
      <c r="Q201" s="75">
        <v>3</v>
      </c>
      <c r="R201" s="75">
        <v>3</v>
      </c>
      <c r="S201" s="75">
        <v>2.5</v>
      </c>
      <c r="T201" s="75">
        <v>4</v>
      </c>
      <c r="U201" s="75">
        <v>3</v>
      </c>
      <c r="V201" s="75">
        <v>2.5</v>
      </c>
      <c r="W201" s="75">
        <v>0.26515151515151514</v>
      </c>
      <c r="X201" s="75">
        <v>0.6875</v>
      </c>
      <c r="Y201" s="75">
        <v>3.5</v>
      </c>
      <c r="Z201" s="75">
        <v>5</v>
      </c>
      <c r="AA201" s="75">
        <v>4</v>
      </c>
      <c r="AB201" s="75">
        <v>2</v>
      </c>
      <c r="AC201" s="75">
        <v>3</v>
      </c>
      <c r="AD201" s="2" t="s">
        <v>472</v>
      </c>
    </row>
    <row r="202" spans="1:30" x14ac:dyDescent="0.3">
      <c r="A202" s="1">
        <v>201</v>
      </c>
      <c r="B202" s="71">
        <v>1</v>
      </c>
      <c r="C202" s="71">
        <v>1</v>
      </c>
      <c r="D202" s="71">
        <v>0</v>
      </c>
      <c r="E202" s="71">
        <v>1</v>
      </c>
      <c r="F202" s="74">
        <v>2.5</v>
      </c>
      <c r="G202" s="72" t="s">
        <v>76</v>
      </c>
      <c r="H202" s="74">
        <v>10</v>
      </c>
      <c r="I202" s="72" t="s">
        <v>84</v>
      </c>
      <c r="J202" s="74">
        <v>1</v>
      </c>
      <c r="K202" s="72" t="s">
        <v>473</v>
      </c>
      <c r="L202" s="74">
        <v>3</v>
      </c>
      <c r="M202" s="75">
        <v>5</v>
      </c>
      <c r="N202" s="75">
        <v>0.21428571428571427</v>
      </c>
      <c r="O202" s="75">
        <v>0.66666666666666663</v>
      </c>
      <c r="P202" s="75">
        <v>1</v>
      </c>
      <c r="Q202" s="75">
        <v>1</v>
      </c>
      <c r="R202" s="75">
        <v>4</v>
      </c>
      <c r="S202" s="75">
        <v>4</v>
      </c>
      <c r="T202" s="75">
        <v>5</v>
      </c>
      <c r="U202" s="75">
        <v>3</v>
      </c>
      <c r="V202" s="75">
        <v>4.5</v>
      </c>
      <c r="W202" s="75">
        <v>0.34848484848484851</v>
      </c>
      <c r="X202" s="75">
        <v>0.5625</v>
      </c>
      <c r="Y202" s="75">
        <v>3.5</v>
      </c>
      <c r="Z202" s="75">
        <v>5</v>
      </c>
      <c r="AA202" s="75">
        <v>2</v>
      </c>
      <c r="AB202" s="75">
        <v>4</v>
      </c>
      <c r="AC202" s="75">
        <v>1</v>
      </c>
      <c r="AD202" s="2" t="s">
        <v>474</v>
      </c>
    </row>
    <row r="203" spans="1:30" x14ac:dyDescent="0.3">
      <c r="A203" s="1">
        <v>202</v>
      </c>
      <c r="B203" s="71">
        <v>1</v>
      </c>
      <c r="C203" s="71">
        <v>1</v>
      </c>
      <c r="D203" s="71">
        <v>1</v>
      </c>
      <c r="E203" s="71">
        <v>0</v>
      </c>
      <c r="F203" s="74">
        <v>2.5</v>
      </c>
      <c r="G203" s="72" t="s">
        <v>475</v>
      </c>
      <c r="H203" s="74">
        <v>10</v>
      </c>
      <c r="I203" s="72" t="s">
        <v>77</v>
      </c>
      <c r="J203" s="74">
        <v>1</v>
      </c>
      <c r="K203" s="72" t="s">
        <v>476</v>
      </c>
      <c r="L203" s="74">
        <v>2</v>
      </c>
      <c r="M203" s="75">
        <v>4</v>
      </c>
      <c r="N203" s="75">
        <v>0.2857142857142857</v>
      </c>
      <c r="O203" s="75">
        <v>1</v>
      </c>
      <c r="P203" s="75">
        <v>2</v>
      </c>
      <c r="Q203" s="75">
        <v>1</v>
      </c>
      <c r="R203" s="75">
        <v>4</v>
      </c>
      <c r="S203" s="75">
        <v>4</v>
      </c>
      <c r="T203" s="75">
        <v>5</v>
      </c>
      <c r="U203" s="75">
        <v>3</v>
      </c>
      <c r="V203" s="75">
        <v>4.5</v>
      </c>
      <c r="W203" s="75">
        <v>0.35227272727272729</v>
      </c>
      <c r="X203" s="75">
        <v>0.4375</v>
      </c>
      <c r="Y203" s="75">
        <v>2</v>
      </c>
      <c r="Z203" s="75">
        <v>4</v>
      </c>
      <c r="AA203" s="75">
        <v>1</v>
      </c>
      <c r="AB203" s="75">
        <v>5</v>
      </c>
      <c r="AC203" s="75">
        <v>4</v>
      </c>
      <c r="AD203" s="2" t="s">
        <v>477</v>
      </c>
    </row>
    <row r="204" spans="1:30" x14ac:dyDescent="0.3">
      <c r="A204" s="1">
        <v>203</v>
      </c>
      <c r="B204" s="71">
        <v>1</v>
      </c>
      <c r="C204" s="71">
        <v>1</v>
      </c>
      <c r="D204" s="71">
        <v>1</v>
      </c>
      <c r="E204" s="71">
        <v>1</v>
      </c>
      <c r="F204" s="74">
        <v>5</v>
      </c>
      <c r="G204" s="72" t="s">
        <v>61</v>
      </c>
      <c r="H204" s="74">
        <v>15</v>
      </c>
      <c r="I204" s="72" t="s">
        <v>478</v>
      </c>
      <c r="J204" s="74">
        <v>2</v>
      </c>
      <c r="K204" s="72" t="s">
        <v>154</v>
      </c>
      <c r="L204" s="74">
        <v>2</v>
      </c>
      <c r="M204" s="75">
        <v>5</v>
      </c>
      <c r="N204" s="75">
        <v>0.17857142857142855</v>
      </c>
      <c r="O204" s="75">
        <v>1</v>
      </c>
      <c r="P204" s="75">
        <v>2</v>
      </c>
      <c r="Q204" s="75">
        <v>1</v>
      </c>
      <c r="R204" s="75">
        <v>4</v>
      </c>
      <c r="S204" s="75">
        <v>4.5</v>
      </c>
      <c r="T204" s="75">
        <v>5</v>
      </c>
      <c r="U204" s="75">
        <v>3</v>
      </c>
      <c r="V204" s="75">
        <v>4</v>
      </c>
      <c r="W204" s="75">
        <v>0.30681818181818182</v>
      </c>
      <c r="X204" s="75">
        <v>0.5625</v>
      </c>
      <c r="Y204" s="75">
        <v>4</v>
      </c>
      <c r="Z204" s="75">
        <v>5</v>
      </c>
      <c r="AA204" s="75">
        <v>1</v>
      </c>
      <c r="AB204" s="75">
        <v>5</v>
      </c>
      <c r="AC204" s="75">
        <v>5</v>
      </c>
      <c r="AD204" s="2" t="s">
        <v>479</v>
      </c>
    </row>
    <row r="205" spans="1:30" x14ac:dyDescent="0.3">
      <c r="A205" s="1">
        <v>204</v>
      </c>
      <c r="B205" s="71">
        <v>1</v>
      </c>
      <c r="C205" s="71">
        <v>1</v>
      </c>
      <c r="D205" s="71">
        <v>1</v>
      </c>
      <c r="E205" s="71">
        <v>1</v>
      </c>
      <c r="F205" s="74">
        <v>5</v>
      </c>
      <c r="G205" s="72" t="s">
        <v>199</v>
      </c>
      <c r="H205" s="74">
        <v>10</v>
      </c>
      <c r="I205" s="72">
        <v>8</v>
      </c>
      <c r="J205" s="74">
        <v>0</v>
      </c>
      <c r="K205" s="72" t="s">
        <v>100</v>
      </c>
      <c r="L205" s="74">
        <v>2</v>
      </c>
      <c r="M205" s="75">
        <v>5</v>
      </c>
      <c r="N205" s="75">
        <v>0.25</v>
      </c>
      <c r="O205" s="75">
        <v>0.66666666666666663</v>
      </c>
      <c r="P205" s="75">
        <v>2</v>
      </c>
      <c r="Q205" s="75">
        <v>2</v>
      </c>
      <c r="R205" s="75">
        <v>4</v>
      </c>
      <c r="S205" s="75">
        <v>4.5</v>
      </c>
      <c r="T205" s="75">
        <v>5</v>
      </c>
      <c r="U205" s="75">
        <v>4</v>
      </c>
      <c r="V205" s="75">
        <v>2.5</v>
      </c>
      <c r="W205" s="75">
        <v>0.26136363636363635</v>
      </c>
      <c r="X205" s="75">
        <v>0.5625</v>
      </c>
      <c r="Y205" s="75">
        <v>4.5</v>
      </c>
      <c r="Z205" s="75">
        <v>5</v>
      </c>
      <c r="AA205" s="75">
        <v>1</v>
      </c>
      <c r="AB205" s="75">
        <v>5</v>
      </c>
      <c r="AC205" s="75">
        <v>1</v>
      </c>
      <c r="AD205" s="2" t="s">
        <v>480</v>
      </c>
    </row>
    <row r="206" spans="1:30" x14ac:dyDescent="0.3">
      <c r="A206" s="1">
        <v>205</v>
      </c>
      <c r="B206" s="71">
        <v>1</v>
      </c>
      <c r="C206" s="71">
        <v>1</v>
      </c>
      <c r="D206" s="71">
        <v>1</v>
      </c>
      <c r="E206" s="71">
        <v>1</v>
      </c>
      <c r="F206" s="74">
        <v>5</v>
      </c>
      <c r="G206" s="72" t="s">
        <v>481</v>
      </c>
      <c r="H206" s="74">
        <v>10</v>
      </c>
      <c r="I206" s="72">
        <v>8</v>
      </c>
      <c r="J206" s="74">
        <v>0</v>
      </c>
      <c r="K206" s="72" t="s">
        <v>100</v>
      </c>
      <c r="L206" s="74">
        <v>2</v>
      </c>
      <c r="M206" s="75">
        <v>2</v>
      </c>
      <c r="N206" s="75">
        <v>0.17857142857142855</v>
      </c>
      <c r="O206" s="75">
        <v>1</v>
      </c>
      <c r="P206" s="75">
        <v>1</v>
      </c>
      <c r="Q206" s="75">
        <v>1</v>
      </c>
      <c r="R206" s="75">
        <v>4</v>
      </c>
      <c r="S206" s="75">
        <v>4</v>
      </c>
      <c r="T206" s="75">
        <v>3</v>
      </c>
      <c r="U206" s="75">
        <v>1</v>
      </c>
      <c r="V206" s="75">
        <v>2.5</v>
      </c>
      <c r="W206" s="75">
        <v>0.21969696969696967</v>
      </c>
      <c r="X206" s="75">
        <v>0.4375</v>
      </c>
      <c r="Y206" s="75">
        <v>4</v>
      </c>
      <c r="Z206" s="75">
        <v>5</v>
      </c>
      <c r="AA206" s="75">
        <v>1</v>
      </c>
      <c r="AB206" s="75">
        <v>5</v>
      </c>
      <c r="AC206" s="75">
        <v>1</v>
      </c>
      <c r="AD206" s="2" t="s">
        <v>482</v>
      </c>
    </row>
    <row r="207" spans="1:30" x14ac:dyDescent="0.3">
      <c r="A207" s="1">
        <v>206</v>
      </c>
      <c r="B207" s="71">
        <v>1</v>
      </c>
      <c r="C207" s="71">
        <v>1</v>
      </c>
      <c r="D207" s="71">
        <v>1</v>
      </c>
      <c r="E207" s="71">
        <v>1</v>
      </c>
      <c r="F207" s="74">
        <v>5</v>
      </c>
      <c r="G207" s="72" t="s">
        <v>178</v>
      </c>
      <c r="H207" s="74">
        <v>10</v>
      </c>
      <c r="I207" s="72" t="s">
        <v>84</v>
      </c>
      <c r="J207" s="74">
        <v>1</v>
      </c>
      <c r="K207" s="72" t="s">
        <v>153</v>
      </c>
      <c r="L207" s="74">
        <v>2</v>
      </c>
      <c r="M207" s="75">
        <v>5</v>
      </c>
      <c r="N207" s="75">
        <v>0.17857142857142855</v>
      </c>
      <c r="O207" s="75">
        <v>0.33333333333333331</v>
      </c>
      <c r="P207" s="75">
        <v>1</v>
      </c>
      <c r="Q207" s="75">
        <v>1</v>
      </c>
      <c r="R207" s="75">
        <v>5</v>
      </c>
      <c r="S207" s="75">
        <v>4.5</v>
      </c>
      <c r="T207" s="75">
        <v>4</v>
      </c>
      <c r="U207" s="75">
        <v>1</v>
      </c>
      <c r="V207" s="75">
        <v>3</v>
      </c>
      <c r="W207" s="75">
        <v>0.31060606060606061</v>
      </c>
      <c r="X207" s="75">
        <v>0.5625</v>
      </c>
      <c r="Y207" s="75">
        <v>4</v>
      </c>
      <c r="Z207" s="75">
        <v>5</v>
      </c>
      <c r="AA207" s="75">
        <v>1</v>
      </c>
      <c r="AB207" s="75">
        <v>4</v>
      </c>
      <c r="AC207" s="75">
        <v>2</v>
      </c>
      <c r="AD207" s="2" t="s">
        <v>483</v>
      </c>
    </row>
    <row r="208" spans="1:30" x14ac:dyDescent="0.3">
      <c r="A208" s="1">
        <v>207</v>
      </c>
      <c r="B208" s="71">
        <v>1</v>
      </c>
      <c r="C208" s="71">
        <v>1</v>
      </c>
      <c r="D208" s="71">
        <v>1</v>
      </c>
      <c r="E208" s="71">
        <v>1</v>
      </c>
      <c r="F208" s="74">
        <v>5</v>
      </c>
      <c r="G208" s="72" t="s">
        <v>76</v>
      </c>
      <c r="H208" s="74">
        <v>10</v>
      </c>
      <c r="I208" s="72">
        <v>8</v>
      </c>
      <c r="J208" s="74">
        <v>0</v>
      </c>
      <c r="K208" s="72" t="s">
        <v>194</v>
      </c>
      <c r="L208" s="74">
        <v>2</v>
      </c>
      <c r="M208" s="75">
        <v>4</v>
      </c>
      <c r="N208" s="75">
        <v>0.17857142857142855</v>
      </c>
      <c r="O208" s="75">
        <v>0.66666666666666663</v>
      </c>
      <c r="P208" s="75">
        <v>2</v>
      </c>
      <c r="Q208" s="75">
        <v>2</v>
      </c>
      <c r="R208" s="75">
        <v>4</v>
      </c>
      <c r="S208" s="75">
        <v>4</v>
      </c>
      <c r="T208" s="75">
        <v>4</v>
      </c>
      <c r="U208" s="75">
        <v>1</v>
      </c>
      <c r="V208" s="75">
        <v>2.5</v>
      </c>
      <c r="W208" s="75">
        <v>0.21969696969696967</v>
      </c>
      <c r="X208" s="75">
        <v>0.4375</v>
      </c>
      <c r="Y208" s="75">
        <v>4</v>
      </c>
      <c r="Z208" s="75">
        <v>4</v>
      </c>
      <c r="AA208" s="75">
        <v>1</v>
      </c>
      <c r="AB208" s="75">
        <v>4</v>
      </c>
      <c r="AC208" s="75">
        <v>4</v>
      </c>
      <c r="AD208" s="2" t="s">
        <v>484</v>
      </c>
    </row>
    <row r="209" spans="1:30" x14ac:dyDescent="0.3">
      <c r="A209" s="1">
        <v>208</v>
      </c>
      <c r="B209" s="71">
        <v>1</v>
      </c>
      <c r="C209" s="71">
        <v>1</v>
      </c>
      <c r="D209" s="71">
        <v>1</v>
      </c>
      <c r="E209" s="71">
        <v>1</v>
      </c>
      <c r="F209" s="74">
        <v>5</v>
      </c>
      <c r="G209" s="72" t="s">
        <v>76</v>
      </c>
      <c r="H209" s="74">
        <v>10</v>
      </c>
      <c r="I209" s="72">
        <v>8</v>
      </c>
      <c r="J209" s="74">
        <v>0</v>
      </c>
      <c r="K209" s="72" t="s">
        <v>194</v>
      </c>
      <c r="L209" s="74">
        <v>2</v>
      </c>
      <c r="M209" s="75">
        <v>4</v>
      </c>
      <c r="N209" s="75">
        <v>0.17857142857142855</v>
      </c>
      <c r="O209" s="75">
        <v>0.33333333333333331</v>
      </c>
      <c r="P209" s="75">
        <v>2</v>
      </c>
      <c r="Q209" s="75">
        <v>2</v>
      </c>
      <c r="R209" s="75">
        <v>5</v>
      </c>
      <c r="S209" s="75">
        <v>4.5</v>
      </c>
      <c r="T209" s="75">
        <v>4</v>
      </c>
      <c r="U209" s="75">
        <v>1</v>
      </c>
      <c r="V209" s="75">
        <v>2.5</v>
      </c>
      <c r="W209" s="75">
        <v>0.26515151515151514</v>
      </c>
      <c r="X209" s="75">
        <v>0.4375</v>
      </c>
      <c r="Y209" s="75">
        <v>3</v>
      </c>
      <c r="Z209" s="75">
        <v>5</v>
      </c>
      <c r="AA209" s="75">
        <v>2</v>
      </c>
      <c r="AB209" s="75">
        <v>5</v>
      </c>
      <c r="AC209" s="75">
        <v>4</v>
      </c>
      <c r="AD209" s="2" t="s">
        <v>485</v>
      </c>
    </row>
    <row r="210" spans="1:30" x14ac:dyDescent="0.3">
      <c r="A210" s="1">
        <v>209</v>
      </c>
      <c r="B210" s="71">
        <v>1</v>
      </c>
      <c r="C210" s="71">
        <v>1</v>
      </c>
      <c r="D210" s="71">
        <v>1</v>
      </c>
      <c r="E210" s="71">
        <v>1</v>
      </c>
      <c r="F210" s="74">
        <v>5</v>
      </c>
      <c r="G210" s="72" t="s">
        <v>275</v>
      </c>
      <c r="H210" s="74">
        <v>10</v>
      </c>
      <c r="I210" s="72" t="s">
        <v>109</v>
      </c>
      <c r="J210" s="74">
        <v>1</v>
      </c>
      <c r="K210" s="72" t="s">
        <v>109</v>
      </c>
      <c r="L210" s="74">
        <v>2</v>
      </c>
      <c r="M210" s="75">
        <v>4</v>
      </c>
      <c r="N210" s="75">
        <v>0.14285714285714285</v>
      </c>
      <c r="O210" s="75">
        <v>1</v>
      </c>
      <c r="P210" s="75">
        <v>1</v>
      </c>
      <c r="Q210" s="75">
        <v>2</v>
      </c>
      <c r="R210" s="75">
        <v>4</v>
      </c>
      <c r="S210" s="75">
        <v>4</v>
      </c>
      <c r="T210" s="75">
        <v>5</v>
      </c>
      <c r="U210" s="75">
        <v>2</v>
      </c>
      <c r="V210" s="75">
        <v>4</v>
      </c>
      <c r="W210" s="75">
        <v>0.26515151515151514</v>
      </c>
      <c r="X210" s="75">
        <v>0.4375</v>
      </c>
      <c r="Y210" s="75">
        <v>4</v>
      </c>
      <c r="Z210" s="75">
        <v>5</v>
      </c>
      <c r="AA210" s="75">
        <v>2</v>
      </c>
      <c r="AB210" s="75">
        <v>4</v>
      </c>
      <c r="AC210" s="75">
        <v>2</v>
      </c>
      <c r="AD210" s="2" t="s">
        <v>486</v>
      </c>
    </row>
    <row r="211" spans="1:30" x14ac:dyDescent="0.3">
      <c r="A211" s="1">
        <v>210</v>
      </c>
      <c r="B211" s="71">
        <v>1</v>
      </c>
      <c r="C211" s="71">
        <v>1</v>
      </c>
      <c r="D211" s="71">
        <v>1</v>
      </c>
      <c r="E211" s="71">
        <v>1</v>
      </c>
      <c r="F211" s="74">
        <v>5</v>
      </c>
      <c r="G211" s="72" t="s">
        <v>487</v>
      </c>
      <c r="H211" s="74">
        <v>10</v>
      </c>
      <c r="I211" s="72">
        <v>8</v>
      </c>
      <c r="J211" s="74">
        <v>0</v>
      </c>
      <c r="K211" s="72">
        <v>8</v>
      </c>
      <c r="L211" s="74">
        <v>1</v>
      </c>
      <c r="M211" s="75">
        <v>4</v>
      </c>
      <c r="N211" s="75">
        <v>0.17857142857142855</v>
      </c>
      <c r="O211" s="75">
        <v>1</v>
      </c>
      <c r="P211" s="75">
        <v>1</v>
      </c>
      <c r="Q211" s="75">
        <v>1</v>
      </c>
      <c r="R211" s="75">
        <v>4</v>
      </c>
      <c r="S211" s="75">
        <v>4</v>
      </c>
      <c r="T211" s="75">
        <v>3</v>
      </c>
      <c r="U211" s="75">
        <v>1</v>
      </c>
      <c r="V211" s="75">
        <v>4.5</v>
      </c>
      <c r="W211" s="75">
        <v>0.26515151515151514</v>
      </c>
      <c r="X211" s="75">
        <v>0.4375</v>
      </c>
      <c r="Y211" s="75">
        <v>1.5</v>
      </c>
      <c r="Z211" s="75">
        <v>4</v>
      </c>
      <c r="AA211" s="75">
        <v>1</v>
      </c>
      <c r="AB211" s="75">
        <v>3</v>
      </c>
      <c r="AC211" s="75">
        <v>1</v>
      </c>
      <c r="AD211" s="2" t="s">
        <v>488</v>
      </c>
    </row>
    <row r="212" spans="1:30" x14ac:dyDescent="0.3">
      <c r="A212" s="1">
        <v>211</v>
      </c>
      <c r="B212" s="71">
        <v>1</v>
      </c>
      <c r="C212" s="71">
        <v>1</v>
      </c>
      <c r="D212" s="71">
        <v>1</v>
      </c>
      <c r="E212" s="71">
        <v>1</v>
      </c>
      <c r="F212" s="74">
        <v>5</v>
      </c>
      <c r="G212" s="72" t="s">
        <v>489</v>
      </c>
      <c r="H212" s="74">
        <v>10</v>
      </c>
      <c r="I212" s="72" t="s">
        <v>101</v>
      </c>
      <c r="J212" s="74">
        <v>1</v>
      </c>
      <c r="K212" s="72" t="s">
        <v>114</v>
      </c>
      <c r="L212" s="74">
        <v>2</v>
      </c>
      <c r="M212" s="75" t="s">
        <v>26</v>
      </c>
      <c r="N212" s="75">
        <v>0.26785714285714285</v>
      </c>
      <c r="O212" s="75">
        <v>0.66666666666666663</v>
      </c>
      <c r="P212" s="75">
        <v>3</v>
      </c>
      <c r="Q212" s="75">
        <v>1</v>
      </c>
      <c r="R212" s="75">
        <v>4</v>
      </c>
      <c r="S212" s="75">
        <v>3</v>
      </c>
      <c r="T212" s="75">
        <v>4</v>
      </c>
      <c r="U212" s="75">
        <v>3</v>
      </c>
      <c r="V212" s="75">
        <v>3.5</v>
      </c>
      <c r="W212" s="75">
        <v>0.43939393939393934</v>
      </c>
      <c r="X212" s="75">
        <v>0.6875</v>
      </c>
      <c r="Y212" s="75">
        <v>3.5</v>
      </c>
      <c r="Z212" s="75">
        <v>4</v>
      </c>
      <c r="AA212" s="75" t="s">
        <v>26</v>
      </c>
      <c r="AB212" s="75">
        <v>4</v>
      </c>
      <c r="AC212" s="75">
        <v>3</v>
      </c>
      <c r="AD212" s="2" t="s">
        <v>490</v>
      </c>
    </row>
    <row r="213" spans="1:30" x14ac:dyDescent="0.3">
      <c r="A213" s="1">
        <v>212</v>
      </c>
      <c r="B213" s="71">
        <v>1</v>
      </c>
      <c r="C213" s="71">
        <v>1</v>
      </c>
      <c r="D213" s="71">
        <v>1</v>
      </c>
      <c r="E213" s="71">
        <v>1</v>
      </c>
      <c r="F213" s="74">
        <v>5</v>
      </c>
      <c r="G213" s="72" t="s">
        <v>491</v>
      </c>
      <c r="H213" s="74">
        <v>10</v>
      </c>
      <c r="I213" s="72" t="s">
        <v>120</v>
      </c>
      <c r="J213" s="74">
        <v>2</v>
      </c>
      <c r="K213" s="72" t="s">
        <v>40</v>
      </c>
      <c r="L213" s="74">
        <v>3</v>
      </c>
      <c r="M213" s="75" t="s">
        <v>26</v>
      </c>
      <c r="N213" s="75">
        <v>0.23214285714285715</v>
      </c>
      <c r="O213" s="75">
        <v>0</v>
      </c>
      <c r="P213" s="75">
        <v>1</v>
      </c>
      <c r="Q213" s="75">
        <v>1</v>
      </c>
      <c r="R213" s="75">
        <v>4</v>
      </c>
      <c r="S213" s="75">
        <v>3</v>
      </c>
      <c r="T213" s="75">
        <v>3</v>
      </c>
      <c r="U213" s="75">
        <v>2</v>
      </c>
      <c r="V213" s="75">
        <v>2.5</v>
      </c>
      <c r="W213" s="75">
        <v>0.48106060606060608</v>
      </c>
      <c r="X213" s="75">
        <v>0.6875</v>
      </c>
      <c r="Y213" s="75">
        <v>1.5</v>
      </c>
      <c r="Z213" s="75">
        <v>4</v>
      </c>
      <c r="AA213" s="75" t="s">
        <v>26</v>
      </c>
      <c r="AB213" s="75">
        <v>4</v>
      </c>
      <c r="AC213" s="75">
        <v>3</v>
      </c>
      <c r="AD213" s="2" t="s">
        <v>492</v>
      </c>
    </row>
    <row r="214" spans="1:30" x14ac:dyDescent="0.3">
      <c r="A214" s="1">
        <v>213</v>
      </c>
      <c r="B214" s="71">
        <v>1</v>
      </c>
      <c r="C214" s="71">
        <v>1</v>
      </c>
      <c r="D214" s="71">
        <v>1</v>
      </c>
      <c r="E214" s="71">
        <v>1</v>
      </c>
      <c r="F214" s="74">
        <v>5</v>
      </c>
      <c r="G214" s="72" t="s">
        <v>493</v>
      </c>
      <c r="H214" s="74">
        <v>5</v>
      </c>
      <c r="I214" s="72" t="s">
        <v>308</v>
      </c>
      <c r="J214" s="74">
        <v>2</v>
      </c>
      <c r="K214" s="72" t="s">
        <v>56</v>
      </c>
      <c r="L214" s="74">
        <v>2</v>
      </c>
      <c r="M214" s="75" t="s">
        <v>26</v>
      </c>
      <c r="N214" s="75">
        <v>0.23214285714285715</v>
      </c>
      <c r="O214" s="75">
        <v>0.66666666666666663</v>
      </c>
      <c r="P214" s="75">
        <v>1</v>
      </c>
      <c r="Q214" s="75">
        <v>1</v>
      </c>
      <c r="R214" s="75">
        <v>4</v>
      </c>
      <c r="S214" s="75">
        <v>4</v>
      </c>
      <c r="T214" s="75">
        <v>4</v>
      </c>
      <c r="U214" s="75">
        <v>2</v>
      </c>
      <c r="V214" s="75">
        <v>3</v>
      </c>
      <c r="W214" s="75">
        <v>0.43560606060606061</v>
      </c>
      <c r="X214" s="75">
        <v>0.5625</v>
      </c>
      <c r="Y214" s="75">
        <v>2</v>
      </c>
      <c r="Z214" s="75">
        <v>5</v>
      </c>
      <c r="AA214" s="75" t="s">
        <v>26</v>
      </c>
      <c r="AB214" s="75">
        <v>4</v>
      </c>
      <c r="AC214" s="75">
        <v>4</v>
      </c>
      <c r="AD214" s="2" t="s">
        <v>494</v>
      </c>
    </row>
    <row r="215" spans="1:30" x14ac:dyDescent="0.3">
      <c r="A215" s="1">
        <v>214</v>
      </c>
      <c r="B215" s="71">
        <v>1</v>
      </c>
      <c r="C215" s="71">
        <v>1</v>
      </c>
      <c r="D215" s="71">
        <v>1</v>
      </c>
      <c r="E215" s="71">
        <v>1</v>
      </c>
      <c r="F215" s="74">
        <v>5</v>
      </c>
      <c r="G215" s="72" t="s">
        <v>39</v>
      </c>
      <c r="H215" s="74">
        <v>10</v>
      </c>
      <c r="I215" s="72" t="s">
        <v>55</v>
      </c>
      <c r="J215" s="74">
        <v>2</v>
      </c>
      <c r="K215" s="72" t="s">
        <v>224</v>
      </c>
      <c r="L215" s="74">
        <v>3</v>
      </c>
      <c r="M215" s="75" t="s">
        <v>26</v>
      </c>
      <c r="N215" s="75">
        <v>0.23214285714285715</v>
      </c>
      <c r="O215" s="75">
        <v>0</v>
      </c>
      <c r="P215" s="75">
        <v>1</v>
      </c>
      <c r="Q215" s="75">
        <v>1</v>
      </c>
      <c r="R215" s="75">
        <v>1</v>
      </c>
      <c r="S215" s="75">
        <v>1</v>
      </c>
      <c r="T215" s="75">
        <v>1</v>
      </c>
      <c r="U215" s="75">
        <v>4</v>
      </c>
      <c r="V215" s="75">
        <v>2</v>
      </c>
      <c r="W215" s="75">
        <v>0.39393939393939392</v>
      </c>
      <c r="X215" s="75">
        <v>0.5</v>
      </c>
      <c r="Y215" s="75">
        <v>1.5</v>
      </c>
      <c r="Z215" s="75">
        <v>2</v>
      </c>
      <c r="AA215" s="75" t="s">
        <v>26</v>
      </c>
      <c r="AB215" s="75">
        <v>4</v>
      </c>
      <c r="AC215" s="75">
        <v>4</v>
      </c>
      <c r="AD215" s="2" t="s">
        <v>495</v>
      </c>
    </row>
    <row r="216" spans="1:30" x14ac:dyDescent="0.3">
      <c r="A216" s="1">
        <v>215</v>
      </c>
      <c r="B216" s="71">
        <v>1</v>
      </c>
      <c r="C216" s="71">
        <v>1</v>
      </c>
      <c r="D216" s="71">
        <v>1</v>
      </c>
      <c r="E216" s="71">
        <v>1</v>
      </c>
      <c r="F216" s="74">
        <v>5</v>
      </c>
      <c r="G216" s="72" t="s">
        <v>496</v>
      </c>
      <c r="H216" s="74">
        <v>15</v>
      </c>
      <c r="I216" s="72" t="s">
        <v>71</v>
      </c>
      <c r="J216" s="74">
        <v>1</v>
      </c>
      <c r="K216" s="72" t="s">
        <v>55</v>
      </c>
      <c r="L216" s="74">
        <v>3</v>
      </c>
      <c r="M216" s="75" t="s">
        <v>26</v>
      </c>
      <c r="N216" s="75">
        <v>0.26785714285714285</v>
      </c>
      <c r="O216" s="75">
        <v>0</v>
      </c>
      <c r="P216" s="75">
        <v>1</v>
      </c>
      <c r="Q216" s="75">
        <v>1</v>
      </c>
      <c r="R216" s="75">
        <v>4</v>
      </c>
      <c r="S216" s="75">
        <v>3</v>
      </c>
      <c r="T216" s="75">
        <v>3</v>
      </c>
      <c r="U216" s="75">
        <v>2</v>
      </c>
      <c r="V216" s="75">
        <v>3</v>
      </c>
      <c r="W216" s="75">
        <v>0.43560606060606061</v>
      </c>
      <c r="X216" s="75">
        <v>0.625</v>
      </c>
      <c r="Y216" s="75">
        <v>2</v>
      </c>
      <c r="Z216" s="75">
        <v>3</v>
      </c>
      <c r="AA216" s="75" t="s">
        <v>26</v>
      </c>
      <c r="AB216" s="75">
        <v>4</v>
      </c>
      <c r="AC216" s="75">
        <v>4</v>
      </c>
      <c r="AD216" s="2" t="s">
        <v>497</v>
      </c>
    </row>
    <row r="217" spans="1:30" x14ac:dyDescent="0.3">
      <c r="A217" s="1">
        <v>216</v>
      </c>
      <c r="B217" s="71">
        <v>1</v>
      </c>
      <c r="C217" s="71">
        <v>1</v>
      </c>
      <c r="D217" s="71">
        <v>1</v>
      </c>
      <c r="E217" s="71">
        <v>1</v>
      </c>
      <c r="F217" s="74">
        <v>5</v>
      </c>
      <c r="G217" s="72" t="s">
        <v>498</v>
      </c>
      <c r="H217" s="74">
        <v>10</v>
      </c>
      <c r="I217" s="72" t="s">
        <v>69</v>
      </c>
      <c r="J217" s="74">
        <v>2</v>
      </c>
      <c r="K217" s="72" t="s">
        <v>55</v>
      </c>
      <c r="L217" s="74">
        <v>3</v>
      </c>
      <c r="M217" s="75" t="s">
        <v>26</v>
      </c>
      <c r="N217" s="75">
        <v>0.39285714285714285</v>
      </c>
      <c r="O217" s="75">
        <v>0.66666666666666663</v>
      </c>
      <c r="P217" s="75">
        <v>1</v>
      </c>
      <c r="Q217" s="75">
        <v>1</v>
      </c>
      <c r="R217" s="75">
        <v>4</v>
      </c>
      <c r="S217" s="75">
        <v>4</v>
      </c>
      <c r="T217" s="75">
        <v>4</v>
      </c>
      <c r="U217" s="75">
        <v>4</v>
      </c>
      <c r="V217" s="75">
        <v>3</v>
      </c>
      <c r="W217" s="75">
        <v>0.43560606060606061</v>
      </c>
      <c r="X217" s="75">
        <v>0.6875</v>
      </c>
      <c r="Y217" s="75">
        <v>3</v>
      </c>
      <c r="Z217" s="75">
        <v>4</v>
      </c>
      <c r="AA217" s="75" t="s">
        <v>26</v>
      </c>
      <c r="AB217" s="75">
        <v>4</v>
      </c>
      <c r="AC217" s="75">
        <v>4</v>
      </c>
      <c r="AD217" s="2" t="s">
        <v>499</v>
      </c>
    </row>
    <row r="218" spans="1:30" x14ac:dyDescent="0.3">
      <c r="A218" s="1">
        <v>217</v>
      </c>
      <c r="B218" s="71">
        <v>1</v>
      </c>
      <c r="C218" s="71">
        <v>1</v>
      </c>
      <c r="D218" s="71">
        <v>1</v>
      </c>
      <c r="E218" s="71">
        <v>1</v>
      </c>
      <c r="F218" s="74">
        <v>5</v>
      </c>
      <c r="G218" s="72" t="s">
        <v>500</v>
      </c>
      <c r="H218" s="74">
        <v>15</v>
      </c>
      <c r="I218" s="72" t="s">
        <v>224</v>
      </c>
      <c r="J218" s="74">
        <v>2</v>
      </c>
      <c r="K218" s="72" t="s">
        <v>501</v>
      </c>
      <c r="L218" s="74">
        <v>3</v>
      </c>
      <c r="M218" s="75" t="s">
        <v>26</v>
      </c>
      <c r="N218" s="75">
        <v>0.23214285714285715</v>
      </c>
      <c r="O218" s="75">
        <v>0</v>
      </c>
      <c r="P218" s="75">
        <v>1</v>
      </c>
      <c r="Q218" s="75">
        <v>1</v>
      </c>
      <c r="R218" s="75">
        <v>4</v>
      </c>
      <c r="S218" s="75">
        <v>4</v>
      </c>
      <c r="T218" s="75">
        <v>4</v>
      </c>
      <c r="U218" s="75">
        <v>4</v>
      </c>
      <c r="V218" s="75">
        <v>3</v>
      </c>
      <c r="W218" s="75">
        <v>0.43560606060606061</v>
      </c>
      <c r="X218" s="75">
        <v>0.6875</v>
      </c>
      <c r="Y218" s="75">
        <v>2.5</v>
      </c>
      <c r="Z218" s="75">
        <v>4</v>
      </c>
      <c r="AA218" s="75" t="s">
        <v>26</v>
      </c>
      <c r="AB218" s="75">
        <v>4</v>
      </c>
      <c r="AC218" s="75">
        <v>4</v>
      </c>
      <c r="AD218" s="2" t="s">
        <v>502</v>
      </c>
    </row>
    <row r="219" spans="1:30" x14ac:dyDescent="0.3">
      <c r="A219" s="1">
        <v>218</v>
      </c>
      <c r="B219" s="71">
        <v>1</v>
      </c>
      <c r="C219" s="71">
        <v>1</v>
      </c>
      <c r="D219" s="71">
        <v>1</v>
      </c>
      <c r="E219" s="71">
        <v>1</v>
      </c>
      <c r="F219" s="74">
        <v>5</v>
      </c>
      <c r="G219" s="72" t="s">
        <v>503</v>
      </c>
      <c r="H219" s="74">
        <v>15</v>
      </c>
      <c r="I219" s="72" t="s">
        <v>69</v>
      </c>
      <c r="J219" s="74">
        <v>2</v>
      </c>
      <c r="K219" s="72" t="s">
        <v>339</v>
      </c>
      <c r="L219" s="74">
        <v>3</v>
      </c>
      <c r="M219" s="75" t="s">
        <v>26</v>
      </c>
      <c r="N219" s="75">
        <v>0.39285714285714285</v>
      </c>
      <c r="O219" s="75">
        <v>0.66666666666666663</v>
      </c>
      <c r="P219" s="75">
        <v>1</v>
      </c>
      <c r="Q219" s="75">
        <v>1</v>
      </c>
      <c r="R219" s="75">
        <v>4</v>
      </c>
      <c r="S219" s="75">
        <v>4</v>
      </c>
      <c r="T219" s="75">
        <v>4</v>
      </c>
      <c r="U219" s="75">
        <v>2</v>
      </c>
      <c r="V219" s="75">
        <v>3</v>
      </c>
      <c r="W219" s="75">
        <v>0.43560606060606061</v>
      </c>
      <c r="X219" s="75">
        <v>0.6875</v>
      </c>
      <c r="Y219" s="75">
        <v>2</v>
      </c>
      <c r="Z219" s="75">
        <v>4</v>
      </c>
      <c r="AA219" s="75" t="s">
        <v>26</v>
      </c>
      <c r="AB219" s="75">
        <v>4</v>
      </c>
      <c r="AC219" s="75">
        <v>4</v>
      </c>
      <c r="AD219" s="2" t="s">
        <v>504</v>
      </c>
    </row>
    <row r="220" spans="1:30" x14ac:dyDescent="0.3">
      <c r="A220" s="1">
        <v>219</v>
      </c>
      <c r="B220" s="71">
        <v>1</v>
      </c>
      <c r="C220" s="71">
        <v>1</v>
      </c>
      <c r="D220" s="71">
        <v>1</v>
      </c>
      <c r="E220" s="71">
        <v>1</v>
      </c>
      <c r="F220" s="74">
        <v>5</v>
      </c>
      <c r="G220" s="72" t="s">
        <v>39</v>
      </c>
      <c r="H220" s="74">
        <v>10</v>
      </c>
      <c r="I220" s="72" t="s">
        <v>69</v>
      </c>
      <c r="J220" s="74">
        <v>2</v>
      </c>
      <c r="K220" s="72" t="s">
        <v>72</v>
      </c>
      <c r="L220" s="74">
        <v>3</v>
      </c>
      <c r="M220" s="75" t="s">
        <v>26</v>
      </c>
      <c r="N220" s="75">
        <v>0.26785714285714285</v>
      </c>
      <c r="O220" s="75">
        <v>0</v>
      </c>
      <c r="P220" s="75">
        <v>1</v>
      </c>
      <c r="Q220" s="75">
        <v>1</v>
      </c>
      <c r="R220" s="75">
        <v>4</v>
      </c>
      <c r="S220" s="75">
        <v>4</v>
      </c>
      <c r="T220" s="75">
        <v>4</v>
      </c>
      <c r="U220" s="75">
        <v>2</v>
      </c>
      <c r="V220" s="75">
        <v>3</v>
      </c>
      <c r="W220" s="75">
        <v>0.43560606060606061</v>
      </c>
      <c r="X220" s="75">
        <v>0.6875</v>
      </c>
      <c r="Y220" s="75">
        <v>2</v>
      </c>
      <c r="Z220" s="75">
        <v>4</v>
      </c>
      <c r="AA220" s="75" t="s">
        <v>26</v>
      </c>
      <c r="AB220" s="75">
        <v>4</v>
      </c>
      <c r="AC220" s="75">
        <v>4</v>
      </c>
      <c r="AD220" s="2" t="s">
        <v>505</v>
      </c>
    </row>
    <row r="221" spans="1:30" x14ac:dyDescent="0.3">
      <c r="A221" s="1">
        <v>220</v>
      </c>
      <c r="B221" s="71">
        <v>1</v>
      </c>
      <c r="C221" s="71">
        <v>0</v>
      </c>
      <c r="D221" s="71">
        <v>0</v>
      </c>
      <c r="E221" s="71">
        <v>1</v>
      </c>
      <c r="F221" s="74">
        <v>0</v>
      </c>
      <c r="G221" s="72" t="s">
        <v>112</v>
      </c>
      <c r="H221" s="74">
        <v>10</v>
      </c>
      <c r="I221" s="72" t="s">
        <v>84</v>
      </c>
      <c r="J221" s="74">
        <v>1</v>
      </c>
      <c r="K221" s="72" t="s">
        <v>84</v>
      </c>
      <c r="L221" s="74">
        <v>2</v>
      </c>
      <c r="M221" s="75" t="s">
        <v>26</v>
      </c>
      <c r="N221" s="75">
        <v>0.23214285714285715</v>
      </c>
      <c r="O221" s="75">
        <v>0</v>
      </c>
      <c r="P221" s="75">
        <v>1</v>
      </c>
      <c r="Q221" s="75">
        <v>1</v>
      </c>
      <c r="R221" s="75">
        <v>3</v>
      </c>
      <c r="S221" s="75">
        <v>1</v>
      </c>
      <c r="T221" s="75">
        <v>1</v>
      </c>
      <c r="U221" s="75">
        <v>4</v>
      </c>
      <c r="V221" s="75">
        <v>1</v>
      </c>
      <c r="W221" s="75">
        <v>0.34848484848484851</v>
      </c>
      <c r="X221" s="75">
        <v>6.25E-2</v>
      </c>
      <c r="Y221" s="75">
        <v>2</v>
      </c>
      <c r="Z221" s="75">
        <v>1</v>
      </c>
      <c r="AA221" s="75" t="s">
        <v>26</v>
      </c>
      <c r="AB221" s="75">
        <v>2</v>
      </c>
      <c r="AC221" s="75">
        <v>1</v>
      </c>
      <c r="AD221" s="2" t="s">
        <v>506</v>
      </c>
    </row>
    <row r="222" spans="1:30" x14ac:dyDescent="0.3">
      <c r="A222" s="1">
        <v>221</v>
      </c>
      <c r="B222" s="71">
        <v>1</v>
      </c>
      <c r="C222" s="71">
        <v>1</v>
      </c>
      <c r="D222" s="71">
        <v>1</v>
      </c>
      <c r="E222" s="71">
        <v>1</v>
      </c>
      <c r="F222" s="74">
        <v>5</v>
      </c>
      <c r="G222" s="72" t="s">
        <v>112</v>
      </c>
      <c r="H222" s="74">
        <v>10</v>
      </c>
      <c r="I222" s="72" t="s">
        <v>99</v>
      </c>
      <c r="J222" s="74">
        <v>2</v>
      </c>
      <c r="K222" s="72" t="s">
        <v>246</v>
      </c>
      <c r="L222" s="74">
        <v>2</v>
      </c>
      <c r="M222" s="75" t="s">
        <v>26</v>
      </c>
      <c r="N222" s="75">
        <v>0.3035714285714286</v>
      </c>
      <c r="O222" s="75">
        <v>0.66666666666666663</v>
      </c>
      <c r="P222" s="75">
        <v>1</v>
      </c>
      <c r="Q222" s="75">
        <v>1</v>
      </c>
      <c r="R222" s="75">
        <v>4</v>
      </c>
      <c r="S222" s="75">
        <v>2</v>
      </c>
      <c r="T222" s="75">
        <v>5</v>
      </c>
      <c r="U222" s="75">
        <v>2</v>
      </c>
      <c r="V222" s="75">
        <v>2.5</v>
      </c>
      <c r="W222" s="75">
        <v>0.43560606060606061</v>
      </c>
      <c r="X222" s="75">
        <v>0.3125</v>
      </c>
      <c r="Y222" s="75">
        <v>2</v>
      </c>
      <c r="Z222" s="75">
        <v>5</v>
      </c>
      <c r="AA222" s="75" t="s">
        <v>26</v>
      </c>
      <c r="AB222" s="75">
        <v>4</v>
      </c>
      <c r="AC222" s="75">
        <v>1</v>
      </c>
      <c r="AD222" s="2" t="s">
        <v>507</v>
      </c>
    </row>
    <row r="223" spans="1:30" x14ac:dyDescent="0.3">
      <c r="A223" s="1">
        <v>222</v>
      </c>
      <c r="B223" s="71">
        <v>1</v>
      </c>
      <c r="C223" s="71">
        <v>1</v>
      </c>
      <c r="D223" s="71">
        <v>1</v>
      </c>
      <c r="E223" s="71">
        <v>1</v>
      </c>
      <c r="F223" s="74">
        <v>5</v>
      </c>
      <c r="G223" s="72" t="s">
        <v>508</v>
      </c>
      <c r="H223" s="74">
        <v>20</v>
      </c>
      <c r="I223" s="72" t="s">
        <v>77</v>
      </c>
      <c r="J223" s="74">
        <v>1</v>
      </c>
      <c r="K223" s="72" t="s">
        <v>77</v>
      </c>
      <c r="L223" s="74">
        <v>2</v>
      </c>
      <c r="M223" s="75" t="s">
        <v>26</v>
      </c>
      <c r="N223" s="75">
        <v>0.3035714285714286</v>
      </c>
      <c r="O223" s="75">
        <v>0.66666666666666663</v>
      </c>
      <c r="P223" s="75">
        <v>1</v>
      </c>
      <c r="Q223" s="75">
        <v>1</v>
      </c>
      <c r="R223" s="75">
        <v>4</v>
      </c>
      <c r="S223" s="75">
        <v>4</v>
      </c>
      <c r="T223" s="75">
        <v>4</v>
      </c>
      <c r="U223" s="75">
        <v>2</v>
      </c>
      <c r="V223" s="75">
        <v>3</v>
      </c>
      <c r="W223" s="75">
        <v>0.39015151515151514</v>
      </c>
      <c r="X223" s="75">
        <v>0.4375</v>
      </c>
      <c r="Y223" s="75">
        <v>2.5</v>
      </c>
      <c r="Z223" s="75">
        <v>4</v>
      </c>
      <c r="AA223" s="75" t="s">
        <v>26</v>
      </c>
      <c r="AB223" s="75">
        <v>4</v>
      </c>
      <c r="AC223" s="75">
        <v>1</v>
      </c>
      <c r="AD223" s="2" t="s">
        <v>509</v>
      </c>
    </row>
    <row r="224" spans="1:30" x14ac:dyDescent="0.3">
      <c r="A224" s="1">
        <v>223</v>
      </c>
      <c r="B224" s="71">
        <v>1</v>
      </c>
      <c r="C224" s="71">
        <v>1</v>
      </c>
      <c r="D224" s="71">
        <v>1</v>
      </c>
      <c r="E224" s="71">
        <v>1</v>
      </c>
      <c r="F224" s="74">
        <v>5</v>
      </c>
      <c r="G224" s="72" t="s">
        <v>112</v>
      </c>
      <c r="H224" s="74">
        <v>10</v>
      </c>
      <c r="I224" s="72" t="s">
        <v>253</v>
      </c>
      <c r="J224" s="74">
        <v>2</v>
      </c>
      <c r="K224" s="72" t="s">
        <v>154</v>
      </c>
      <c r="L224" s="74">
        <v>2</v>
      </c>
      <c r="M224" s="75" t="s">
        <v>26</v>
      </c>
      <c r="N224" s="75">
        <v>0.375</v>
      </c>
      <c r="O224" s="75">
        <v>1</v>
      </c>
      <c r="P224" s="75">
        <v>1</v>
      </c>
      <c r="Q224" s="75">
        <v>1</v>
      </c>
      <c r="R224" s="75">
        <v>3</v>
      </c>
      <c r="S224" s="75">
        <v>3</v>
      </c>
      <c r="T224" s="75">
        <v>4</v>
      </c>
      <c r="U224" s="75">
        <v>2</v>
      </c>
      <c r="V224" s="75">
        <v>2.5</v>
      </c>
      <c r="W224" s="75">
        <v>0.39015151515151514</v>
      </c>
      <c r="X224" s="75">
        <v>0.5</v>
      </c>
      <c r="Y224" s="75">
        <v>3</v>
      </c>
      <c r="Z224" s="75">
        <v>3</v>
      </c>
      <c r="AA224" s="75" t="s">
        <v>26</v>
      </c>
      <c r="AB224" s="75">
        <v>3</v>
      </c>
      <c r="AC224" s="75">
        <v>1</v>
      </c>
      <c r="AD224" s="2" t="s">
        <v>510</v>
      </c>
    </row>
    <row r="225" spans="1:30" x14ac:dyDescent="0.3">
      <c r="A225" s="1">
        <v>224</v>
      </c>
      <c r="B225" s="71">
        <v>1</v>
      </c>
      <c r="C225" s="71">
        <v>1</v>
      </c>
      <c r="D225" s="71">
        <v>1</v>
      </c>
      <c r="E225" s="71">
        <v>1</v>
      </c>
      <c r="F225" s="74">
        <v>5</v>
      </c>
      <c r="G225" s="72" t="s">
        <v>511</v>
      </c>
      <c r="H225" s="74">
        <v>15</v>
      </c>
      <c r="I225" s="72" t="s">
        <v>512</v>
      </c>
      <c r="J225" s="74">
        <v>2</v>
      </c>
      <c r="K225" s="72" t="s">
        <v>136</v>
      </c>
      <c r="L225" s="74">
        <v>3</v>
      </c>
      <c r="M225" s="75" t="s">
        <v>26</v>
      </c>
      <c r="N225" s="75">
        <v>0.26785714285714285</v>
      </c>
      <c r="O225" s="75">
        <v>1</v>
      </c>
      <c r="P225" s="75">
        <v>1</v>
      </c>
      <c r="Q225" s="75">
        <v>1</v>
      </c>
      <c r="R225" s="75">
        <v>4</v>
      </c>
      <c r="S225" s="75">
        <v>3</v>
      </c>
      <c r="T225" s="75">
        <v>4</v>
      </c>
      <c r="U225" s="75">
        <v>2</v>
      </c>
      <c r="V225" s="75">
        <v>3</v>
      </c>
      <c r="W225" s="75">
        <v>0.39015151515151514</v>
      </c>
      <c r="X225" s="75">
        <v>0.3125</v>
      </c>
      <c r="Y225" s="75">
        <v>3.5</v>
      </c>
      <c r="Z225" s="75">
        <v>4</v>
      </c>
      <c r="AA225" s="75" t="s">
        <v>26</v>
      </c>
      <c r="AB225" s="75">
        <v>3</v>
      </c>
      <c r="AC225" s="75">
        <v>1</v>
      </c>
      <c r="AD225" s="2" t="s">
        <v>513</v>
      </c>
    </row>
    <row r="226" spans="1:30" x14ac:dyDescent="0.3">
      <c r="A226" s="1">
        <v>225</v>
      </c>
      <c r="B226" s="71">
        <v>1</v>
      </c>
      <c r="C226" s="71">
        <v>1</v>
      </c>
      <c r="D226" s="71">
        <v>1</v>
      </c>
      <c r="E226" s="71">
        <v>1</v>
      </c>
      <c r="F226" s="74">
        <v>5</v>
      </c>
      <c r="G226" s="72" t="s">
        <v>310</v>
      </c>
      <c r="H226" s="74">
        <v>10</v>
      </c>
      <c r="I226" s="72" t="s">
        <v>246</v>
      </c>
      <c r="J226" s="74">
        <v>1</v>
      </c>
      <c r="K226" s="72" t="s">
        <v>246</v>
      </c>
      <c r="L226" s="74">
        <v>2</v>
      </c>
      <c r="M226" s="75" t="s">
        <v>26</v>
      </c>
      <c r="N226" s="75">
        <v>0.3392857142857143</v>
      </c>
      <c r="O226" s="75">
        <v>1</v>
      </c>
      <c r="P226" s="75">
        <v>1</v>
      </c>
      <c r="Q226" s="75">
        <v>1</v>
      </c>
      <c r="R226" s="75">
        <v>4</v>
      </c>
      <c r="S226" s="75">
        <v>4</v>
      </c>
      <c r="T226" s="75">
        <v>5</v>
      </c>
      <c r="U226" s="75">
        <v>1</v>
      </c>
      <c r="V226" s="75">
        <v>3.5</v>
      </c>
      <c r="W226" s="75">
        <v>0.30303030303030298</v>
      </c>
      <c r="X226" s="75">
        <v>0.5625</v>
      </c>
      <c r="Y226" s="75">
        <v>5</v>
      </c>
      <c r="Z226" s="75">
        <v>5</v>
      </c>
      <c r="AA226" s="75" t="s">
        <v>26</v>
      </c>
      <c r="AB226" s="75">
        <v>4</v>
      </c>
      <c r="AC226" s="75">
        <v>1</v>
      </c>
      <c r="AD226" s="2" t="s">
        <v>514</v>
      </c>
    </row>
    <row r="227" spans="1:30" x14ac:dyDescent="0.3">
      <c r="A227" s="1">
        <v>226</v>
      </c>
      <c r="B227" s="71">
        <v>0</v>
      </c>
      <c r="C227" s="71">
        <v>0</v>
      </c>
      <c r="D227" s="71">
        <v>1</v>
      </c>
      <c r="E227" s="71">
        <v>1</v>
      </c>
      <c r="F227" s="74">
        <v>0</v>
      </c>
      <c r="G227" s="72" t="s">
        <v>42</v>
      </c>
      <c r="H227" s="74">
        <v>10</v>
      </c>
      <c r="I227" s="72">
        <v>4</v>
      </c>
      <c r="J227" s="74">
        <v>0</v>
      </c>
      <c r="K227" s="72" t="s">
        <v>515</v>
      </c>
      <c r="L227" s="74">
        <v>2</v>
      </c>
      <c r="M227" s="75" t="s">
        <v>26</v>
      </c>
      <c r="N227" s="75">
        <v>0.19642857142857142</v>
      </c>
      <c r="O227" s="75">
        <v>0</v>
      </c>
      <c r="P227" s="75">
        <v>1</v>
      </c>
      <c r="Q227" s="75">
        <v>1</v>
      </c>
      <c r="R227" s="75">
        <v>1</v>
      </c>
      <c r="S227" s="75">
        <v>1</v>
      </c>
      <c r="T227" s="75">
        <v>1</v>
      </c>
      <c r="U227" s="75">
        <v>4</v>
      </c>
      <c r="V227" s="75">
        <v>1</v>
      </c>
      <c r="W227" s="75">
        <v>0.26136363636363635</v>
      </c>
      <c r="X227" s="75">
        <v>6.25E-2</v>
      </c>
      <c r="Y227" s="75">
        <v>2</v>
      </c>
      <c r="Z227" s="75">
        <v>1</v>
      </c>
      <c r="AA227" s="75" t="s">
        <v>26</v>
      </c>
      <c r="AB227" s="75">
        <v>4</v>
      </c>
      <c r="AC227" s="75">
        <v>1</v>
      </c>
      <c r="AD227" s="2" t="s">
        <v>516</v>
      </c>
    </row>
    <row r="228" spans="1:30" x14ac:dyDescent="0.3">
      <c r="A228" s="1">
        <v>227</v>
      </c>
      <c r="B228" s="71">
        <v>1</v>
      </c>
      <c r="C228" s="71">
        <v>1</v>
      </c>
      <c r="D228" s="71">
        <v>1</v>
      </c>
      <c r="E228" s="71">
        <v>1</v>
      </c>
      <c r="F228" s="74">
        <v>5</v>
      </c>
      <c r="G228" s="72" t="s">
        <v>151</v>
      </c>
      <c r="H228" s="74">
        <v>5</v>
      </c>
      <c r="I228" s="72" t="s">
        <v>246</v>
      </c>
      <c r="J228" s="74">
        <v>1</v>
      </c>
      <c r="K228" s="72" t="s">
        <v>290</v>
      </c>
      <c r="L228" s="74">
        <v>2</v>
      </c>
      <c r="M228" s="75" t="s">
        <v>26</v>
      </c>
      <c r="N228" s="75">
        <v>0.3035714285714286</v>
      </c>
      <c r="O228" s="75">
        <v>1</v>
      </c>
      <c r="P228" s="75">
        <v>1</v>
      </c>
      <c r="Q228" s="75">
        <v>2</v>
      </c>
      <c r="R228" s="75">
        <v>3</v>
      </c>
      <c r="S228" s="75">
        <v>4</v>
      </c>
      <c r="T228" s="75">
        <v>5</v>
      </c>
      <c r="U228" s="75">
        <v>2</v>
      </c>
      <c r="V228" s="75">
        <v>4</v>
      </c>
      <c r="W228" s="75">
        <v>0.26136363636363635</v>
      </c>
      <c r="X228" s="75">
        <v>0.4375</v>
      </c>
      <c r="Y228" s="75">
        <v>3</v>
      </c>
      <c r="Z228" s="75">
        <v>5</v>
      </c>
      <c r="AA228" s="75" t="s">
        <v>26</v>
      </c>
      <c r="AB228" s="75">
        <v>3</v>
      </c>
      <c r="AC228" s="75">
        <v>1</v>
      </c>
      <c r="AD228" s="2" t="s">
        <v>517</v>
      </c>
    </row>
    <row r="229" spans="1:30" x14ac:dyDescent="0.3">
      <c r="A229" s="1">
        <v>228</v>
      </c>
      <c r="B229" s="71">
        <v>0</v>
      </c>
      <c r="C229" s="71">
        <v>1</v>
      </c>
      <c r="D229" s="71">
        <v>0</v>
      </c>
      <c r="E229" s="71">
        <v>1</v>
      </c>
      <c r="F229" s="74">
        <v>0</v>
      </c>
      <c r="G229" s="72" t="s">
        <v>518</v>
      </c>
      <c r="H229" s="74">
        <v>15</v>
      </c>
      <c r="I229" s="72" t="s">
        <v>519</v>
      </c>
      <c r="J229" s="74">
        <v>1</v>
      </c>
      <c r="K229" s="72" t="s">
        <v>153</v>
      </c>
      <c r="L229" s="74">
        <v>2</v>
      </c>
      <c r="M229" s="75" t="s">
        <v>26</v>
      </c>
      <c r="N229" s="75">
        <v>0.26785714285714285</v>
      </c>
      <c r="O229" s="75">
        <v>0</v>
      </c>
      <c r="P229" s="75">
        <v>1</v>
      </c>
      <c r="Q229" s="75">
        <v>1</v>
      </c>
      <c r="R229" s="75">
        <v>1</v>
      </c>
      <c r="S229" s="75">
        <v>1</v>
      </c>
      <c r="T229" s="75">
        <v>1</v>
      </c>
      <c r="U229" s="75">
        <v>4</v>
      </c>
      <c r="V229" s="75">
        <v>1</v>
      </c>
      <c r="W229" s="75">
        <v>0.30681818181818182</v>
      </c>
      <c r="X229" s="75">
        <v>0.25</v>
      </c>
      <c r="Y229" s="75">
        <v>2</v>
      </c>
      <c r="Z229" s="75">
        <v>1</v>
      </c>
      <c r="AA229" s="75" t="s">
        <v>26</v>
      </c>
      <c r="AB229" s="75">
        <v>5</v>
      </c>
      <c r="AC229" s="75">
        <v>1</v>
      </c>
      <c r="AD229" s="2" t="s">
        <v>520</v>
      </c>
    </row>
    <row r="230" spans="1:30" x14ac:dyDescent="0.3">
      <c r="A230" s="1">
        <v>229</v>
      </c>
      <c r="B230" s="71">
        <v>1</v>
      </c>
      <c r="C230" s="71">
        <v>1</v>
      </c>
      <c r="D230" s="71">
        <v>1</v>
      </c>
      <c r="E230" s="71">
        <v>1</v>
      </c>
      <c r="F230" s="74">
        <v>5</v>
      </c>
      <c r="G230" s="72" t="s">
        <v>112</v>
      </c>
      <c r="H230" s="74">
        <v>10</v>
      </c>
      <c r="I230" s="72" t="s">
        <v>96</v>
      </c>
      <c r="J230" s="74">
        <v>2</v>
      </c>
      <c r="K230" s="72" t="s">
        <v>96</v>
      </c>
      <c r="L230" s="74">
        <v>3</v>
      </c>
      <c r="M230" s="75" t="s">
        <v>26</v>
      </c>
      <c r="N230" s="75">
        <v>0.26785714285714285</v>
      </c>
      <c r="O230" s="75">
        <v>0.66666666666666663</v>
      </c>
      <c r="P230" s="75">
        <v>1</v>
      </c>
      <c r="Q230" s="75">
        <v>1</v>
      </c>
      <c r="R230" s="75">
        <v>3</v>
      </c>
      <c r="S230" s="75">
        <v>3</v>
      </c>
      <c r="T230" s="75">
        <v>4</v>
      </c>
      <c r="U230" s="75">
        <v>2</v>
      </c>
      <c r="V230" s="75">
        <v>3</v>
      </c>
      <c r="W230" s="75">
        <v>0.34848484848484851</v>
      </c>
      <c r="X230" s="75">
        <v>0.5</v>
      </c>
      <c r="Y230" s="75">
        <v>4.5</v>
      </c>
      <c r="Z230" s="75">
        <v>4</v>
      </c>
      <c r="AA230" s="75" t="s">
        <v>26</v>
      </c>
      <c r="AB230" s="75">
        <v>4</v>
      </c>
      <c r="AC230" s="75">
        <v>1</v>
      </c>
      <c r="AD230" s="2" t="s">
        <v>521</v>
      </c>
    </row>
    <row r="231" spans="1:30" x14ac:dyDescent="0.3">
      <c r="A231" s="1">
        <v>230</v>
      </c>
      <c r="B231" s="71">
        <v>0</v>
      </c>
      <c r="C231" s="71">
        <v>0</v>
      </c>
      <c r="D231" s="71">
        <v>1</v>
      </c>
      <c r="E231" s="71">
        <v>1</v>
      </c>
      <c r="F231" s="74">
        <v>0</v>
      </c>
      <c r="G231" s="72">
        <v>1</v>
      </c>
      <c r="H231" s="74">
        <v>5</v>
      </c>
      <c r="I231" s="72">
        <v>1</v>
      </c>
      <c r="J231" s="74">
        <v>0</v>
      </c>
      <c r="K231" s="72">
        <v>1</v>
      </c>
      <c r="L231" s="74">
        <v>1</v>
      </c>
      <c r="M231" s="75" t="s">
        <v>26</v>
      </c>
      <c r="N231" s="75">
        <v>0.19642857142857142</v>
      </c>
      <c r="O231" s="75">
        <v>0.33333333333333331</v>
      </c>
      <c r="P231" s="75">
        <v>1</v>
      </c>
      <c r="Q231" s="75">
        <v>3</v>
      </c>
      <c r="R231" s="75">
        <v>3</v>
      </c>
      <c r="S231" s="75">
        <v>3</v>
      </c>
      <c r="T231" s="75">
        <v>4</v>
      </c>
      <c r="U231" s="75">
        <v>2</v>
      </c>
      <c r="V231" s="75">
        <v>3</v>
      </c>
      <c r="W231" s="75">
        <v>0.17803030303030301</v>
      </c>
      <c r="X231" s="75">
        <v>0.3125</v>
      </c>
      <c r="Y231" s="75">
        <v>1.5</v>
      </c>
      <c r="Z231" s="75">
        <v>3</v>
      </c>
      <c r="AA231" s="75" t="s">
        <v>26</v>
      </c>
      <c r="AB231" s="75">
        <v>2</v>
      </c>
      <c r="AC231" s="75">
        <v>1</v>
      </c>
      <c r="AD231" s="2" t="s">
        <v>522</v>
      </c>
    </row>
    <row r="232" spans="1:30" x14ac:dyDescent="0.3">
      <c r="A232" s="1">
        <v>231</v>
      </c>
      <c r="B232" s="71">
        <v>1</v>
      </c>
      <c r="C232" s="71">
        <v>1</v>
      </c>
      <c r="D232" s="71">
        <v>1</v>
      </c>
      <c r="E232" s="71">
        <v>1</v>
      </c>
      <c r="F232" s="74">
        <v>5</v>
      </c>
      <c r="G232" s="72" t="s">
        <v>275</v>
      </c>
      <c r="H232" s="74">
        <v>10</v>
      </c>
      <c r="I232" s="72" t="s">
        <v>114</v>
      </c>
      <c r="J232" s="74">
        <v>1</v>
      </c>
      <c r="K232" s="72">
        <v>1</v>
      </c>
      <c r="L232" s="74">
        <v>1</v>
      </c>
      <c r="M232" s="75" t="s">
        <v>26</v>
      </c>
      <c r="N232" s="75">
        <v>0.19642857142857142</v>
      </c>
      <c r="O232" s="75">
        <v>0.66666666666666663</v>
      </c>
      <c r="P232" s="75">
        <v>1</v>
      </c>
      <c r="Q232" s="75">
        <v>1</v>
      </c>
      <c r="R232" s="75">
        <v>3</v>
      </c>
      <c r="S232" s="75">
        <v>2</v>
      </c>
      <c r="T232" s="75">
        <v>4</v>
      </c>
      <c r="U232" s="75">
        <v>2</v>
      </c>
      <c r="V232" s="75">
        <v>3</v>
      </c>
      <c r="W232" s="75">
        <v>0.26136363636363635</v>
      </c>
      <c r="X232" s="75">
        <v>0.375</v>
      </c>
      <c r="Y232" s="75">
        <v>2</v>
      </c>
      <c r="Z232" s="75">
        <v>4</v>
      </c>
      <c r="AA232" s="75" t="s">
        <v>26</v>
      </c>
      <c r="AB232" s="75">
        <v>2</v>
      </c>
      <c r="AC232" s="75">
        <v>1</v>
      </c>
      <c r="AD232" s="2" t="s">
        <v>523</v>
      </c>
    </row>
    <row r="233" spans="1:30" x14ac:dyDescent="0.3">
      <c r="A233" s="1">
        <v>232</v>
      </c>
      <c r="B233" s="71">
        <v>1</v>
      </c>
      <c r="C233" s="71">
        <v>1</v>
      </c>
      <c r="D233" s="71">
        <v>1</v>
      </c>
      <c r="E233" s="71">
        <v>1</v>
      </c>
      <c r="F233" s="74">
        <v>5</v>
      </c>
      <c r="G233" s="72" t="s">
        <v>74</v>
      </c>
      <c r="H233" s="74">
        <v>15</v>
      </c>
      <c r="I233" s="72" t="s">
        <v>120</v>
      </c>
      <c r="J233" s="74">
        <v>2</v>
      </c>
      <c r="K233" s="72" t="s">
        <v>120</v>
      </c>
      <c r="L233" s="74">
        <v>3</v>
      </c>
      <c r="M233" s="75" t="s">
        <v>26</v>
      </c>
      <c r="N233" s="75">
        <v>0.39285714285714285</v>
      </c>
      <c r="O233" s="75">
        <v>0</v>
      </c>
      <c r="P233" s="75">
        <v>1</v>
      </c>
      <c r="Q233" s="75">
        <v>1</v>
      </c>
      <c r="R233" s="75">
        <v>5</v>
      </c>
      <c r="S233" s="75">
        <v>3</v>
      </c>
      <c r="T233" s="75">
        <v>5</v>
      </c>
      <c r="U233" s="75">
        <v>2</v>
      </c>
      <c r="V233" s="75">
        <v>3</v>
      </c>
      <c r="W233" s="75">
        <v>0.43560606060606061</v>
      </c>
      <c r="X233" s="75">
        <v>0.625</v>
      </c>
      <c r="Y233" s="75">
        <v>2</v>
      </c>
      <c r="Z233" s="75">
        <v>5</v>
      </c>
      <c r="AA233" s="75" t="s">
        <v>26</v>
      </c>
      <c r="AB233" s="75">
        <v>4</v>
      </c>
      <c r="AC233" s="75">
        <v>3</v>
      </c>
      <c r="AD233" s="2" t="s">
        <v>524</v>
      </c>
    </row>
    <row r="234" spans="1:30" x14ac:dyDescent="0.3">
      <c r="A234" s="1">
        <v>233</v>
      </c>
      <c r="B234" s="71">
        <v>0</v>
      </c>
      <c r="C234" s="71">
        <v>0</v>
      </c>
      <c r="D234" s="71">
        <v>1</v>
      </c>
      <c r="E234" s="71">
        <v>1</v>
      </c>
      <c r="F234" s="74">
        <v>0</v>
      </c>
      <c r="G234" s="72" t="s">
        <v>525</v>
      </c>
      <c r="H234" s="74">
        <v>10</v>
      </c>
      <c r="I234" s="72" t="s">
        <v>198</v>
      </c>
      <c r="J234" s="74">
        <v>1</v>
      </c>
      <c r="K234" s="72" t="s">
        <v>43</v>
      </c>
      <c r="L234" s="74">
        <v>2</v>
      </c>
      <c r="M234" s="75" t="s">
        <v>26</v>
      </c>
      <c r="N234" s="75">
        <v>0.23214285714285715</v>
      </c>
      <c r="O234" s="75">
        <v>1</v>
      </c>
      <c r="P234" s="75">
        <v>1</v>
      </c>
      <c r="Q234" s="75">
        <v>1</v>
      </c>
      <c r="R234" s="75">
        <v>4</v>
      </c>
      <c r="S234" s="75">
        <v>1</v>
      </c>
      <c r="T234" s="75">
        <v>5</v>
      </c>
      <c r="U234" s="75">
        <v>1</v>
      </c>
      <c r="V234" s="75">
        <v>4</v>
      </c>
      <c r="W234" s="75">
        <v>0.21969696969696967</v>
      </c>
      <c r="X234" s="75">
        <v>0.5625</v>
      </c>
      <c r="Y234" s="75">
        <v>4</v>
      </c>
      <c r="Z234" s="75">
        <v>5</v>
      </c>
      <c r="AA234" s="75" t="s">
        <v>26</v>
      </c>
      <c r="AB234" s="75">
        <v>5</v>
      </c>
      <c r="AC234" s="75">
        <v>5</v>
      </c>
      <c r="AD234" s="2" t="s">
        <v>526</v>
      </c>
    </row>
    <row r="235" spans="1:30" x14ac:dyDescent="0.3">
      <c r="A235" s="1">
        <v>234</v>
      </c>
      <c r="B235" s="71">
        <v>1</v>
      </c>
      <c r="C235" s="71">
        <v>1</v>
      </c>
      <c r="D235" s="71">
        <v>1</v>
      </c>
      <c r="E235" s="71">
        <v>1</v>
      </c>
      <c r="F235" s="74">
        <v>5</v>
      </c>
      <c r="G235" s="72" t="s">
        <v>527</v>
      </c>
      <c r="H235" s="74">
        <v>10</v>
      </c>
      <c r="I235" s="72" t="s">
        <v>528</v>
      </c>
      <c r="J235" s="74">
        <v>1</v>
      </c>
      <c r="K235" s="72" t="s">
        <v>43</v>
      </c>
      <c r="L235" s="74">
        <v>2</v>
      </c>
      <c r="M235" s="75" t="s">
        <v>26</v>
      </c>
      <c r="N235" s="75">
        <v>0.35714285714285715</v>
      </c>
      <c r="O235" s="75">
        <v>0</v>
      </c>
      <c r="P235" s="75">
        <v>1</v>
      </c>
      <c r="Q235" s="75">
        <v>1</v>
      </c>
      <c r="R235" s="75">
        <v>3</v>
      </c>
      <c r="S235" s="75">
        <v>2</v>
      </c>
      <c r="T235" s="75">
        <v>4</v>
      </c>
      <c r="U235" s="75">
        <v>5</v>
      </c>
      <c r="V235" s="75">
        <v>2.5</v>
      </c>
      <c r="W235" s="75">
        <v>0.12878787878787878</v>
      </c>
      <c r="X235" s="75">
        <v>0.3125</v>
      </c>
      <c r="Y235" s="75">
        <v>3</v>
      </c>
      <c r="Z235" s="75">
        <v>4</v>
      </c>
      <c r="AA235" s="75" t="s">
        <v>26</v>
      </c>
      <c r="AB235" s="75">
        <v>2</v>
      </c>
      <c r="AC235" s="75">
        <v>1</v>
      </c>
      <c r="AD235" s="2" t="s">
        <v>529</v>
      </c>
    </row>
    <row r="236" spans="1:30" x14ac:dyDescent="0.3">
      <c r="A236" s="1">
        <v>235</v>
      </c>
      <c r="B236" s="71">
        <v>1</v>
      </c>
      <c r="C236" s="71">
        <v>1</v>
      </c>
      <c r="D236" s="71">
        <v>1</v>
      </c>
      <c r="E236" s="71">
        <v>0</v>
      </c>
      <c r="F236" s="74">
        <v>2.5</v>
      </c>
      <c r="G236" s="72" t="s">
        <v>530</v>
      </c>
      <c r="H236" s="74">
        <v>10</v>
      </c>
      <c r="I236" s="72" t="s">
        <v>121</v>
      </c>
      <c r="J236" s="74">
        <v>1</v>
      </c>
      <c r="K236" s="72" t="s">
        <v>43</v>
      </c>
      <c r="L236" s="74">
        <v>2</v>
      </c>
      <c r="M236" s="75" t="s">
        <v>26</v>
      </c>
      <c r="N236" s="75">
        <v>0.26785714285714285</v>
      </c>
      <c r="O236" s="75">
        <v>0.66666666666666663</v>
      </c>
      <c r="P236" s="75">
        <v>1</v>
      </c>
      <c r="Q236" s="75">
        <v>1</v>
      </c>
      <c r="R236" s="75">
        <v>5</v>
      </c>
      <c r="S236" s="75">
        <v>2</v>
      </c>
      <c r="T236" s="75">
        <v>5</v>
      </c>
      <c r="U236" s="75">
        <v>3</v>
      </c>
      <c r="V236" s="75">
        <v>4</v>
      </c>
      <c r="W236" s="75">
        <v>0.17803030303030301</v>
      </c>
      <c r="X236" s="75">
        <v>0.625</v>
      </c>
      <c r="Y236" s="75">
        <v>3</v>
      </c>
      <c r="Z236" s="75">
        <v>5</v>
      </c>
      <c r="AA236" s="75" t="s">
        <v>26</v>
      </c>
      <c r="AB236" s="75">
        <v>3</v>
      </c>
      <c r="AC236" s="75">
        <v>2</v>
      </c>
      <c r="AD236" s="2" t="s">
        <v>531</v>
      </c>
    </row>
    <row r="237" spans="1:30" x14ac:dyDescent="0.3">
      <c r="A237" s="1">
        <v>236</v>
      </c>
      <c r="B237" s="71">
        <v>1</v>
      </c>
      <c r="C237" s="71">
        <v>1</v>
      </c>
      <c r="D237" s="71">
        <v>1</v>
      </c>
      <c r="E237" s="71">
        <v>0</v>
      </c>
      <c r="F237" s="74">
        <v>2.5</v>
      </c>
      <c r="G237" s="72" t="s">
        <v>76</v>
      </c>
      <c r="H237" s="74">
        <v>10</v>
      </c>
      <c r="I237" s="72" t="s">
        <v>153</v>
      </c>
      <c r="J237" s="74">
        <v>1</v>
      </c>
      <c r="K237" s="72" t="s">
        <v>148</v>
      </c>
      <c r="L237" s="74">
        <v>2</v>
      </c>
      <c r="M237" s="75" t="s">
        <v>26</v>
      </c>
      <c r="N237" s="75">
        <v>0.19642857142857142</v>
      </c>
      <c r="O237" s="75">
        <v>0</v>
      </c>
      <c r="P237" s="75">
        <v>1</v>
      </c>
      <c r="Q237" s="75">
        <v>1</v>
      </c>
      <c r="R237" s="75">
        <v>2</v>
      </c>
      <c r="S237" s="75">
        <v>1</v>
      </c>
      <c r="T237" s="75">
        <v>2</v>
      </c>
      <c r="U237" s="75">
        <v>3</v>
      </c>
      <c r="V237" s="75">
        <v>3.5</v>
      </c>
      <c r="W237" s="75">
        <v>0.17045454545454547</v>
      </c>
      <c r="X237" s="75">
        <v>0.1875</v>
      </c>
      <c r="Y237" s="75">
        <v>2</v>
      </c>
      <c r="Z237" s="75">
        <v>2</v>
      </c>
      <c r="AA237" s="75" t="s">
        <v>26</v>
      </c>
      <c r="AB237" s="75">
        <v>2</v>
      </c>
      <c r="AC237" s="75">
        <v>2</v>
      </c>
      <c r="AD237" s="2" t="s">
        <v>532</v>
      </c>
    </row>
    <row r="238" spans="1:30" x14ac:dyDescent="0.3">
      <c r="A238" s="1">
        <v>237</v>
      </c>
      <c r="B238" s="71">
        <v>1</v>
      </c>
      <c r="C238" s="71">
        <v>1</v>
      </c>
      <c r="D238" s="71">
        <v>1</v>
      </c>
      <c r="E238" s="71">
        <v>1</v>
      </c>
      <c r="F238" s="74">
        <v>5</v>
      </c>
      <c r="G238" s="72" t="s">
        <v>533</v>
      </c>
      <c r="H238" s="74">
        <v>10</v>
      </c>
      <c r="I238" s="72" t="s">
        <v>43</v>
      </c>
      <c r="J238" s="74">
        <v>1</v>
      </c>
      <c r="K238" s="72" t="s">
        <v>43</v>
      </c>
      <c r="L238" s="74">
        <v>2</v>
      </c>
      <c r="M238" s="75" t="s">
        <v>26</v>
      </c>
      <c r="N238" s="75">
        <v>0.19642857142857142</v>
      </c>
      <c r="O238" s="75">
        <v>0</v>
      </c>
      <c r="P238" s="75">
        <v>1</v>
      </c>
      <c r="Q238" s="75">
        <v>1</v>
      </c>
      <c r="R238" s="75">
        <v>4</v>
      </c>
      <c r="S238" s="75">
        <v>1</v>
      </c>
      <c r="T238" s="75">
        <v>2</v>
      </c>
      <c r="U238" s="75">
        <v>1</v>
      </c>
      <c r="V238" s="75">
        <v>2</v>
      </c>
      <c r="W238" s="75">
        <v>0.31060606060606061</v>
      </c>
      <c r="X238" s="75">
        <v>0.3125</v>
      </c>
      <c r="Y238" s="75">
        <v>2.5</v>
      </c>
      <c r="Z238" s="75">
        <v>3</v>
      </c>
      <c r="AA238" s="75" t="s">
        <v>26</v>
      </c>
      <c r="AB238" s="75">
        <v>3</v>
      </c>
      <c r="AC238" s="75">
        <v>1</v>
      </c>
      <c r="AD238" s="2" t="s">
        <v>534</v>
      </c>
    </row>
    <row r="239" spans="1:30" x14ac:dyDescent="0.3">
      <c r="A239" s="1">
        <v>238</v>
      </c>
      <c r="B239" s="71">
        <v>1</v>
      </c>
      <c r="C239" s="71">
        <v>1</v>
      </c>
      <c r="D239" s="71">
        <v>1</v>
      </c>
      <c r="E239" s="71">
        <v>1</v>
      </c>
      <c r="F239" s="74">
        <v>5</v>
      </c>
      <c r="G239" s="72" t="s">
        <v>145</v>
      </c>
      <c r="H239" s="74">
        <v>10</v>
      </c>
      <c r="I239" s="72" t="s">
        <v>271</v>
      </c>
      <c r="J239" s="74">
        <v>1</v>
      </c>
      <c r="K239" s="72" t="s">
        <v>271</v>
      </c>
      <c r="L239" s="74">
        <v>2</v>
      </c>
      <c r="M239" s="75" t="s">
        <v>26</v>
      </c>
      <c r="N239" s="75">
        <v>0.3035714285714286</v>
      </c>
      <c r="O239" s="75">
        <v>0.66666666666666663</v>
      </c>
      <c r="P239" s="75">
        <v>1</v>
      </c>
      <c r="Q239" s="75">
        <v>1</v>
      </c>
      <c r="R239" s="75">
        <v>4</v>
      </c>
      <c r="S239" s="75">
        <v>1</v>
      </c>
      <c r="T239" s="75">
        <v>5</v>
      </c>
      <c r="U239" s="75">
        <v>1</v>
      </c>
      <c r="V239" s="75">
        <v>4</v>
      </c>
      <c r="W239" s="75">
        <v>0.43560606060606061</v>
      </c>
      <c r="X239" s="75">
        <v>0.5625</v>
      </c>
      <c r="Y239" s="75">
        <v>2.5</v>
      </c>
      <c r="Z239" s="75">
        <v>5</v>
      </c>
      <c r="AA239" s="75" t="s">
        <v>26</v>
      </c>
      <c r="AB239" s="75">
        <v>3</v>
      </c>
      <c r="AC239" s="75">
        <v>2</v>
      </c>
      <c r="AD239" s="2" t="s">
        <v>535</v>
      </c>
    </row>
    <row r="240" spans="1:30" x14ac:dyDescent="0.3">
      <c r="A240" s="1">
        <v>239</v>
      </c>
      <c r="B240" s="71">
        <v>1</v>
      </c>
      <c r="C240" s="71">
        <v>0</v>
      </c>
      <c r="D240" s="71">
        <v>1</v>
      </c>
      <c r="E240" s="71">
        <v>1</v>
      </c>
      <c r="F240" s="74">
        <v>2.5</v>
      </c>
      <c r="G240" s="72" t="s">
        <v>150</v>
      </c>
      <c r="H240" s="74">
        <v>10</v>
      </c>
      <c r="I240" s="72" t="s">
        <v>347</v>
      </c>
      <c r="J240" s="74">
        <v>2</v>
      </c>
      <c r="K240" s="72" t="s">
        <v>191</v>
      </c>
      <c r="L240" s="74">
        <v>2</v>
      </c>
      <c r="M240" s="75" t="s">
        <v>26</v>
      </c>
      <c r="N240" s="75">
        <v>0.3035714285714286</v>
      </c>
      <c r="O240" s="75">
        <v>0.66666666666666663</v>
      </c>
      <c r="P240" s="75">
        <v>5</v>
      </c>
      <c r="Q240" s="75">
        <v>5</v>
      </c>
      <c r="R240" s="75">
        <v>2</v>
      </c>
      <c r="S240" s="75">
        <v>1</v>
      </c>
      <c r="T240" s="75">
        <v>2</v>
      </c>
      <c r="U240" s="75">
        <v>3</v>
      </c>
      <c r="V240" s="75">
        <v>2.5</v>
      </c>
      <c r="W240" s="75">
        <v>0.34848484848484851</v>
      </c>
      <c r="X240" s="75">
        <v>0.4375</v>
      </c>
      <c r="Y240" s="75">
        <v>2.5</v>
      </c>
      <c r="Z240" s="75">
        <v>2</v>
      </c>
      <c r="AA240" s="75" t="s">
        <v>26</v>
      </c>
      <c r="AB240" s="75">
        <v>3</v>
      </c>
      <c r="AC240" s="75">
        <v>2</v>
      </c>
      <c r="AD240" s="2" t="s">
        <v>536</v>
      </c>
    </row>
    <row r="241" spans="1:30" x14ac:dyDescent="0.3">
      <c r="A241" s="1">
        <v>240</v>
      </c>
      <c r="B241" s="71">
        <v>1</v>
      </c>
      <c r="C241" s="71">
        <v>1</v>
      </c>
      <c r="D241" s="71">
        <v>1</v>
      </c>
      <c r="E241" s="71">
        <v>1</v>
      </c>
      <c r="F241" s="74">
        <v>5</v>
      </c>
      <c r="G241" s="72" t="s">
        <v>537</v>
      </c>
      <c r="H241" s="74">
        <v>10</v>
      </c>
      <c r="I241" s="72" t="s">
        <v>90</v>
      </c>
      <c r="J241" s="74">
        <v>2</v>
      </c>
      <c r="K241" s="72" t="s">
        <v>271</v>
      </c>
      <c r="L241" s="74">
        <v>2</v>
      </c>
      <c r="M241" s="75" t="s">
        <v>26</v>
      </c>
      <c r="N241" s="75">
        <v>0.26785714285714285</v>
      </c>
      <c r="O241" s="75">
        <v>0</v>
      </c>
      <c r="P241" s="75">
        <v>5</v>
      </c>
      <c r="Q241" s="75">
        <v>5</v>
      </c>
      <c r="R241" s="75">
        <v>2</v>
      </c>
      <c r="S241" s="75">
        <v>1</v>
      </c>
      <c r="T241" s="75">
        <v>2</v>
      </c>
      <c r="U241" s="75">
        <v>3</v>
      </c>
      <c r="V241" s="75">
        <v>2.5</v>
      </c>
      <c r="W241" s="75">
        <v>0.26136363636363635</v>
      </c>
      <c r="X241" s="75">
        <v>0.4375</v>
      </c>
      <c r="Y241" s="75">
        <v>1.5</v>
      </c>
      <c r="Z241" s="75">
        <v>4</v>
      </c>
      <c r="AA241" s="75" t="s">
        <v>26</v>
      </c>
      <c r="AB241" s="75">
        <v>1</v>
      </c>
      <c r="AC241" s="75">
        <v>2</v>
      </c>
      <c r="AD241" s="2" t="s">
        <v>538</v>
      </c>
    </row>
    <row r="242" spans="1:30" x14ac:dyDescent="0.3">
      <c r="A242" s="1">
        <v>241</v>
      </c>
      <c r="B242" s="71">
        <v>1</v>
      </c>
      <c r="C242" s="71">
        <v>1</v>
      </c>
      <c r="D242" s="71">
        <v>1</v>
      </c>
      <c r="E242" s="71">
        <v>1</v>
      </c>
      <c r="F242" s="74">
        <v>5</v>
      </c>
      <c r="G242" s="72" t="s">
        <v>79</v>
      </c>
      <c r="H242" s="74">
        <v>10</v>
      </c>
      <c r="I242" s="72">
        <v>2</v>
      </c>
      <c r="J242" s="74">
        <v>0</v>
      </c>
      <c r="K242" s="72">
        <v>2</v>
      </c>
      <c r="L242" s="74">
        <v>1</v>
      </c>
      <c r="M242" s="75" t="s">
        <v>26</v>
      </c>
      <c r="N242" s="75">
        <v>0.3392857142857143</v>
      </c>
      <c r="O242" s="75">
        <v>1</v>
      </c>
      <c r="P242" s="75">
        <v>5</v>
      </c>
      <c r="Q242" s="75">
        <v>5</v>
      </c>
      <c r="R242" s="75">
        <v>2</v>
      </c>
      <c r="S242" s="75">
        <v>5</v>
      </c>
      <c r="T242" s="75">
        <v>5</v>
      </c>
      <c r="U242" s="75">
        <v>2</v>
      </c>
      <c r="V242" s="75">
        <v>2</v>
      </c>
      <c r="W242" s="75">
        <v>0.21969696969696967</v>
      </c>
      <c r="X242" s="75">
        <v>0.4375</v>
      </c>
      <c r="Y242" s="75">
        <v>2</v>
      </c>
      <c r="Z242" s="75">
        <v>5</v>
      </c>
      <c r="AA242" s="75" t="s">
        <v>26</v>
      </c>
      <c r="AB242" s="75">
        <v>5</v>
      </c>
      <c r="AC242" s="75">
        <v>5</v>
      </c>
      <c r="AD242" s="2" t="s">
        <v>539</v>
      </c>
    </row>
    <row r="243" spans="1:30" x14ac:dyDescent="0.3">
      <c r="A243" s="1">
        <v>242</v>
      </c>
      <c r="B243" s="71">
        <v>1</v>
      </c>
      <c r="C243" s="71">
        <v>0</v>
      </c>
      <c r="D243" s="71">
        <v>1</v>
      </c>
      <c r="E243" s="71">
        <v>1</v>
      </c>
      <c r="F243" s="74">
        <v>2.5</v>
      </c>
      <c r="G243" s="72" t="s">
        <v>540</v>
      </c>
      <c r="H243" s="74">
        <v>10</v>
      </c>
      <c r="I243" s="72" t="s">
        <v>157</v>
      </c>
      <c r="J243" s="74">
        <v>1</v>
      </c>
      <c r="K243" s="72">
        <v>5</v>
      </c>
      <c r="L243" s="74">
        <v>1</v>
      </c>
      <c r="M243" s="75" t="s">
        <v>26</v>
      </c>
      <c r="N243" s="75">
        <v>0.3035714285714286</v>
      </c>
      <c r="O243" s="75">
        <v>0</v>
      </c>
      <c r="P243" s="75">
        <v>5</v>
      </c>
      <c r="Q243" s="75">
        <v>5</v>
      </c>
      <c r="R243" s="75">
        <v>2</v>
      </c>
      <c r="S243" s="75">
        <v>1</v>
      </c>
      <c r="T243" s="75">
        <v>1</v>
      </c>
      <c r="U243" s="75">
        <v>2</v>
      </c>
      <c r="V243" s="75">
        <v>1</v>
      </c>
      <c r="W243" s="75">
        <v>0.17803030303030301</v>
      </c>
      <c r="X243" s="75">
        <v>0.3125</v>
      </c>
      <c r="Y243" s="75">
        <v>1.5</v>
      </c>
      <c r="Z243" s="75">
        <v>1</v>
      </c>
      <c r="AA243" s="75" t="s">
        <v>26</v>
      </c>
      <c r="AB243" s="75">
        <v>1</v>
      </c>
      <c r="AC243" s="75">
        <v>1</v>
      </c>
      <c r="AD243" s="2" t="s">
        <v>541</v>
      </c>
    </row>
    <row r="244" spans="1:30" x14ac:dyDescent="0.3">
      <c r="A244" s="1">
        <v>243</v>
      </c>
      <c r="B244" s="71">
        <v>1</v>
      </c>
      <c r="C244" s="71">
        <v>1</v>
      </c>
      <c r="D244" s="71">
        <v>0</v>
      </c>
      <c r="E244" s="71">
        <v>1</v>
      </c>
      <c r="F244" s="74">
        <v>2.5</v>
      </c>
      <c r="G244" s="72" t="s">
        <v>277</v>
      </c>
      <c r="H244" s="74">
        <v>5</v>
      </c>
      <c r="I244" s="72" t="s">
        <v>30</v>
      </c>
      <c r="J244" s="74">
        <v>1</v>
      </c>
      <c r="K244" s="72" t="s">
        <v>343</v>
      </c>
      <c r="L244" s="74">
        <v>2</v>
      </c>
      <c r="M244" s="75" t="s">
        <v>26</v>
      </c>
      <c r="N244" s="75">
        <v>0.26785714285714285</v>
      </c>
      <c r="O244" s="75">
        <v>0.66666666666666663</v>
      </c>
      <c r="P244" s="75">
        <v>4</v>
      </c>
      <c r="Q244" s="75">
        <v>4</v>
      </c>
      <c r="R244" s="75">
        <v>3</v>
      </c>
      <c r="S244" s="75">
        <v>3</v>
      </c>
      <c r="T244" s="75">
        <v>4</v>
      </c>
      <c r="U244" s="75">
        <v>3</v>
      </c>
      <c r="V244" s="75">
        <v>1.5</v>
      </c>
      <c r="W244" s="75">
        <v>0.30681818181818182</v>
      </c>
      <c r="X244" s="75">
        <v>0.25</v>
      </c>
      <c r="Y244" s="75">
        <v>2.5</v>
      </c>
      <c r="Z244" s="75">
        <v>5</v>
      </c>
      <c r="AA244" s="75" t="s">
        <v>26</v>
      </c>
      <c r="AB244" s="75">
        <v>3</v>
      </c>
      <c r="AC244" s="75">
        <v>3</v>
      </c>
      <c r="AD244" s="2" t="s">
        <v>542</v>
      </c>
    </row>
    <row r="245" spans="1:30" x14ac:dyDescent="0.3">
      <c r="A245" s="1">
        <v>244</v>
      </c>
      <c r="B245" s="71">
        <v>1</v>
      </c>
      <c r="C245" s="71">
        <v>1</v>
      </c>
      <c r="D245" s="71">
        <v>1</v>
      </c>
      <c r="E245" s="71">
        <v>1</v>
      </c>
      <c r="F245" s="74">
        <v>5</v>
      </c>
      <c r="G245" s="72" t="s">
        <v>277</v>
      </c>
      <c r="H245" s="74">
        <v>5</v>
      </c>
      <c r="I245" s="72" t="s">
        <v>153</v>
      </c>
      <c r="J245" s="74">
        <v>1</v>
      </c>
      <c r="K245" s="72" t="s">
        <v>84</v>
      </c>
      <c r="L245" s="74">
        <v>2</v>
      </c>
      <c r="M245" s="75" t="s">
        <v>26</v>
      </c>
      <c r="N245" s="75">
        <v>0.23214285714285715</v>
      </c>
      <c r="O245" s="75">
        <v>1</v>
      </c>
      <c r="P245" s="75">
        <v>3</v>
      </c>
      <c r="Q245" s="75">
        <v>3</v>
      </c>
      <c r="R245" s="75">
        <v>2</v>
      </c>
      <c r="S245" s="75">
        <v>3</v>
      </c>
      <c r="T245" s="75">
        <v>5</v>
      </c>
      <c r="U245" s="75">
        <v>4</v>
      </c>
      <c r="V245" s="75">
        <v>3</v>
      </c>
      <c r="W245" s="75">
        <v>0.21969696969696967</v>
      </c>
      <c r="X245" s="75">
        <v>0.5625</v>
      </c>
      <c r="Y245" s="75">
        <v>3</v>
      </c>
      <c r="Z245" s="75">
        <v>5</v>
      </c>
      <c r="AA245" s="75" t="s">
        <v>26</v>
      </c>
      <c r="AB245" s="75">
        <v>4</v>
      </c>
      <c r="AC245" s="75">
        <v>3</v>
      </c>
      <c r="AD245" s="2" t="s">
        <v>543</v>
      </c>
    </row>
    <row r="246" spans="1:30" x14ac:dyDescent="0.3">
      <c r="A246" s="1">
        <v>245</v>
      </c>
      <c r="B246" s="71">
        <v>1</v>
      </c>
      <c r="C246" s="71">
        <v>0</v>
      </c>
      <c r="D246" s="71">
        <v>1</v>
      </c>
      <c r="E246" s="71">
        <v>1</v>
      </c>
      <c r="F246" s="74">
        <v>2.5</v>
      </c>
      <c r="G246" s="72" t="s">
        <v>544</v>
      </c>
      <c r="H246" s="74">
        <v>10</v>
      </c>
      <c r="I246" s="72" t="s">
        <v>545</v>
      </c>
      <c r="J246" s="74">
        <v>2</v>
      </c>
      <c r="K246" s="72" t="s">
        <v>456</v>
      </c>
      <c r="L246" s="74">
        <v>3</v>
      </c>
      <c r="M246" s="75" t="s">
        <v>26</v>
      </c>
      <c r="N246" s="75">
        <v>0.19642857142857142</v>
      </c>
      <c r="O246" s="75">
        <v>0.33333333333333331</v>
      </c>
      <c r="P246" s="75">
        <v>5</v>
      </c>
      <c r="Q246" s="75">
        <v>5</v>
      </c>
      <c r="R246" s="75">
        <v>3</v>
      </c>
      <c r="S246" s="75">
        <v>2</v>
      </c>
      <c r="T246" s="75">
        <v>2</v>
      </c>
      <c r="U246" s="75">
        <v>3</v>
      </c>
      <c r="V246" s="75">
        <v>3.5</v>
      </c>
      <c r="W246" s="75">
        <v>0.39015151515151514</v>
      </c>
      <c r="X246" s="75">
        <v>0.375</v>
      </c>
      <c r="Y246" s="75">
        <v>2</v>
      </c>
      <c r="Z246" s="75">
        <v>2</v>
      </c>
      <c r="AA246" s="75" t="s">
        <v>26</v>
      </c>
      <c r="AB246" s="75">
        <v>2</v>
      </c>
      <c r="AC246" s="75">
        <v>2</v>
      </c>
      <c r="AD246" s="2" t="s">
        <v>546</v>
      </c>
    </row>
    <row r="247" spans="1:30" x14ac:dyDescent="0.3">
      <c r="A247" s="1">
        <v>246</v>
      </c>
      <c r="B247" s="71">
        <v>1</v>
      </c>
      <c r="C247" s="71">
        <v>1</v>
      </c>
      <c r="D247" s="71">
        <v>1</v>
      </c>
      <c r="E247" s="71">
        <v>0</v>
      </c>
      <c r="F247" s="74">
        <v>2.5</v>
      </c>
      <c r="G247" s="72" t="s">
        <v>154</v>
      </c>
      <c r="H247" s="74">
        <v>10</v>
      </c>
      <c r="I247" s="72" t="s">
        <v>154</v>
      </c>
      <c r="J247" s="74">
        <v>1</v>
      </c>
      <c r="K247" s="72" t="s">
        <v>153</v>
      </c>
      <c r="L247" s="74">
        <v>2</v>
      </c>
      <c r="M247" s="75" t="s">
        <v>26</v>
      </c>
      <c r="N247" s="75">
        <v>0.19642857142857142</v>
      </c>
      <c r="O247" s="75">
        <v>0.66666666666666663</v>
      </c>
      <c r="P247" s="75">
        <v>5</v>
      </c>
      <c r="Q247" s="75">
        <v>4</v>
      </c>
      <c r="R247" s="75">
        <v>4</v>
      </c>
      <c r="S247" s="75">
        <v>2</v>
      </c>
      <c r="T247" s="75">
        <v>5</v>
      </c>
      <c r="U247" s="75">
        <v>3</v>
      </c>
      <c r="V247" s="75">
        <v>2.5</v>
      </c>
      <c r="W247" s="75">
        <v>0.13257575757575757</v>
      </c>
      <c r="X247" s="75">
        <v>0.25</v>
      </c>
      <c r="Y247" s="75">
        <v>1.5</v>
      </c>
      <c r="Z247" s="75">
        <v>5</v>
      </c>
      <c r="AA247" s="75" t="s">
        <v>26</v>
      </c>
      <c r="AB247" s="75">
        <v>4</v>
      </c>
      <c r="AC247" s="75">
        <v>2</v>
      </c>
      <c r="AD247" s="2" t="s">
        <v>547</v>
      </c>
    </row>
    <row r="248" spans="1:30" x14ac:dyDescent="0.3">
      <c r="A248" s="1">
        <v>247</v>
      </c>
      <c r="B248" s="71">
        <v>0</v>
      </c>
      <c r="C248" s="71">
        <v>1</v>
      </c>
      <c r="D248" s="71">
        <v>1</v>
      </c>
      <c r="E248" s="71">
        <v>1</v>
      </c>
      <c r="F248" s="74">
        <v>2.5</v>
      </c>
      <c r="G248" s="72" t="s">
        <v>147</v>
      </c>
      <c r="H248" s="74">
        <v>5</v>
      </c>
      <c r="I248" s="72">
        <v>8</v>
      </c>
      <c r="J248" s="74">
        <v>0</v>
      </c>
      <c r="K248" s="72">
        <v>8</v>
      </c>
      <c r="L248" s="74">
        <v>1</v>
      </c>
      <c r="M248" s="75" t="s">
        <v>26</v>
      </c>
      <c r="N248" s="75">
        <v>0.26785714285714285</v>
      </c>
      <c r="O248" s="75">
        <v>0.33333333333333331</v>
      </c>
      <c r="P248" s="75">
        <v>5</v>
      </c>
      <c r="Q248" s="75">
        <v>4</v>
      </c>
      <c r="R248" s="75">
        <v>3</v>
      </c>
      <c r="S248" s="75">
        <v>3</v>
      </c>
      <c r="T248" s="75">
        <v>4</v>
      </c>
      <c r="U248" s="75">
        <v>4</v>
      </c>
      <c r="V248" s="75">
        <v>2.5</v>
      </c>
      <c r="W248" s="75">
        <v>0.21590909090909091</v>
      </c>
      <c r="X248" s="75">
        <v>0.6875</v>
      </c>
      <c r="Y248" s="75">
        <v>1.5</v>
      </c>
      <c r="Z248" s="75">
        <v>4</v>
      </c>
      <c r="AA248" s="75" t="s">
        <v>26</v>
      </c>
      <c r="AB248" s="75">
        <v>5</v>
      </c>
      <c r="AC248" s="75">
        <v>1</v>
      </c>
      <c r="AD248" s="2" t="s">
        <v>548</v>
      </c>
    </row>
    <row r="249" spans="1:30" x14ac:dyDescent="0.3">
      <c r="A249" s="1">
        <v>248</v>
      </c>
      <c r="B249" s="71">
        <v>1</v>
      </c>
      <c r="C249" s="71">
        <v>0</v>
      </c>
      <c r="D249" s="71">
        <v>1</v>
      </c>
      <c r="E249" s="71">
        <v>1</v>
      </c>
      <c r="F249" s="74">
        <v>2.5</v>
      </c>
      <c r="G249" s="72" t="s">
        <v>549</v>
      </c>
      <c r="H249" s="74">
        <v>10</v>
      </c>
      <c r="I249" s="72" t="s">
        <v>164</v>
      </c>
      <c r="J249" s="74">
        <v>1</v>
      </c>
      <c r="K249" s="72" t="s">
        <v>294</v>
      </c>
      <c r="L249" s="74">
        <v>2</v>
      </c>
      <c r="M249" s="75" t="s">
        <v>26</v>
      </c>
      <c r="N249" s="75">
        <v>0.39285714285714285</v>
      </c>
      <c r="O249" s="75">
        <v>1</v>
      </c>
      <c r="P249" s="75">
        <v>3</v>
      </c>
      <c r="Q249" s="75">
        <v>3</v>
      </c>
      <c r="R249" s="75">
        <v>2</v>
      </c>
      <c r="S249" s="75">
        <v>5</v>
      </c>
      <c r="T249" s="75">
        <v>5</v>
      </c>
      <c r="U249" s="75">
        <v>3</v>
      </c>
      <c r="V249" s="75">
        <v>2.5</v>
      </c>
      <c r="W249" s="75">
        <v>0.26136363636363635</v>
      </c>
      <c r="X249" s="75">
        <v>0.5625</v>
      </c>
      <c r="Y249" s="75">
        <v>2</v>
      </c>
      <c r="Z249" s="75">
        <v>3</v>
      </c>
      <c r="AA249" s="75" t="s">
        <v>26</v>
      </c>
      <c r="AB249" s="75">
        <v>3</v>
      </c>
      <c r="AC249" s="75">
        <v>3</v>
      </c>
      <c r="AD249" s="2" t="s">
        <v>550</v>
      </c>
    </row>
    <row r="250" spans="1:30" x14ac:dyDescent="0.3">
      <c r="A250" s="1">
        <v>249</v>
      </c>
      <c r="B250" s="71">
        <v>1</v>
      </c>
      <c r="C250" s="71">
        <v>0</v>
      </c>
      <c r="D250" s="71">
        <v>1</v>
      </c>
      <c r="E250" s="71">
        <v>0</v>
      </c>
      <c r="F250" s="74">
        <v>0</v>
      </c>
      <c r="G250" s="72" t="s">
        <v>168</v>
      </c>
      <c r="H250" s="74">
        <v>5</v>
      </c>
      <c r="I250" s="72" t="s">
        <v>194</v>
      </c>
      <c r="J250" s="74">
        <v>1</v>
      </c>
      <c r="K250" s="72" t="s">
        <v>157</v>
      </c>
      <c r="L250" s="74">
        <v>2</v>
      </c>
      <c r="M250" s="75" t="s">
        <v>26</v>
      </c>
      <c r="N250" s="75">
        <v>0.19642857142857142</v>
      </c>
      <c r="O250" s="75">
        <v>0</v>
      </c>
      <c r="P250" s="75">
        <v>5</v>
      </c>
      <c r="Q250" s="75">
        <v>5</v>
      </c>
      <c r="R250" s="75">
        <v>1</v>
      </c>
      <c r="S250" s="75">
        <v>1</v>
      </c>
      <c r="T250" s="75">
        <v>1</v>
      </c>
      <c r="U250" s="75">
        <v>1</v>
      </c>
      <c r="V250" s="75">
        <v>2</v>
      </c>
      <c r="W250" s="75">
        <v>8.7121212121212127E-2</v>
      </c>
      <c r="X250" s="75">
        <v>6.25E-2</v>
      </c>
      <c r="Y250" s="75">
        <v>1.5</v>
      </c>
      <c r="Z250" s="75">
        <v>1</v>
      </c>
      <c r="AA250" s="75" t="s">
        <v>26</v>
      </c>
      <c r="AB250" s="75">
        <v>1</v>
      </c>
      <c r="AC250" s="75">
        <v>1</v>
      </c>
      <c r="AD250" s="2" t="s">
        <v>551</v>
      </c>
    </row>
    <row r="251" spans="1:30" x14ac:dyDescent="0.3">
      <c r="A251" s="1">
        <v>250</v>
      </c>
      <c r="B251" s="71">
        <v>1</v>
      </c>
      <c r="C251" s="71">
        <v>0</v>
      </c>
      <c r="D251" s="71">
        <v>1</v>
      </c>
      <c r="E251" s="71">
        <v>0</v>
      </c>
      <c r="F251" s="74">
        <v>0</v>
      </c>
      <c r="G251" s="72" t="s">
        <v>552</v>
      </c>
      <c r="H251" s="74">
        <v>10</v>
      </c>
      <c r="I251" s="72" t="s">
        <v>96</v>
      </c>
      <c r="J251" s="74">
        <v>2</v>
      </c>
      <c r="K251" s="72" t="s">
        <v>96</v>
      </c>
      <c r="L251" s="74">
        <v>3</v>
      </c>
      <c r="M251" s="75" t="s">
        <v>26</v>
      </c>
      <c r="N251" s="75">
        <v>0.3035714285714286</v>
      </c>
      <c r="O251" s="75">
        <v>1</v>
      </c>
      <c r="P251" s="75">
        <v>1</v>
      </c>
      <c r="Q251" s="75">
        <v>1</v>
      </c>
      <c r="R251" s="75">
        <v>4</v>
      </c>
      <c r="S251" s="75">
        <v>4</v>
      </c>
      <c r="T251" s="75">
        <v>4</v>
      </c>
      <c r="U251" s="75">
        <v>4</v>
      </c>
      <c r="V251" s="75">
        <v>4</v>
      </c>
      <c r="W251" s="75">
        <v>0.39393939393939392</v>
      </c>
      <c r="X251" s="75">
        <v>0.375</v>
      </c>
      <c r="Y251" s="75">
        <v>3.5</v>
      </c>
      <c r="Z251" s="75">
        <v>4</v>
      </c>
      <c r="AA251" s="75" t="s">
        <v>26</v>
      </c>
      <c r="AB251" s="75">
        <v>4</v>
      </c>
      <c r="AC251" s="75">
        <v>4</v>
      </c>
      <c r="AD251" s="2" t="s">
        <v>553</v>
      </c>
    </row>
    <row r="252" spans="1:30" x14ac:dyDescent="0.3">
      <c r="A252" s="1">
        <v>251</v>
      </c>
      <c r="B252" s="71">
        <v>1</v>
      </c>
      <c r="C252" s="71">
        <v>0</v>
      </c>
      <c r="D252" s="71">
        <v>0</v>
      </c>
      <c r="E252" s="71">
        <v>1</v>
      </c>
      <c r="F252" s="74">
        <v>0</v>
      </c>
      <c r="G252" s="72" t="s">
        <v>76</v>
      </c>
      <c r="H252" s="74">
        <v>10</v>
      </c>
      <c r="I252" s="72" t="s">
        <v>185</v>
      </c>
      <c r="J252" s="74">
        <v>1</v>
      </c>
      <c r="K252" s="72" t="s">
        <v>185</v>
      </c>
      <c r="L252" s="74">
        <v>2</v>
      </c>
      <c r="M252" s="75" t="s">
        <v>26</v>
      </c>
      <c r="N252" s="75">
        <v>0.26785714285714285</v>
      </c>
      <c r="O252" s="75">
        <v>0.33333333333333331</v>
      </c>
      <c r="P252" s="75">
        <v>1</v>
      </c>
      <c r="Q252" s="75">
        <v>2</v>
      </c>
      <c r="R252" s="75">
        <v>4</v>
      </c>
      <c r="S252" s="75">
        <v>4</v>
      </c>
      <c r="T252" s="75">
        <v>4</v>
      </c>
      <c r="U252" s="75">
        <v>2</v>
      </c>
      <c r="V252" s="75">
        <v>4.5</v>
      </c>
      <c r="W252" s="75">
        <v>0.30681818181818182</v>
      </c>
      <c r="X252" s="75">
        <v>0.4375</v>
      </c>
      <c r="Y252" s="75">
        <v>3</v>
      </c>
      <c r="Z252" s="75">
        <v>5</v>
      </c>
      <c r="AA252" s="75" t="s">
        <v>26</v>
      </c>
      <c r="AB252" s="75">
        <v>4</v>
      </c>
      <c r="AC252" s="75">
        <v>3</v>
      </c>
      <c r="AD252" s="2" t="s">
        <v>554</v>
      </c>
    </row>
    <row r="253" spans="1:30" x14ac:dyDescent="0.3">
      <c r="A253" s="1">
        <v>252</v>
      </c>
      <c r="B253" s="71">
        <v>1</v>
      </c>
      <c r="C253" s="71">
        <v>0</v>
      </c>
      <c r="D253" s="71">
        <v>1</v>
      </c>
      <c r="E253" s="71">
        <v>1</v>
      </c>
      <c r="F253" s="74">
        <v>2.5</v>
      </c>
      <c r="G253" s="72" t="s">
        <v>555</v>
      </c>
      <c r="H253" s="74">
        <v>15</v>
      </c>
      <c r="I253" s="72" t="s">
        <v>40</v>
      </c>
      <c r="J253" s="74">
        <v>2</v>
      </c>
      <c r="K253" s="72" t="s">
        <v>301</v>
      </c>
      <c r="L253" s="74">
        <v>3</v>
      </c>
      <c r="M253" s="75" t="s">
        <v>26</v>
      </c>
      <c r="N253" s="75">
        <v>0.26785714285714285</v>
      </c>
      <c r="O253" s="75">
        <v>0.66666666666666663</v>
      </c>
      <c r="P253" s="75">
        <v>2</v>
      </c>
      <c r="Q253" s="75">
        <v>2</v>
      </c>
      <c r="R253" s="75">
        <v>5</v>
      </c>
      <c r="S253" s="75">
        <v>4</v>
      </c>
      <c r="T253" s="75">
        <v>4</v>
      </c>
      <c r="U253" s="75">
        <v>4</v>
      </c>
      <c r="V253" s="75">
        <v>4.5</v>
      </c>
      <c r="W253" s="75">
        <v>0.39393939393939392</v>
      </c>
      <c r="X253" s="75">
        <v>0.4375</v>
      </c>
      <c r="Y253" s="75">
        <v>2.5</v>
      </c>
      <c r="Z253" s="75">
        <v>5</v>
      </c>
      <c r="AA253" s="75" t="s">
        <v>26</v>
      </c>
      <c r="AB253" s="75">
        <v>4</v>
      </c>
      <c r="AC253" s="75">
        <v>4</v>
      </c>
      <c r="AD253" s="2" t="s">
        <v>556</v>
      </c>
    </row>
    <row r="254" spans="1:30" x14ac:dyDescent="0.3">
      <c r="A254" s="1">
        <v>253</v>
      </c>
      <c r="B254" s="71">
        <v>1</v>
      </c>
      <c r="C254" s="71">
        <v>1</v>
      </c>
      <c r="D254" s="71">
        <v>1</v>
      </c>
      <c r="E254" s="71">
        <v>1</v>
      </c>
      <c r="F254" s="74">
        <v>5</v>
      </c>
      <c r="G254" s="72" t="s">
        <v>364</v>
      </c>
      <c r="H254" s="74">
        <v>10</v>
      </c>
      <c r="I254" s="72" t="s">
        <v>476</v>
      </c>
      <c r="J254" s="74">
        <v>1</v>
      </c>
      <c r="K254" s="72" t="s">
        <v>246</v>
      </c>
      <c r="L254" s="74">
        <v>2</v>
      </c>
      <c r="M254" s="75" t="s">
        <v>26</v>
      </c>
      <c r="N254" s="75">
        <v>0.23214285714285715</v>
      </c>
      <c r="O254" s="75">
        <v>0</v>
      </c>
      <c r="P254" s="75">
        <v>1</v>
      </c>
      <c r="Q254" s="75">
        <v>1</v>
      </c>
      <c r="R254" s="75">
        <v>5</v>
      </c>
      <c r="S254" s="75">
        <v>4</v>
      </c>
      <c r="T254" s="75">
        <v>4</v>
      </c>
      <c r="U254" s="75">
        <v>4</v>
      </c>
      <c r="V254" s="75">
        <v>2.5</v>
      </c>
      <c r="W254" s="75">
        <v>0.26136363636363635</v>
      </c>
      <c r="X254" s="75">
        <v>0.4375</v>
      </c>
      <c r="Y254" s="75">
        <v>2</v>
      </c>
      <c r="Z254" s="75">
        <v>5</v>
      </c>
      <c r="AA254" s="75" t="s">
        <v>26</v>
      </c>
      <c r="AB254" s="75">
        <v>4</v>
      </c>
      <c r="AC254" s="75">
        <v>1</v>
      </c>
      <c r="AD254" s="2" t="s">
        <v>557</v>
      </c>
    </row>
    <row r="255" spans="1:30" x14ac:dyDescent="0.3">
      <c r="A255" s="1">
        <v>254</v>
      </c>
      <c r="B255" s="71">
        <v>1</v>
      </c>
      <c r="C255" s="71">
        <v>1</v>
      </c>
      <c r="D255" s="71">
        <v>1</v>
      </c>
      <c r="E255" s="71">
        <v>1</v>
      </c>
      <c r="F255" s="74">
        <v>5</v>
      </c>
      <c r="G255" s="72" t="s">
        <v>275</v>
      </c>
      <c r="H255" s="74">
        <v>10</v>
      </c>
      <c r="I255" s="72" t="s">
        <v>100</v>
      </c>
      <c r="J255" s="74">
        <v>1</v>
      </c>
      <c r="K255" s="72" t="s">
        <v>153</v>
      </c>
      <c r="L255" s="74">
        <v>2</v>
      </c>
      <c r="M255" s="75" t="s">
        <v>26</v>
      </c>
      <c r="N255" s="75">
        <v>0.23214285714285715</v>
      </c>
      <c r="O255" s="75">
        <v>0.33333333333333331</v>
      </c>
      <c r="P255" s="75">
        <v>1</v>
      </c>
      <c r="Q255" s="75">
        <v>1</v>
      </c>
      <c r="R255" s="75">
        <v>3</v>
      </c>
      <c r="S255" s="75">
        <v>4</v>
      </c>
      <c r="T255" s="75">
        <v>5</v>
      </c>
      <c r="U255" s="75">
        <v>2</v>
      </c>
      <c r="V255" s="75">
        <v>4</v>
      </c>
      <c r="W255" s="75">
        <v>0.26136363636363635</v>
      </c>
      <c r="X255" s="75">
        <v>0.4375</v>
      </c>
      <c r="Y255" s="75">
        <v>2.5</v>
      </c>
      <c r="Z255" s="75">
        <v>4</v>
      </c>
      <c r="AA255" s="75" t="s">
        <v>26</v>
      </c>
      <c r="AB255" s="75">
        <v>4</v>
      </c>
      <c r="AC255" s="75">
        <v>3</v>
      </c>
      <c r="AD255" s="2" t="s">
        <v>558</v>
      </c>
    </row>
    <row r="256" spans="1:30" x14ac:dyDescent="0.3">
      <c r="A256" s="1">
        <v>255</v>
      </c>
      <c r="B256" s="71">
        <v>1</v>
      </c>
      <c r="C256" s="71">
        <v>1</v>
      </c>
      <c r="D256" s="71">
        <v>1</v>
      </c>
      <c r="E256" s="71">
        <v>1</v>
      </c>
      <c r="F256" s="74">
        <v>5</v>
      </c>
      <c r="G256" s="72" t="s">
        <v>223</v>
      </c>
      <c r="H256" s="74">
        <v>10</v>
      </c>
      <c r="I256" s="72">
        <v>8</v>
      </c>
      <c r="J256" s="74">
        <v>0</v>
      </c>
      <c r="K256" s="72" t="s">
        <v>109</v>
      </c>
      <c r="L256" s="74">
        <v>2</v>
      </c>
      <c r="M256" s="75" t="s">
        <v>26</v>
      </c>
      <c r="N256" s="75">
        <v>0.26785714285714285</v>
      </c>
      <c r="O256" s="75">
        <v>0.33333333333333331</v>
      </c>
      <c r="P256" s="75">
        <v>1</v>
      </c>
      <c r="Q256" s="75">
        <v>1</v>
      </c>
      <c r="R256" s="75">
        <v>5</v>
      </c>
      <c r="S256" s="75">
        <v>5</v>
      </c>
      <c r="T256" s="75">
        <v>5</v>
      </c>
      <c r="U256" s="75">
        <v>1</v>
      </c>
      <c r="V256" s="75">
        <v>4</v>
      </c>
      <c r="W256" s="75">
        <v>0.26515151515151514</v>
      </c>
      <c r="X256" s="75">
        <v>0.4375</v>
      </c>
      <c r="Y256" s="75">
        <v>2.5</v>
      </c>
      <c r="Z256" s="75">
        <v>5</v>
      </c>
      <c r="AA256" s="75" t="s">
        <v>26</v>
      </c>
      <c r="AB256" s="75">
        <v>5</v>
      </c>
      <c r="AC256" s="75">
        <v>1</v>
      </c>
      <c r="AD256" s="2" t="s">
        <v>559</v>
      </c>
    </row>
    <row r="257" spans="1:30" x14ac:dyDescent="0.3">
      <c r="A257" s="1">
        <v>256</v>
      </c>
      <c r="B257" s="71">
        <v>0</v>
      </c>
      <c r="C257" s="71">
        <v>0</v>
      </c>
      <c r="D257" s="71">
        <v>1</v>
      </c>
      <c r="E257" s="71">
        <v>1</v>
      </c>
      <c r="F257" s="74">
        <v>0</v>
      </c>
      <c r="G257" s="72" t="s">
        <v>76</v>
      </c>
      <c r="H257" s="74">
        <v>10</v>
      </c>
      <c r="I257" s="72">
        <v>8</v>
      </c>
      <c r="J257" s="74">
        <v>0</v>
      </c>
      <c r="K257" s="72" t="s">
        <v>109</v>
      </c>
      <c r="L257" s="74">
        <v>2</v>
      </c>
      <c r="M257" s="75" t="s">
        <v>26</v>
      </c>
      <c r="N257" s="75">
        <v>0.26785714285714285</v>
      </c>
      <c r="O257" s="75">
        <v>0.33333333333333331</v>
      </c>
      <c r="P257" s="75">
        <v>2</v>
      </c>
      <c r="Q257" s="75">
        <v>2</v>
      </c>
      <c r="R257" s="75">
        <v>4</v>
      </c>
      <c r="S257" s="75">
        <v>4</v>
      </c>
      <c r="T257" s="75">
        <v>4</v>
      </c>
      <c r="U257" s="75">
        <v>4</v>
      </c>
      <c r="V257" s="75">
        <v>4</v>
      </c>
      <c r="W257" s="75">
        <v>0.31060606060606061</v>
      </c>
      <c r="X257" s="75">
        <v>0.4375</v>
      </c>
      <c r="Y257" s="75">
        <v>3.5</v>
      </c>
      <c r="Z257" s="75">
        <v>4</v>
      </c>
      <c r="AA257" s="75" t="s">
        <v>26</v>
      </c>
      <c r="AB257" s="75">
        <v>4</v>
      </c>
      <c r="AC257" s="75">
        <v>1</v>
      </c>
      <c r="AD257" s="2" t="s">
        <v>560</v>
      </c>
    </row>
    <row r="258" spans="1:30" x14ac:dyDescent="0.3">
      <c r="A258" s="1">
        <v>257</v>
      </c>
      <c r="B258" s="71">
        <v>0</v>
      </c>
      <c r="C258" s="71">
        <v>1</v>
      </c>
      <c r="D258" s="71">
        <v>1</v>
      </c>
      <c r="E258" s="71">
        <v>0</v>
      </c>
      <c r="F258" s="74">
        <v>0</v>
      </c>
      <c r="G258" s="72" t="s">
        <v>76</v>
      </c>
      <c r="H258" s="74">
        <v>10</v>
      </c>
      <c r="I258" s="72" t="s">
        <v>153</v>
      </c>
      <c r="J258" s="74">
        <v>1</v>
      </c>
      <c r="K258" s="72" t="s">
        <v>153</v>
      </c>
      <c r="L258" s="74">
        <v>2</v>
      </c>
      <c r="M258" s="75" t="s">
        <v>26</v>
      </c>
      <c r="N258" s="75">
        <v>0.26785714285714285</v>
      </c>
      <c r="O258" s="75">
        <v>1</v>
      </c>
      <c r="P258" s="75">
        <v>1</v>
      </c>
      <c r="Q258" s="75">
        <v>1</v>
      </c>
      <c r="R258" s="75">
        <v>5</v>
      </c>
      <c r="S258" s="75">
        <v>4</v>
      </c>
      <c r="T258" s="75">
        <v>4</v>
      </c>
      <c r="U258" s="75">
        <v>4</v>
      </c>
      <c r="V258" s="75">
        <v>4</v>
      </c>
      <c r="W258" s="75">
        <v>0.30681818181818182</v>
      </c>
      <c r="X258" s="75">
        <v>0.5</v>
      </c>
      <c r="Y258" s="75">
        <v>2</v>
      </c>
      <c r="Z258" s="75">
        <v>4</v>
      </c>
      <c r="AA258" s="75" t="s">
        <v>26</v>
      </c>
      <c r="AB258" s="75">
        <v>4</v>
      </c>
      <c r="AC258" s="75">
        <v>4</v>
      </c>
      <c r="AD258" s="2" t="s">
        <v>561</v>
      </c>
    </row>
    <row r="259" spans="1:30" x14ac:dyDescent="0.3">
      <c r="A259" s="1">
        <v>258</v>
      </c>
      <c r="B259" s="71">
        <v>1</v>
      </c>
      <c r="C259" s="71">
        <v>1</v>
      </c>
      <c r="D259" s="71">
        <v>1</v>
      </c>
      <c r="E259" s="71">
        <v>1</v>
      </c>
      <c r="F259" s="74">
        <v>5</v>
      </c>
      <c r="G259" s="72" t="s">
        <v>147</v>
      </c>
      <c r="H259" s="74">
        <v>5</v>
      </c>
      <c r="I259" s="72">
        <v>8</v>
      </c>
      <c r="J259" s="74">
        <v>0</v>
      </c>
      <c r="K259" s="72">
        <v>8</v>
      </c>
      <c r="L259" s="74">
        <v>1</v>
      </c>
      <c r="M259" s="75" t="s">
        <v>26</v>
      </c>
      <c r="N259" s="75">
        <v>0.1607142857142857</v>
      </c>
      <c r="O259" s="75">
        <v>0.33333333333333331</v>
      </c>
      <c r="P259" s="75">
        <v>1</v>
      </c>
      <c r="Q259" s="75">
        <v>1</v>
      </c>
      <c r="R259" s="75">
        <v>3</v>
      </c>
      <c r="S259" s="75">
        <v>2</v>
      </c>
      <c r="T259" s="75">
        <v>2</v>
      </c>
      <c r="U259" s="75">
        <v>4</v>
      </c>
      <c r="V259" s="75">
        <v>3</v>
      </c>
      <c r="W259" s="75">
        <v>0.21969696969696967</v>
      </c>
      <c r="X259" s="75">
        <v>0.4375</v>
      </c>
      <c r="Y259" s="75">
        <v>2</v>
      </c>
      <c r="Z259" s="75">
        <v>4</v>
      </c>
      <c r="AA259" s="75" t="s">
        <v>26</v>
      </c>
      <c r="AB259" s="75">
        <v>4</v>
      </c>
      <c r="AC259" s="75">
        <v>1</v>
      </c>
      <c r="AD259" s="2" t="s">
        <v>562</v>
      </c>
    </row>
  </sheetData>
  <pageMargins left="0.7" right="0.7" top="0.75" bottom="0.75" header="0.3" footer="0.3"/>
  <pageSetup orientation="portrait" r:id="rId1"/>
  <ignoredErrors>
    <ignoredError sqref="A3:A259 A1 A2 G2 I2 K2 B3:G259 B1:G1 B2:E2 H3:I259 H1:I1 J3:K259 J1:K1 L2 L3:L259 L1 M2:AC2 M3:AC259 M1:AC1 AD2 AD3:AD259" twoDigitTextYear="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79D361-F4E8-4D8F-AFEC-4B9E429DAA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15</vt:i4>
      </vt:variant>
    </vt:vector>
  </HeadingPairs>
  <TitlesOfParts>
    <vt:vector size="21" baseType="lpstr">
      <vt:lpstr>Introduction</vt:lpstr>
      <vt:lpstr>Demo</vt:lpstr>
      <vt:lpstr>Configuration</vt:lpstr>
      <vt:lpstr>Cutoff - Seuil</vt:lpstr>
      <vt:lpstr>Analysis</vt:lpstr>
      <vt:lpstr>data</vt:lpstr>
      <vt:lpstr>behaviourColNumColumn</vt:lpstr>
      <vt:lpstr>behaviourMaxOutOfRangeColumn</vt:lpstr>
      <vt:lpstr>behaviourMinOutOfRangeColumn</vt:lpstr>
      <vt:lpstr>chartLanguage</vt:lpstr>
      <vt:lpstr>cutoffLevelColumn</vt:lpstr>
      <vt:lpstr>editableAreas</vt:lpstr>
      <vt:lpstr>factorColNumColumn</vt:lpstr>
      <vt:lpstr>factorsMaxOutOfRangeColumn</vt:lpstr>
      <vt:lpstr>factorsMinOutOfRangeColumn</vt:lpstr>
      <vt:lpstr>languageHeadersList</vt:lpstr>
      <vt:lpstr>RANASList</vt:lpstr>
      <vt:lpstr>sortingMethod</vt:lpstr>
      <vt:lpstr>sortMenuList</vt:lpstr>
      <vt:lpstr>UILanguage</vt:lpstr>
      <vt:lpstr>yesNoList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Sébastien MERCIER</dc:creator>
  <cp:lastModifiedBy>Sébastien MERCIER</cp:lastModifiedBy>
  <cp:lastPrinted>2023-02-28T20:15:52Z</cp:lastPrinted>
  <dcterms:created xsi:type="dcterms:W3CDTF">2022-05-12T10:58:49Z</dcterms:created>
  <dcterms:modified xsi:type="dcterms:W3CDTF">2026-02-05T14:44:37Z</dcterms:modified>
  <cp:contentStatus/>
</cp:coreProperties>
</file>