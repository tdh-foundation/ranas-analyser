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4.xml" ContentType="application/vnd.openxmlformats-officedocument.drawing+xml"/>
  <Override PartName="/xl/ctrlProps/ctrlProp1.xml" ContentType="application/vnd.ms-excel.controlproperties+xml"/>
  <Override PartName="/xl/tables/table17.xml" ContentType="application/vnd.openxmlformats-officedocument.spreadsheetml.table+xml"/>
  <Override PartName="/xl/tables/table1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19.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3053" documentId="8_{0D220551-2BE6-4D46-A044-3A706D0A2BAB}" xr6:coauthVersionLast="47" xr6:coauthVersionMax="47" xr10:uidLastSave="{335E3B3D-CEC2-4024-B0F5-83F1A73D9CD2}"/>
  <bookViews>
    <workbookView xWindow="-108" yWindow="-108" windowWidth="23256" windowHeight="12456" tabRatio="697" firstSheet="1" activeTab="1" xr2:uid="{85543DA6-F95A-4457-9F61-0C74C53DF323}"/>
  </bookViews>
  <sheets>
    <sheet name="HiddenTables" sheetId="41" state="veryHidden" r:id="rId1"/>
    <sheet name="Introduction" sheetId="48" r:id="rId2"/>
    <sheet name="Configuration" sheetId="39" r:id="rId3"/>
    <sheet name="Cutoff - Seuil" sheetId="42" r:id="rId4"/>
    <sheet name="Analysis" sheetId="43" r:id="rId5"/>
  </sheets>
  <definedNames>
    <definedName name="analysisChartTableRANASBlock" comment="&quot;displayedRANASBlock&quot; column in the chart data table of the &quot;Analysis&quot; sheet, used as a reference for conditionnaly formatting its cells in the table.">analysisChartTable[displayedRANASBlock]</definedName>
    <definedName name="analysisChartTableRANASTagHeader" comment="Header of the &quot;RANASTag&quot; column in the chart data table of the &quot;Analysis&quot; sheet, used as a reference for conditionnaly formatting the &quot;RANAS block&quot; column of this table.">analysisChartTable[[#Headers],[RANASTag]]</definedName>
    <definedName name="behaviourColNumHeader" comment="Header of the &quot;behaviourColNum&quot; column (which is a copy of the same column in the &quot;HiddenTables&quot; sheet) in the &quot;Behaviour configuration table&quot; of the &quot;Configuration&quot; sheet, used as a reference for conditionally formatting the cells of this table.">behaviourConfigTable[[#Headers],[behaviourColNum]]</definedName>
    <definedName name="behaviourHeader" comment="Header of the &quot;behaviourHeader&quot; column in the &quot;Behaviour configuration table&quot; of the &quot;Configuration&quot; sheet, used as a reference for conditionally formatting the cells of this table.">behaviourConfigTable[[#Headers],[behaviourHeader]]</definedName>
    <definedName name="behaviourIndexHeader" comment="Header of the &quot;index&quot; column in the &quot;Behaviour configuration table&quot; of the &quot;Configuration&quot; sheet, used as a reference for conditionally formatting the cells of this table.">behaviourConfigTable[[#Headers],[index]]</definedName>
    <definedName name="behaviourMaxScoreHeader" comment="Header of the &quot;maxScore&quot; column in the &quot;Behaviour configuration table&quot; of the &quot;Configuration&quot; sheet, used as a reference for conditionally formatting the cells of this table.">behaviourConfigTable[[#Headers],[maxScore]]</definedName>
    <definedName name="behaviourMinScoreHeader" comment="Header of the &quot;minScore&quot; column in the &quot;Behaviour configuration table&quot; of the &quot;Configuration&quot; sheet, used as a reference for conditionally formatting the cells of this table.">behaviourConfigTable[[#Headers],[minScore]]</definedName>
    <definedName name="behaviourScoreNorm" comment="Reference to the array in the spreadsheet containing the results of the normalized behaviour score of all respondents. I couldn't find a way that avoids explicitly storing this intermediate result in the spreadsheet.">INDIRECT(ADDRESS(ROW(behaviourScoreNormHeader)+1, COLUMN(behaviourScoreNormHeader), 1, 0, sheetNameHiddenTables) &amp; ":" &amp; ADDRESS(ROW(behaviourScoreNormHeader)+numEntries, COLUMN(behaviourScoreNormHeader), 1, 0), FALSE)</definedName>
    <definedName name="behaviourScoreNormHeader" comment="Header of the &quot;behaviourScoreNorm&quot; array in the &quot;HiddenTables&quot; sheet, used as a reference to define a dynamic range for the &quot;behaviourScoreNorm&quot; array itself.">HiddenTables!$BE$2</definedName>
    <definedName name="behaviourTableIndex" comment="&quot;index&quot; column in the &quot;behaviourTable&quot; of the &quot;HiddenTables&quot; sheet, used as a reference for conditionally formatting cells of the &quot;behaviourConfigTable&quot; in the &quot;Configuration&quot; sheet.">behaviourTable[index]</definedName>
    <definedName name="behaviourTableMaxError" comment="&quot;maxError&quot; column in the &quot;behaviourTable&quot; of the &quot;HiddenTables&quot; sheet, used as a reference for conditionally formatting cells of the &quot;behaviourConfigTable&quot; in the &quot;Configuration&quot; sheet.">behaviourTable[maxError]</definedName>
    <definedName name="behaviourTableMinError" comment="&quot;minError&quot; column in the &quot;behaviourTable&quot; of the &quot;HiddenTables&quot; sheet, used as a reference for conditionally formatting cells of the &quot;behaviourConfigTable&quot; in the &quot;Configuration&quot; sheet.">behaviourTable[minError]</definedName>
    <definedName name="behData1" comment="Reference to the &quot;data&quot; column (whole range) for behaviour question #1. Used to simplify formulas.">INDIRECT(_xlfn.XLOOKUP(1,behaviourTable[index],behaviourTable[indirectColRef]),FALSE)</definedName>
    <definedName name="behData2" comment="Reference to the &quot;data&quot; column (whole range) for behaviour question #2. Used to simplify formulas.">INDIRECT(_xlfn.XLOOKUP(2,behaviourTable[index],behaviourTable[indirectColRef]),FALSE)</definedName>
    <definedName name="behData3" comment="Reference to the &quot;data&quot; column (whole range) for behaviour question #3. Used to simplify formulas.">INDIRECT(_xlfn.XLOOKUP(3,behaviourTable[index],behaviourTable[indirectColRef]),FALSE)</definedName>
    <definedName name="behData4" comment="Reference to the &quot;data&quot; column (whole range) for behaviour question #4. Used to simplify formulas.">INDIRECT(_xlfn.XLOOKUP(4,behaviourTable[index],behaviourTable[indirectColRef]),FALSE)</definedName>
    <definedName name="behData5" comment="Reference to the &quot;data&quot; column (whole range) for behaviour question #5. Used to simplify formulas.">INDIRECT(_xlfn.XLOOKUP(5,behaviourTable[index],behaviourTable[indirectColRef]),FALSE)</definedName>
    <definedName name="behInclude1" comment="Value of the &quot;include&quot; parameter for behaviour question #1, combining the user selection in the &quot;Include?&quot; column and whether a data header for that question is defined or not. Used to simplify formulas.">_xlfn.XLOOKUP(1,behaviourTable[index],behaviourTable[include])</definedName>
    <definedName name="behInclude2" comment="Value of the &quot;include&quot; parameter for behaviour question #2, combining the user selection in the &quot;Include?&quot; column and whether a data header for that question is defined or not. Used to simplify formulas.">_xlfn.XLOOKUP(2,behaviourTable[index],behaviourTable[include])</definedName>
    <definedName name="behInclude3" comment="Value of the &quot;include&quot; parameter for behaviour question #3, combining the user selection in the &quot;Include?&quot; column and whether a data header for that question is defined or not. Used to simplify formulas.">_xlfn.XLOOKUP(3,behaviourTable[index],behaviourTable[include])</definedName>
    <definedName name="behInclude4" comment="Value of the &quot;include&quot; parameter for behaviour question #4, combining the user selection in the &quot;Include?&quot; column and whether a data header for that question is defined or not. Used to simplify formulas.">_xlfn.XLOOKUP(4,behaviourTable[index],behaviourTable[include])</definedName>
    <definedName name="behInclude5" comment="Value of the &quot;include&quot; parameter for behaviour question #5, combining the user selection in the &quot;Include?&quot; column and whether a data header for that question is defined or not. Used to simplify formulas.">_xlfn.XLOOKUP(5,behaviourTable[index],behaviourTable[include])</definedName>
    <definedName name="behMaxScore1" comment="Reference to the maximum score for behaviour question #1. Used to simplify formulas.">_xlfn.XLOOKUP(1,behaviourTable[index],behaviourTable[maxScore])</definedName>
    <definedName name="behMaxScore2" comment="Reference to the maximum score for behaviour question #2. Used to simplify formulas.">_xlfn.XLOOKUP(2,behaviourTable[index],behaviourTable[maxScore])</definedName>
    <definedName name="behMaxScore3" comment="Reference to the maximum score for behaviour question #3. Used to simplify formulas.">_xlfn.XLOOKUP(3,behaviourTable[index],behaviourTable[maxScore])</definedName>
    <definedName name="behMaxScore4" comment="Reference to the maximum score for behaviour question #4. Used to simplify formulas.">_xlfn.XLOOKUP(4,behaviourTable[index],behaviourTable[maxScore])</definedName>
    <definedName name="behMaxScore5" comment="Reference to the maximum score for behaviour question #5. Used to simplify formulas.">_xlfn.XLOOKUP(5,behaviourTable[index],behaviourTable[maxScore])</definedName>
    <definedName name="behMinScore1" comment="Reference to the minimum score for behaviour question #1. Used to simplify formulas.">_xlfn.XLOOKUP(1,behaviourTable[index],behaviourTable[minScore])</definedName>
    <definedName name="behMinScore2" comment="Reference to the minimum score for behaviour question #2. Used to simplify formulas.">_xlfn.XLOOKUP(2,behaviourTable[index],behaviourTable[minScore])</definedName>
    <definedName name="behMinScore3" comment="Reference to the minimum score for behaviour question #3. Used to simplify formulas.">_xlfn.XLOOKUP(3,behaviourTable[index],behaviourTable[minScore])</definedName>
    <definedName name="behMinScore4" comment="Reference to the minimum score for behaviour question #4. Used to simplify formulas.">_xlfn.XLOOKUP(4,behaviourTable[index],behaviourTable[minScore])</definedName>
    <definedName name="behMinScore5" comment="Reference to the minimum score for behaviour question #5. Used to simplify formulas.">_xlfn.XLOOKUP(5,behaviourTable[index],behaviourTable[minScore])</definedName>
    <definedName name="chartDifferenceRange1" comment="List of &quot;Difference&quot; values for the first chart, defined as a dynamic named range to include only the number of factors defined by &quot;numFactorsChart1&quot;.">INDEX(analysisChartTable[sortedDifference],1):INDEX(analysisChartTable[sortedDifference],numFactorsChart1)</definedName>
    <definedName name="chartDifferenceRange2" comment="List of &quot;Difference&quot; values for the second chart, defined as a dynamic named range to include only the number of factors defined by &quot;numFactorsChart2&quot;.">INDEX(analysisChartTable[sortedDifference],numFactorsChart1+1):INDEX(analysisChartTable[sortedDifference],numFactorsChart1+IF(numFactorsChart2=0,1,numFactorsChart2))</definedName>
    <definedName name="chartDoersRange1" comment="List of &quot;Doers&quot; values for the first chart, defined as a dynamic named range to include only the number of factors defined by &quot;numFactorsChart1&quot;.">INDEX(analysisChartTable[sortedDoers],1):INDEX(analysisChartTable[sortedDoers],numFactorsChart1)</definedName>
    <definedName name="chartDoersRange2" comment="List of &quot;Doers&quot; values for the second chart, defined as a dynamic named range to include only the number of factors defined by &quot;numFactorsChart2&quot;.">INDEX(analysisChartTable[sortedDoers],numFactorsChart1+1):INDEX(analysisChartTable[sortedDoers],numFactorsChart1+IF(numFactorsChart2=0,1,numFactorsChart2))</definedName>
    <definedName name="chartFactorRange1" comment="List of &quot;Factor&quot; values for the first chart, defined as a dynamic named range to include only the number of factors defined by &quot;numFactorsChart1&quot;.">INDEX(analysisChartTable[chartLabel],1):INDEX(analysisChartTable[chartLabel],numFactorsChart1)</definedName>
    <definedName name="chartFactorRange2" comment="List of &quot;Factor&quot; values for the second chart, defined as a dynamic named range to include only the number of factors defined by &quot;numFactorsChart2&quot;.">INDEX(analysisChartTable[chartLabel],numFactorsChart1+1):INDEX(analysisChartTable[chartLabel],numFactorsChart1+IF(numFactorsChart2=0,1,numFactorsChart2))</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INDEX(languageTable[languageList],1):INDEX(languageTable[languageList],numLanguages)</definedName>
    <definedName name="chartNondoersRange1" comment="List of &quot;Non-doers&quot; values for the first chart, defined as a dynamic named range to include only the number of factors defined by &quot;numFactorsChart1&quot;.">INDEX(analysisChartTable[sortedNondoers],1):INDEX(analysisChartTable[sortedNondoers],numFactorsChart1)</definedName>
    <definedName name="chartNondoersRange2" comment="List of &quot;Non-doers&quot; values for the second chart, defined as a dynamic named range to include only the number of factors defined by &quot;numFactorsChart2&quot;.">INDEX(analysisChartTable[sortedNondoers],numFactorsChart1+1):INDEX(analysisChartTable[sortedNondoers],numFactorsChart1+IF(numFactorsChart2=0,1,numFactorsChart2))</definedName>
    <definedName name="chartTranslationTagHeader" comment="Header of the &quot;tag&quot; column in the &quot;Chart translation table&quot; of the &quot;Configuration&quot; sheet, used as a reference for conditionally formatting the cells of this table.">chartTranslationTable[[#Headers],[tag]]</definedName>
    <definedName name="cutoffLabelColumn" comment="&quot;label&quot; column in the &quot;cutoffTable&quot; of the &quot;HiddenTables&quot; sheet, used as a reference for conditionally formatting the rows of the &quot;cutoffChartTable&quot; in the &quot;Cutoff - Seuil&quot; sheet.">cutoffTable[label]</definedName>
    <definedName name="cutoffLevel" comment="Doer/non-doer cutoff level selected by the user on the user interface.">'Cutoff - Seuil'!$H$6/100</definedName>
    <definedName name="cutoffLevelColumn" comment="&quot;level&quot; column in the &quot;cutoffTable&quot; of the &quot;HiddenTables&quot; sheet, used as a reference for conditionally formatting the rows of the &quot;cutoffChartTable&quot; in the &quot;Cutoff - Seuil&quot; sheet.">cutoffTable[cutoffLevel]</definedName>
    <definedName name="cutoffLevelRecommended" comment="Recommended cutoff level that minimizes the absolute difference between the number of doers and the number of non-doers.">_xlfn.XLOOKUP("cutoffLevelRecommended",generalVariablesTable[name],generalVariablesTable[value],NA())</definedName>
    <definedName name="dataRefColHeader" comment="Header of the column in the &quot;data&quot; sheet used to count the total number of data entries. This column MUST be in the data file and have a value for each entry. Good choices are are &quot;_uuid&quot; in Kobo files and &quot;instanceID&quot; (or &quot;meta-instanceID&quot;) in ODK files.">_xlfn.XLOOKUP("dataRefColHeader",generalVariablesTable[name],generalVariablesTable[value],"_uuid")</definedName>
    <definedName name="dataRefColNum" comment="Number of the column in the &quot;data&quot; sheet used to count the total number of data entries. It is identified by its header defined in the dataRefColHeader variable.">_xlfn.XLOOKUP("dataRefColNum",generalVariablesTable[name],generalVariablesTable[value],NA())</definedName>
    <definedName name="displayConfigHeader" comment="Header of the &quot;displayConfig&quot; column in the &quot;Factors configuration table&quot; of the &quot;Configuration&quot; sheet, used as a reference for conditionally formatting the cells of this table.">factorsConfigTable[[#Headers],[displayConfig]]</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nglishHeaderFactorsConfigTable" comment="&quot;English&quot; header of the &quot;Factors configuration table&quot;, used as a row reference to define &quot;factorsConfigTable_Headers&quot; in a more robust way, because it got corrupted after moving some columns around.">Configuration!$J$37</definedName>
    <definedName name="errorMessages" comment="List of error messages displayed to the user in the &quot;Configuration&quot; sheet, concatenated from a list of possible messages defined in the hidden &quot;Error messages&quot; table.">_xlfn.XLOOKUP("errorMessages",generalVariablesTable[name],generalVariablesTable[value],"")</definedName>
    <definedName name="factorColNumHeader" comment="Header of the &quot;factorColNum&quot; column (which is a copy of the same column in the &quot;HiddenTables&quot; sheet) in the &quot;Behaviour configuration table&quot; of the &quot;Configuration&quot; sheet, used as a reference for conditionally formatting the cells of this table.">factorsConfigTable[[#Headers],[factorColNum]]</definedName>
    <definedName name="factorHeader" comment="Header of the &quot;factorHeader&quot; column in the &quot;Factors configuration table&quot; of the &quot;Configuration&quot; sheet, used as a reference for conditionally formatting the cells of this table.">factorsConfigTable[[#Headers],[factorHeader]]</definedName>
    <definedName name="factorsConfigTable_Headers" comment="Dummy headers for the factorsConfigTable, used to INDEX() the translations of factors by the user-selected language for the charts.">OFFSET(factorsConfigTable[#Headers],ROW(EnglishHeaderFactorsConfigTable)-ROW(factorsConfigTable[#Headers]),0)</definedName>
    <definedName name="factorsIndexHeader" comment="Header of the &quot;index&quot; column in the &quot;Factors configuration table&quot; of the &quot;Configuration&quot; sheet, used as a reference for conditionally formatting the cells of this table.">factorsConfigTable[[#Headers],[index]]</definedName>
    <definedName name="factorsMaxScoreHeader" comment="Header of the &quot;maxScore&quot; column in the &quot;Factors configuration table&quot; of the &quot;Configuration&quot; sheet, used as a reference for conditionally formatting the cells of this table.">factorsConfigTable[[#Headers],[maxScore]]</definedName>
    <definedName name="factorsMinScoreHeader" comment="Header of the &quot;minScore&quot; column in the &quot;Factors configuration table&quot; of the &quot;Configuration&quot; sheet, used as a reference for conditionally formatting the cells of this table.">factorsConfigTable[[#Headers],[minScore]]</definedName>
    <definedName name="factorsTableIndex" comment="&quot;index&quot; column in the &quot;factorsTable&quot; of the &quot;HiddenTables&quot; sheet, used as a reference for conditionally formatting cells of the &quot;factorsConfigTable&quot; in the &quot;Configuration&quot; sheet.">factorsTable[index]</definedName>
    <definedName name="factorsTableMaxError" comment="&quot;maxError&quot; column in the &quot;factorsTable&quot; of the &quot;HiddenTables&quot; sheet, used as a reference for conditionally formatting cells of the &quot;factorsConfigTable&quot; in the &quot;Configuration&quot; sheet.">factorsTable[maxError]</definedName>
    <definedName name="factorsTableMinError" comment="&quot;minError&quot; column in the &quot;factorsTable&quot; of the &quot;HiddenTables&quot; sheet, used as a reference for conditionally formatting cells of the &quot;factorsConfigTable&quot; in the &quot;Configuration&quot; sheet.">factorsTable[minError]</definedName>
    <definedName name="includeConfigHeader" comment="Header of the &quot;includeConfig&quot; column in the &quot;Behaviour configuration table&quot; of the &quot;Configuration&quot; sheet, used as a reference for conditionally formatting the cells of this table.">behaviourConfigTable[[#Headers],[includeConfig]]</definedName>
    <definedName name="isDoer" comment="Reference to the array in the spreadsheet containing 1s for doers and 0s for non-doers, based on the comparison of the behaviour score and the selected cutoff level.">INDIRECT(ADDRESS(ROW(isDoerHeader)+1, COLUMN(isDoerHeader), 1, 0, sheetNameHiddenTables) &amp; ":" &amp; ADDRESS(ROW(isDoerHeader)+numEntries, COLUMN(isDoerHeader), 1, 0), FALSE)</definedName>
    <definedName name="isDoerHeader" comment="Header of the &quot;isDoer&quot; array in the &quot;HiddenTables&quot; sheet, used as a reference to define a dynamic range for the &quot;isDoer&quot; array itself.">HiddenTables!$BF$2</definedName>
    <definedName name="langSpecBehaviourScore" comment="Translation of &quot;Behaviour score&quot; into the language selected by the user. Used mostly for the axis label on the chart, which can accept a named variable, but not a complex formula.">_xlfn.XLOOKUP("langSpecBehaviourScore",generalVariablesTable[name],generalVariablesTable[value],"Behaviour score")</definedName>
    <definedName name="langSpecCutoff" comment="Translation of &quot;Cutoff level&quot; into the language selected by the user. Used mostly for the axis label on the chart, which can accept a named variable, but not a complex formula.">_xlfn.XLOOKUP("langSpecCutoff",generalVariablesTable[name],generalVariablesTable[value],"Cutoff level")</definedName>
    <definedName name="langSpecMeanScore" comment="Translation of &quot;Normalized mean score&quot; into the language selected by the user. Used mostly for the axis label on the chart, which can accept a named variable, but not a complex formula.">_xlfn.XLOOKUP("langSpecMeanScore",generalVariablesTable[name],generalVariablesTable[value],"Normalized mean score")</definedName>
    <definedName name="langSpecNumResponses" comment="Translation of &quot;# of responses&quot; into the language selected by the user. Used mostly for the axis label on the chart, which can accept a named variable, but not a complex formula.">_xlfn.XLOOKUP("langSpecNumResponses",generalVariablesTable[name],generalVariablesTable[value],"# of responses")</definedName>
    <definedName name="langSpecPercentResponses" comment="Translation of &quot;% of responses&quot; into the language selected by the user. Used mostly for the axis label on the chart, which can accept a named variable, but not a complex formula.">_xlfn.XLOOKUP("langSpecPercentResponses",generalVariablesTable[name],generalVariablesTable[value],"% of responses")</definedName>
    <definedName name="languageHeadersList" comment="List of the user-interface + user-defined languages in the header of the &quot;Factors configuration table&quot;. It can contain blanks and is used to compute the blank-free list &quot;chartLanguageList&quot; (which is itself used for the drop-down &quot;Chart language&quot;).">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_xlfn.XLOOKUP("localAddressParameter",generalVariablesTable[name],generalVariablesTable[value],"address")</definedName>
    <definedName name="maxAbsDiff" comment="Maximum doers/non-doers difference (in absolute value) used to define the lower and upper limits of the colour scale in Conditional formatting for the &quot;Difference&quot; column of the &quot;analysisChartTable&quot;.">_xlfn.XLOOKUP("maxAbsDiff",generalVariablesTable[name],generalVariablesTable[value],5)</definedName>
    <definedName name="maxColNum" comment="Maximum number of columns allowed in the &quot;data&quot; sheet (used to prevent slow calculations).">_xlfn.XLOOKUP("maxColNum",generalVariablesTable[name],generalVariablesTable[value],1000)</definedName>
    <definedName name="maxRowNum" comment="Maximum number of rows allowed in the &quot;data&quot; sheet (used to prevent slow calculations).">_xlfn.XLOOKUP("maxRowNum",generalVariablesTable[name],generalVariablesTable[value],1000)</definedName>
    <definedName name="noLabel" comment="Reference to the label meaning &quot;no&quot; in the drop-down menus of the &quot;Include?&quot; and &quot;Display?&quot; columns of the &quot;Behaviour&quot; and &quot;Factors&quot; configuration tables. Used for conditionally formatting these tables.">_xlfn.XLOOKUP("no", yesNoTable[tag], yesNoTable[label])</definedName>
    <definedName name="noValidBehaviourSelected" comment="Parameter set to TRUE if none of the valid data headers in the &quot;Behaviour configuration table&quot; (i.e. headers successfully found in the &quot;data&quot; sheet) is selected in the &quot;Include?&quot; column. Used for conditionally formatting the &quot;Include?&quot; column.">AND(ISREF(INDIRECT(ADDRESS(1, 1, 1, 0, sheetNameData), FALSE)), SUM(--ISNUMBER(behaviourConfigTable[behaviourColNum]))&gt;0, SUM(_xlfn.BITAND(behaviourConfigTable[includeConfig]=yesLabel,ISNUMBER(behaviourConfigTable[behaviourColNum])))=0)</definedName>
    <definedName name="noValidFactorSelected" comment="Parameter set to TRUE if none of the valid data headers in the &quot;Factors configuration table&quot; (i.e. headers successfully found in the &quot;data&quot; sheet) is selected in the &quot;Display?&quot; column. Used for conditionally formatting the &quot;Display?&quot; column.">AND(ISREF(INDIRECT(ADDRESS(1, 1, 1, 0, sheetNameData), FALSE)), SUM(--ISNUMBER(factorsConfigTable[factorColNum])), SUM(_xlfn.BITAND(factorsConfigTable[displayConfig]=yesLabel,ISNUMBER(factorsConfigTable[factorColNum])))=0)</definedName>
    <definedName name="numEntries" comment="Number of entries in the &quot;data&quot; sheet. It is counted as the number of values in the column defined by the dataRefColHeader and dataRefColNum variables.">_xlfn.XLOOKUP("numEntries",generalVariablesTable[name],generalVariablesTable[value],NA())</definedName>
    <definedName name="numFactors" comment="Number of factors selected for display by the user in the Configuration tab (up to 30). It is used to calculate the number factors displayed in each chart of the &quot;Analysis&quot; sheet (&quot;numFactorsChart1&quot; and &quot;numFactorsChart2&quot;).">_xlfn.XLOOKUP("numFactors",generalVariablesTable[name],generalVariablesTable[value],30)</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_xlfn.XLOOKUP("numFactorsChart1",generalVariablesTable[name],generalVariablesTable[value],15)</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_xlfn.XLOOKUP("numFactorsChart2",generalVariablesTable[name],generalVariablesTable[value],15)</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_xlfn.XLOOKUP("numFactorsThreshold",generalVariablesTable[name],generalVariablesTable[value],10)</definedName>
    <definedName name="numLanguages" comment="Number of languages available to display chart/table text (it includes the UI + the user-defined languages). Used mostly to define a dynamic range for the &quot;Chart language&quot; drop-down menu.">_xlfn.XLOOKUP("numLanguages",generalVariablesTable[name],generalVariablesTable[value],5)</definedName>
    <definedName name="numScores" comment="Number of scores, i.e. # of &quot;data&quot; entries having at least one non-empty value among the defined &quot;behaviour&quot; questions. If the maximum number of behaviour questions is increased, the corresponding formula in the General Variables table must be expanded.">_xlfn.XLOOKUP("numScores",generalVariablesTable[name],generalVariablesTable[value],NA())</definedName>
    <definedName name="ranasAnalyserLink" comment="Permanent link to the webpage that hosts the reference version of this file available to the public (plus possibly documentation and archived versions).">HiddenTables!$S$11</definedName>
    <definedName name="RANASLangSpecLabelColumn" comment="&quot;langSpecLabel&quot; column in the &quot;RANASBlocksTable&quot; of the &quot;HiddenTables&quot; sheet, used as a reference for conditionally formatting the &quot;RANAS block&quot; column of &quot;analysisChartTable&quot; in the &quot;Analysis&quot; sheet.">RANASBlocksTable[langSpecLabel]</definedName>
    <definedName name="RANASList" comment="List of RANAS blocks in (currently) both UI languages (English, Français) used in drop-down menus in the &quot;Factors configuration table&quot;.">RANASBlocksTable[label]</definedName>
    <definedName name="RANASTagColumn" comment="&quot;tag&quot; column in the &quot;RANASBlocksTable&quot; of the &quot;HiddenTables&quot; sheet, used as a reference for conditionally formatting the &quot;RANAS block&quot; column of &quot;analysisChartTable&quot; in the &quot;Analysis&quot; sheet.">RANASBlocksTable[tag]</definedName>
    <definedName name="ranasWebsiteLink" comment="Link to the RANAS website.">HiddenTables!$S$12</definedName>
    <definedName name="sheetNameAnalysis" comment="Dynamic reference to the &quot;Analysis&quot; sheet name (in case it changes in the future), used mostly in UI text.">_xlfn.XLOOKUP("sheetNameAnalysis",generalVariablesTable[name],generalVariablesTable[value],"Analysis")</definedName>
    <definedName name="sheetNameConfiguration" comment="Dynamic reference to the &quot;Configuration&quot; sheet name (in case it changes in the future), used mostly in UI text.">_xlfn.XLOOKUP("sheetNameConfiguration",generalVariablesTable[name],generalVariablesTable[value],"Configuration")</definedName>
    <definedName name="sheetNameCutoff" comment="Dynamic reference to the &quot;Cutoff&quot; sheet name (in case it changes in the future), used mostly in UI text.">_xlfn.XLOOKUP("sheetNameCutoff",generalVariablesTable[name],generalVariablesTable[value],"Cutoff - Seuil")</definedName>
    <definedName name="sheetNameData" comment="Dynamic reference to the &quot;data&quot; sheet name, used in UI text and inside referencing functions to process the data. Its value (currently &quot;data&quot;) is hard-coded in the &quot;General variables table&quot; and can be changed there if wanted.">_xlfn.XLOOKUP("sheetNameData",generalVariablesTable[name],generalVariablesTable[value],"data")</definedName>
    <definedName name="sheetNameHiddenTables" comment="Dynamic reference to the &quot;HiddenTables&quot; sheet name (in case it changes in the future), used for example (and maybe only) inside the referencing function to define the &quot;behaviourScoreNorm&quot; and &quot;isDoer&quot; named arrays.">_xlfn.XLOOKUP("sheetNameHiddenTables",generalVariablesTable[name],generalVariablesTable[value],"HiddenTables")</definedName>
    <definedName name="sheetNameIntroduction" comment="Dynamic reference to the &quot;Introduction&quot; sheet name (in case it changes in the future), used mostly in UI text.">_xlfn.XLOOKUP("sheetNameIntroduction",generalVariablesTable[name],generalVariablesTable[value],"Introduction")</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mostly to simplify the formula that sorts the data according to the selected method.">_xlfn.XLOOKUP("sortingMethodTag",generalVariablesTable[name],generalVariablesTable[value],"none")</definedName>
    <definedName name="sortMenuList" comment="List of sorting options for the factors analysis char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the &quot;UI Translation Table&quot;, completed with all corresponding translations.">HiddenTables!$G$2:$H$2</definedName>
    <definedName name="versionNumber" comment="Version number of the RANAS Analyser. Set in the &quot;HiddenTables&quot; sheet and used in various places.">_xlfn.XLOOKUP("versionNumber",generalVariablesTable[name],generalVariablesTable[value],HiddenTables!#REF!)</definedName>
    <definedName name="yesLabel" comment="Reference to the label meaning &quot;yes&quot; in the drop-down menus of the &quot;Include?&quot; and &quot;Display?&quot; columns of the &quot;Behaviour&quot; and &quot;Factors&quot; configuration tables. Used for conditionally formatting these tables.">_xlfn.XLOOKUP("yes", yesNoTable[tag], yesNoTable[label])</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4" i="41" l="1" a="1"/>
  <c r="H84" i="41" s="1"/>
  <c r="G84" i="41" a="1"/>
  <c r="G84" i="41" s="1"/>
  <c r="H88" i="41" l="1" a="1"/>
  <c r="H88" i="41" s="1"/>
  <c r="G88" i="41" a="1"/>
  <c r="G88" i="41" s="1"/>
  <c r="H86" i="41" a="1"/>
  <c r="H86" i="41" s="1"/>
  <c r="G86" i="41" a="1"/>
  <c r="G86" i="41" s="1"/>
  <c r="E80" i="41" a="1"/>
  <c r="E80" i="41" s="1"/>
  <c r="E81" i="41" a="1"/>
  <c r="E81" i="41"/>
  <c r="E82" i="41" a="1"/>
  <c r="E82" i="41" s="1"/>
  <c r="E83" i="41" a="1"/>
  <c r="E83" i="41"/>
  <c r="E84" i="41" a="1"/>
  <c r="E84" i="41" s="1"/>
  <c r="E85" i="41" a="1"/>
  <c r="E85" i="41"/>
  <c r="E86" i="41" a="1"/>
  <c r="E86" i="41" s="1"/>
  <c r="E87" i="41" a="1"/>
  <c r="E87" i="41"/>
  <c r="E88" i="41" a="1"/>
  <c r="E88" i="41"/>
  <c r="E89" i="41" a="1"/>
  <c r="E89" i="41" s="1"/>
  <c r="E90" i="41" a="1"/>
  <c r="E90" i="41" s="1"/>
  <c r="E91" i="41" a="1"/>
  <c r="E91" i="41"/>
  <c r="E92" i="41" a="1"/>
  <c r="E92" i="41"/>
  <c r="G6" i="42" a="1"/>
  <c r="G6" i="42" s="1"/>
  <c r="I8" i="43" a="1"/>
  <c r="I8" i="43" s="1"/>
  <c r="I7" i="43" a="1"/>
  <c r="I7" i="43" s="1"/>
  <c r="I6" i="43" a="1"/>
  <c r="I6" i="43" s="1"/>
  <c r="I4" i="43" a="1"/>
  <c r="I4" i="43" s="1"/>
  <c r="D8" i="43" a="1"/>
  <c r="D8" i="43" s="1"/>
  <c r="B6" i="43" a="1"/>
  <c r="B6" i="43" s="1"/>
  <c r="B4" i="43" a="1"/>
  <c r="B4" i="43" s="1"/>
  <c r="B3" i="43" a="1"/>
  <c r="B3" i="43" s="1"/>
  <c r="B2" i="43" a="1"/>
  <c r="B2" i="43" s="1"/>
  <c r="L49" i="43" a="1"/>
  <c r="L49" i="43" s="1"/>
  <c r="B24" i="42" a="1"/>
  <c r="B24" i="42" s="1"/>
  <c r="L66" i="43" a="1"/>
  <c r="L66" i="43" s="1"/>
  <c r="H28" i="42" a="1"/>
  <c r="H28" i="42" s="1"/>
  <c r="B5" i="42" a="1"/>
  <c r="B5" i="42" s="1"/>
  <c r="B4" i="42" a="1"/>
  <c r="B4" i="42" s="1"/>
  <c r="B3" i="42" a="1"/>
  <c r="B3" i="42" s="1"/>
  <c r="B2" i="42" a="1"/>
  <c r="B2" i="42" s="1"/>
  <c r="I74" i="39" a="1"/>
  <c r="I74" i="39" s="1"/>
  <c r="I37" i="39" a="1"/>
  <c r="I37" i="39" s="1"/>
  <c r="H37" i="39" a="1"/>
  <c r="H37" i="39" s="1"/>
  <c r="G37" i="39" a="1"/>
  <c r="G37" i="39" s="1"/>
  <c r="F37" i="39" a="1"/>
  <c r="F37" i="39" s="1"/>
  <c r="E37" i="39" a="1"/>
  <c r="E37" i="39" s="1"/>
  <c r="D37" i="39" a="1"/>
  <c r="D37" i="39" s="1"/>
  <c r="C37" i="39" a="1"/>
  <c r="C37" i="39" s="1"/>
  <c r="C33" i="39" a="1"/>
  <c r="C33" i="39" s="1"/>
  <c r="I73" i="39" a="1"/>
  <c r="I73" i="39" s="1"/>
  <c r="C30" i="39" a="1"/>
  <c r="C30" i="39" s="1"/>
  <c r="C29" i="39" a="1"/>
  <c r="C29" i="39" s="1"/>
  <c r="I72" i="39" a="1"/>
  <c r="I72" i="39" s="1"/>
  <c r="C28" i="39" a="1"/>
  <c r="C28" i="39" s="1"/>
  <c r="I22" i="39" a="1"/>
  <c r="I22" i="39" s="1"/>
  <c r="H22" i="39" a="1"/>
  <c r="H22" i="39" s="1"/>
  <c r="C21" i="39" a="1"/>
  <c r="C21" i="39" s="1"/>
  <c r="J14" i="39" a="1"/>
  <c r="J14" i="39" s="1"/>
  <c r="I14" i="39" a="1"/>
  <c r="I14" i="39" s="1"/>
  <c r="H14" i="39" a="1"/>
  <c r="H14" i="39" s="1"/>
  <c r="G14" i="39" a="1"/>
  <c r="G14" i="39" s="1"/>
  <c r="F14" i="39" a="1"/>
  <c r="F14" i="39" s="1"/>
  <c r="E14" i="39" a="1"/>
  <c r="E14" i="39" s="1"/>
  <c r="D14" i="39" a="1"/>
  <c r="D14" i="39" s="1"/>
  <c r="C14" i="39" a="1"/>
  <c r="C14" i="39" s="1"/>
  <c r="C71" i="39" a="1"/>
  <c r="C71" i="39" s="1"/>
  <c r="L7" i="39" a="1"/>
  <c r="L7" i="39" s="1"/>
  <c r="C10" i="39" a="1"/>
  <c r="C10" i="39" s="1"/>
  <c r="C9" i="39" a="1"/>
  <c r="C9" i="39" s="1"/>
  <c r="C8" i="39" a="1"/>
  <c r="C8" i="39" s="1"/>
  <c r="L16" i="41" a="1"/>
  <c r="L16" i="41" s="1"/>
  <c r="L14" i="41" a="1"/>
  <c r="L14" i="41" s="1"/>
  <c r="L12" i="41" a="1"/>
  <c r="L12" i="41" s="1"/>
  <c r="G46" i="41"/>
  <c r="C27" i="39" s="1" a="1"/>
  <c r="C27" i="39" s="1"/>
  <c r="M5" i="41" a="1"/>
  <c r="M5" i="41" s="1"/>
  <c r="G29" i="41"/>
  <c r="M16" i="41" a="1"/>
  <c r="M16" i="41" s="1"/>
  <c r="M14" i="41" a="1"/>
  <c r="M14" i="41" s="1"/>
  <c r="M12" i="41" a="1"/>
  <c r="M12" i="41" s="1"/>
  <c r="Q6" i="41" a="1"/>
  <c r="Q6" i="41" s="1"/>
  <c r="H46" i="41"/>
  <c r="H11" i="41"/>
  <c r="G11" i="41"/>
  <c r="G20" i="41"/>
  <c r="H19" i="48" s="1" a="1"/>
  <c r="H19" i="48" s="1"/>
  <c r="H20" i="41"/>
  <c r="H22" i="48" a="1"/>
  <c r="H22" i="48" s="1"/>
  <c r="H5" i="48" a="1"/>
  <c r="H5" i="48" s="1"/>
  <c r="B22" i="48"/>
  <c r="B20" i="48"/>
  <c r="L5" i="41" l="1" a="1"/>
  <c r="L5" i="41" s="1"/>
  <c r="G32" i="41"/>
  <c r="C12" i="39" s="1" a="1"/>
  <c r="C12" i="39" s="1"/>
  <c r="H32" i="41"/>
  <c r="H26" i="41" a="1"/>
  <c r="H26" i="41" s="1"/>
  <c r="H57" i="41"/>
  <c r="G57" i="41"/>
  <c r="I71" i="39" s="1" a="1"/>
  <c r="I71" i="39" s="1"/>
  <c r="H27" i="41"/>
  <c r="H49" i="41" s="1"/>
  <c r="G27" i="41"/>
  <c r="H23" i="41"/>
  <c r="G23" i="41"/>
  <c r="C2" i="39" s="1" a="1"/>
  <c r="C2" i="39" s="1"/>
  <c r="G25" i="41" a="1"/>
  <c r="G25" i="41" s="1"/>
  <c r="G24" i="41"/>
  <c r="C3" i="39" s="1" a="1"/>
  <c r="C3" i="39" s="1"/>
  <c r="G26" i="41" a="1"/>
  <c r="G26" i="41" s="1"/>
  <c r="H25" i="41" a="1"/>
  <c r="H25" i="41" s="1"/>
  <c r="H24" i="41"/>
  <c r="L3" i="39" a="1"/>
  <c r="L3" i="39" s="1"/>
  <c r="B16" i="48" a="1"/>
  <c r="B16" i="48" s="1"/>
  <c r="B13" i="48" a="1"/>
  <c r="B13" i="48" s="1"/>
  <c r="Q12" i="41" a="1"/>
  <c r="Q12" i="41" s="1"/>
  <c r="B21" i="48" a="1"/>
  <c r="B21" i="48" s="1"/>
  <c r="G18" i="48" a="1"/>
  <c r="G18" i="48" s="1"/>
  <c r="B19" i="48" a="1"/>
  <c r="B19" i="48" s="1"/>
  <c r="Q11" i="41" a="1"/>
  <c r="Q11" i="41" s="1"/>
  <c r="E19" i="41" a="1"/>
  <c r="E19" i="41" s="1"/>
  <c r="E18" i="41" a="1"/>
  <c r="E18" i="41" s="1"/>
  <c r="E17" i="41" a="1"/>
  <c r="E17" i="41" s="1"/>
  <c r="E16" i="41" a="1"/>
  <c r="E16" i="41" s="1"/>
  <c r="B18" i="48" a="1"/>
  <c r="B18" i="48" s="1"/>
  <c r="E14" i="41" a="1"/>
  <c r="E14" i="41" s="1"/>
  <c r="D4" i="48" a="1"/>
  <c r="D4" i="48" s="1"/>
  <c r="B8" i="48" a="1"/>
  <c r="B8" i="48" s="1"/>
  <c r="E20" i="41" a="1"/>
  <c r="E20" i="41" s="1"/>
  <c r="E21" i="41" a="1"/>
  <c r="E21" i="41" s="1"/>
  <c r="C5" i="39" l="1" a="1"/>
  <c r="C5" i="39" s="1"/>
  <c r="C4" i="39" a="1"/>
  <c r="C4" i="39" s="1"/>
  <c r="G49" i="41"/>
  <c r="C32" i="39" s="1" a="1"/>
  <c r="C32" i="39" s="1"/>
  <c r="C7" i="39" a="1"/>
  <c r="C7" i="39" s="1"/>
  <c r="E15" i="41" a="1"/>
  <c r="E15" i="41" s="1"/>
  <c r="E22" i="41" a="1"/>
  <c r="E22" i="41" s="1"/>
  <c r="B1" i="48" a="1"/>
  <c r="B1" i="48" s="1"/>
  <c r="Q10" i="41" a="1"/>
  <c r="Q10" i="41" s="1"/>
  <c r="J16" i="41" l="1" a="1"/>
  <c r="J16" i="41" s="1"/>
  <c r="M11" i="41" a="1"/>
  <c r="M11" i="41" s="1"/>
  <c r="L11" i="41" a="1"/>
  <c r="L11" i="41" s="1"/>
  <c r="J11" i="41" a="1"/>
  <c r="J11" i="41" s="1"/>
  <c r="C31" i="42" a="1"/>
  <c r="C31" i="42" s="1"/>
  <c r="C32" i="42" a="1"/>
  <c r="C32" i="42" s="1"/>
  <c r="C33" i="42" a="1"/>
  <c r="C33" i="42" s="1"/>
  <c r="C34" i="42" a="1"/>
  <c r="C34" i="42" s="1"/>
  <c r="C35" i="42" a="1"/>
  <c r="C35" i="42" s="1"/>
  <c r="BH8" i="41" a="1"/>
  <c r="BH8" i="41" s="1"/>
  <c r="BH9" i="41" a="1"/>
  <c r="BH9" i="41" s="1"/>
  <c r="BH10" i="41" a="1"/>
  <c r="BH10" i="41" s="1"/>
  <c r="BH11" i="41" a="1"/>
  <c r="BH11" i="41" s="1"/>
  <c r="BH12" i="41" a="1"/>
  <c r="BH12" i="41" s="1"/>
  <c r="M9" i="41" a="1"/>
  <c r="M9" i="41" s="1"/>
  <c r="L9" i="41" a="1"/>
  <c r="L9" i="41" s="1"/>
  <c r="H51" i="41" a="1"/>
  <c r="H51" i="41" s="1"/>
  <c r="H33" i="41" a="1"/>
  <c r="H33" i="41" s="1"/>
  <c r="G51" i="41" a="1"/>
  <c r="G51" i="41" s="1"/>
  <c r="C34" i="39" s="1" a="1"/>
  <c r="C34" i="39" s="1"/>
  <c r="G33" i="41" a="1"/>
  <c r="G33" i="41" s="1"/>
  <c r="C13" i="39" s="1" a="1"/>
  <c r="C13" i="39" s="1"/>
  <c r="M7" i="41" a="1"/>
  <c r="M7" i="41" s="1"/>
  <c r="M6" i="41" a="1"/>
  <c r="M6" i="41" s="1"/>
  <c r="M4" i="41" a="1"/>
  <c r="M4" i="41" s="1"/>
  <c r="L7" i="41" a="1"/>
  <c r="L7" i="41" s="1"/>
  <c r="L6" i="41" a="1"/>
  <c r="L6" i="41" s="1"/>
  <c r="L4" i="41" a="1"/>
  <c r="L4" i="41" s="1"/>
  <c r="H48" i="41" a="1"/>
  <c r="H48" i="41" s="1"/>
  <c r="H31" i="41" a="1"/>
  <c r="H31" i="41" s="1"/>
  <c r="G48" i="41" a="1"/>
  <c r="G48" i="41" s="1"/>
  <c r="G31" i="41" a="1"/>
  <c r="G31" i="41" s="1"/>
  <c r="K21" i="41" a="1"/>
  <c r="C11" i="39" l="1" a="1"/>
  <c r="C11" i="39" s="1"/>
  <c r="C31" i="39" a="1"/>
  <c r="C31" i="39" s="1"/>
  <c r="K21" i="41"/>
  <c r="Q5" i="41" a="1"/>
  <c r="Q5" i="41" s="1"/>
  <c r="Q4" i="41" a="1"/>
  <c r="Q4" i="41" s="1"/>
  <c r="K10" i="41" a="1"/>
  <c r="K13" i="41" a="1"/>
  <c r="S15" i="41" a="1"/>
  <c r="K4" i="41" a="1"/>
  <c r="K8" i="41" a="1"/>
  <c r="K6" i="41" a="1"/>
  <c r="K15" i="41" a="1"/>
  <c r="K22" i="41" a="1"/>
  <c r="K13" i="41" l="1"/>
  <c r="K8" i="41"/>
  <c r="K15" i="41"/>
  <c r="K10" i="41"/>
  <c r="S15" i="41"/>
  <c r="K6" i="41"/>
  <c r="K22" i="41"/>
  <c r="K4" i="41"/>
  <c r="S3" i="41" a="1"/>
  <c r="S3" i="41" s="1"/>
  <c r="C53" i="43" a="1"/>
  <c r="C53" i="43" s="1"/>
  <c r="E67" i="41" a="1"/>
  <c r="E67" i="41" s="1"/>
  <c r="E68" i="41" a="1"/>
  <c r="E68" i="41" s="1"/>
  <c r="K5" i="41" a="1"/>
  <c r="S16" i="41" a="1"/>
  <c r="S7" i="41" a="1"/>
  <c r="S7" i="41" l="1"/>
  <c r="S5" i="41" a="1"/>
  <c r="S5" i="41" s="1"/>
  <c r="S16" i="41"/>
  <c r="K5" i="41"/>
  <c r="S6" i="41" a="1"/>
  <c r="G82" i="41" l="1" a="1"/>
  <c r="G82" i="41" s="1"/>
  <c r="H82" i="41" a="1"/>
  <c r="H82" i="41" s="1"/>
  <c r="H85" i="41" a="1"/>
  <c r="H85" i="41" s="1"/>
  <c r="G85" i="41" a="1"/>
  <c r="G85" i="41" s="1"/>
  <c r="H83" i="41" a="1"/>
  <c r="H83" i="41" s="1"/>
  <c r="G83" i="41" a="1"/>
  <c r="G83" i="41" s="1"/>
  <c r="H13" i="41" a="1"/>
  <c r="H13" i="41" s="1"/>
  <c r="S6" i="41"/>
  <c r="G53" i="41" s="1" a="1"/>
  <c r="G53" i="41" s="1"/>
  <c r="H9" i="41" a="1"/>
  <c r="H9" i="41" s="1"/>
  <c r="G13" i="41" a="1"/>
  <c r="G13" i="41" s="1"/>
  <c r="S8" i="41" a="1"/>
  <c r="S9" i="41" a="1"/>
  <c r="H87" i="41" l="1" a="1"/>
  <c r="H87" i="41" s="1"/>
  <c r="G87" i="41" a="1"/>
  <c r="G87" i="41" s="1"/>
  <c r="B11" i="48" a="1"/>
  <c r="B11" i="48" s="1"/>
  <c r="H52" i="41" a="1"/>
  <c r="H52" i="41" s="1"/>
  <c r="G52" i="41" a="1"/>
  <c r="G52" i="41" s="1"/>
  <c r="L3" i="41" a="1"/>
  <c r="L3" i="41" s="1"/>
  <c r="L17" i="41" a="1"/>
  <c r="L17" i="41" s="1"/>
  <c r="M3" i="41" a="1"/>
  <c r="M3" i="41" s="1"/>
  <c r="H53" i="41" a="1"/>
  <c r="H53" i="41" s="1"/>
  <c r="C36" i="39" s="1" a="1"/>
  <c r="C36" i="39" s="1"/>
  <c r="M17" i="41" a="1"/>
  <c r="M17" i="41" s="1"/>
  <c r="G9" i="41" a="1"/>
  <c r="G9" i="41" s="1"/>
  <c r="H66" i="41" a="1"/>
  <c r="H66" i="41" s="1"/>
  <c r="H75" i="41" a="1"/>
  <c r="H75" i="41" s="1"/>
  <c r="G75" i="41" a="1"/>
  <c r="G75" i="41" s="1"/>
  <c r="G66" i="41" a="1"/>
  <c r="G66" i="41" s="1"/>
  <c r="S9" i="41"/>
  <c r="H92" i="41" s="1" a="1"/>
  <c r="H92" i="41" s="1"/>
  <c r="S8" i="41"/>
  <c r="H90" i="41" s="1" a="1"/>
  <c r="H90" i="41" s="1"/>
  <c r="G92" i="41" l="1" a="1"/>
  <c r="G92" i="41" s="1"/>
  <c r="I5" i="43" a="1"/>
  <c r="I5" i="43" s="1"/>
  <c r="G90" i="41" a="1"/>
  <c r="G90" i="41" s="1"/>
  <c r="C35" i="39" a="1"/>
  <c r="C35" i="39" s="1"/>
  <c r="H12" i="41" a="1"/>
  <c r="H12" i="41" s="1"/>
  <c r="G12" i="41" a="1"/>
  <c r="G12" i="41" s="1"/>
  <c r="J4" i="48" a="1"/>
  <c r="J4" i="48" s="1"/>
  <c r="L21" i="41" a="1"/>
  <c r="L21" i="41" s="1"/>
  <c r="M21" i="41" a="1"/>
  <c r="M21" i="41" s="1"/>
  <c r="L22" i="41" a="1"/>
  <c r="L22" i="41" s="1"/>
  <c r="M22" i="41" a="1"/>
  <c r="M22" i="41" s="1"/>
  <c r="Q3" i="41" a="1"/>
  <c r="Q3" i="41" s="1"/>
  <c r="Q7" i="41" a="1"/>
  <c r="Q7" i="41" s="1"/>
  <c r="Q8" i="41" a="1"/>
  <c r="Q8" i="41" s="1"/>
  <c r="Q9" i="41" a="1"/>
  <c r="Q9" i="41" s="1"/>
  <c r="B10" i="48" l="1" a="1"/>
  <c r="B10" i="48" s="1"/>
  <c r="E75" i="41" a="1"/>
  <c r="E75" i="41" s="1"/>
  <c r="E76" i="41" a="1"/>
  <c r="E76" i="41" s="1"/>
  <c r="E77" i="41" a="1"/>
  <c r="E77" i="41" s="1"/>
  <c r="E78" i="41" a="1"/>
  <c r="E78" i="41" s="1"/>
  <c r="E74" i="41" a="1"/>
  <c r="E74" i="41" s="1"/>
  <c r="E6" i="41" a="1"/>
  <c r="E6" i="41" s="1"/>
  <c r="B9" i="48" a="1"/>
  <c r="B9" i="48" s="1"/>
  <c r="E10" i="41" a="1"/>
  <c r="E10" i="41" s="1"/>
  <c r="E11" i="41" a="1"/>
  <c r="E11" i="41" s="1"/>
  <c r="E12" i="41" a="1"/>
  <c r="E12" i="41" s="1"/>
  <c r="E13" i="41" a="1"/>
  <c r="E13" i="41" s="1"/>
  <c r="E23" i="41" a="1"/>
  <c r="E23" i="41" s="1"/>
  <c r="E24" i="41" a="1"/>
  <c r="E24" i="41" s="1"/>
  <c r="E25" i="41" a="1"/>
  <c r="E25" i="41" s="1"/>
  <c r="E26" i="41" a="1"/>
  <c r="E26" i="41" s="1"/>
  <c r="E27" i="41" a="1"/>
  <c r="E27" i="41" s="1"/>
  <c r="E28" i="41" a="1"/>
  <c r="E28" i="41" s="1"/>
  <c r="E29" i="41" a="1"/>
  <c r="E29" i="41" s="1"/>
  <c r="E30" i="41" a="1"/>
  <c r="E30" i="41" s="1"/>
  <c r="E31" i="41" a="1"/>
  <c r="E31" i="41" s="1"/>
  <c r="E32" i="41" a="1"/>
  <c r="E32" i="41" s="1"/>
  <c r="E33" i="41" a="1"/>
  <c r="E33" i="41" s="1"/>
  <c r="E46" i="41" a="1"/>
  <c r="E46" i="41" s="1"/>
  <c r="E47" i="41" a="1"/>
  <c r="E47" i="41" s="1"/>
  <c r="E48" i="41" a="1"/>
  <c r="E48" i="41" s="1"/>
  <c r="E49" i="41" a="1"/>
  <c r="E49" i="41" s="1"/>
  <c r="E50" i="41" a="1"/>
  <c r="E50" i="41" s="1"/>
  <c r="E51" i="41" a="1"/>
  <c r="E51" i="41" s="1"/>
  <c r="E52" i="41" a="1"/>
  <c r="E52" i="41" s="1"/>
  <c r="E53" i="41" a="1"/>
  <c r="E53" i="41" s="1"/>
  <c r="E57" i="41" a="1"/>
  <c r="E57" i="41" s="1"/>
  <c r="E58" i="41" a="1"/>
  <c r="E58" i="41" s="1"/>
  <c r="E59" i="41" a="1"/>
  <c r="E59" i="41" s="1"/>
  <c r="E60" i="41" a="1"/>
  <c r="E60" i="41" s="1"/>
  <c r="E61" i="41" a="1"/>
  <c r="E61" i="41" s="1"/>
  <c r="E62" i="41" a="1"/>
  <c r="E62" i="41" s="1"/>
  <c r="E63" i="41" a="1"/>
  <c r="E63" i="41" s="1"/>
  <c r="E69" i="41" a="1"/>
  <c r="E69" i="41" s="1"/>
  <c r="E70" i="41" a="1"/>
  <c r="E70" i="41" s="1"/>
  <c r="E71" i="41" a="1"/>
  <c r="E71" i="41" s="1"/>
  <c r="E72" i="41" a="1"/>
  <c r="E72" i="41" s="1"/>
  <c r="E73" i="41" a="1"/>
  <c r="E73" i="41" s="1"/>
  <c r="E93" i="41" a="1"/>
  <c r="E93" i="41" s="1"/>
  <c r="D16" i="39" a="1"/>
  <c r="D16" i="39" s="1"/>
  <c r="D17" i="39" a="1"/>
  <c r="D17" i="39" s="1"/>
  <c r="D18" i="39" a="1"/>
  <c r="D18" i="39" s="1"/>
  <c r="D19" i="39" a="1"/>
  <c r="D19" i="39" s="1"/>
  <c r="D20" i="39" a="1"/>
  <c r="D20" i="39" s="1"/>
  <c r="E45" i="41" a="1"/>
  <c r="E45" i="41" s="1"/>
  <c r="E64" i="41" a="1"/>
  <c r="E64" i="41" s="1"/>
  <c r="E79" i="41" a="1"/>
  <c r="E79" i="41" s="1"/>
  <c r="E44" i="41" a="1"/>
  <c r="E44" i="41" s="1"/>
  <c r="E41" i="41" a="1"/>
  <c r="E41" i="41" s="1"/>
  <c r="E54" i="41" a="1"/>
  <c r="E54" i="41" s="1"/>
  <c r="E34" i="41" a="1"/>
  <c r="E34" i="41" s="1"/>
  <c r="J18" i="41" a="1"/>
  <c r="J18" i="41" s="1"/>
  <c r="U7" i="41" a="1"/>
  <c r="U7" i="41" s="1"/>
  <c r="V7" i="41" s="1" a="1"/>
  <c r="V7" i="41" s="1"/>
  <c r="W7" i="41" s="1"/>
  <c r="U6" i="41" a="1"/>
  <c r="U6" i="41" s="1"/>
  <c r="U5" i="41" a="1"/>
  <c r="U5" i="41" s="1"/>
  <c r="U4" i="41" a="1"/>
  <c r="U4" i="41" s="1"/>
  <c r="U3" i="41" a="1"/>
  <c r="U3" i="41" s="1"/>
  <c r="V5" i="41" l="1" a="1"/>
  <c r="V5" i="41" s="1"/>
  <c r="W5" i="41" s="1"/>
  <c r="V6" i="41" a="1"/>
  <c r="V6" i="41" s="1"/>
  <c r="W6" i="41" s="1"/>
  <c r="J15" i="41" a="1"/>
  <c r="J15" i="41" s="1"/>
  <c r="J10" i="41" a="1"/>
  <c r="J10" i="41" s="1"/>
  <c r="J12" i="41" a="1"/>
  <c r="J12" i="41" s="1"/>
  <c r="J13" i="41" a="1"/>
  <c r="J13" i="41" s="1"/>
  <c r="J8" i="41" a="1"/>
  <c r="J8" i="41" s="1"/>
  <c r="J9" i="41" a="1"/>
  <c r="J9" i="41" s="1"/>
  <c r="J14" i="41" a="1"/>
  <c r="J14" i="41" s="1"/>
  <c r="K3" i="41"/>
  <c r="Q31" i="41" a="1"/>
  <c r="Q31" i="41" s="1"/>
  <c r="J17" i="41" a="1"/>
  <c r="J17" i="41" s="1"/>
  <c r="J3" i="41" a="1"/>
  <c r="J3" i="41" s="1"/>
  <c r="E56" i="41" a="1"/>
  <c r="E56" i="41" s="1"/>
  <c r="J5" i="41" l="1" a="1"/>
  <c r="J5" i="41" s="1"/>
  <c r="E5" i="41" a="1"/>
  <c r="E5" i="41" s="1"/>
  <c r="J4" i="41" a="1"/>
  <c r="J4" i="41" s="1"/>
  <c r="J6" i="41" a="1"/>
  <c r="J6" i="41" s="1"/>
  <c r="J7" i="41" a="1"/>
  <c r="J7" i="41" s="1"/>
  <c r="J19" i="41" a="1"/>
  <c r="J19" i="41" s="1"/>
  <c r="J20" i="41" a="1"/>
  <c r="J20" i="41" s="1"/>
  <c r="J21" i="41" a="1"/>
  <c r="J21" i="41" s="1"/>
  <c r="J22" i="41" a="1"/>
  <c r="J22" i="41" s="1"/>
  <c r="J23" i="41" a="1"/>
  <c r="J23" i="41" s="1"/>
  <c r="J24" i="41" a="1"/>
  <c r="J24" i="41" s="1"/>
  <c r="Q28" i="41" a="1"/>
  <c r="Q28" i="41" s="1"/>
  <c r="S25" i="41"/>
  <c r="Q25" i="41" a="1"/>
  <c r="Q25" i="41" s="1"/>
  <c r="Q20" i="41" l="1" a="1"/>
  <c r="Q20" i="41" s="1"/>
  <c r="Q21" i="41" a="1"/>
  <c r="Q21" i="41" s="1"/>
  <c r="Q22" i="41" a="1"/>
  <c r="Q22" i="41" s="1"/>
  <c r="Q86" i="39" l="1" a="1"/>
  <c r="Q86" i="39" s="1"/>
  <c r="E4" i="41" a="1"/>
  <c r="E4" i="41" s="1"/>
  <c r="AJ3" i="41" l="1" a="1"/>
  <c r="AJ3" i="41" s="1"/>
  <c r="AJ4" i="41" a="1"/>
  <c r="AJ4" i="41" s="1"/>
  <c r="AJ5" i="41" a="1"/>
  <c r="AJ5" i="41" s="1"/>
  <c r="AJ6" i="41" a="1"/>
  <c r="AJ6" i="41" s="1"/>
  <c r="AG3" i="41"/>
  <c r="AG4" i="41"/>
  <c r="AG5" i="41"/>
  <c r="AG6" i="41"/>
  <c r="AG7" i="41"/>
  <c r="Q85" i="39" a="1"/>
  <c r="Q85" i="39" s="1"/>
  <c r="Q87" i="39" a="1"/>
  <c r="Q87" i="39" s="1"/>
  <c r="Q88" i="39" a="1"/>
  <c r="Q88" i="39" s="1"/>
  <c r="Q89" i="39" a="1"/>
  <c r="Q89" i="39" s="1"/>
  <c r="AE3" i="41" a="1"/>
  <c r="AE3" i="41" s="1"/>
  <c r="AE4" i="41" a="1"/>
  <c r="AE4" i="41" s="1"/>
  <c r="AE5" i="41" a="1"/>
  <c r="AE5" i="41" s="1"/>
  <c r="AE6" i="41" a="1"/>
  <c r="AE6" i="41" s="1"/>
  <c r="AE7" i="41" a="1"/>
  <c r="AE7" i="41" s="1"/>
  <c r="AA3" i="41" a="1"/>
  <c r="AA3" i="41" s="1"/>
  <c r="AA4" i="41" a="1"/>
  <c r="AA4" i="41" s="1"/>
  <c r="J37" i="39"/>
  <c r="V3" i="41" l="1" a="1"/>
  <c r="V3" i="41" s="1"/>
  <c r="W3" i="41" s="1"/>
  <c r="X3" i="41" s="1" a="1"/>
  <c r="X3" i="41" s="1"/>
  <c r="Y3" i="41" s="1" a="1"/>
  <c r="Y3"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C60" i="43" l="1" a="1"/>
  <c r="C60" i="43" s="1"/>
  <c r="C59" i="43" a="1"/>
  <c r="C59" i="43" s="1"/>
  <c r="C58" i="43" a="1"/>
  <c r="C58" i="43" s="1"/>
  <c r="C57" i="43" a="1"/>
  <c r="C57" i="43" s="1"/>
  <c r="C56" i="43" a="1"/>
  <c r="C56" i="43" s="1"/>
  <c r="C55" i="43" a="1"/>
  <c r="C55" i="43" s="1"/>
  <c r="C54" i="43" a="1"/>
  <c r="C54" i="43" s="1"/>
  <c r="C52" i="43" a="1"/>
  <c r="C52" i="43" s="1"/>
  <c r="C51" i="43" a="1"/>
  <c r="C51" i="43" s="1"/>
  <c r="D49" i="39" l="1" a="1"/>
  <c r="D49" i="39"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BU13" i="41" a="1"/>
  <c r="BU13" i="41" s="1"/>
  <c r="BU14" i="41" a="1"/>
  <c r="BU14" i="41" s="1"/>
  <c r="BU15" i="41" a="1"/>
  <c r="BU15" i="41" s="1"/>
  <c r="BU16" i="41" a="1"/>
  <c r="BU16" i="41" s="1"/>
  <c r="BU17" i="41" a="1"/>
  <c r="BU17" i="41" s="1"/>
  <c r="BU18" i="41" a="1"/>
  <c r="BU18" i="41" s="1"/>
  <c r="BU19" i="41" a="1"/>
  <c r="BU19" i="41" s="1"/>
  <c r="BU20" i="41" a="1"/>
  <c r="BU20" i="41" s="1"/>
  <c r="BU21" i="41" a="1"/>
  <c r="BU21" i="41" s="1"/>
  <c r="BU22" i="41" a="1"/>
  <c r="BU22" i="41" s="1"/>
  <c r="BU23" i="41" a="1"/>
  <c r="BU23" i="41" s="1"/>
  <c r="BU24" i="41" a="1"/>
  <c r="BU24" i="41" s="1"/>
  <c r="BU25" i="41" a="1"/>
  <c r="BU25" i="41" s="1"/>
  <c r="BU26" i="41" a="1"/>
  <c r="BU26" i="41" s="1"/>
  <c r="BU27" i="41" a="1"/>
  <c r="BU27" i="41" s="1"/>
  <c r="BU28" i="41" a="1"/>
  <c r="BU28" i="41" s="1"/>
  <c r="BU29" i="41" a="1"/>
  <c r="BU29" i="41" s="1"/>
  <c r="BU30" i="41" a="1"/>
  <c r="BU30" i="41" s="1"/>
  <c r="BU31" i="41" a="1"/>
  <c r="BU31" i="41" s="1"/>
  <c r="BU32" i="41" a="1"/>
  <c r="BU32" i="41" s="1"/>
  <c r="BP3" i="41" a="1"/>
  <c r="BP3" i="41" s="1"/>
  <c r="Q30" i="41" a="1"/>
  <c r="Q30" i="41" s="1"/>
  <c r="Q29" i="41" a="1"/>
  <c r="Q29" i="41" s="1"/>
  <c r="Q27" i="41" a="1"/>
  <c r="Q27" i="41" s="1"/>
  <c r="C29" i="42" a="1"/>
  <c r="C29" i="42" s="1"/>
  <c r="C30" i="42" a="1"/>
  <c r="C30" i="42" s="1"/>
  <c r="C26" i="42" l="1" a="1"/>
  <c r="C26" i="42" s="1"/>
  <c r="C27" i="42" a="1"/>
  <c r="C27" i="42" s="1"/>
  <c r="C28" i="42" a="1"/>
  <c r="C28" i="42" s="1"/>
  <c r="J75" i="39"/>
  <c r="L75" i="39"/>
  <c r="M75" i="39"/>
  <c r="N75" i="39"/>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AP3" i="41" a="1"/>
  <c r="AP3" i="41" s="1"/>
  <c r="AP4" i="41" a="1"/>
  <c r="AP4" i="41" s="1"/>
  <c r="AP5" i="41" a="1"/>
  <c r="AP5" i="41" s="1"/>
  <c r="AP6" i="41" a="1"/>
  <c r="AP6" i="41" s="1"/>
  <c r="AP7" i="41" a="1"/>
  <c r="AP7" i="41" s="1"/>
  <c r="Q13" i="41" a="1"/>
  <c r="Q13" i="41" s="1"/>
  <c r="Q14" i="41" a="1"/>
  <c r="Q14" i="41" s="1"/>
  <c r="Q15" i="41" a="1"/>
  <c r="Q15" i="41" s="1"/>
  <c r="Q16" i="41" a="1"/>
  <c r="Q16" i="41" s="1"/>
  <c r="Q17" i="41" a="1"/>
  <c r="Q17" i="41" s="1"/>
  <c r="Q18" i="41" a="1"/>
  <c r="Q18" i="41" s="1"/>
  <c r="Q19" i="41" a="1"/>
  <c r="Q19" i="41" s="1"/>
  <c r="Q23" i="41" a="1"/>
  <c r="Q23" i="41" s="1"/>
  <c r="Q24" i="41" a="1"/>
  <c r="Q24" i="41" s="1"/>
  <c r="Q26" i="41" a="1"/>
  <c r="Q26" i="41" s="1"/>
  <c r="E3" i="41" a="1"/>
  <c r="E3" i="41" s="1"/>
  <c r="E66" i="41" a="1"/>
  <c r="E66" i="41" s="1"/>
  <c r="E7" i="41" a="1"/>
  <c r="E7" i="41" s="1"/>
  <c r="E8" i="41" a="1"/>
  <c r="E8" i="41" s="1"/>
  <c r="E9" i="41" a="1"/>
  <c r="E9" i="41" s="1"/>
  <c r="E37" i="41" a="1"/>
  <c r="E37" i="41" s="1"/>
  <c r="E38" i="41" a="1"/>
  <c r="E38" i="41" s="1"/>
  <c r="E39" i="41" a="1"/>
  <c r="E39" i="41" s="1"/>
  <c r="E40" i="41" a="1"/>
  <c r="E40" i="41" s="1"/>
  <c r="E42" i="41" a="1"/>
  <c r="E42" i="41" s="1"/>
  <c r="E43" i="41" a="1"/>
  <c r="E43" i="41" s="1"/>
  <c r="E35" i="41" a="1"/>
  <c r="E35" i="41" s="1"/>
  <c r="E55" i="41" a="1"/>
  <c r="E55" i="41" s="1"/>
  <c r="E36" i="41" a="1"/>
  <c r="E36" i="41" s="1"/>
  <c r="E65" i="41" a="1"/>
  <c r="E65" i="41" s="1"/>
  <c r="BH3" i="41" a="1"/>
  <c r="BH3" i="41" s="1"/>
  <c r="BH4" i="41" a="1"/>
  <c r="BH4" i="41" s="1"/>
  <c r="BH5" i="41" a="1"/>
  <c r="BH5" i="41" s="1"/>
  <c r="BH6" i="41" a="1"/>
  <c r="BH6" i="41" s="1"/>
  <c r="BH7" i="41" a="1"/>
  <c r="BH7" i="41" s="1"/>
  <c r="BU3" i="41" a="1"/>
  <c r="BU3" i="41" s="1"/>
  <c r="BU4" i="41" a="1"/>
  <c r="BU4" i="41" s="1"/>
  <c r="BU5" i="41" a="1"/>
  <c r="BU5" i="41" s="1"/>
  <c r="BU6" i="41" a="1"/>
  <c r="BU6" i="41" s="1"/>
  <c r="BU7" i="41" a="1"/>
  <c r="BU7" i="41" s="1"/>
  <c r="BU8" i="41" a="1"/>
  <c r="BU8" i="41" s="1"/>
  <c r="BU9" i="41" a="1"/>
  <c r="BU9" i="41" s="1"/>
  <c r="BU10" i="41" a="1"/>
  <c r="BU10" i="41" s="1"/>
  <c r="BU11" i="41" a="1"/>
  <c r="BU11" i="41" s="1"/>
  <c r="BU12" i="41" a="1"/>
  <c r="BU12" i="41" s="1"/>
  <c r="D31" i="42" l="1"/>
  <c r="D35" i="42"/>
  <c r="D34" i="42"/>
  <c r="D33" i="42"/>
  <c r="D32" i="42"/>
  <c r="BV22" i="41"/>
  <c r="BV13" i="41"/>
  <c r="CK13" i="41" s="1"/>
  <c r="BV25" i="41"/>
  <c r="BV17" i="41"/>
  <c r="CK17" i="41" s="1"/>
  <c r="BV31" i="41"/>
  <c r="BV14" i="41"/>
  <c r="CK14" i="41" s="1"/>
  <c r="BV28" i="41"/>
  <c r="BV27" i="41"/>
  <c r="BV32" i="41"/>
  <c r="BV23" i="41"/>
  <c r="BV29" i="41"/>
  <c r="BV20" i="41"/>
  <c r="BV26" i="41"/>
  <c r="BV24" i="41"/>
  <c r="BV15" i="41"/>
  <c r="CK15" i="41" s="1"/>
  <c r="BV30" i="41"/>
  <c r="BV21" i="41"/>
  <c r="BV19" i="41"/>
  <c r="CK19" i="41" s="1"/>
  <c r="BV18" i="41"/>
  <c r="CK18" i="41" s="1"/>
  <c r="BV16" i="41"/>
  <c r="CK16" i="41" s="1"/>
  <c r="BV5" i="41"/>
  <c r="CK5" i="41" s="1"/>
  <c r="BV8" i="41"/>
  <c r="CK8" i="41" s="1"/>
  <c r="BV12" i="41"/>
  <c r="CK12" i="41" s="1"/>
  <c r="BV11" i="41"/>
  <c r="CK11" i="41" s="1"/>
  <c r="BV10" i="41"/>
  <c r="CK10" i="41" s="1"/>
  <c r="BV4" i="41"/>
  <c r="CK4" i="41" s="1"/>
  <c r="BV3" i="41"/>
  <c r="CK3" i="41" s="1"/>
  <c r="BV9" i="41"/>
  <c r="CK9" i="41" s="1"/>
  <c r="BV7" i="41"/>
  <c r="CK7" i="41" s="1"/>
  <c r="BV6" i="41"/>
  <c r="CK6" i="41" s="1"/>
  <c r="AQ5" i="41"/>
  <c r="AQ4" i="41"/>
  <c r="AQ6" i="41"/>
  <c r="AQ3" i="41"/>
  <c r="AQ7" i="41"/>
  <c r="BB7" i="41" s="1" a="1"/>
  <c r="BB7" i="41" s="1"/>
  <c r="D26" i="42"/>
  <c r="D28" i="42"/>
  <c r="D30" i="42"/>
  <c r="D29" i="42"/>
  <c r="D27" i="42"/>
  <c r="AT5" i="41" a="1"/>
  <c r="BW15" i="41" a="1"/>
  <c r="AT4" i="41" a="1"/>
  <c r="AT6" i="41" a="1"/>
  <c r="BW14" i="41" a="1"/>
  <c r="BW19" i="41" a="1"/>
  <c r="AT3" i="41" a="1"/>
  <c r="CG25" i="41" l="1" a="1"/>
  <c r="CG25" i="41" s="1"/>
  <c r="H61" i="39" s="1"/>
  <c r="CK25" i="41"/>
  <c r="CG23" i="41" a="1"/>
  <c r="CG23" i="41" s="1"/>
  <c r="CK23" i="41"/>
  <c r="CG21" i="41" a="1"/>
  <c r="CG21" i="41" s="1"/>
  <c r="H57" i="39" s="1"/>
  <c r="CK21" i="41"/>
  <c r="CG32" i="41" a="1"/>
  <c r="CG32" i="41" s="1"/>
  <c r="H68" i="39" s="1"/>
  <c r="CK32" i="41"/>
  <c r="CG22" i="41" a="1"/>
  <c r="CG22" i="41" s="1"/>
  <c r="H58" i="39" s="1"/>
  <c r="CK22" i="41"/>
  <c r="CG30" i="41" a="1"/>
  <c r="CG30" i="41" s="1"/>
  <c r="H66" i="39" s="1"/>
  <c r="CK30" i="41"/>
  <c r="CG27" i="41" a="1"/>
  <c r="CG27" i="41" s="1"/>
  <c r="H63" i="39" s="1"/>
  <c r="CK27" i="41"/>
  <c r="CG29" i="41" a="1"/>
  <c r="CG29" i="41" s="1"/>
  <c r="H65" i="39" s="1"/>
  <c r="CK29" i="41"/>
  <c r="CG28" i="41" a="1"/>
  <c r="CG28" i="41" s="1"/>
  <c r="H64" i="39" s="1"/>
  <c r="CK28" i="41"/>
  <c r="CG24" i="41" a="1"/>
  <c r="CG24" i="41" s="1"/>
  <c r="CK24" i="41"/>
  <c r="CG26" i="41" a="1"/>
  <c r="CG26" i="41" s="1"/>
  <c r="H62" i="39" s="1"/>
  <c r="CK26" i="41"/>
  <c r="CG31" i="41" a="1"/>
  <c r="CG31" i="41" s="1"/>
  <c r="H67" i="39" s="1"/>
  <c r="CK31" i="41"/>
  <c r="CG20" i="41" a="1"/>
  <c r="CG20" i="41" s="1"/>
  <c r="H56" i="39" s="1"/>
  <c r="CK20" i="41"/>
  <c r="BC7" i="41" a="1"/>
  <c r="BC7" i="41" s="1"/>
  <c r="AY7" i="41"/>
  <c r="AX7" i="41"/>
  <c r="CB29" i="41"/>
  <c r="CA29" i="41"/>
  <c r="CA23" i="41"/>
  <c r="CB23" i="41"/>
  <c r="CB21" i="41"/>
  <c r="CA21" i="41"/>
  <c r="CA32" i="41"/>
  <c r="CB32" i="41"/>
  <c r="CB22" i="41"/>
  <c r="CA22" i="41"/>
  <c r="CA27" i="41"/>
  <c r="CB27" i="41"/>
  <c r="CB28" i="41"/>
  <c r="CA28" i="41"/>
  <c r="CA26" i="41"/>
  <c r="CB26" i="41"/>
  <c r="CB20" i="41"/>
  <c r="CA20" i="41"/>
  <c r="CB30" i="41"/>
  <c r="CA30" i="41"/>
  <c r="CA24" i="41"/>
  <c r="CB24" i="41"/>
  <c r="CA31" i="41"/>
  <c r="CB31" i="41"/>
  <c r="CA25" i="41"/>
  <c r="CB25" i="41"/>
  <c r="BW19" i="41"/>
  <c r="BW15" i="41"/>
  <c r="BW14" i="41"/>
  <c r="BW29" i="41" a="1"/>
  <c r="BW29" i="41" s="1"/>
  <c r="BX29" i="41" a="1"/>
  <c r="BX29" i="41" s="1"/>
  <c r="BW25" i="41" a="1"/>
  <c r="BW25" i="41" s="1"/>
  <c r="BX25" i="41" a="1"/>
  <c r="BX25" i="41" s="1"/>
  <c r="BW23" i="41" a="1"/>
  <c r="BW23" i="41" s="1"/>
  <c r="BX23" i="41" a="1"/>
  <c r="BX23" i="41" s="1"/>
  <c r="BW21" i="41" a="1"/>
  <c r="BW21" i="41" s="1"/>
  <c r="BX21" i="41" a="1"/>
  <c r="BX21" i="41" s="1"/>
  <c r="BW32" i="41" a="1"/>
  <c r="BW32" i="41" s="1"/>
  <c r="BX32" i="41" a="1"/>
  <c r="BX32" i="41" s="1"/>
  <c r="BW22" i="41" a="1"/>
  <c r="BW22" i="41" s="1"/>
  <c r="BX22" i="41" a="1"/>
  <c r="BX22" i="41" s="1"/>
  <c r="BW30" i="41" a="1"/>
  <c r="BW30" i="41" s="1"/>
  <c r="BX30" i="41" a="1"/>
  <c r="BX30" i="41" s="1"/>
  <c r="BX27" i="41" a="1"/>
  <c r="BX27" i="41" s="1"/>
  <c r="BW27" i="41" a="1"/>
  <c r="BW27" i="41" s="1"/>
  <c r="BX28" i="41" a="1"/>
  <c r="BX28" i="41" s="1"/>
  <c r="BW28" i="41" a="1"/>
  <c r="BW28" i="41" s="1"/>
  <c r="BW24" i="41" a="1"/>
  <c r="BW24" i="41" s="1"/>
  <c r="BX24" i="41" a="1"/>
  <c r="BX24" i="41" s="1"/>
  <c r="BX26" i="41" a="1"/>
  <c r="BX26" i="41" s="1"/>
  <c r="BW26" i="41" a="1"/>
  <c r="BW26" i="41" s="1"/>
  <c r="BW31" i="41" a="1"/>
  <c r="BW31" i="41" s="1"/>
  <c r="BX31" i="41" a="1"/>
  <c r="BX31" i="41" s="1"/>
  <c r="BW20" i="41" a="1"/>
  <c r="BW20" i="41" s="1"/>
  <c r="BX20" i="41" a="1"/>
  <c r="BX20" i="41" s="1"/>
  <c r="AT3" i="41"/>
  <c r="AT6" i="41"/>
  <c r="AT4" i="41"/>
  <c r="AT5" i="41"/>
  <c r="BY3" i="41"/>
  <c r="BY8" i="41"/>
  <c r="BY14" i="41"/>
  <c r="BY9" i="41"/>
  <c r="BY16" i="41"/>
  <c r="BY17" i="41"/>
  <c r="BY18" i="41"/>
  <c r="AV3" i="41"/>
  <c r="AV7" i="41"/>
  <c r="BY4" i="41"/>
  <c r="BY19" i="41"/>
  <c r="BY23" i="41"/>
  <c r="AV6" i="41"/>
  <c r="BY10" i="41"/>
  <c r="BY13" i="41"/>
  <c r="AV4" i="41"/>
  <c r="BY11" i="41"/>
  <c r="AV5" i="41"/>
  <c r="BY15" i="41"/>
  <c r="BY6" i="41"/>
  <c r="BY7" i="41"/>
  <c r="BY5" i="41"/>
  <c r="BY24" i="41"/>
  <c r="BY28" i="41"/>
  <c r="BY26" i="41"/>
  <c r="BY31" i="41"/>
  <c r="BY12" i="41"/>
  <c r="BY20" i="41"/>
  <c r="BY29" i="41"/>
  <c r="BY25" i="41"/>
  <c r="BY21" i="41"/>
  <c r="BY22" i="41"/>
  <c r="BY32" i="41"/>
  <c r="BY30" i="41"/>
  <c r="BY27" i="41"/>
  <c r="CL21" i="41"/>
  <c r="CL30" i="41"/>
  <c r="CL27" i="41"/>
  <c r="CL28" i="41"/>
  <c r="CL31" i="41"/>
  <c r="CL26" i="41"/>
  <c r="CL20" i="41"/>
  <c r="CL29" i="41"/>
  <c r="CL25" i="41"/>
  <c r="CL32" i="41"/>
  <c r="CL22" i="41"/>
  <c r="CL3" i="41"/>
  <c r="CL13" i="41"/>
  <c r="CL12" i="41"/>
  <c r="CL15" i="41"/>
  <c r="CL17" i="41"/>
  <c r="CL18" i="41"/>
  <c r="CL19" i="41"/>
  <c r="CL6" i="41"/>
  <c r="CL8" i="41"/>
  <c r="CL24" i="41"/>
  <c r="CL14" i="41"/>
  <c r="CL4" i="41"/>
  <c r="CL10" i="41"/>
  <c r="CL11" i="41"/>
  <c r="CL7" i="41"/>
  <c r="CL5" i="41"/>
  <c r="CL9" i="41"/>
  <c r="CL16" i="41"/>
  <c r="CL23" i="41"/>
  <c r="BZ16" i="41"/>
  <c r="BZ19" i="41"/>
  <c r="BZ22" i="41"/>
  <c r="CF22" i="41" a="1"/>
  <c r="CF22" i="41" s="1"/>
  <c r="CJ22" i="41"/>
  <c r="CE22" i="41" a="1"/>
  <c r="CE22" i="41" s="1"/>
  <c r="CH22" i="41" a="1"/>
  <c r="CH22" i="41" s="1"/>
  <c r="CI22" i="41" a="1"/>
  <c r="CI22" i="41" s="1"/>
  <c r="CI21" i="41" a="1"/>
  <c r="CI21" i="41" s="1"/>
  <c r="CE21" i="41" a="1"/>
  <c r="CE21" i="41" s="1"/>
  <c r="CH21" i="41" a="1"/>
  <c r="CH21" i="41" s="1"/>
  <c r="BZ21" i="41"/>
  <c r="CJ21" i="41"/>
  <c r="CF21" i="41" a="1"/>
  <c r="CF21" i="41" s="1"/>
  <c r="BZ24" i="41"/>
  <c r="CI30" i="41" a="1"/>
  <c r="CI30" i="41" s="1"/>
  <c r="BZ30" i="41"/>
  <c r="CJ30" i="41"/>
  <c r="CE30" i="41" a="1"/>
  <c r="CE30" i="41" s="1"/>
  <c r="CH30" i="41" a="1"/>
  <c r="CH30" i="41" s="1"/>
  <c r="CF30" i="41" a="1"/>
  <c r="CF30" i="41" s="1"/>
  <c r="CH26" i="41" a="1"/>
  <c r="CH26" i="41" s="1"/>
  <c r="CF26" i="41" a="1"/>
  <c r="CF26" i="41" s="1"/>
  <c r="CI26" i="41" a="1"/>
  <c r="CI26" i="41" s="1"/>
  <c r="CJ26" i="41"/>
  <c r="CE26" i="41" a="1"/>
  <c r="CE26" i="41" s="1"/>
  <c r="BZ26" i="41"/>
  <c r="BZ23" i="41"/>
  <c r="CI32" i="41" a="1"/>
  <c r="CI32" i="41" s="1"/>
  <c r="BZ32" i="41"/>
  <c r="CJ32" i="41"/>
  <c r="CE32" i="41" a="1"/>
  <c r="CE32" i="41" s="1"/>
  <c r="CF32" i="41" a="1"/>
  <c r="CF32" i="41" s="1"/>
  <c r="CH32" i="41" a="1"/>
  <c r="CH32" i="41" s="1"/>
  <c r="CJ20" i="41"/>
  <c r="CI20" i="41" a="1"/>
  <c r="CI20" i="41" s="1"/>
  <c r="CH20" i="41" a="1"/>
  <c r="CH20" i="41" s="1"/>
  <c r="BZ20" i="41"/>
  <c r="CE20" i="41" a="1"/>
  <c r="CE20" i="41" s="1"/>
  <c r="CF20" i="41" a="1"/>
  <c r="CF20" i="41" s="1"/>
  <c r="CF31" i="41" a="1"/>
  <c r="CF31" i="41" s="1"/>
  <c r="CI31" i="41" a="1"/>
  <c r="CI31" i="41" s="1"/>
  <c r="CJ31" i="41"/>
  <c r="CE31" i="41" a="1"/>
  <c r="CE31" i="41" s="1"/>
  <c r="CH31" i="41" a="1"/>
  <c r="CH31" i="41" s="1"/>
  <c r="BZ31" i="41"/>
  <c r="CH29" i="41" a="1"/>
  <c r="CH29" i="41" s="1"/>
  <c r="CF29" i="41" a="1"/>
  <c r="CF29" i="41" s="1"/>
  <c r="CI29" i="41" a="1"/>
  <c r="CI29" i="41" s="1"/>
  <c r="CJ29" i="41"/>
  <c r="BZ29" i="41"/>
  <c r="CE29" i="41" a="1"/>
  <c r="CE29" i="41" s="1"/>
  <c r="BZ27" i="41"/>
  <c r="CH27" i="41" a="1"/>
  <c r="CH27" i="41" s="1"/>
  <c r="CJ27" i="41"/>
  <c r="CF27" i="41" a="1"/>
  <c r="CF27" i="41" s="1"/>
  <c r="CE27" i="41" a="1"/>
  <c r="CE27" i="41" s="1"/>
  <c r="CI27" i="41" a="1"/>
  <c r="CI27" i="41" s="1"/>
  <c r="CJ28" i="41"/>
  <c r="BZ28" i="41"/>
  <c r="CE28" i="41" a="1"/>
  <c r="CE28" i="41" s="1"/>
  <c r="CH28" i="41" a="1"/>
  <c r="CH28" i="41" s="1"/>
  <c r="CF28" i="41" a="1"/>
  <c r="CF28" i="41" s="1"/>
  <c r="CI28" i="41" a="1"/>
  <c r="CI28" i="41" s="1"/>
  <c r="BZ17" i="41"/>
  <c r="BZ25" i="41"/>
  <c r="CJ25" i="41"/>
  <c r="CI25" i="41" a="1"/>
  <c r="CI25" i="41" s="1"/>
  <c r="CE25" i="41" a="1"/>
  <c r="CE25" i="41" s="1"/>
  <c r="CF25" i="41" a="1"/>
  <c r="CF25" i="41" s="1"/>
  <c r="CH25" i="41" a="1"/>
  <c r="CH25" i="41" s="1"/>
  <c r="BZ18" i="41"/>
  <c r="BZ13" i="41"/>
  <c r="BZ14" i="41"/>
  <c r="BZ15" i="41"/>
  <c r="BZ7" i="41"/>
  <c r="BZ10" i="41"/>
  <c r="BZ5" i="41"/>
  <c r="BZ9" i="41"/>
  <c r="BZ11" i="41"/>
  <c r="BZ3" i="41"/>
  <c r="BZ12" i="41"/>
  <c r="BZ6" i="41"/>
  <c r="BZ4" i="41"/>
  <c r="BZ8" i="41"/>
  <c r="AR3" i="41"/>
  <c r="AS3" i="41" s="1"/>
  <c r="AR6" i="41"/>
  <c r="AS6" i="41" s="1"/>
  <c r="AR5" i="41"/>
  <c r="AS5" i="41" s="1"/>
  <c r="AR7" i="41"/>
  <c r="AS7" i="41" s="1"/>
  <c r="AR4" i="41"/>
  <c r="AS4" i="41" s="1"/>
  <c r="AW3" i="41"/>
  <c r="AW4" i="41"/>
  <c r="AW7" i="41"/>
  <c r="AW5" i="41"/>
  <c r="AW6" i="41"/>
  <c r="AT7" i="41" a="1"/>
  <c r="CC31" i="41" a="1"/>
  <c r="BW11" i="41" a="1"/>
  <c r="BW7" i="41" a="1"/>
  <c r="BW18" i="41" a="1"/>
  <c r="BW13" i="41" a="1"/>
  <c r="BW17" i="41" a="1"/>
  <c r="BW3" i="41" a="1"/>
  <c r="CD28" i="41" a="1"/>
  <c r="CC25" i="41" a="1"/>
  <c r="BW6" i="41" a="1"/>
  <c r="BW8" i="41" a="1"/>
  <c r="CD31" i="41" a="1"/>
  <c r="BW12" i="41" a="1"/>
  <c r="CD20" i="41" a="1"/>
  <c r="CC30" i="41" a="1"/>
  <c r="CC22" i="41" a="1"/>
  <c r="CD22" i="41" a="1"/>
  <c r="CC26" i="41" a="1"/>
  <c r="CD21" i="41" a="1"/>
  <c r="BW5" i="41" a="1"/>
  <c r="CC27" i="41" a="1"/>
  <c r="CC32" i="41" a="1"/>
  <c r="BX14" i="41" a="1"/>
  <c r="AU4" i="41" a="1"/>
  <c r="CD23" i="41" a="1"/>
  <c r="CD30" i="41" a="1"/>
  <c r="CD29" i="41" a="1"/>
  <c r="CD27" i="41" a="1"/>
  <c r="BW10" i="41" a="1"/>
  <c r="CD32" i="41" a="1"/>
  <c r="CC29" i="41" a="1"/>
  <c r="CC23" i="41" a="1"/>
  <c r="CC28" i="41" a="1"/>
  <c r="CC21" i="41" a="1"/>
  <c r="BW16" i="41" a="1"/>
  <c r="BW4" i="41" a="1"/>
  <c r="CD25" i="41" a="1"/>
  <c r="CD26" i="41" a="1"/>
  <c r="BX19" i="41" a="1"/>
  <c r="CC20" i="41" a="1"/>
  <c r="CC24" i="41" a="1"/>
  <c r="CD24" i="41" a="1"/>
  <c r="BW9" i="41" a="1"/>
  <c r="BX15" i="41" a="1"/>
  <c r="BW17" i="41" l="1"/>
  <c r="BW13" i="41"/>
  <c r="BW18" i="41"/>
  <c r="B54" i="39" s="1"/>
  <c r="BW11" i="41"/>
  <c r="B47" i="39" s="1"/>
  <c r="BW8" i="41"/>
  <c r="B44" i="39" s="1"/>
  <c r="BW5" i="41"/>
  <c r="B41" i="39" s="1"/>
  <c r="BW9" i="41"/>
  <c r="B45" i="39" s="1"/>
  <c r="BW12" i="41"/>
  <c r="BW4" i="41"/>
  <c r="B40" i="39" s="1"/>
  <c r="BW7" i="41"/>
  <c r="BW10" i="41"/>
  <c r="B46" i="39" s="1"/>
  <c r="BW3" i="41"/>
  <c r="B39" i="39" s="1"/>
  <c r="BW16" i="41"/>
  <c r="B52" i="39" s="1"/>
  <c r="BW6" i="41"/>
  <c r="B42" i="39" s="1"/>
  <c r="CC24" i="41"/>
  <c r="CC22" i="41"/>
  <c r="CC25" i="41"/>
  <c r="CC28" i="41"/>
  <c r="CC32" i="41"/>
  <c r="CC20" i="41"/>
  <c r="CC27" i="41"/>
  <c r="CC23" i="41"/>
  <c r="CC29" i="41"/>
  <c r="CC31" i="41"/>
  <c r="CC21" i="41"/>
  <c r="CC26" i="41"/>
  <c r="CC30" i="41"/>
  <c r="CD28" i="41"/>
  <c r="CD22" i="41"/>
  <c r="CD20" i="41"/>
  <c r="CD32" i="41"/>
  <c r="CD29" i="41"/>
  <c r="CD27" i="41"/>
  <c r="CD24" i="41"/>
  <c r="CD31" i="41"/>
  <c r="CD21" i="41"/>
  <c r="CD26" i="41"/>
  <c r="CD30" i="41"/>
  <c r="CD23" i="41"/>
  <c r="CD25" i="41"/>
  <c r="B66" i="39"/>
  <c r="B62" i="39"/>
  <c r="B58" i="39"/>
  <c r="B64" i="39"/>
  <c r="B56" i="39"/>
  <c r="B68" i="39"/>
  <c r="B65" i="39"/>
  <c r="B61" i="39"/>
  <c r="B63" i="39"/>
  <c r="B67" i="39"/>
  <c r="B57" i="39"/>
  <c r="B18" i="39"/>
  <c r="B19" i="39"/>
  <c r="B16" i="39"/>
  <c r="AT7" i="41"/>
  <c r="BX14" i="41"/>
  <c r="BX19" i="41"/>
  <c r="BX15" i="41"/>
  <c r="AU4" i="41"/>
  <c r="B17" i="39"/>
  <c r="B50" i="39"/>
  <c r="B55" i="39"/>
  <c r="B53" i="39"/>
  <c r="B51" i="39"/>
  <c r="B59" i="39"/>
  <c r="B49" i="39"/>
  <c r="H20" i="39"/>
  <c r="CM3" i="41" a="1"/>
  <c r="CM3" i="41" s="1"/>
  <c r="CP3" i="41" s="1"/>
  <c r="AU5" i="41" a="1"/>
  <c r="CA15" i="41"/>
  <c r="BX7" i="41" a="1"/>
  <c r="BX11" i="41" a="1"/>
  <c r="AU6" i="41" a="1"/>
  <c r="AX4" i="41"/>
  <c r="AZ7" i="41" a="1"/>
  <c r="BX5" i="41" a="1"/>
  <c r="CA19" i="41"/>
  <c r="BA7" i="41" a="1"/>
  <c r="AU3" i="41" a="1"/>
  <c r="BX13" i="41" a="1"/>
  <c r="BX17" i="41" a="1"/>
  <c r="CB14" i="41"/>
  <c r="BX12" i="41" a="1"/>
  <c r="BX13" i="41" l="1"/>
  <c r="BX17" i="41"/>
  <c r="BX11" i="41"/>
  <c r="BX5" i="41"/>
  <c r="BX12" i="41"/>
  <c r="BX7" i="41"/>
  <c r="B43" i="39"/>
  <c r="BA7" i="41"/>
  <c r="AZ7" i="41"/>
  <c r="AU7" i="41" a="1"/>
  <c r="AU7" i="41" s="1"/>
  <c r="AU6" i="41"/>
  <c r="AU5" i="41"/>
  <c r="AU3" i="41"/>
  <c r="I20" i="39"/>
  <c r="B20" i="39"/>
  <c r="B48" i="39"/>
  <c r="B60" i="39"/>
  <c r="H60" i="39"/>
  <c r="CM4" i="41" a="1"/>
  <c r="CM4" i="41" s="1"/>
  <c r="CP4" i="41" s="1"/>
  <c r="BX18" i="41" a="1"/>
  <c r="CA17" i="41"/>
  <c r="BX9" i="41" a="1"/>
  <c r="BX10" i="41" a="1"/>
  <c r="CA11" i="41"/>
  <c r="CA7" i="41"/>
  <c r="CB11" i="41"/>
  <c r="CA14" i="41"/>
  <c r="CC17" i="41" a="1"/>
  <c r="CD14" i="41" a="1"/>
  <c r="CB5" i="41"/>
  <c r="BB5" i="41" a="1"/>
  <c r="K7" i="41" a="1"/>
  <c r="CB12" i="41"/>
  <c r="CC15" i="41" a="1"/>
  <c r="BB4" i="41" a="1"/>
  <c r="BX3" i="41" a="1"/>
  <c r="CB17" i="41"/>
  <c r="BX16" i="41" a="1"/>
  <c r="CC19" i="41" a="1"/>
  <c r="CA12" i="41"/>
  <c r="CA13" i="41"/>
  <c r="CB15" i="41"/>
  <c r="BX6" i="41" a="1"/>
  <c r="BX4" i="41" a="1"/>
  <c r="AY4" i="41"/>
  <c r="CB13" i="41"/>
  <c r="CD13" i="41" s="1" a="1"/>
  <c r="AY6" i="41"/>
  <c r="K14" i="41" a="1"/>
  <c r="CB19" i="41"/>
  <c r="K12" i="41" a="1"/>
  <c r="AZ4" i="41" a="1"/>
  <c r="K9" i="41" a="1"/>
  <c r="BX8" i="41" a="1"/>
  <c r="BB6" i="41" a="1"/>
  <c r="AY3" i="41"/>
  <c r="BX18" i="41" l="1"/>
  <c r="BX4" i="41"/>
  <c r="BB4" i="41"/>
  <c r="BC4" i="41" s="1" a="1"/>
  <c r="BC4" i="41" s="1"/>
  <c r="BX9" i="41"/>
  <c r="BX8" i="41"/>
  <c r="BX3" i="41"/>
  <c r="BX10" i="41"/>
  <c r="BX16" i="41"/>
  <c r="BX6" i="41"/>
  <c r="BB5" i="41"/>
  <c r="BC5" i="41" s="1" a="1"/>
  <c r="BC5" i="41" s="1"/>
  <c r="BB6" i="41"/>
  <c r="BC6" i="41" s="1" a="1"/>
  <c r="BC6" i="41" s="1"/>
  <c r="AZ4" i="41"/>
  <c r="CD13" i="41"/>
  <c r="CD14" i="41"/>
  <c r="CC17" i="41"/>
  <c r="CC19" i="41"/>
  <c r="CC15" i="41"/>
  <c r="K12" i="41"/>
  <c r="K7" i="41"/>
  <c r="K9" i="41"/>
  <c r="K14" i="41"/>
  <c r="CM5" i="41" a="1"/>
  <c r="CM5" i="41" s="1"/>
  <c r="CP5" i="41" s="1"/>
  <c r="CC11" i="41" a="1"/>
  <c r="AX5" i="41"/>
  <c r="CD12" i="41" a="1"/>
  <c r="CC7" i="41" a="1"/>
  <c r="CA5" i="41"/>
  <c r="AX3" i="41"/>
  <c r="CC14" i="41" a="1"/>
  <c r="CB3" i="41"/>
  <c r="CA9" i="41"/>
  <c r="BA4" i="41" a="1"/>
  <c r="CD15" i="41" a="1"/>
  <c r="CC12" i="41" a="1"/>
  <c r="AX6" i="41"/>
  <c r="CC13" i="41" a="1"/>
  <c r="CB9" i="41"/>
  <c r="BA3" i="41" a="1"/>
  <c r="S17" i="41" a="1"/>
  <c r="AY5" i="41"/>
  <c r="CD17" i="41" a="1"/>
  <c r="CD5" i="41" a="1"/>
  <c r="CA3" i="41"/>
  <c r="BA6" i="41" a="1"/>
  <c r="BE3" i="41" a="1"/>
  <c r="CD11" i="41" a="1"/>
  <c r="CD19" i="41" a="1"/>
  <c r="CA16" i="41"/>
  <c r="CB7" i="41"/>
  <c r="BB3" i="41" a="1"/>
  <c r="CB10" i="41"/>
  <c r="CC11" i="41" l="1"/>
  <c r="BA4" i="41"/>
  <c r="BB3" i="41"/>
  <c r="BC3" i="41" s="1" a="1"/>
  <c r="BC3" i="41" s="1"/>
  <c r="CD12" i="41"/>
  <c r="CD19" i="41"/>
  <c r="CD15" i="41"/>
  <c r="CC7" i="41"/>
  <c r="CD11" i="41"/>
  <c r="CM6" i="41" a="1"/>
  <c r="CM6" i="41" s="1"/>
  <c r="CP6" i="41" s="1"/>
  <c r="BE3" i="41"/>
  <c r="CC13" i="41"/>
  <c r="CD5" i="41"/>
  <c r="CD17" i="41"/>
  <c r="BA6" i="41"/>
  <c r="CC14" i="41"/>
  <c r="CC12" i="41"/>
  <c r="BA3" i="41"/>
  <c r="S17" i="41"/>
  <c r="K37" i="39"/>
  <c r="K19" i="41" a="1"/>
  <c r="BM6" i="41" a="1"/>
  <c r="CA10" i="41"/>
  <c r="CA6" i="41"/>
  <c r="BA5" i="41" a="1"/>
  <c r="CA4" i="41"/>
  <c r="BM5" i="41" a="1"/>
  <c r="BL8" i="41" a="1"/>
  <c r="BM7" i="41" a="1"/>
  <c r="CB18" i="41"/>
  <c r="CC10" i="41" a="1"/>
  <c r="CB4" i="41"/>
  <c r="CC16" i="41" a="1"/>
  <c r="BL11" i="41" a="1"/>
  <c r="BK10" i="41" a="1"/>
  <c r="CB8" i="41"/>
  <c r="CA18" i="41"/>
  <c r="CC18" i="41" s="1" a="1"/>
  <c r="BM8" i="41" a="1"/>
  <c r="CD3" i="41" a="1"/>
  <c r="BL12" i="41" a="1"/>
  <c r="CC9" i="41" a="1"/>
  <c r="K20" i="41" a="1"/>
  <c r="BK9" i="41" a="1"/>
  <c r="BF3" i="41" a="1"/>
  <c r="BM11" i="41" a="1"/>
  <c r="BM9" i="41" a="1"/>
  <c r="CC3" i="41" a="1"/>
  <c r="BM10" i="41" a="1"/>
  <c r="BK12" i="41" a="1"/>
  <c r="BM12" i="41" a="1"/>
  <c r="BL6" i="41" a="1"/>
  <c r="AZ3" i="41" a="1"/>
  <c r="CB16" i="41"/>
  <c r="BL4" i="41" a="1"/>
  <c r="CD9" i="41" a="1"/>
  <c r="CD10" i="41" a="1"/>
  <c r="BL9" i="41" a="1"/>
  <c r="AZ5" i="41" a="1"/>
  <c r="CD16" i="41" a="1"/>
  <c r="BK8" i="41" a="1"/>
  <c r="BL3" i="41" a="1"/>
  <c r="BL5" i="41" a="1"/>
  <c r="CB6" i="41"/>
  <c r="CC5" i="41" a="1"/>
  <c r="AZ6" i="41" a="1"/>
  <c r="BK11" i="41" a="1"/>
  <c r="BM3" i="41" a="1"/>
  <c r="BL10" i="41" a="1"/>
  <c r="BM4" i="41" a="1"/>
  <c r="CA8" i="41"/>
  <c r="BL7" i="41" a="1"/>
  <c r="CD7" i="41" a="1"/>
  <c r="S18" i="41" a="1"/>
  <c r="CC18" i="41" l="1"/>
  <c r="R77" i="39" a="1"/>
  <c r="R77" i="39" s="1"/>
  <c r="S77" i="39" s="1" a="1"/>
  <c r="S77" i="39" s="1"/>
  <c r="R88" i="39" a="1"/>
  <c r="R88" i="39" s="1"/>
  <c r="S88" i="39" s="1" a="1"/>
  <c r="S88" i="39" s="1"/>
  <c r="R89" i="39" a="1"/>
  <c r="R89" i="39" s="1"/>
  <c r="S89" i="39" s="1" a="1"/>
  <c r="S89" i="39" s="1"/>
  <c r="R90" i="39" a="1"/>
  <c r="R90" i="39" s="1"/>
  <c r="S90" i="39" s="1" a="1"/>
  <c r="S90" i="39" s="1"/>
  <c r="R91" i="39" a="1"/>
  <c r="R91" i="39" s="1"/>
  <c r="S91" i="39" s="1" a="1"/>
  <c r="S91" i="39" s="1"/>
  <c r="R85" i="39" a="1"/>
  <c r="R85" i="39" s="1"/>
  <c r="S85" i="39" s="1" a="1"/>
  <c r="S85" i="39" s="1"/>
  <c r="S28" i="41" s="1"/>
  <c r="R81" i="39" a="1"/>
  <c r="R81" i="39" s="1"/>
  <c r="S81" i="39" s="1" a="1"/>
  <c r="S81" i="39" s="1"/>
  <c r="R78" i="39" a="1"/>
  <c r="R78" i="39" s="1"/>
  <c r="S78" i="39" s="1" a="1"/>
  <c r="S78" i="39" s="1"/>
  <c r="R87" i="39" a="1"/>
  <c r="R87" i="39" s="1"/>
  <c r="S87" i="39" s="1" a="1"/>
  <c r="S87" i="39" s="1"/>
  <c r="R86" i="39" a="1"/>
  <c r="R86" i="39" s="1"/>
  <c r="S86" i="39" s="1" a="1"/>
  <c r="S86" i="39" s="1"/>
  <c r="R83" i="39" a="1"/>
  <c r="R83" i="39" s="1"/>
  <c r="S83" i="39" s="1" a="1"/>
  <c r="S83" i="39" s="1"/>
  <c r="R82" i="39" a="1"/>
  <c r="R82" i="39" s="1"/>
  <c r="S82" i="39" s="1" a="1"/>
  <c r="S82" i="39" s="1"/>
  <c r="R84" i="39" a="1"/>
  <c r="R84" i="39" s="1"/>
  <c r="S84" i="39" s="1" a="1"/>
  <c r="S84" i="39" s="1"/>
  <c r="S27" i="41" s="1"/>
  <c r="R80" i="39" a="1"/>
  <c r="R80" i="39" s="1"/>
  <c r="S80" i="39" s="1" a="1"/>
  <c r="S80" i="39" s="1"/>
  <c r="R79" i="39" a="1"/>
  <c r="R79" i="39" s="1"/>
  <c r="S79" i="39" s="1" a="1"/>
  <c r="S79" i="39" s="1"/>
  <c r="CC5" i="41"/>
  <c r="CD10" i="41"/>
  <c r="CC10" i="41"/>
  <c r="BA5" i="41"/>
  <c r="CC9" i="41"/>
  <c r="CD9" i="41"/>
  <c r="CD7" i="41"/>
  <c r="AZ3" i="41"/>
  <c r="CC3" i="41"/>
  <c r="CD3" i="41"/>
  <c r="CD16" i="41"/>
  <c r="CC16" i="41"/>
  <c r="CM7" i="41" a="1"/>
  <c r="CM7" i="41" s="1"/>
  <c r="CP7" i="41" s="1"/>
  <c r="S18" i="41"/>
  <c r="BM3" i="41"/>
  <c r="BL12" i="41"/>
  <c r="F35" i="42" s="1"/>
  <c r="BK12" i="41"/>
  <c r="E35" i="42" s="1"/>
  <c r="BM6" i="41"/>
  <c r="BL10" i="41"/>
  <c r="F33" i="42" s="1"/>
  <c r="BM9" i="41"/>
  <c r="G32" i="42" s="1"/>
  <c r="BL3" i="41"/>
  <c r="BM12" i="41"/>
  <c r="G35" i="42" s="1"/>
  <c r="BL7" i="41"/>
  <c r="BM7" i="41"/>
  <c r="BL6" i="41"/>
  <c r="BK10" i="41"/>
  <c r="E33" i="42" s="1"/>
  <c r="BM10" i="41"/>
  <c r="G33" i="42" s="1"/>
  <c r="BM5" i="41"/>
  <c r="BL4" i="41"/>
  <c r="BM11" i="41"/>
  <c r="G34" i="42" s="1"/>
  <c r="BK8" i="41"/>
  <c r="E31" i="42" s="1"/>
  <c r="BK11" i="41"/>
  <c r="E34" i="42" s="1"/>
  <c r="BL5" i="41"/>
  <c r="BF3" i="41"/>
  <c r="BK9" i="41"/>
  <c r="E32" i="42" s="1"/>
  <c r="BL8" i="41"/>
  <c r="F31" i="42" s="1"/>
  <c r="BM8" i="41"/>
  <c r="G31" i="42" s="1"/>
  <c r="BL9" i="41"/>
  <c r="F32" i="42" s="1"/>
  <c r="BL11" i="41"/>
  <c r="F34" i="42" s="1"/>
  <c r="BM4" i="41"/>
  <c r="AZ5" i="41"/>
  <c r="AZ6" i="41"/>
  <c r="K19" i="41"/>
  <c r="K20" i="41"/>
  <c r="H16" i="39"/>
  <c r="I19" i="39"/>
  <c r="H19" i="39"/>
  <c r="I17" i="39"/>
  <c r="H17" i="39"/>
  <c r="H24" i="39" a="1"/>
  <c r="H24" i="39" s="1"/>
  <c r="I24" i="39" a="1"/>
  <c r="I24" i="39" s="1"/>
  <c r="I18" i="39"/>
  <c r="H18" i="39"/>
  <c r="V4" i="41" a="1"/>
  <c r="V4" i="41" s="1"/>
  <c r="W4" i="41" s="1"/>
  <c r="X4" i="41" s="1" a="1"/>
  <c r="X4" i="41" s="1"/>
  <c r="Y4" i="41" s="1" a="1"/>
  <c r="Y4" i="41" s="1"/>
  <c r="BK6" i="41" a="1"/>
  <c r="CD4" i="41" a="1"/>
  <c r="CC6" i="41" a="1"/>
  <c r="CC8" i="41" a="1"/>
  <c r="CD6" i="41" a="1"/>
  <c r="CD18" i="41" a="1"/>
  <c r="BK3" i="41" a="1"/>
  <c r="CC4" i="41" a="1"/>
  <c r="BK4" i="41" a="1"/>
  <c r="BK5" i="41" a="1"/>
  <c r="CD8" i="41" a="1"/>
  <c r="BK7" i="41" a="1"/>
  <c r="CC4" i="41" l="1"/>
  <c r="CD18" i="41"/>
  <c r="CD4" i="41"/>
  <c r="CD8" i="41"/>
  <c r="CC8" i="41"/>
  <c r="CD6" i="41"/>
  <c r="CC6" i="41"/>
  <c r="CM8" i="41" a="1"/>
  <c r="CM8" i="41" s="1"/>
  <c r="CP8" i="41" s="1"/>
  <c r="G65" i="41" a="1"/>
  <c r="G65" i="41" s="1"/>
  <c r="H65" i="41" a="1"/>
  <c r="H65" i="41" s="1"/>
  <c r="K11" i="41"/>
  <c r="I16" i="39"/>
  <c r="AH5" i="41"/>
  <c r="AH7" i="41"/>
  <c r="G49" i="43"/>
  <c r="AH3" i="41"/>
  <c r="AH4" i="41"/>
  <c r="K75" i="39"/>
  <c r="X5" i="41" a="1"/>
  <c r="X5" i="41" s="1"/>
  <c r="Y5" i="41" s="1" a="1"/>
  <c r="Y5" i="41" s="1"/>
  <c r="BK5" i="41"/>
  <c r="F28" i="42" s="1"/>
  <c r="BK7" i="41"/>
  <c r="F30" i="42" s="1"/>
  <c r="BK6" i="41"/>
  <c r="F29" i="42" s="1"/>
  <c r="BK4" i="41"/>
  <c r="F27" i="42" s="1"/>
  <c r="BK3" i="41"/>
  <c r="H5" i="42" l="1" a="1"/>
  <c r="H5" i="42" s="1"/>
  <c r="K16" i="41"/>
  <c r="CM9" i="41" a="1"/>
  <c r="CM9" i="41" s="1"/>
  <c r="CP9" i="41" s="1"/>
  <c r="G26" i="42"/>
  <c r="BN11" i="41"/>
  <c r="BN12" i="41"/>
  <c r="BN8" i="41"/>
  <c r="BN9" i="41"/>
  <c r="BN10" i="41"/>
  <c r="X6" i="41" a="1"/>
  <c r="X6" i="41" s="1"/>
  <c r="Y6" i="41" s="1" a="1"/>
  <c r="Y6" i="41" s="1"/>
  <c r="G28" i="42"/>
  <c r="G27" i="42"/>
  <c r="E27" i="42"/>
  <c r="E29" i="42"/>
  <c r="BN5" i="41"/>
  <c r="E28" i="42"/>
  <c r="BN7" i="41"/>
  <c r="E26" i="42"/>
  <c r="BN4" i="41"/>
  <c r="E30" i="42"/>
  <c r="BN6" i="41"/>
  <c r="BN3" i="41"/>
  <c r="G30" i="42"/>
  <c r="CM10" i="41" l="1" a="1"/>
  <c r="CM10" i="41" s="1"/>
  <c r="CP10" i="41" s="1"/>
  <c r="X7" i="41" a="1"/>
  <c r="X7" i="41" s="1"/>
  <c r="Y7" i="41" s="1" a="1"/>
  <c r="Y7" i="41" s="1"/>
  <c r="G29" i="42"/>
  <c r="BR3" i="41"/>
  <c r="L26" i="42" s="1"/>
  <c r="F26" i="42"/>
  <c r="BQ3" i="41"/>
  <c r="K26" i="42" s="1"/>
  <c r="CM11" i="41" l="1" a="1"/>
  <c r="CM11" i="41" s="1"/>
  <c r="CP11" i="41" s="1"/>
  <c r="BS3" i="41"/>
  <c r="M26" i="42" s="1"/>
  <c r="CM12" i="41" l="1" a="1"/>
  <c r="CM12" i="41" s="1"/>
  <c r="CP12" i="41" s="1"/>
  <c r="CM13" i="41" l="1" a="1"/>
  <c r="CM13" i="41" s="1"/>
  <c r="CP13" i="41" s="1"/>
  <c r="S23" i="41"/>
  <c r="K17" i="41" a="1"/>
  <c r="CM14" i="41" l="1" a="1"/>
  <c r="CM14" i="41" s="1"/>
  <c r="CP14" i="41" s="1"/>
  <c r="K17" i="41"/>
  <c r="H49" i="43"/>
  <c r="F49" i="43"/>
  <c r="I49" i="43"/>
  <c r="S30" i="41"/>
  <c r="CM15" i="41" l="1" a="1"/>
  <c r="CM15" i="41" s="1"/>
  <c r="CP15" i="41" s="1"/>
  <c r="AH6" i="41"/>
  <c r="D24" i="42"/>
  <c r="M24" i="42"/>
  <c r="J49" i="43"/>
  <c r="K24" i="42"/>
  <c r="S29" i="41"/>
  <c r="K49" i="43"/>
  <c r="G24" i="42"/>
  <c r="L24" i="42"/>
  <c r="E24" i="42"/>
  <c r="S26" i="41"/>
  <c r="F24" i="42"/>
  <c r="CM16" i="41" l="1" a="1"/>
  <c r="CM16" i="41" s="1"/>
  <c r="CP16" i="41" s="1"/>
  <c r="CM17" i="41" l="1" a="1"/>
  <c r="CM17" i="41" s="1"/>
  <c r="CP17" i="41" s="1"/>
  <c r="CM18" i="41" l="1" a="1"/>
  <c r="CM18" i="41" s="1"/>
  <c r="CP18" i="41" s="1"/>
  <c r="CM19" i="41" l="1" a="1"/>
  <c r="CM19" i="41" s="1"/>
  <c r="CP19" i="41" s="1"/>
  <c r="CM20" i="41" l="1" a="1"/>
  <c r="CM20" i="41" s="1"/>
  <c r="CN20" i="41" l="1"/>
  <c r="CP20" i="41"/>
  <c r="CS20" i="41"/>
  <c r="CU20" i="41"/>
  <c r="CQ20" i="41"/>
  <c r="CR20" i="41"/>
  <c r="CO20" i="41"/>
  <c r="CM21" i="41" a="1"/>
  <c r="CM21" i="41" s="1"/>
  <c r="CT20" i="41" l="1" a="1"/>
  <c r="CT20" i="41" s="1"/>
  <c r="CN21" i="41"/>
  <c r="CP21" i="41"/>
  <c r="CS21" i="41"/>
  <c r="CU21" i="41"/>
  <c r="CQ21" i="41"/>
  <c r="CR21" i="41"/>
  <c r="CO21" i="41"/>
  <c r="CM22" i="41" a="1"/>
  <c r="CM22" i="41" s="1"/>
  <c r="CT21" i="41" l="1" a="1"/>
  <c r="CT21" i="41" s="1"/>
  <c r="CN22" i="41"/>
  <c r="CP22" i="41"/>
  <c r="CS22" i="41"/>
  <c r="CU22" i="41"/>
  <c r="CQ22" i="41"/>
  <c r="CR22" i="41"/>
  <c r="CO22" i="41"/>
  <c r="CM23" i="41" a="1"/>
  <c r="CM23" i="41" s="1"/>
  <c r="CF23" i="41" a="1"/>
  <c r="CE23" i="41" a="1"/>
  <c r="CF24" i="41" a="1"/>
  <c r="CE24" i="41" a="1"/>
  <c r="CF9" i="41" a="1"/>
  <c r="CE19" i="41" a="1"/>
  <c r="CE4" i="41" a="1"/>
  <c r="CF19" i="41" a="1"/>
  <c r="CE17" i="41" a="1"/>
  <c r="CF15" i="41" a="1"/>
  <c r="CF4" i="41" a="1"/>
  <c r="CE10" i="41" a="1"/>
  <c r="CE9" i="41" a="1"/>
  <c r="CF10" i="41" a="1"/>
  <c r="CE7" i="41" a="1"/>
  <c r="CF7" i="41" a="1"/>
  <c r="CE8" i="41" a="1"/>
  <c r="CE18" i="41" a="1"/>
  <c r="CE6" i="41" a="1"/>
  <c r="CF18" i="41" a="1"/>
  <c r="CE5" i="41" a="1"/>
  <c r="CF12" i="41" a="1"/>
  <c r="CF16" i="41" a="1"/>
  <c r="CE15" i="41" a="1"/>
  <c r="CE16" i="41" a="1"/>
  <c r="CE13" i="41" a="1"/>
  <c r="CE11" i="41" a="1"/>
  <c r="CF8" i="41" a="1"/>
  <c r="CE3" i="41" a="1"/>
  <c r="CF6" i="41" a="1"/>
  <c r="CE14" i="41" a="1"/>
  <c r="CF3" i="41" a="1"/>
  <c r="CF13" i="41" a="1"/>
  <c r="CE12" i="41" a="1"/>
  <c r="CF14" i="41" a="1"/>
  <c r="CF11" i="41" a="1"/>
  <c r="CF5" i="41" a="1"/>
  <c r="CT22" i="41" l="1" a="1"/>
  <c r="CT22" i="41" s="1"/>
  <c r="CN23" i="41"/>
  <c r="CP23" i="41"/>
  <c r="CS23" i="41"/>
  <c r="CU23" i="41"/>
  <c r="CQ23" i="41"/>
  <c r="CR23" i="41"/>
  <c r="CO23" i="41"/>
  <c r="CM24" i="41" a="1"/>
  <c r="CM24" i="41" s="1"/>
  <c r="CP24" i="41" s="1"/>
  <c r="CF12" i="41"/>
  <c r="CE12" i="41"/>
  <c r="CE24" i="41"/>
  <c r="CH24" i="41" s="1" a="1"/>
  <c r="CH24" i="41" s="1"/>
  <c r="CF24" i="41"/>
  <c r="CI24" i="41" s="1" a="1"/>
  <c r="CI24" i="41" s="1"/>
  <c r="CJ24" i="41" s="1"/>
  <c r="CF23" i="41"/>
  <c r="CF19" i="41"/>
  <c r="CF11" i="41"/>
  <c r="CF7" i="41"/>
  <c r="CF3" i="41"/>
  <c r="CF18" i="41"/>
  <c r="CF14" i="41"/>
  <c r="CF10" i="41"/>
  <c r="CF6" i="41"/>
  <c r="CF9" i="41"/>
  <c r="CF5" i="41"/>
  <c r="CF8" i="41"/>
  <c r="CF13" i="41"/>
  <c r="CF4" i="41"/>
  <c r="CF16" i="41"/>
  <c r="CF15" i="41"/>
  <c r="CE15" i="41"/>
  <c r="CE18" i="41"/>
  <c r="CE14" i="41"/>
  <c r="CE10" i="41"/>
  <c r="CE6" i="41"/>
  <c r="CE23" i="41"/>
  <c r="CE7" i="41"/>
  <c r="CE13" i="41"/>
  <c r="CE5" i="41"/>
  <c r="CE19" i="41"/>
  <c r="CE17" i="41"/>
  <c r="CE9" i="41"/>
  <c r="CE8" i="41"/>
  <c r="CE4" i="41"/>
  <c r="CE16" i="41"/>
  <c r="CE11" i="41"/>
  <c r="CE3" i="41"/>
  <c r="CH23" i="41" a="1"/>
  <c r="CI23" i="41" a="1"/>
  <c r="CF17" i="41" a="1"/>
  <c r="CH19" i="41" a="1"/>
  <c r="CH7" i="41" a="1"/>
  <c r="CH17" i="41" a="1"/>
  <c r="CI18" i="41" a="1"/>
  <c r="CI6" i="41" a="1"/>
  <c r="CH10" i="41" a="1"/>
  <c r="CI15" i="41" a="1"/>
  <c r="CH3" i="41" a="1"/>
  <c r="CH11" i="41" a="1"/>
  <c r="CH4" i="41" a="1"/>
  <c r="CI19" i="41" a="1"/>
  <c r="CH16" i="41" a="1"/>
  <c r="CH14" i="41" a="1"/>
  <c r="CI16" i="41" a="1"/>
  <c r="CI10" i="41" a="1"/>
  <c r="CH15" i="41" a="1"/>
  <c r="CH9" i="41" a="1"/>
  <c r="CH12" i="41" a="1"/>
  <c r="CH18" i="41" a="1"/>
  <c r="CH5" i="41" a="1"/>
  <c r="CH13" i="41" a="1"/>
  <c r="CI7" i="41" a="1"/>
  <c r="CH8" i="41" a="1"/>
  <c r="CI3" i="41" a="1"/>
  <c r="CI4" i="41" a="1"/>
  <c r="CI5" i="41" a="1"/>
  <c r="CH6" i="41" a="1"/>
  <c r="CI8" i="41" a="1"/>
  <c r="CT23" i="41" l="1" a="1"/>
  <c r="CT23" i="41" s="1"/>
  <c r="CU24" i="41"/>
  <c r="CN24" i="41"/>
  <c r="CG10" i="41" a="1"/>
  <c r="CG10" i="41" s="1"/>
  <c r="H46" i="39" s="1"/>
  <c r="CG9" i="41" a="1"/>
  <c r="CG9" i="41" s="1"/>
  <c r="H45" i="39" s="1"/>
  <c r="CG4" i="41" a="1"/>
  <c r="CG4" i="41" s="1"/>
  <c r="H40" i="39" s="1"/>
  <c r="CG18" i="41" a="1"/>
  <c r="CG18" i="41" s="1"/>
  <c r="H54" i="39" s="1"/>
  <c r="CG5" i="41" a="1"/>
  <c r="CG5" i="41" s="1"/>
  <c r="H41" i="39" s="1"/>
  <c r="CG15" i="41" a="1"/>
  <c r="CG15" i="41" s="1"/>
  <c r="H51" i="39" s="1"/>
  <c r="CG14" i="41" a="1"/>
  <c r="CG14" i="41" s="1"/>
  <c r="H50" i="39" s="1"/>
  <c r="CG16" i="41" a="1"/>
  <c r="CG16" i="41" s="1"/>
  <c r="H52" i="39" s="1"/>
  <c r="CG8" i="41" a="1"/>
  <c r="CG8" i="41" s="1"/>
  <c r="H44" i="39" s="1"/>
  <c r="CG7" i="41" a="1"/>
  <c r="CG7" i="41" s="1"/>
  <c r="H43" i="39" s="1"/>
  <c r="CG11" i="41" a="1"/>
  <c r="CG11" i="41" s="1"/>
  <c r="H47" i="39" s="1"/>
  <c r="CG19" i="41" a="1"/>
  <c r="CG19" i="41" s="1"/>
  <c r="H55" i="39" s="1"/>
  <c r="CG6" i="41" a="1"/>
  <c r="CG6" i="41" s="1"/>
  <c r="H42" i="39" s="1"/>
  <c r="CG13" i="41" a="1"/>
  <c r="CG13" i="41" s="1"/>
  <c r="H49" i="39" s="1"/>
  <c r="CG3" i="41" a="1"/>
  <c r="CG3" i="41" s="1"/>
  <c r="H39" i="39" s="1"/>
  <c r="CG12" i="41" a="1"/>
  <c r="CG12" i="41" s="1"/>
  <c r="H48" i="39" s="1"/>
  <c r="CR24" i="41"/>
  <c r="CS24" i="41"/>
  <c r="CQ24" i="41"/>
  <c r="CM25" i="41" a="1"/>
  <c r="CM25" i="41" s="1"/>
  <c r="CO24" i="41"/>
  <c r="CF17" i="41"/>
  <c r="CH12" i="41"/>
  <c r="H59" i="39"/>
  <c r="CI16" i="41"/>
  <c r="CI10" i="41"/>
  <c r="CI4" i="41"/>
  <c r="CI6" i="41"/>
  <c r="CI5" i="41"/>
  <c r="CI7" i="41"/>
  <c r="CI15" i="41"/>
  <c r="CI23" i="41"/>
  <c r="CI18" i="41"/>
  <c r="CI8" i="41"/>
  <c r="CI3" i="41"/>
  <c r="CI19" i="41"/>
  <c r="CH5" i="41"/>
  <c r="CH15" i="41"/>
  <c r="CH11" i="41"/>
  <c r="CH13" i="41"/>
  <c r="CH16" i="41"/>
  <c r="CH7" i="41"/>
  <c r="CH18" i="41"/>
  <c r="CH19" i="41"/>
  <c r="CH3" i="41"/>
  <c r="CH4" i="41"/>
  <c r="CH23" i="41"/>
  <c r="CH8" i="41"/>
  <c r="CH6" i="41"/>
  <c r="CH9" i="41"/>
  <c r="CH10" i="41"/>
  <c r="CH17" i="41"/>
  <c r="CH14" i="41"/>
  <c r="CI12" i="41" a="1"/>
  <c r="CI9" i="41" a="1"/>
  <c r="CI14" i="41" a="1"/>
  <c r="CI11" i="41" a="1"/>
  <c r="CI13" i="41" a="1"/>
  <c r="CI17" i="41" a="1"/>
  <c r="CT24" i="41" l="1" a="1"/>
  <c r="CT24" i="41" s="1"/>
  <c r="CN25" i="41"/>
  <c r="CP25" i="41"/>
  <c r="CG17" i="41" a="1"/>
  <c r="CG17" i="41" s="1"/>
  <c r="H53" i="39" s="1"/>
  <c r="CS25" i="41"/>
  <c r="CU25" i="41"/>
  <c r="CQ25" i="41"/>
  <c r="CR25" i="41"/>
  <c r="CO25" i="41"/>
  <c r="CM26" i="41" a="1"/>
  <c r="CM26" i="41" s="1"/>
  <c r="CI12" i="41"/>
  <c r="CJ10" i="41"/>
  <c r="CN10" i="41" s="1"/>
  <c r="CJ8" i="41"/>
  <c r="CN8" i="41" s="1"/>
  <c r="CJ18" i="41"/>
  <c r="CN18" i="41" s="1"/>
  <c r="CJ23" i="41"/>
  <c r="CJ15" i="41"/>
  <c r="CN15" i="41" s="1"/>
  <c r="CJ7" i="41"/>
  <c r="CN7" i="41" s="1"/>
  <c r="CJ5" i="41"/>
  <c r="CN5" i="41" s="1"/>
  <c r="CJ19" i="41"/>
  <c r="CN19" i="41" s="1"/>
  <c r="CJ6" i="41"/>
  <c r="CN6" i="41" s="1"/>
  <c r="CJ3" i="41"/>
  <c r="CN3" i="41" s="1"/>
  <c r="CJ4" i="41"/>
  <c r="CN4" i="41" s="1"/>
  <c r="CJ16" i="41"/>
  <c r="CN16" i="41" s="1"/>
  <c r="CI13" i="41"/>
  <c r="CI17" i="41"/>
  <c r="CI14" i="41"/>
  <c r="CI11" i="41"/>
  <c r="CI9" i="41"/>
  <c r="CT25" i="41" l="1" a="1"/>
  <c r="CT25" i="41" s="1"/>
  <c r="CJ12" i="41"/>
  <c r="CN12" i="41" s="1"/>
  <c r="CN26" i="41"/>
  <c r="CP26" i="41"/>
  <c r="CS26" i="41"/>
  <c r="CU26" i="41"/>
  <c r="CQ26" i="41"/>
  <c r="CR26" i="41"/>
  <c r="CO26" i="41"/>
  <c r="CM27" i="41" a="1"/>
  <c r="CM27" i="41" s="1"/>
  <c r="CJ11" i="41"/>
  <c r="CN11" i="41" s="1"/>
  <c r="CJ14" i="41"/>
  <c r="CN14" i="41" s="1"/>
  <c r="CJ17" i="41"/>
  <c r="CN17" i="41" s="1"/>
  <c r="CJ13" i="41"/>
  <c r="CN13" i="41" s="1"/>
  <c r="CJ9" i="41"/>
  <c r="CN9" i="41" s="1"/>
  <c r="CT26" i="41" l="1" a="1"/>
  <c r="CT26" i="41" s="1"/>
  <c r="CN27" i="41"/>
  <c r="CP27" i="41"/>
  <c r="CS27" i="41"/>
  <c r="CU27" i="41"/>
  <c r="CQ27" i="41"/>
  <c r="CR27" i="41"/>
  <c r="CM28" i="41" a="1"/>
  <c r="CM28" i="41" s="1"/>
  <c r="CO27" i="41"/>
  <c r="CO19" i="41"/>
  <c r="CO16" i="41"/>
  <c r="CO5" i="41"/>
  <c r="CO6" i="41"/>
  <c r="CO18" i="41"/>
  <c r="CT27" i="41" l="1" a="1"/>
  <c r="CT27" i="41" s="1"/>
  <c r="CN28" i="41"/>
  <c r="CP28" i="41"/>
  <c r="CS28" i="41"/>
  <c r="CU28" i="41"/>
  <c r="CQ28" i="41"/>
  <c r="CR28" i="41"/>
  <c r="CO28" i="41"/>
  <c r="CM29" i="41" a="1"/>
  <c r="CM29" i="41" s="1"/>
  <c r="CO4" i="41"/>
  <c r="CO14" i="41"/>
  <c r="CO15" i="41"/>
  <c r="CO7" i="41"/>
  <c r="CO3" i="41"/>
  <c r="CO10" i="41"/>
  <c r="CO9" i="41"/>
  <c r="CO8" i="41"/>
  <c r="CO13" i="41"/>
  <c r="CO11" i="41"/>
  <c r="CO17" i="41"/>
  <c r="CO12" i="41"/>
  <c r="CT28" i="41" l="1" a="1"/>
  <c r="CT28" i="41" s="1"/>
  <c r="CN29" i="41"/>
  <c r="CP29" i="41"/>
  <c r="CS29" i="41"/>
  <c r="CU29" i="41"/>
  <c r="CQ29" i="41"/>
  <c r="CR29" i="41"/>
  <c r="CM30" i="41" a="1"/>
  <c r="CM30" i="41" s="1"/>
  <c r="CO29" i="41"/>
  <c r="CT29" i="41" l="1" a="1"/>
  <c r="CT29" i="41" s="1"/>
  <c r="CN30" i="41"/>
  <c r="CP30" i="41"/>
  <c r="CS30" i="41"/>
  <c r="CU30" i="41"/>
  <c r="CQ30" i="41"/>
  <c r="CR30" i="41"/>
  <c r="CO30" i="41"/>
  <c r="CM31" i="41" a="1"/>
  <c r="CM31" i="41" s="1"/>
  <c r="CT30" i="41" l="1" a="1"/>
  <c r="CT30" i="41" s="1"/>
  <c r="CN31" i="41"/>
  <c r="CP31" i="41"/>
  <c r="CS31" i="41"/>
  <c r="CU31" i="41"/>
  <c r="CQ31" i="41"/>
  <c r="CR31" i="41"/>
  <c r="CM32" i="41" a="1"/>
  <c r="CM32" i="41" s="1"/>
  <c r="CO31" i="41"/>
  <c r="CT31" i="41" l="1" a="1"/>
  <c r="CT31" i="41" s="1"/>
  <c r="CN32" i="41"/>
  <c r="CP32" i="41"/>
  <c r="CS32" i="41"/>
  <c r="CU32" i="41"/>
  <c r="CQ32" i="41"/>
  <c r="CR32" i="41"/>
  <c r="CO32" i="41"/>
  <c r="CT32" i="41" l="1" a="1"/>
  <c r="CT32" i="41" s="1"/>
  <c r="CS3" i="41"/>
  <c r="CS6" i="41"/>
  <c r="CS4" i="41"/>
  <c r="CS5" i="41"/>
  <c r="CS8" i="41"/>
  <c r="CS7" i="41"/>
  <c r="CS9" i="41"/>
  <c r="CS10" i="41"/>
  <c r="CS11" i="41"/>
  <c r="CS13" i="41"/>
  <c r="CS12" i="41"/>
  <c r="CS14" i="41"/>
  <c r="CS16" i="41"/>
  <c r="CS15" i="41"/>
  <c r="CS17" i="41"/>
  <c r="CS18" i="41"/>
  <c r="CS19" i="41"/>
  <c r="CR5" i="41"/>
  <c r="CR16" i="41"/>
  <c r="CR18" i="41"/>
  <c r="CR19" i="41"/>
  <c r="CR6" i="41"/>
  <c r="CR12" i="41"/>
  <c r="CR15" i="41"/>
  <c r="CR13" i="41"/>
  <c r="CR10" i="41"/>
  <c r="CR11" i="41"/>
  <c r="CR7" i="41"/>
  <c r="CR17" i="41"/>
  <c r="CR14" i="41"/>
  <c r="CR8" i="41"/>
  <c r="CR4" i="41"/>
  <c r="CR9" i="41"/>
  <c r="CR3" i="41"/>
  <c r="CQ5" i="41"/>
  <c r="CQ6" i="41"/>
  <c r="CQ15" i="41"/>
  <c r="CQ14" i="41"/>
  <c r="CQ8" i="41"/>
  <c r="CQ3" i="41"/>
  <c r="CQ7" i="41"/>
  <c r="CQ18" i="41"/>
  <c r="CQ19" i="41"/>
  <c r="CQ9" i="41"/>
  <c r="CQ13" i="41"/>
  <c r="CQ4" i="41"/>
  <c r="CQ11" i="41"/>
  <c r="CQ10" i="41"/>
  <c r="CQ16" i="41"/>
  <c r="CQ12" i="41"/>
  <c r="CQ17" i="41"/>
  <c r="S24" i="41"/>
  <c r="CT7" i="41" l="1" a="1"/>
  <c r="CT7" i="41" s="1"/>
  <c r="CT15" i="41" a="1"/>
  <c r="CT15" i="41" s="1"/>
  <c r="CT16" i="41" a="1"/>
  <c r="CT16" i="41" s="1"/>
  <c r="CT19" i="41" a="1"/>
  <c r="CT19" i="41" s="1"/>
  <c r="CT17" i="41" a="1"/>
  <c r="CT17" i="41" s="1"/>
  <c r="CT9" i="41" a="1"/>
  <c r="CT9" i="41" s="1"/>
  <c r="CT18" i="41" a="1"/>
  <c r="CT18" i="41" s="1"/>
  <c r="CT10" i="41" a="1"/>
  <c r="CT10" i="41" s="1"/>
  <c r="CT8" i="41" a="1"/>
  <c r="CT8" i="41" s="1"/>
  <c r="CT14" i="41" a="1"/>
  <c r="CT14" i="41" s="1"/>
  <c r="CT5" i="41" a="1"/>
  <c r="CT5" i="41" s="1"/>
  <c r="CT12" i="41" a="1"/>
  <c r="CT12" i="41" s="1"/>
  <c r="CT4" i="41" a="1"/>
  <c r="CT4" i="41" s="1"/>
  <c r="CT13" i="41" a="1"/>
  <c r="CT13" i="41" s="1"/>
  <c r="CT6" i="41" a="1"/>
  <c r="CT6" i="41" s="1"/>
  <c r="CT11" i="41" a="1"/>
  <c r="CT11" i="41" s="1"/>
  <c r="CT3" i="41" a="1"/>
  <c r="CT3" i="41" s="1"/>
  <c r="CU3" i="41" s="1"/>
  <c r="CU13" i="41" l="1"/>
  <c r="CU17" i="41"/>
  <c r="CU4" i="41"/>
  <c r="CU14" i="41"/>
  <c r="CU16" i="41"/>
  <c r="CU10" i="41"/>
  <c r="CU7" i="41"/>
  <c r="CU18" i="41"/>
  <c r="CU19" i="41"/>
  <c r="CU6" i="41"/>
  <c r="CU8" i="41"/>
  <c r="CU5" i="41"/>
  <c r="CU11" i="41"/>
  <c r="CU9" i="41"/>
  <c r="CU12" i="41"/>
  <c r="CU15" i="41"/>
  <c r="CV15" i="41" l="1"/>
  <c r="DD15" i="41" s="1"/>
  <c r="I63" i="43" s="1"/>
  <c r="CV5" i="41"/>
  <c r="CV27" i="41"/>
  <c r="CV25" i="41"/>
  <c r="CV13" i="41"/>
  <c r="CV30" i="41"/>
  <c r="CV19" i="41"/>
  <c r="CV17" i="41"/>
  <c r="CV18" i="41"/>
  <c r="CV22" i="41"/>
  <c r="CV11" i="41"/>
  <c r="CV9" i="41"/>
  <c r="CV31" i="41"/>
  <c r="CV14" i="41"/>
  <c r="CV3" i="41"/>
  <c r="CV28" i="41"/>
  <c r="CV23" i="41"/>
  <c r="CV6" i="41"/>
  <c r="CV32" i="41"/>
  <c r="CV29" i="41"/>
  <c r="CV24" i="41"/>
  <c r="CV7" i="41"/>
  <c r="CV4" i="41"/>
  <c r="CV20" i="41"/>
  <c r="CV16" i="41"/>
  <c r="CV12" i="41"/>
  <c r="CV21" i="41"/>
  <c r="CV10" i="41"/>
  <c r="CV8" i="41"/>
  <c r="CV26" i="41"/>
  <c r="CW15" i="41" l="1"/>
  <c r="CX15" i="41" s="1" a="1"/>
  <c r="CX15" i="41" s="1"/>
  <c r="DC15" i="41"/>
  <c r="H63" i="43" s="1"/>
  <c r="CY15" i="41"/>
  <c r="CZ15" i="41" s="1" a="1"/>
  <c r="CZ15" i="41" s="1"/>
  <c r="G63" i="43" s="1"/>
  <c r="DB15" i="41"/>
  <c r="K63" i="43" s="1"/>
  <c r="DE15" i="41"/>
  <c r="J63" i="43" s="1"/>
  <c r="DD16" i="41"/>
  <c r="I64" i="43" s="1"/>
  <c r="DE16" i="41"/>
  <c r="J64" i="43" s="1"/>
  <c r="DD20" i="41"/>
  <c r="I68" i="43" s="1"/>
  <c r="DE20" i="41"/>
  <c r="J68" i="43" s="1"/>
  <c r="DD31" i="41"/>
  <c r="I79" i="43" s="1"/>
  <c r="DE31" i="41"/>
  <c r="J79" i="43" s="1"/>
  <c r="DD13" i="41"/>
  <c r="I61" i="43" s="1"/>
  <c r="DE13" i="41"/>
  <c r="J61" i="43" s="1"/>
  <c r="DD10" i="41"/>
  <c r="I58" i="43" s="1"/>
  <c r="DE10" i="41"/>
  <c r="J58" i="43" s="1"/>
  <c r="DD29" i="41"/>
  <c r="I77" i="43" s="1"/>
  <c r="DE29" i="41"/>
  <c r="J77" i="43" s="1"/>
  <c r="DD9" i="41"/>
  <c r="I57" i="43" s="1"/>
  <c r="DE9" i="41"/>
  <c r="J57" i="43" s="1"/>
  <c r="DD25" i="41"/>
  <c r="I73" i="43" s="1"/>
  <c r="DE25" i="41"/>
  <c r="J73" i="43" s="1"/>
  <c r="DD21" i="41"/>
  <c r="I69" i="43" s="1"/>
  <c r="DE21" i="41"/>
  <c r="J69" i="43" s="1"/>
  <c r="DD32" i="41"/>
  <c r="I80" i="43" s="1"/>
  <c r="DE32" i="41"/>
  <c r="J80" i="43" s="1"/>
  <c r="DD11" i="41"/>
  <c r="I59" i="43" s="1"/>
  <c r="DE11" i="41"/>
  <c r="J59" i="43" s="1"/>
  <c r="DD27" i="41"/>
  <c r="I75" i="43" s="1"/>
  <c r="DE27" i="41"/>
  <c r="J75" i="43" s="1"/>
  <c r="DD12" i="41"/>
  <c r="I60" i="43" s="1"/>
  <c r="DE12" i="41"/>
  <c r="J60" i="43" s="1"/>
  <c r="DD6" i="41"/>
  <c r="I54" i="43" s="1"/>
  <c r="DE6" i="41"/>
  <c r="J54" i="43" s="1"/>
  <c r="DD22" i="41"/>
  <c r="I70" i="43" s="1"/>
  <c r="DE22" i="41"/>
  <c r="J70" i="43" s="1"/>
  <c r="DD5" i="41"/>
  <c r="I53" i="43" s="1"/>
  <c r="DE5" i="41"/>
  <c r="J53" i="43" s="1"/>
  <c r="DD17" i="41"/>
  <c r="I65" i="43" s="1"/>
  <c r="DE17" i="41"/>
  <c r="J65" i="43" s="1"/>
  <c r="DD23" i="41"/>
  <c r="I71" i="43" s="1"/>
  <c r="DE23" i="41"/>
  <c r="J71" i="43" s="1"/>
  <c r="DD28" i="41"/>
  <c r="I76" i="43" s="1"/>
  <c r="DE28" i="41"/>
  <c r="J76" i="43" s="1"/>
  <c r="DD4" i="41"/>
  <c r="I52" i="43" s="1"/>
  <c r="DE4" i="41"/>
  <c r="J52" i="43" s="1"/>
  <c r="DD3" i="41"/>
  <c r="I51" i="43" s="1"/>
  <c r="DE3" i="41"/>
  <c r="J51" i="43" s="1"/>
  <c r="DD19" i="41"/>
  <c r="I67" i="43" s="1"/>
  <c r="DE19" i="41"/>
  <c r="J67" i="43" s="1"/>
  <c r="DD26" i="41"/>
  <c r="I74" i="43" s="1"/>
  <c r="DE26" i="41"/>
  <c r="J74" i="43" s="1"/>
  <c r="DD7" i="41"/>
  <c r="I55" i="43" s="1"/>
  <c r="DE7" i="41"/>
  <c r="J55" i="43" s="1"/>
  <c r="DD14" i="41"/>
  <c r="I62" i="43" s="1"/>
  <c r="DE14" i="41"/>
  <c r="J62" i="43" s="1"/>
  <c r="DD30" i="41"/>
  <c r="I78" i="43" s="1"/>
  <c r="DE30" i="41"/>
  <c r="J78" i="43" s="1"/>
  <c r="DD8" i="41"/>
  <c r="I56" i="43" s="1"/>
  <c r="DE8" i="41"/>
  <c r="J56" i="43" s="1"/>
  <c r="DD24" i="41"/>
  <c r="I72" i="43" s="1"/>
  <c r="DE24" i="41"/>
  <c r="J72" i="43" s="1"/>
  <c r="DD18" i="41"/>
  <c r="I66" i="43" s="1"/>
  <c r="DE18" i="41"/>
  <c r="J66" i="43" s="1"/>
  <c r="DC12" i="41"/>
  <c r="H60" i="43" s="1"/>
  <c r="DB12" i="41"/>
  <c r="K60" i="43" s="1"/>
  <c r="DC6" i="41"/>
  <c r="H54" i="43" s="1"/>
  <c r="DB6" i="41"/>
  <c r="K54" i="43" s="1"/>
  <c r="DC22" i="41"/>
  <c r="H70" i="43" s="1"/>
  <c r="DB22" i="41"/>
  <c r="K70" i="43" s="1"/>
  <c r="DC16" i="41"/>
  <c r="H64" i="43" s="1"/>
  <c r="DB16" i="41"/>
  <c r="K64" i="43" s="1"/>
  <c r="DC30" i="41"/>
  <c r="H78" i="43" s="1"/>
  <c r="DB30" i="41"/>
  <c r="K78" i="43" s="1"/>
  <c r="DC8" i="41"/>
  <c r="H56" i="43" s="1"/>
  <c r="DB8" i="41"/>
  <c r="K56" i="43" s="1"/>
  <c r="DC24" i="41"/>
  <c r="H72" i="43" s="1"/>
  <c r="DB24" i="41"/>
  <c r="K72" i="43" s="1"/>
  <c r="DC31" i="41"/>
  <c r="H79" i="43" s="1"/>
  <c r="DB31" i="41"/>
  <c r="K79" i="43" s="1"/>
  <c r="DC13" i="41"/>
  <c r="H61" i="43" s="1"/>
  <c r="DB13" i="41"/>
  <c r="K61" i="43" s="1"/>
  <c r="DC10" i="41"/>
  <c r="H58" i="43" s="1"/>
  <c r="DB10" i="41"/>
  <c r="K58" i="43" s="1"/>
  <c r="DC29" i="41"/>
  <c r="H77" i="43" s="1"/>
  <c r="DB29" i="41"/>
  <c r="K77" i="43" s="1"/>
  <c r="DC9" i="41"/>
  <c r="H57" i="43" s="1"/>
  <c r="DB9" i="41"/>
  <c r="K57" i="43" s="1"/>
  <c r="DC25" i="41"/>
  <c r="H73" i="43" s="1"/>
  <c r="DB25" i="41"/>
  <c r="K73" i="43" s="1"/>
  <c r="DC21" i="41"/>
  <c r="H69" i="43" s="1"/>
  <c r="DB21" i="41"/>
  <c r="K69" i="43" s="1"/>
  <c r="DC32" i="41"/>
  <c r="H80" i="43" s="1"/>
  <c r="DB32" i="41"/>
  <c r="K80" i="43" s="1"/>
  <c r="DC11" i="41"/>
  <c r="H59" i="43" s="1"/>
  <c r="DB11" i="41"/>
  <c r="K59" i="43" s="1"/>
  <c r="DC27" i="41"/>
  <c r="H75" i="43" s="1"/>
  <c r="DB27" i="41"/>
  <c r="K75" i="43" s="1"/>
  <c r="DC5" i="41"/>
  <c r="H53" i="43" s="1"/>
  <c r="DB5" i="41"/>
  <c r="K53" i="43" s="1"/>
  <c r="DC18" i="41"/>
  <c r="H66" i="43" s="1"/>
  <c r="DB18" i="41"/>
  <c r="K66" i="43" s="1"/>
  <c r="DC23" i="41"/>
  <c r="H71" i="43" s="1"/>
  <c r="DB23" i="41"/>
  <c r="K71" i="43" s="1"/>
  <c r="DC20" i="41"/>
  <c r="H68" i="43" s="1"/>
  <c r="DB20" i="41"/>
  <c r="K68" i="43" s="1"/>
  <c r="DC28" i="41"/>
  <c r="H76" i="43" s="1"/>
  <c r="DB28" i="41"/>
  <c r="K76" i="43" s="1"/>
  <c r="DC17" i="41"/>
  <c r="H65" i="43" s="1"/>
  <c r="DB17" i="41"/>
  <c r="K65" i="43" s="1"/>
  <c r="DC4" i="41"/>
  <c r="H52" i="43" s="1"/>
  <c r="DB4" i="41"/>
  <c r="K52" i="43" s="1"/>
  <c r="DC3" i="41"/>
  <c r="H51" i="43" s="1"/>
  <c r="DB3" i="41"/>
  <c r="K51" i="43" s="1"/>
  <c r="DC19" i="41"/>
  <c r="H67" i="43" s="1"/>
  <c r="DB19" i="41"/>
  <c r="K67" i="43" s="1"/>
  <c r="DC14" i="41"/>
  <c r="H62" i="43" s="1"/>
  <c r="DB14" i="41"/>
  <c r="K62" i="43" s="1"/>
  <c r="DC7" i="41"/>
  <c r="H55" i="43" s="1"/>
  <c r="DB7" i="41"/>
  <c r="K55" i="43" s="1"/>
  <c r="DC26" i="41"/>
  <c r="H74" i="43" s="1"/>
  <c r="DB26" i="41"/>
  <c r="K74" i="43" s="1"/>
  <c r="CZ22" i="41" a="1"/>
  <c r="CZ22" i="41" s="1"/>
  <c r="G70" i="43" s="1"/>
  <c r="DA22" i="41"/>
  <c r="D70" i="43" s="1"/>
  <c r="CZ20" i="41" a="1"/>
  <c r="CZ20" i="41" s="1"/>
  <c r="DA20" i="41"/>
  <c r="D68" i="43" s="1"/>
  <c r="CZ28" i="41" a="1"/>
  <c r="CZ28" i="41" s="1"/>
  <c r="G76" i="43" s="1"/>
  <c r="DA28" i="41"/>
  <c r="D76" i="43" s="1"/>
  <c r="CZ26" i="41" a="1"/>
  <c r="CZ26" i="41" s="1"/>
  <c r="G74" i="43" s="1"/>
  <c r="DA26" i="41"/>
  <c r="D74" i="43" s="1"/>
  <c r="CZ30" i="41" a="1"/>
  <c r="CZ30" i="41" s="1"/>
  <c r="G78" i="43" s="1"/>
  <c r="DA30" i="41"/>
  <c r="D78" i="43" s="1"/>
  <c r="CZ24" i="41" a="1"/>
  <c r="CZ24" i="41" s="1"/>
  <c r="G72" i="43" s="1"/>
  <c r="DA24" i="41"/>
  <c r="D72" i="43" s="1"/>
  <c r="CZ31" i="41" a="1"/>
  <c r="CZ31" i="41" s="1"/>
  <c r="G79" i="43" s="1"/>
  <c r="DA31" i="41"/>
  <c r="D79" i="43" s="1"/>
  <c r="CZ25" i="41" a="1"/>
  <c r="CZ25" i="41" s="1"/>
  <c r="G73" i="43" s="1"/>
  <c r="DA25" i="41"/>
  <c r="D73" i="43" s="1"/>
  <c r="CZ23" i="41" a="1"/>
  <c r="CZ23" i="41" s="1"/>
  <c r="G71" i="43" s="1"/>
  <c r="DA23" i="41"/>
  <c r="D71" i="43" s="1"/>
  <c r="CZ29" i="41" a="1"/>
  <c r="CZ29" i="41" s="1"/>
  <c r="G77" i="43" s="1"/>
  <c r="DA29" i="41"/>
  <c r="D77" i="43" s="1"/>
  <c r="CZ21" i="41" a="1"/>
  <c r="CZ21" i="41" s="1"/>
  <c r="G69" i="43" s="1"/>
  <c r="DA21" i="41"/>
  <c r="D69" i="43" s="1"/>
  <c r="CZ32" i="41" a="1"/>
  <c r="CZ32" i="41" s="1"/>
  <c r="G80" i="43" s="1"/>
  <c r="DA32" i="41"/>
  <c r="D80" i="43" s="1"/>
  <c r="CZ27" i="41" a="1"/>
  <c r="CZ27" i="41" s="1"/>
  <c r="G75" i="43" s="1"/>
  <c r="DA27" i="41"/>
  <c r="D75" i="43" s="1"/>
  <c r="CY5" i="41"/>
  <c r="CZ5" i="41" s="1" a="1"/>
  <c r="CZ5" i="41" s="1"/>
  <c r="CY16" i="41"/>
  <c r="CZ16" i="41" s="1" a="1"/>
  <c r="CZ16" i="41" s="1"/>
  <c r="CY19" i="41"/>
  <c r="CZ19" i="41" s="1" a="1"/>
  <c r="CZ19" i="41" s="1"/>
  <c r="CY7" i="41"/>
  <c r="CZ7" i="41" s="1" a="1"/>
  <c r="CZ7" i="41" s="1"/>
  <c r="CY14" i="41"/>
  <c r="CZ14" i="41" s="1" a="1"/>
  <c r="CZ14" i="41" s="1"/>
  <c r="CY4" i="41"/>
  <c r="CY3" i="41"/>
  <c r="CZ3" i="41" s="1" a="1"/>
  <c r="CZ3" i="41" s="1"/>
  <c r="CY8" i="41"/>
  <c r="CZ8" i="41" s="1" a="1"/>
  <c r="CZ8" i="41" s="1"/>
  <c r="CY13" i="41"/>
  <c r="CZ13" i="41" s="1" a="1"/>
  <c r="CZ13" i="41" s="1"/>
  <c r="CY18" i="41"/>
  <c r="CZ18" i="41" s="1" a="1"/>
  <c r="CZ18" i="41" s="1"/>
  <c r="CY10" i="41"/>
  <c r="CY9" i="41"/>
  <c r="CZ9" i="41" s="1" a="1"/>
  <c r="CZ9" i="41" s="1"/>
  <c r="CY11" i="41"/>
  <c r="CY6" i="41"/>
  <c r="CZ6" i="41" s="1" a="1"/>
  <c r="CZ6" i="41" s="1"/>
  <c r="CY12" i="41"/>
  <c r="CZ12" i="41" s="1" a="1"/>
  <c r="CZ12" i="41" s="1"/>
  <c r="CY17" i="41"/>
  <c r="CZ17" i="41" s="1" a="1"/>
  <c r="CZ17" i="41" s="1"/>
  <c r="CX22" i="41" a="1"/>
  <c r="CX22" i="41" s="1"/>
  <c r="F70" i="43" s="1"/>
  <c r="CY22" i="41"/>
  <c r="E70" i="43" s="1"/>
  <c r="CX23" i="41" a="1"/>
  <c r="CX23" i="41" s="1"/>
  <c r="F71" i="43" s="1"/>
  <c r="CY23" i="41"/>
  <c r="E71" i="43" s="1"/>
  <c r="CX20" i="41" a="1"/>
  <c r="CX20" i="41" s="1"/>
  <c r="F68" i="43" s="1"/>
  <c r="CY20" i="41"/>
  <c r="E68" i="43" s="1"/>
  <c r="CX28" i="41" a="1"/>
  <c r="CX28" i="41" s="1"/>
  <c r="F76" i="43" s="1"/>
  <c r="CY28" i="41"/>
  <c r="E76" i="43" s="1"/>
  <c r="CX30" i="41" a="1"/>
  <c r="CX30" i="41" s="1"/>
  <c r="F78" i="43" s="1"/>
  <c r="CY30" i="41"/>
  <c r="E78" i="43" s="1"/>
  <c r="CX26" i="41" a="1"/>
  <c r="CX26" i="41" s="1"/>
  <c r="F74" i="43" s="1"/>
  <c r="CY26" i="41"/>
  <c r="E74" i="43" s="1"/>
  <c r="CX24" i="41" a="1"/>
  <c r="CX24" i="41" s="1"/>
  <c r="F72" i="43" s="1"/>
  <c r="CY24" i="41"/>
  <c r="E72" i="43" s="1"/>
  <c r="CX31" i="41" a="1"/>
  <c r="CX31" i="41" s="1"/>
  <c r="F79" i="43" s="1"/>
  <c r="CY31" i="41"/>
  <c r="E79" i="43" s="1"/>
  <c r="CX29" i="41" a="1"/>
  <c r="CX29" i="41" s="1"/>
  <c r="F77" i="43" s="1"/>
  <c r="CY29" i="41"/>
  <c r="E77" i="43" s="1"/>
  <c r="CX25" i="41" a="1"/>
  <c r="CX25" i="41" s="1"/>
  <c r="F73" i="43" s="1"/>
  <c r="CY25" i="41"/>
  <c r="E73" i="43" s="1"/>
  <c r="CX21" i="41" a="1"/>
  <c r="CX21" i="41" s="1"/>
  <c r="F69" i="43" s="1"/>
  <c r="CY21" i="41"/>
  <c r="E69" i="43" s="1"/>
  <c r="CX27" i="41" a="1"/>
  <c r="CX27" i="41" s="1"/>
  <c r="F75" i="43" s="1"/>
  <c r="CY27" i="41"/>
  <c r="E75" i="43" s="1"/>
  <c r="CX32" i="41" a="1"/>
  <c r="CX32" i="41" s="1"/>
  <c r="F80" i="43" s="1"/>
  <c r="CY32" i="41"/>
  <c r="E80" i="43" s="1"/>
  <c r="CW16" i="41"/>
  <c r="CX16" i="41" s="1" a="1"/>
  <c r="CX16" i="41" s="1"/>
  <c r="F64" i="43" s="1"/>
  <c r="CW11" i="41"/>
  <c r="CX11" i="41" s="1" a="1"/>
  <c r="CX11" i="41" s="1"/>
  <c r="F59" i="43" s="1"/>
  <c r="CW10" i="41"/>
  <c r="CX10" i="41" s="1" a="1"/>
  <c r="CX10" i="41" s="1"/>
  <c r="CW18" i="41"/>
  <c r="CX18" i="41" s="1" a="1"/>
  <c r="CX18" i="41" s="1"/>
  <c r="CW4" i="41"/>
  <c r="CX4" i="41" s="1" a="1"/>
  <c r="CX4" i="41" s="1"/>
  <c r="CW8" i="41"/>
  <c r="CX8" i="41" s="1" a="1"/>
  <c r="CX8" i="41" s="1"/>
  <c r="CW7" i="41"/>
  <c r="CX7" i="41" s="1" a="1"/>
  <c r="CX7" i="41" s="1"/>
  <c r="CW23" i="41"/>
  <c r="CW27" i="41"/>
  <c r="CW32" i="41"/>
  <c r="CW9" i="41"/>
  <c r="CX9" i="41" s="1" a="1"/>
  <c r="CX9" i="41" s="1"/>
  <c r="CW3" i="41"/>
  <c r="CX3" i="41" s="1" a="1"/>
  <c r="CX3" i="41" s="1"/>
  <c r="S19" i="41"/>
  <c r="CW26" i="41"/>
  <c r="CW6" i="41"/>
  <c r="CW22" i="41"/>
  <c r="CW20" i="41"/>
  <c r="CW12" i="41"/>
  <c r="CX12" i="41" s="1" a="1"/>
  <c r="CX12" i="41" s="1"/>
  <c r="CW13" i="41"/>
  <c r="CX13" i="41" s="1" a="1"/>
  <c r="CX13" i="41" s="1"/>
  <c r="CW29" i="41"/>
  <c r="CW25" i="41"/>
  <c r="CW30" i="41"/>
  <c r="CW28" i="41"/>
  <c r="CW31" i="41"/>
  <c r="CW24" i="41"/>
  <c r="CW19" i="41"/>
  <c r="CX19" i="41" s="1" a="1"/>
  <c r="CX19" i="41" s="1"/>
  <c r="CW17" i="41"/>
  <c r="CX17" i="41" s="1" a="1"/>
  <c r="CX17" i="41" s="1"/>
  <c r="CW14" i="41"/>
  <c r="CW5" i="41"/>
  <c r="CX5" i="41" s="1" a="1"/>
  <c r="CX5" i="41" s="1"/>
  <c r="CW21" i="41"/>
  <c r="E63" i="43" l="1"/>
  <c r="DA15" i="41"/>
  <c r="DA17" i="41"/>
  <c r="DA19" i="41"/>
  <c r="D67" i="43" s="1"/>
  <c r="DA9" i="41"/>
  <c r="DA7" i="41"/>
  <c r="DA5" i="41"/>
  <c r="DA13" i="41"/>
  <c r="DA3" i="41"/>
  <c r="DA12" i="41"/>
  <c r="DA18" i="41"/>
  <c r="D66" i="43" s="1"/>
  <c r="DA8" i="41"/>
  <c r="DA16" i="41"/>
  <c r="D64" i="43" s="1"/>
  <c r="E66" i="43"/>
  <c r="CZ4" i="41" a="1"/>
  <c r="CZ4" i="41" s="1"/>
  <c r="G52" i="43" s="1"/>
  <c r="CZ11" i="41" a="1"/>
  <c r="CZ11" i="41" s="1"/>
  <c r="G59" i="43" s="1"/>
  <c r="G66" i="43"/>
  <c r="G64" i="43"/>
  <c r="CZ10" i="41" a="1"/>
  <c r="CZ10" i="41" s="1"/>
  <c r="G58" i="43" s="1"/>
  <c r="F63" i="43"/>
  <c r="E52" i="43"/>
  <c r="F66" i="43"/>
  <c r="CX14" i="41" a="1"/>
  <c r="CX14" i="41" s="1"/>
  <c r="F58" i="43"/>
  <c r="F65" i="43"/>
  <c r="CX6" i="41" a="1"/>
  <c r="CX6" i="41" s="1"/>
  <c r="F61" i="43"/>
  <c r="F56" i="43"/>
  <c r="F57" i="43"/>
  <c r="E58" i="43"/>
  <c r="E64" i="43"/>
  <c r="E59" i="43"/>
  <c r="AN3" i="41" a="1"/>
  <c r="AN3" i="41" s="1"/>
  <c r="F52" i="43"/>
  <c r="F53" i="43"/>
  <c r="G61" i="43"/>
  <c r="E61" i="43"/>
  <c r="E53" i="43"/>
  <c r="G53" i="43"/>
  <c r="F60" i="43"/>
  <c r="G51" i="43"/>
  <c r="E51" i="43"/>
  <c r="F55" i="43"/>
  <c r="G65" i="43"/>
  <c r="E65" i="43"/>
  <c r="G62" i="43"/>
  <c r="E62" i="43"/>
  <c r="S22" i="41" a="1"/>
  <c r="S22" i="41" s="1"/>
  <c r="S21" i="41" a="1"/>
  <c r="S21" i="41" s="1"/>
  <c r="E67" i="43"/>
  <c r="E56" i="43"/>
  <c r="F51" i="43"/>
  <c r="F67" i="43"/>
  <c r="G60" i="43"/>
  <c r="E60" i="43"/>
  <c r="G54" i="43"/>
  <c r="E54" i="43"/>
  <c r="E57" i="43"/>
  <c r="G55" i="43"/>
  <c r="E55" i="43"/>
  <c r="K18" i="41" a="1"/>
  <c r="F62" i="43" l="1"/>
  <c r="DA14" i="41"/>
  <c r="DA11" i="41"/>
  <c r="D59" i="43" s="1"/>
  <c r="F54" i="43"/>
  <c r="DA6" i="41"/>
  <c r="D54" i="43" s="1"/>
  <c r="DA4" i="41"/>
  <c r="D52" i="43" s="1"/>
  <c r="DA10" i="41"/>
  <c r="D58" i="43" s="1"/>
  <c r="D51" i="43"/>
  <c r="D55" i="43"/>
  <c r="D63" i="43"/>
  <c r="D53" i="43"/>
  <c r="D65" i="43"/>
  <c r="D60" i="43"/>
  <c r="D61" i="43"/>
  <c r="G57" i="43"/>
  <c r="D57" i="43"/>
  <c r="D56" i="43"/>
  <c r="G56" i="43"/>
  <c r="G68" i="43"/>
  <c r="G67" i="43"/>
  <c r="K18" i="41"/>
  <c r="N3" i="41" s="1" a="1"/>
  <c r="N3" i="41" s="1"/>
  <c r="D62" i="43" l="1"/>
  <c r="N4" i="41" a="1"/>
  <c r="N4" i="41" s="1"/>
  <c r="O3" i="41" a="1"/>
  <c r="O3" i="41" s="1"/>
  <c r="N5" i="41" l="1" a="1"/>
  <c r="N5" i="41" s="1"/>
  <c r="O4" i="41" a="1"/>
  <c r="O4" i="41" s="1"/>
  <c r="N6" i="41" l="1" a="1"/>
  <c r="N6" i="41" s="1"/>
  <c r="O5" i="41" a="1"/>
  <c r="O5" i="41" s="1"/>
  <c r="O6" i="41" l="1" a="1"/>
  <c r="O6" i="41" s="1"/>
  <c r="N7" i="41" a="1"/>
  <c r="N7" i="41" s="1"/>
  <c r="O7" i="41" l="1" a="1"/>
  <c r="O7" i="41" s="1"/>
  <c r="N8" i="41" a="1"/>
  <c r="N8" i="41" s="1"/>
  <c r="O8" i="41" l="1" a="1"/>
  <c r="O8" i="41" s="1"/>
  <c r="N9" i="41" a="1"/>
  <c r="N9" i="41" s="1"/>
  <c r="N10" i="41" l="1" a="1"/>
  <c r="N10" i="41" s="1"/>
  <c r="N11" i="41" s="1" a="1"/>
  <c r="N11" i="41" s="1"/>
  <c r="O11" i="41" s="1" a="1"/>
  <c r="O11" i="41" s="1"/>
  <c r="O9" i="41" a="1"/>
  <c r="O9" i="41" s="1"/>
  <c r="N12" i="41" l="1" a="1"/>
  <c r="N12" i="41" s="1"/>
  <c r="O10" i="41" a="1"/>
  <c r="O10" i="41" s="1"/>
  <c r="O12" i="41" l="1" a="1"/>
  <c r="O12" i="41" s="1"/>
  <c r="N13" i="41" a="1"/>
  <c r="N13" i="41" s="1"/>
  <c r="O13" i="41" l="1" a="1"/>
  <c r="O13" i="41" s="1"/>
  <c r="N14" i="41" a="1"/>
  <c r="N14" i="41" s="1"/>
  <c r="O14" i="41" l="1" a="1"/>
  <c r="O14" i="41" s="1"/>
  <c r="N15" i="41" a="1"/>
  <c r="N15" i="41" s="1"/>
  <c r="N16" i="41" s="1" a="1"/>
  <c r="N16" i="41" s="1"/>
  <c r="O16" i="41" s="1" a="1"/>
  <c r="O16" i="41" s="1"/>
  <c r="N17" i="41" l="1" a="1"/>
  <c r="N17" i="41" s="1"/>
  <c r="O15" i="41" a="1"/>
  <c r="O15" i="41" s="1"/>
  <c r="N18" i="41" l="1" a="1"/>
  <c r="N18" i="41" s="1"/>
  <c r="O17" i="41" a="1"/>
  <c r="O17" i="41" s="1"/>
  <c r="O18" i="41" l="1" a="1"/>
  <c r="O18" i="41" s="1"/>
  <c r="N19" i="41" a="1"/>
  <c r="N19" i="41" s="1"/>
  <c r="O19" i="41" l="1" a="1"/>
  <c r="O19" i="41" s="1"/>
  <c r="N20" i="41" a="1"/>
  <c r="N20" i="41" s="1"/>
  <c r="N21" i="41" l="1" a="1"/>
  <c r="N21" i="41" s="1"/>
  <c r="O20" i="41" a="1"/>
  <c r="O20" i="41" s="1"/>
  <c r="O21" i="41" l="1" a="1"/>
  <c r="O21" i="41" s="1"/>
  <c r="N22" i="41" a="1"/>
  <c r="N22" i="41" s="1"/>
  <c r="N23" i="41" l="1" a="1"/>
  <c r="N23" i="41" s="1"/>
  <c r="O22" i="41" a="1"/>
  <c r="O22" i="41" s="1"/>
  <c r="N24" i="41" l="1" a="1"/>
  <c r="N24" i="41" s="1"/>
  <c r="O23" i="41" a="1"/>
  <c r="O23" i="41" s="1"/>
  <c r="O24" i="41" l="1" a="1"/>
  <c r="O24" i="41" s="1"/>
  <c r="S31" i="41" s="1"/>
  <c r="L8" i="39" l="1" a="1"/>
  <c r="L8" i="39" s="1"/>
  <c r="I3" i="43" a="1"/>
  <c r="I3" i="43" s="1"/>
  <c r="K3" i="42" a="1"/>
  <c r="K3" i="42" s="1"/>
  <c r="C72" i="39" a="1"/>
  <c r="C72"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tc={38C86FA5-742F-4C4C-B63F-FFE18671B4F8}</author>
    <author>tc={34572E9E-82EF-4688-B99E-6EB0EC59D350}</author>
    <author>tc={12FB3649-7E3E-4920-8843-77EE573B594B}</author>
    <author>tc={268F9EA8-F343-44FE-B373-D0D8B6A2E4FC}</author>
    <author>tc={DB6EDA19-79E7-4043-AF39-F51E52A43682}</author>
    <author>tc={9697CA96-1BC6-4063-86F0-8901C5DD6E53}</author>
  </authors>
  <commentList>
    <comment ref="Q1" authorId="0"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Each variable in the "General variables table" is defined as named range whose definition formula ("Refers To") is simply a reference to the cell in the "value" column, indexed by the name in the "name" column. Therefore, the actual formula/value for each variable is edited in the "value" column of this table, which is more convenient than in the "Name Manager".</t>
      </text>
    </comment>
    <comment ref="BE2" authorId="1" shapeId="0" xr:uid="{34572E9E-82EF-4688-B99E-6EB0EC59D350}">
      <text>
        <t>[Threaded comment]
Your version of Excel allows you to read this threaded comment; however, any edits to it will get removed if the file is opened in a newer version of Excel. Learn more: https://go.microsoft.com/fwlink/?linkid=870924
Comment:
    I couldn't find a way of avoiding to explicitly compute the normalized behaviour score (and then the doer/non-doer status) as an array in the spreadsheet. All compact formulas I tried would not accept to combine an indirectly referenced array (the data columns for "behaviour" questions) with scalar values (the min/max scores used for scaling) and use the COUNTIF() function on it to count doers/non-doers. Either it's impossible or I must be doing something wrong.</t>
      </text>
    </comment>
    <comment ref="S3" authorId="2" shapeId="0" xr:uid="{12FB3649-7E3E-4920-8843-77EE573B59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S7" authorId="3" shapeId="0" xr:uid="{268F9EA8-F343-44FE-B373-D0D8B6A2E4FC}">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S17" authorId="4" shapeId="0" xr:uid="{DB6EDA19-79E7-4043-AF39-F51E52A43682}">
      <text>
        <t>[Threaded comment]
Your version of Excel allows you to read this threaded comment; however, any edits to it will get removed if the file is opened in a newer version of Excel. Learn more: https://go.microsoft.com/fwlink/?linkid=870924
Comment:
    This formula calculates the "number of scores", i.e. the number of "data" entries having at least one non-empty value among the defined "behaviour" questions.
I couldn't find a way to design this formula to work for an arbitrary number of "behaviour" questions (i.e., to dynamically sum over all rows of the "Behaviour Table", regardless of the number of rows). Therefore, if the maximum number of behaviour questions (currently 5) is increased, this formula must be expanded.</t>
      </text>
    </comment>
    <comment ref="S28" authorId="5" shapeId="0" xr:uid="{9697CA96-1BC6-4063-86F0-8901C5DD6E53}">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<sst xmlns="http://schemas.openxmlformats.org/spreadsheetml/2006/main" count="480" uniqueCount="383">
  <si>
    <t>name</t>
  </si>
  <si>
    <t>index</t>
  </si>
  <si>
    <t>Difference</t>
  </si>
  <si>
    <t>English</t>
  </si>
  <si>
    <t>Doers</t>
  </si>
  <si>
    <t>Français</t>
  </si>
  <si>
    <t>Pratiquants</t>
  </si>
  <si>
    <t>Non-doers</t>
  </si>
  <si>
    <t>Non-pratiquants</t>
  </si>
  <si>
    <t>Différence</t>
  </si>
  <si>
    <t>Nbre de réponses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</si>
  <si>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</si>
  <si>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</si>
  <si>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</si>
  <si>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</si>
  <si>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</si>
  <si>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</si>
  <si>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</si>
  <si>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</si>
  <si>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</si>
  <si>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</si>
  <si>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</si>
  <si>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</si>
  <si>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</si>
  <si>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</si>
  <si>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</si>
  <si>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</si>
  <si>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</si>
  <si>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</si>
  <si>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</si>
  <si>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</si>
  <si>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</si>
  <si>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</si>
  <si>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</si>
  <si>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</si>
  <si>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numResponses</t>
  </si>
  <si>
    <t># of responses</t>
  </si>
  <si>
    <t>UI TRANSLATION TABLE</t>
  </si>
  <si>
    <t>Cutoff level</t>
  </si>
  <si>
    <t>cutoffLevel</t>
  </si>
  <si>
    <t>Niveau de seuil</t>
  </si>
  <si>
    <t>langSpecText</t>
  </si>
  <si>
    <t>displayedText</t>
  </si>
  <si>
    <t>languageList</t>
  </si>
  <si>
    <t>languageHeaders</t>
  </si>
  <si>
    <t>numLanguages</t>
  </si>
  <si>
    <t>maxAbsDiff</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</si>
  <si>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</si>
  <si>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</si>
  <si>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</si>
  <si>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</si>
  <si>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</si>
  <si>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</si>
  <si>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</si>
  <si>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</si>
  <si>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</si>
  <si>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</si>
  <si>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</si>
  <si>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</si>
  <si>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</si>
  <si>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</si>
  <si>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</si>
  <si>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</si>
  <si>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</si>
  <si>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</si>
  <si>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</si>
  <si>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</si>
  <si>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</si>
  <si>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</si>
  <si>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</si>
  <si>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</si>
  <si>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</si>
  <si>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</si>
  <si>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</si>
  <si>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</si>
  <si>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</si>
  <si>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</si>
  <si>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</si>
  <si>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</si>
  <si>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</si>
  <si>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</si>
  <si>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</si>
  <si>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</si>
  <si>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</si>
  <si>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</si>
  <si>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</si>
  <si>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</si>
  <si>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</si>
  <si>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</si>
  <si>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</si>
  <si>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</si>
  <si>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</si>
  <si>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</si>
  <si>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</si>
  <si>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</si>
  <si>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</si>
  <si>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</si>
  <si>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indirectColRef</t>
  </si>
  <si>
    <t>CUTOFF LEVEL TABLE</t>
  </si>
  <si>
    <t>label</t>
  </si>
  <si>
    <t>absDiff</t>
  </si>
  <si>
    <t>cutoffLevelRecommended</t>
  </si>
  <si>
    <t>cutoffLevelRecomText</t>
  </si>
  <si>
    <t>behaviourScoreNorm</t>
  </si>
  <si>
    <t>Behaviour score</t>
  </si>
  <si>
    <t>Score de comportement</t>
  </si>
  <si>
    <t>behaviourScore</t>
  </si>
  <si>
    <t>langSpecBehaviourScore</t>
  </si>
  <si>
    <t>percentResponses</t>
  </si>
  <si>
    <t>% de réponses</t>
  </si>
  <si>
    <t>langSpecNumResponses</t>
  </si>
  <si>
    <t>langSpecPercentResponses</t>
  </si>
  <si>
    <t>percentNondoers</t>
  </si>
  <si>
    <t>percentDoers</t>
  </si>
  <si>
    <t>isDoer</t>
  </si>
  <si>
    <t>Norms</t>
  </si>
  <si>
    <t>Risks</t>
  </si>
  <si>
    <t>Attitudes</t>
  </si>
  <si>
    <t>Abilities</t>
  </si>
  <si>
    <t>Self-regulation</t>
  </si>
  <si>
    <t>RANAS</t>
  </si>
  <si>
    <t>Display?</t>
  </si>
  <si>
    <t>% of responses</t>
  </si>
  <si>
    <t>BEHAVIOUR SCORE ARRAYS</t>
  </si>
  <si>
    <t>GENERAL VARIABLES TABLE</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</si>
  <si>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</si>
  <si>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</si>
  <si>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</si>
  <si>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</si>
  <si>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</si>
  <si>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</si>
  <si>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</si>
  <si>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</si>
  <si>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</si>
  <si>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</si>
  <si>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</si>
  <si>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</si>
  <si>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</si>
  <si>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</si>
  <si>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</si>
  <si>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</si>
  <si>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</si>
  <si>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</si>
  <si>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</si>
  <si>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</si>
  <si>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</si>
  <si>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</si>
  <si>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</si>
  <si>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</si>
  <si>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</si>
  <si>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</si>
  <si>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</si>
  <si>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</si>
  <si>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</si>
  <si>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</si>
  <si>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</si>
  <si>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</si>
  <si>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</si>
  <si>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</si>
  <si>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</si>
  <si>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</si>
  <si>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</si>
  <si>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</si>
  <si>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</si>
  <si>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</si>
  <si>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</si>
  <si>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</si>
  <si>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</si>
  <si>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</si>
  <si>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</si>
  <si>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</si>
  <si>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</si>
  <si>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</si>
  <si>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</si>
  <si>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</si>
  <si>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</si>
  <si>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</si>
  <si>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</si>
  <si>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</si>
  <si>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</si>
  <si>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</si>
  <si>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</si>
  <si>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</si>
  <si>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</si>
  <si>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</si>
  <si>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</si>
  <si>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</si>
  <si>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</si>
  <si>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</si>
  <si>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</si>
  <si>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</si>
  <si>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</si>
  <si>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</si>
  <si>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</si>
  <si>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</si>
  <si>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</si>
  <si>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</si>
  <si>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</si>
  <si>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</si>
  <si>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</si>
  <si>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</si>
  <si>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</si>
  <si>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</si>
  <si>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</si>
  <si>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</si>
  <si>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</si>
  <si>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</si>
  <si>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</si>
  <si>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</si>
  <si>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</si>
  <si>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</si>
  <si>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</si>
  <si>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</si>
  <si>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</si>
  <si>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</si>
  <si>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</si>
  <si>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</si>
  <si>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</si>
  <si>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</si>
  <si>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</si>
  <si>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</si>
  <si>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</si>
  <si>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</si>
  <si>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</si>
  <si>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</si>
  <si>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</si>
  <si>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</si>
  <si>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</si>
  <si>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</si>
  <si>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</si>
  <si>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</si>
  <si>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</si>
  <si>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</si>
  <si>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</si>
  <si>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</si>
  <si>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</si>
  <si>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</si>
  <si>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</si>
  <si>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</si>
  <si>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</si>
  <si>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</si>
  <si>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</si>
  <si>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</si>
  <si>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</si>
  <si>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</si>
  <si>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</si>
  <si>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</si>
  <si>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</si>
  <si>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</si>
  <si>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</si>
  <si>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</si>
  <si>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</si>
  <si>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</si>
  <si>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</si>
  <si>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</si>
  <si>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</si>
  <si>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</si>
  <si>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</si>
  <si>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</si>
  <si>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</si>
  <si>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</si>
  <si>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</si>
  <si>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</si>
  <si>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</si>
  <si>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</si>
  <si>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</si>
  <si>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</si>
  <si>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</si>
  <si>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</si>
  <si>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</si>
  <si>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</si>
  <si>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</si>
  <si>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</si>
  <si>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</si>
  <si>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</si>
  <si>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</si>
  <si>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</si>
  <si>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</si>
  <si>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</si>
  <si>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</si>
  <si>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</si>
  <si>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</si>
  <si>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</si>
  <si>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</si>
  <si>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</si>
  <si>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</si>
  <si>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</si>
  <si>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</si>
  <si>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</si>
  <si>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</si>
  <si>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0-9%</t>
  </si>
  <si>
    <t>10-19%</t>
  </si>
  <si>
    <t>20-29%</t>
  </si>
  <si>
    <t>30-39%</t>
  </si>
  <si>
    <t>40-49%</t>
  </si>
  <si>
    <t>50-59%</t>
  </si>
  <si>
    <t>60-69%</t>
  </si>
  <si>
    <t>70-79%</t>
  </si>
  <si>
    <t>80-89%</t>
  </si>
  <si>
    <t>90-100%</t>
  </si>
  <si>
    <t>minValue</t>
  </si>
  <si>
    <t>maxValue</t>
  </si>
  <si>
    <t>minError</t>
  </si>
  <si>
    <t>maxError</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</si>
  <si>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</si>
  <si>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</si>
  <si>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</si>
  <si>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</si>
  <si>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</si>
  <si>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</si>
  <si>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</si>
  <si>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(Excel 365 version)</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</si>
  <si>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</si>
  <si>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</si>
  <si>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</si>
  <si>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</si>
  <si>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</si>
  <si>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</si>
  <si>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</si>
  <si>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</si>
  <si>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</si>
  <si>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</si>
  <si>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</si>
  <si>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</si>
  <si>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</si>
  <si>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</si>
  <si>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</si>
  <si>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</si>
  <si>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</si>
  <si>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</si>
  <si>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</si>
  <si>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</si>
  <si>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</si>
  <si>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</si>
  <si>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</si>
  <si>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</si>
  <si>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</si>
  <si>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</si>
  <si>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</si>
  <si>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</si>
  <si>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</si>
  <si>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</si>
  <si>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</si>
  <si>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</si>
  <si>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</si>
  <si>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</si>
  <si>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</si>
  <si>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</si>
  <si>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</si>
  <si>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</si>
  <si>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</si>
  <si>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</si>
  <si>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</si>
  <si>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</si>
  <si>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Certaines traductions de facteurs sélectionnés dans la langue choisie pour les graphiques sont manquantes dans le tableau «Facteurs RANAS» (cellules rouges). Veuillez les compléter.</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</si>
  <si>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</si>
  <si>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</si>
  <si>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</si>
  <si>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Some translations of selected factors into the chosen language for charts are missing in the "RANAS factors" table (red cells). Please complete them.</t>
  </si>
  <si>
    <t>copyTableInfo</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</si>
  <si>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</si>
  <si>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</si>
  <si>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</si>
  <si>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</si>
  <si>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</si>
  <si>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</si>
  <si>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</si>
  <si>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</si>
  <si>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</si>
  <si>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</si>
  <si>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</si>
  <si>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</si>
  <si>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</si>
  <si>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</si>
  <si>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</si>
  <si>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</si>
  <si>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</si>
  <si>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</si>
  <si>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</si>
  <si>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</si>
  <si>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</si>
  <si>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https://www.ranas.ch/analyser</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</si>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</sst>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b/>
      <sz val="11"/>
      <color theme="0"/>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0" tint="-4.9989318521683403E-2"/>
        <bgColor indexed="64"/>
      </patternFill>
    </fill>
    <fill>
      <patternFill patternType="solid">
        <fgColor rgb="FFD9E1F2"/>
        <bgColor indexed="64"/>
      </patternFill>
    </fill>
    <fill>
      <patternFill patternType="solid">
        <fgColor rgb="FF0070C0"/>
        <bgColor theme="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rgb="FF2DC8FF"/>
        <bgColor indexed="64"/>
      </patternFill>
    </fill>
  </fills>
  <borders count="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bottom style="thin">
        <color theme="4" tint="0.3999450666829432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s>
  <cellStyleXfs count="8">
    <xf numFmtId="0" fontId="0" fillId="0" borderId="0"/>
    <xf numFmtId="0" fontId="2" fillId="0" borderId="0"/>
    <xf numFmtId="9" fontId="1" fillId="0" borderId="0" applyFont="0" applyFill="0" applyBorder="0" applyAlignment="0" applyProtection="0"/>
    <xf numFmtId="0" fontId="1" fillId="5" borderId="0" applyNumberFormat="0" applyBorder="0" applyAlignment="0" applyProtection="0"/>
    <xf numFmtId="0" fontId="3" fillId="0" borderId="14">
      <protection locked="0" hidden="1"/>
    </xf>
    <xf numFmtId="0" fontId="15"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6" fillId="0" borderId="0" applyNumberFormat="0" applyFill="0" applyBorder="0" applyAlignment="0" applyProtection="0"/>
  </cellStyleXfs>
  <cellXfs count="299">
    <xf numFmtId="0" fontId="0" fillId="0" borderId="0" xfId="0"/>
    <xf numFmtId="0" fontId="0" fillId="0" borderId="0" xfId="0" applyAlignment="1">
      <alignment wrapText="1"/>
    </xf>
    <xf numFmtId="0" fontId="0" fillId="0" borderId="0" xfId="0" applyAlignment="1">
      <alignment horizontal="right"/>
    </xf>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0" fillId="0" borderId="0" xfId="0" applyNumberFormat="1"/>
    <xf numFmtId="9" fontId="0" fillId="0" borderId="0" xfId="2" applyFont="1"/>
    <xf numFmtId="0" fontId="0" fillId="0" borderId="0" xfId="2" applyNumberFormat="1" applyFont="1"/>
    <xf numFmtId="164" fontId="0" fillId="0" borderId="0" xfId="2" applyNumberFormat="1" applyFont="1"/>
    <xf numFmtId="0" fontId="1" fillId="0" borderId="0" xfId="3" applyFill="1" applyBorder="1"/>
    <xf numFmtId="0" fontId="0" fillId="0" borderId="0" xfId="0" applyFill="1"/>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0" fontId="0" fillId="0" borderId="0" xfId="0" applyFont="1"/>
    <xf numFmtId="0" fontId="10" fillId="0" borderId="0" xfId="0" applyFont="1"/>
    <xf numFmtId="0" fontId="0" fillId="0" borderId="0" xfId="0" applyAlignment="1"/>
    <xf numFmtId="0" fontId="4" fillId="4" borderId="0" xfId="0" applyFont="1" applyFill="1" applyBorder="1" applyAlignment="1" applyProtection="1">
      <alignment horizontal="left"/>
      <protection hidden="1"/>
    </xf>
    <xf numFmtId="0" fontId="9" fillId="8" borderId="28" xfId="0" applyFont="1" applyFill="1" applyBorder="1"/>
    <xf numFmtId="0" fontId="1" fillId="7" borderId="27" xfId="3" applyFill="1" applyBorder="1"/>
    <xf numFmtId="0" fontId="0" fillId="0" borderId="0" xfId="0" applyNumberFormat="1" applyAlignment="1">
      <alignment wrapText="1"/>
    </xf>
    <xf numFmtId="0" fontId="4" fillId="4" borderId="30" xfId="0" applyFont="1" applyFill="1" applyBorder="1" applyAlignment="1" applyProtection="1">
      <alignment horizontal="left"/>
      <protection hidden="1"/>
    </xf>
    <xf numFmtId="0" fontId="4" fillId="4" borderId="29" xfId="0" applyFont="1" applyFill="1" applyBorder="1" applyAlignment="1" applyProtection="1">
      <alignment horizontal="left"/>
      <protection hidden="1"/>
    </xf>
    <xf numFmtId="0" fontId="4" fillId="4" borderId="31"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1" fillId="3" borderId="17" xfId="0" applyFont="1" applyFill="1" applyBorder="1" applyAlignment="1" applyProtection="1">
      <alignment horizontal="left"/>
      <protection locked="0"/>
    </xf>
    <xf numFmtId="0" fontId="11" fillId="3" borderId="20" xfId="0" applyFont="1" applyFill="1" applyBorder="1" applyAlignment="1" applyProtection="1">
      <alignment horizontal="left"/>
      <protection locked="0"/>
    </xf>
    <xf numFmtId="0" fontId="11" fillId="3" borderId="22" xfId="0" applyFont="1" applyFill="1" applyBorder="1" applyAlignment="1" applyProtection="1">
      <alignment horizontal="left"/>
      <protection locked="0"/>
    </xf>
    <xf numFmtId="0" fontId="4" fillId="4" borderId="35" xfId="0" applyFont="1" applyFill="1" applyBorder="1" applyAlignment="1" applyProtection="1">
      <alignment horizontal="left"/>
      <protection hidden="1"/>
    </xf>
    <xf numFmtId="0" fontId="3" fillId="3" borderId="36" xfId="0" applyFont="1" applyFill="1" applyBorder="1" applyAlignment="1" applyProtection="1">
      <alignment horizontal="left"/>
      <protection locked="0"/>
    </xf>
    <xf numFmtId="0" fontId="3" fillId="3" borderId="37" xfId="0" applyFont="1" applyFill="1" applyBorder="1" applyAlignment="1" applyProtection="1">
      <alignment horizontal="left"/>
      <protection locked="0"/>
    </xf>
    <xf numFmtId="0" fontId="3" fillId="3" borderId="37" xfId="0" applyNumberFormat="1" applyFont="1" applyFill="1" applyBorder="1" applyAlignment="1" applyProtection="1">
      <alignment horizontal="left"/>
      <protection locked="0"/>
    </xf>
    <xf numFmtId="0" fontId="3" fillId="3" borderId="38" xfId="0" applyNumberFormat="1" applyFont="1" applyFill="1" applyBorder="1" applyAlignment="1" applyProtection="1">
      <alignment horizontal="left"/>
      <protection locked="0"/>
    </xf>
    <xf numFmtId="0" fontId="3" fillId="3" borderId="39" xfId="0" applyNumberFormat="1" applyFont="1" applyFill="1" applyBorder="1" applyAlignment="1" applyProtection="1">
      <alignment horizontal="left"/>
      <protection locked="0"/>
    </xf>
    <xf numFmtId="0" fontId="4" fillId="3" borderId="40" xfId="0" applyFont="1" applyFill="1" applyBorder="1" applyAlignment="1" applyProtection="1">
      <alignment horizontal="left"/>
      <protection locked="0"/>
    </xf>
    <xf numFmtId="0" fontId="0" fillId="0" borderId="0" xfId="0" quotePrefix="1" applyAlignment="1">
      <alignment wrapText="1"/>
    </xf>
    <xf numFmtId="0" fontId="0" fillId="0" borderId="0" xfId="0" applyFill="1" applyAlignment="1">
      <alignment wrapText="1"/>
    </xf>
    <xf numFmtId="0" fontId="20" fillId="0" borderId="14" xfId="5" applyFont="1" applyFill="1" applyAlignment="1" applyProtection="1">
      <alignment horizontal="center" vertical="center" wrapText="1"/>
      <protection locked="0" hidden="1"/>
    </xf>
    <xf numFmtId="0" fontId="0" fillId="0" borderId="0" xfId="0" quotePrefix="1"/>
    <xf numFmtId="0" fontId="0" fillId="0" borderId="0" xfId="0" applyFill="1" applyAlignment="1">
      <alignment vertical="center"/>
    </xf>
    <xf numFmtId="0" fontId="0" fillId="0" borderId="0" xfId="0" quotePrefix="1" applyFill="1" applyAlignment="1">
      <alignment wrapText="1"/>
    </xf>
    <xf numFmtId="165" fontId="20" fillId="0" borderId="14" xfId="5" applyNumberFormat="1" applyFont="1" applyFill="1" applyBorder="1" applyAlignment="1" applyProtection="1">
      <alignment horizontal="center" vertical="center"/>
      <protection locked="0" hidden="1"/>
    </xf>
    <xf numFmtId="165" fontId="0" fillId="0" borderId="0" xfId="2" applyNumberFormat="1" applyFont="1" applyFill="1" applyAlignment="1">
      <alignment wrapText="1"/>
    </xf>
    <xf numFmtId="49" fontId="0" fillId="0" borderId="0" xfId="0" applyNumberFormat="1" applyFill="1" applyAlignment="1">
      <alignment wrapText="1"/>
    </xf>
    <xf numFmtId="0" fontId="0" fillId="0" borderId="0" xfId="0" applyFill="1" applyAlignment="1">
      <alignment vertical="center" wrapText="1"/>
    </xf>
    <xf numFmtId="0" fontId="0" fillId="0" borderId="0" xfId="0"/>
    <xf numFmtId="0" fontId="14" fillId="4" borderId="0" xfId="0" applyFont="1" applyFill="1" applyAlignment="1" applyProtection="1">
      <alignment horizontal="left" vertical="top" indent="1"/>
      <protection hidden="1"/>
    </xf>
    <xf numFmtId="0" fontId="14" fillId="4" borderId="0" xfId="0" applyFont="1" applyFill="1" applyAlignment="1" applyProtection="1">
      <alignment horizontal="left" vertical="top" indent="1"/>
      <protection hidden="1"/>
    </xf>
    <xf numFmtId="0" fontId="4" fillId="4" borderId="2" xfId="0" applyFont="1" applyFill="1" applyBorder="1" applyAlignment="1" applyProtection="1">
      <alignment horizontal="right" wrapText="1"/>
      <protection hidden="1"/>
    </xf>
    <xf numFmtId="0" fontId="12" fillId="4" borderId="2" xfId="0" applyFont="1" applyFill="1" applyBorder="1" applyAlignment="1" applyProtection="1">
      <alignment vertical="center" wrapText="1"/>
      <protection hidden="1"/>
    </xf>
    <xf numFmtId="0" fontId="13"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2" fillId="4" borderId="3" xfId="0" applyFont="1" applyFill="1" applyBorder="1" applyAlignment="1" applyProtection="1">
      <alignment vertical="center" wrapText="1"/>
      <protection hidden="1"/>
    </xf>
    <xf numFmtId="0" fontId="0" fillId="4" borderId="0" xfId="0" applyFill="1" applyBorder="1" applyProtection="1">
      <protection hidden="1"/>
    </xf>
    <xf numFmtId="0" fontId="12" fillId="4" borderId="0" xfId="0" applyFont="1" applyFill="1" applyBorder="1" applyAlignment="1" applyProtection="1">
      <alignment vertical="center" wrapText="1"/>
      <protection hidden="1"/>
    </xf>
    <xf numFmtId="0" fontId="13" fillId="4" borderId="0" xfId="0" applyFont="1" applyFill="1" applyBorder="1" applyAlignment="1" applyProtection="1">
      <alignment horizontal="right" vertical="center" indent="1"/>
      <protection hidden="1"/>
    </xf>
    <xf numFmtId="0" fontId="12" fillId="4" borderId="5" xfId="0" applyFont="1" applyFill="1" applyBorder="1" applyAlignment="1" applyProtection="1">
      <alignment vertical="center" wrapText="1"/>
      <protection hidden="1"/>
    </xf>
    <xf numFmtId="0" fontId="24" fillId="4" borderId="7" xfId="0" applyFont="1" applyFill="1" applyBorder="1" applyAlignment="1" applyProtection="1">
      <alignment vertical="center"/>
      <protection hidden="1"/>
    </xf>
    <xf numFmtId="0" fontId="12" fillId="4" borderId="7" xfId="0" applyFont="1" applyFill="1" applyBorder="1" applyAlignment="1" applyProtection="1">
      <alignment vertical="center" wrapText="1"/>
      <protection hidden="1"/>
    </xf>
    <xf numFmtId="0" fontId="13"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2"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12" fillId="4" borderId="3" xfId="0" applyFont="1" applyFill="1" applyBorder="1" applyAlignment="1" applyProtection="1">
      <alignment horizontal="left" vertical="center" wrapText="1" indent="1"/>
      <protection hidden="1"/>
    </xf>
    <xf numFmtId="0" fontId="12" fillId="4" borderId="0" xfId="0" applyFont="1" applyFill="1" applyBorder="1" applyAlignment="1" applyProtection="1">
      <alignment horizontal="left" vertical="center" wrapText="1" indent="2"/>
      <protection hidden="1"/>
    </xf>
    <xf numFmtId="0" fontId="26" fillId="4" borderId="5" xfId="7" applyFill="1" applyBorder="1" applyAlignment="1" applyProtection="1">
      <alignment horizontal="left" vertical="top" wrapText="1" indent="1"/>
      <protection hidden="1"/>
    </xf>
    <xf numFmtId="0" fontId="12" fillId="4" borderId="5" xfId="0" applyFont="1" applyFill="1" applyBorder="1" applyAlignment="1" applyProtection="1">
      <alignment horizontal="left" vertical="center" wrapText="1" indent="1"/>
      <protection hidden="1"/>
    </xf>
    <xf numFmtId="0" fontId="26" fillId="4" borderId="8" xfId="7" applyFill="1" applyBorder="1" applyAlignment="1" applyProtection="1">
      <alignment horizontal="left" vertical="top" wrapText="1" indent="1"/>
      <protection hidden="1"/>
    </xf>
    <xf numFmtId="0" fontId="3" fillId="0" borderId="14" xfId="5" applyFont="1" applyFill="1" applyAlignment="1" applyProtection="1">
      <alignment vertical="center" wrapText="1"/>
      <protection locked="0" hidden="1"/>
    </xf>
    <xf numFmtId="0" fontId="4" fillId="13" borderId="9" xfId="0" applyFont="1" applyFill="1" applyBorder="1" applyAlignment="1" applyProtection="1">
      <alignment horizontal="left"/>
      <protection hidden="1"/>
    </xf>
    <xf numFmtId="0" fontId="4" fillId="13" borderId="9" xfId="0" applyFont="1" applyFill="1" applyBorder="1" applyAlignment="1" applyProtection="1">
      <alignment horizontal="center"/>
      <protection hidden="1"/>
    </xf>
    <xf numFmtId="0" fontId="4" fillId="13" borderId="25" xfId="0" applyFont="1" applyFill="1" applyBorder="1" applyAlignment="1" applyProtection="1">
      <alignment horizontal="left"/>
      <protection hidden="1"/>
    </xf>
    <xf numFmtId="0" fontId="4" fillId="13"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0" fillId="4" borderId="4" xfId="0" applyFill="1" applyBorder="1" applyProtection="1">
      <protection hidden="1"/>
    </xf>
    <xf numFmtId="0" fontId="3" fillId="4" borderId="0" xfId="0" applyFont="1" applyFill="1" applyBorder="1" applyAlignment="1" applyProtection="1">
      <alignment horizontal="left" vertical="top" wrapText="1"/>
      <protection hidden="1"/>
    </xf>
    <xf numFmtId="0" fontId="14"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7" fillId="4" borderId="0" xfId="0" applyFont="1" applyFill="1" applyBorder="1" applyAlignment="1" applyProtection="1">
      <alignment horizontal="left" vertical="center" wrapText="1" indent="2"/>
      <protection hidden="1"/>
    </xf>
    <xf numFmtId="0" fontId="12"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9"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1" fillId="4" borderId="0" xfId="0" applyFont="1" applyFill="1" applyBorder="1" applyProtection="1">
      <protection hidden="1"/>
    </xf>
    <xf numFmtId="0" fontId="31" fillId="4" borderId="0" xfId="0" applyNumberFormat="1" applyFont="1" applyFill="1" applyBorder="1" applyProtection="1">
      <protection hidden="1"/>
    </xf>
    <xf numFmtId="0" fontId="12"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3"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2"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2" fillId="4" borderId="0" xfId="0" applyFont="1" applyFill="1" applyBorder="1" applyAlignment="1" applyProtection="1">
      <alignment horizontal="left"/>
      <protection hidden="1"/>
    </xf>
    <xf numFmtId="0" fontId="31" fillId="4" borderId="0" xfId="0" applyNumberFormat="1" applyFont="1" applyFill="1" applyBorder="1" applyAlignment="1" applyProtection="1">
      <alignment horizontal="center"/>
      <protection hidden="1"/>
    </xf>
    <xf numFmtId="0" fontId="33"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5" fillId="4" borderId="32" xfId="0" applyFont="1" applyFill="1" applyBorder="1" applyAlignment="1" applyProtection="1">
      <alignment horizontal="center"/>
      <protection locked="0"/>
    </xf>
    <xf numFmtId="0" fontId="15" fillId="4" borderId="33" xfId="0" applyFont="1" applyFill="1" applyBorder="1" applyAlignment="1" applyProtection="1">
      <alignment horizontal="center"/>
      <protection locked="0"/>
    </xf>
    <xf numFmtId="0" fontId="15" fillId="4" borderId="34" xfId="0" applyFont="1" applyFill="1" applyBorder="1" applyAlignment="1" applyProtection="1">
      <alignment horizontal="center"/>
      <protection locked="0"/>
    </xf>
    <xf numFmtId="0" fontId="16" fillId="4" borderId="0" xfId="0" applyFont="1" applyFill="1" applyBorder="1" applyAlignment="1" applyProtection="1">
      <alignment horizontal="left" vertical="center" wrapText="1" indent="2"/>
      <protection hidden="1"/>
    </xf>
    <xf numFmtId="0" fontId="14"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2" fillId="4" borderId="0" xfId="0" applyFont="1" applyFill="1" applyProtection="1">
      <protection hidden="1"/>
    </xf>
    <xf numFmtId="0" fontId="3" fillId="4" borderId="0" xfId="0" applyFont="1" applyFill="1" applyAlignment="1" applyProtection="1">
      <alignment horizontal="left" vertical="top" wrapText="1"/>
      <protection hidden="1"/>
    </xf>
    <xf numFmtId="0" fontId="29" fillId="4" borderId="0" xfId="0" applyFont="1" applyFill="1" applyBorder="1" applyAlignment="1" applyProtection="1">
      <alignment horizontal="center" vertical="center" wrapText="1"/>
      <protection hidden="1"/>
    </xf>
    <xf numFmtId="0" fontId="27"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4"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6" fillId="4" borderId="0" xfId="0" applyFont="1" applyFill="1" applyBorder="1" applyAlignment="1" applyProtection="1">
      <alignment horizontal="left"/>
      <protection hidden="1"/>
    </xf>
    <xf numFmtId="0" fontId="16" fillId="4" borderId="0" xfId="0" applyFont="1" applyFill="1" applyBorder="1" applyAlignment="1" applyProtection="1">
      <alignment horizontal="center"/>
      <protection hidden="1"/>
    </xf>
    <xf numFmtId="0" fontId="16" fillId="4" borderId="0" xfId="0" applyFont="1" applyFill="1" applyBorder="1" applyAlignment="1" applyProtection="1">
      <protection hidden="1"/>
    </xf>
    <xf numFmtId="0" fontId="16" fillId="4" borderId="0" xfId="0" applyFont="1" applyFill="1" applyAlignment="1" applyProtection="1">
      <protection hidden="1"/>
    </xf>
    <xf numFmtId="0" fontId="14" fillId="4" borderId="0" xfId="0" applyFont="1" applyFill="1" applyAlignment="1" applyProtection="1">
      <alignment horizontal="left" vertical="top" indent="1"/>
      <protection hidden="1"/>
    </xf>
    <xf numFmtId="0" fontId="12" fillId="4" borderId="2" xfId="0" applyFont="1" applyFill="1" applyBorder="1" applyAlignment="1" applyProtection="1">
      <alignment horizontal="left" vertical="center" wrapText="1" indent="2"/>
      <protection hidden="1"/>
    </xf>
    <xf numFmtId="0" fontId="12" fillId="4" borderId="0"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41" xfId="0" applyFont="1" applyFill="1" applyBorder="1" applyAlignment="1" applyProtection="1">
      <alignment horizontal="left"/>
      <protection hidden="1"/>
    </xf>
    <xf numFmtId="0" fontId="3" fillId="0" borderId="42" xfId="0" applyFont="1" applyFill="1" applyBorder="1" applyAlignment="1" applyProtection="1">
      <alignment horizontal="center"/>
      <protection hidden="1"/>
    </xf>
    <xf numFmtId="0" fontId="3" fillId="0" borderId="43" xfId="0" applyFont="1" applyFill="1" applyBorder="1" applyAlignment="1" applyProtection="1">
      <alignment horizontal="center"/>
      <protection hidden="1"/>
    </xf>
    <xf numFmtId="0" fontId="3" fillId="0" borderId="43" xfId="0" applyNumberFormat="1" applyFont="1" applyFill="1" applyBorder="1" applyAlignment="1" applyProtection="1">
      <alignment horizontal="center"/>
      <protection hidden="1"/>
    </xf>
    <xf numFmtId="0" fontId="3" fillId="0" borderId="44" xfId="0" applyNumberFormat="1" applyFont="1" applyFill="1" applyBorder="1" applyAlignment="1" applyProtection="1">
      <alignment horizontal="center"/>
      <protection hidden="1"/>
    </xf>
    <xf numFmtId="164" fontId="3" fillId="10" borderId="9" xfId="2"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164" fontId="3" fillId="12" borderId="9" xfId="2" applyNumberFormat="1" applyFont="1" applyFill="1" applyBorder="1" applyAlignment="1" applyProtection="1">
      <alignment horizontal="center"/>
      <protection hidden="1"/>
    </xf>
    <xf numFmtId="0" fontId="3" fillId="9" borderId="42" xfId="0" applyFont="1" applyFill="1" applyBorder="1" applyProtection="1">
      <protection hidden="1"/>
    </xf>
    <xf numFmtId="164" fontId="3" fillId="9" borderId="42" xfId="2" applyNumberFormat="1" applyFont="1" applyFill="1" applyBorder="1" applyAlignment="1" applyProtection="1">
      <alignment horizontal="center"/>
      <protection hidden="1"/>
    </xf>
    <xf numFmtId="0" fontId="3" fillId="9" borderId="42" xfId="0" applyFont="1" applyFill="1" applyBorder="1" applyAlignment="1" applyProtection="1">
      <alignment horizontal="center"/>
      <protection hidden="1"/>
    </xf>
    <xf numFmtId="0" fontId="3" fillId="9" borderId="43" xfId="0" applyFont="1" applyFill="1" applyBorder="1" applyProtection="1">
      <protection hidden="1"/>
    </xf>
    <xf numFmtId="164" fontId="3" fillId="9" borderId="43" xfId="2" applyNumberFormat="1" applyFont="1" applyFill="1" applyBorder="1" applyAlignment="1" applyProtection="1">
      <alignment horizontal="center"/>
      <protection hidden="1"/>
    </xf>
    <xf numFmtId="0" fontId="3" fillId="9" borderId="43" xfId="0" applyFont="1" applyFill="1" applyBorder="1" applyAlignment="1" applyProtection="1">
      <alignment horizontal="center"/>
      <protection hidden="1"/>
    </xf>
    <xf numFmtId="0" fontId="3" fillId="9" borderId="44" xfId="0" applyFont="1" applyFill="1" applyBorder="1" applyProtection="1">
      <protection hidden="1"/>
    </xf>
    <xf numFmtId="164" fontId="3" fillId="9" borderId="44" xfId="2" applyNumberFormat="1" applyFont="1" applyFill="1" applyBorder="1" applyAlignment="1" applyProtection="1">
      <alignment horizontal="center"/>
      <protection hidden="1"/>
    </xf>
    <xf numFmtId="0" fontId="3" fillId="9" borderId="44" xfId="0" applyFont="1" applyFill="1" applyBorder="1" applyAlignment="1" applyProtection="1">
      <alignment horizontal="center"/>
      <protection hidden="1"/>
    </xf>
    <xf numFmtId="0" fontId="4" fillId="3" borderId="45" xfId="0" applyFont="1" applyFill="1" applyBorder="1" applyAlignment="1" applyProtection="1">
      <alignment horizontal="left"/>
      <protection locked="0"/>
    </xf>
    <xf numFmtId="0" fontId="4" fillId="3" borderId="46" xfId="0" applyFont="1" applyFill="1" applyBorder="1" applyAlignment="1" applyProtection="1">
      <alignment horizontal="left"/>
      <protection locked="0"/>
    </xf>
    <xf numFmtId="0" fontId="3" fillId="4" borderId="47"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48"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49"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50" xfId="0" applyFont="1" applyFill="1" applyBorder="1" applyAlignment="1" applyProtection="1">
      <alignment horizontal="center"/>
      <protection hidden="1"/>
    </xf>
    <xf numFmtId="0" fontId="4" fillId="4" borderId="51" xfId="0" applyFont="1" applyFill="1" applyBorder="1" applyAlignment="1" applyProtection="1">
      <alignment horizontal="center"/>
      <protection hidden="1"/>
    </xf>
    <xf numFmtId="0" fontId="4" fillId="4" borderId="52" xfId="0" applyFont="1" applyFill="1" applyBorder="1" applyAlignment="1" applyProtection="1">
      <alignment horizontal="center"/>
      <protection hidden="1"/>
    </xf>
    <xf numFmtId="0" fontId="31" fillId="4" borderId="4" xfId="0" applyFont="1" applyFill="1" applyBorder="1" applyAlignment="1" applyProtection="1">
      <protection hidden="1"/>
    </xf>
    <xf numFmtId="0" fontId="3" fillId="6" borderId="9" xfId="0" applyFont="1" applyFill="1" applyBorder="1" applyAlignment="1" applyProtection="1">
      <alignment horizontal="center"/>
      <protection hidden="1"/>
    </xf>
    <xf numFmtId="0" fontId="4" fillId="4" borderId="51" xfId="0" applyNumberFormat="1" applyFont="1" applyFill="1" applyBorder="1" applyAlignment="1" applyProtection="1">
      <alignment horizontal="center"/>
      <protection hidden="1"/>
    </xf>
    <xf numFmtId="0" fontId="4" fillId="4" borderId="52" xfId="0" applyNumberFormat="1" applyFont="1" applyFill="1" applyBorder="1" applyAlignment="1" applyProtection="1">
      <alignment horizontal="center"/>
      <protection hidden="1"/>
    </xf>
    <xf numFmtId="0" fontId="3" fillId="4" borderId="50" xfId="0" applyFont="1" applyFill="1" applyBorder="1" applyAlignment="1" applyProtection="1">
      <alignment horizontal="center"/>
      <protection hidden="1"/>
    </xf>
    <xf numFmtId="0" fontId="3" fillId="4" borderId="51" xfId="0" applyFont="1" applyFill="1" applyBorder="1" applyAlignment="1" applyProtection="1">
      <alignment horizontal="center"/>
      <protection hidden="1"/>
    </xf>
    <xf numFmtId="0" fontId="3" fillId="4" borderId="52" xfId="0" applyFont="1" applyFill="1" applyBorder="1" applyAlignment="1" applyProtection="1">
      <alignment horizontal="center"/>
      <protection hidden="1"/>
    </xf>
    <xf numFmtId="0" fontId="12" fillId="4" borderId="1" xfId="0" applyFont="1" applyFill="1" applyBorder="1" applyAlignment="1" applyProtection="1">
      <alignment horizontal="left" vertical="center" wrapText="1" indent="1"/>
      <protection hidden="1"/>
    </xf>
    <xf numFmtId="0" fontId="12" fillId="2" borderId="2" xfId="0" applyFont="1" applyFill="1" applyBorder="1" applyAlignment="1" applyProtection="1">
      <alignment horizontal="left" vertical="center" wrapText="1" indent="1"/>
      <protection hidden="1"/>
    </xf>
    <xf numFmtId="0" fontId="26" fillId="4" borderId="4" xfId="7" applyFill="1" applyBorder="1" applyAlignment="1" applyProtection="1">
      <alignment horizontal="left" vertical="top" wrapText="1" indent="1"/>
      <protection hidden="1"/>
    </xf>
    <xf numFmtId="0" fontId="26" fillId="2" borderId="0" xfId="7" applyFill="1" applyBorder="1" applyAlignment="1" applyProtection="1">
      <alignment horizontal="left" vertical="top" wrapText="1" indent="1"/>
      <protection hidden="1"/>
    </xf>
    <xf numFmtId="0" fontId="12" fillId="4" borderId="4" xfId="0" applyFont="1" applyFill="1" applyBorder="1" applyAlignment="1" applyProtection="1">
      <alignment horizontal="left" vertical="center" wrapText="1" indent="1"/>
      <protection hidden="1"/>
    </xf>
    <xf numFmtId="0" fontId="12" fillId="2" borderId="0" xfId="0" applyFont="1" applyFill="1" applyBorder="1" applyAlignment="1" applyProtection="1">
      <alignment horizontal="left" vertical="center" wrapText="1" indent="1"/>
      <protection hidden="1"/>
    </xf>
    <xf numFmtId="0" fontId="26" fillId="4" borderId="6" xfId="7" applyFill="1" applyBorder="1" applyAlignment="1" applyProtection="1">
      <alignment horizontal="left" vertical="top" wrapText="1" indent="1"/>
      <protection hidden="1"/>
    </xf>
    <xf numFmtId="0" fontId="26" fillId="2" borderId="7" xfId="7" applyFill="1" applyBorder="1" applyAlignment="1" applyProtection="1">
      <alignment horizontal="left" vertical="top" wrapText="1" indent="1"/>
      <protection hidden="1"/>
    </xf>
    <xf numFmtId="0" fontId="26" fillId="4" borderId="7" xfId="7" applyFill="1" applyBorder="1" applyAlignment="1" applyProtection="1">
      <alignment vertical="top"/>
      <protection hidden="1"/>
    </xf>
    <xf numFmtId="0" fontId="26" fillId="2" borderId="7" xfId="7" applyFill="1" applyBorder="1" applyAlignment="1" applyProtection="1">
      <alignment vertical="top"/>
      <protection hidden="1"/>
    </xf>
    <xf numFmtId="0" fontId="12" fillId="4" borderId="2" xfId="0" applyFont="1" applyFill="1" applyBorder="1" applyAlignment="1" applyProtection="1">
      <alignment horizontal="left" vertical="center" wrapText="1"/>
      <protection hidden="1"/>
    </xf>
    <xf numFmtId="0" fontId="12" fillId="2" borderId="2" xfId="0" applyFont="1" applyFill="1" applyBorder="1" applyAlignment="1" applyProtection="1">
      <alignment horizontal="left" vertical="center" wrapText="1"/>
      <protection hidden="1"/>
    </xf>
    <xf numFmtId="0" fontId="12" fillId="2" borderId="0" xfId="0" applyFont="1" applyFill="1" applyBorder="1" applyAlignment="1" applyProtection="1">
      <alignment horizontal="left" vertical="center" wrapText="1"/>
      <protection hidden="1"/>
    </xf>
    <xf numFmtId="0" fontId="12" fillId="4" borderId="1" xfId="0" applyFont="1" applyFill="1" applyBorder="1" applyAlignment="1" applyProtection="1">
      <alignment horizontal="left" vertical="center" wrapText="1" indent="2"/>
      <protection hidden="1"/>
    </xf>
    <xf numFmtId="0" fontId="12" fillId="2" borderId="4" xfId="0" applyFont="1" applyFill="1" applyBorder="1" applyAlignment="1" applyProtection="1">
      <alignment horizontal="left" vertical="center" wrapText="1" indent="2"/>
      <protection hidden="1"/>
    </xf>
    <xf numFmtId="0" fontId="12" fillId="2" borderId="6" xfId="0" applyFont="1" applyFill="1" applyBorder="1" applyAlignment="1" applyProtection="1">
      <alignment horizontal="left" vertical="center" wrapText="1" indent="2"/>
      <protection hidden="1"/>
    </xf>
    <xf numFmtId="0" fontId="12" fillId="4" borderId="6" xfId="0" applyFont="1" applyFill="1" applyBorder="1" applyAlignment="1" applyProtection="1">
      <alignment horizontal="left" vertical="center" wrapText="1" indent="1"/>
      <protection hidden="1"/>
    </xf>
    <xf numFmtId="0" fontId="12"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8" fillId="4" borderId="0" xfId="0" applyFont="1" applyFill="1" applyAlignment="1" applyProtection="1">
      <alignment horizontal="center"/>
      <protection hidden="1"/>
    </xf>
    <xf numFmtId="0" fontId="25" fillId="4" borderId="0" xfId="0" applyFont="1" applyFill="1" applyAlignment="1" applyProtection="1">
      <alignment horizontal="center"/>
      <protection hidden="1"/>
    </xf>
    <xf numFmtId="0" fontId="25" fillId="2" borderId="0" xfId="0" applyFont="1" applyFill="1" applyAlignment="1" applyProtection="1">
      <alignment horizontal="center"/>
      <protection hidden="1"/>
    </xf>
    <xf numFmtId="0" fontId="14" fillId="4" borderId="0" xfId="0" applyFont="1" applyFill="1" applyAlignment="1" applyProtection="1">
      <alignment horizontal="left" vertical="top" indent="1"/>
      <protection hidden="1"/>
    </xf>
    <xf numFmtId="0" fontId="14" fillId="2" borderId="0" xfId="0" applyFont="1" applyFill="1" applyAlignment="1" applyProtection="1">
      <alignment horizontal="left" vertical="top" indent="1"/>
      <protection hidden="1"/>
    </xf>
    <xf numFmtId="0" fontId="13" fillId="4" borderId="1" xfId="0" applyFont="1" applyFill="1" applyBorder="1" applyAlignment="1" applyProtection="1">
      <alignment horizontal="right" vertical="center" wrapText="1" indent="1"/>
      <protection hidden="1"/>
    </xf>
    <xf numFmtId="0" fontId="13" fillId="2" borderId="4" xfId="0" applyFont="1" applyFill="1" applyBorder="1" applyAlignment="1" applyProtection="1">
      <alignment horizontal="right" vertical="center" wrapText="1" indent="1"/>
      <protection hidden="1"/>
    </xf>
    <xf numFmtId="0" fontId="13" fillId="2" borderId="6" xfId="0" applyFont="1" applyFill="1" applyBorder="1" applyAlignment="1" applyProtection="1">
      <alignment horizontal="right" vertical="center" wrapText="1" indent="1"/>
      <protection hidden="1"/>
    </xf>
    <xf numFmtId="0" fontId="12" fillId="4" borderId="2" xfId="0" applyFont="1" applyFill="1" applyBorder="1" applyAlignment="1" applyProtection="1">
      <alignment horizontal="left" vertical="center" wrapText="1" indent="2"/>
      <protection hidden="1"/>
    </xf>
    <xf numFmtId="0" fontId="12" fillId="2" borderId="0" xfId="0" applyFont="1" applyFill="1" applyBorder="1" applyAlignment="1" applyProtection="1">
      <alignment horizontal="left" vertical="center" wrapText="1" indent="2"/>
      <protection hidden="1"/>
    </xf>
    <xf numFmtId="0" fontId="12" fillId="2" borderId="7" xfId="0" applyFont="1" applyFill="1" applyBorder="1" applyAlignment="1" applyProtection="1">
      <alignment horizontal="left" vertical="center" wrapText="1" indent="2"/>
      <protection hidden="1"/>
    </xf>
    <xf numFmtId="0" fontId="21" fillId="4" borderId="2" xfId="0" applyFont="1" applyFill="1" applyBorder="1" applyAlignment="1" applyProtection="1">
      <alignment horizontal="left" vertical="center" wrapText="1"/>
      <protection hidden="1"/>
    </xf>
    <xf numFmtId="0" fontId="21" fillId="2" borderId="2"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center" vertical="top"/>
      <protection hidden="1"/>
    </xf>
    <xf numFmtId="0" fontId="14" fillId="2" borderId="0" xfId="0" applyFont="1" applyFill="1" applyBorder="1" applyAlignment="1" applyProtection="1">
      <alignment horizontal="center" vertical="top"/>
      <protection hidden="1"/>
    </xf>
    <xf numFmtId="0" fontId="20" fillId="0" borderId="14" xfId="5" applyFont="1" applyFill="1" applyAlignment="1" applyProtection="1">
      <alignment horizontal="left" vertical="top" wrapText="1" indent="1"/>
      <protection hidden="1"/>
    </xf>
    <xf numFmtId="0" fontId="14" fillId="4" borderId="0" xfId="0" applyFont="1" applyFill="1" applyAlignment="1" applyProtection="1">
      <alignment horizontal="center" vertical="top" wrapText="1"/>
      <protection hidden="1"/>
    </xf>
    <xf numFmtId="0" fontId="14" fillId="2" borderId="0" xfId="0" applyFont="1" applyFill="1" applyAlignment="1" applyProtection="1">
      <alignment horizontal="center" vertical="top" wrapText="1"/>
      <protection hidden="1"/>
    </xf>
    <xf numFmtId="0" fontId="13" fillId="4" borderId="0" xfId="0" applyFont="1" applyFill="1" applyBorder="1" applyAlignment="1" applyProtection="1">
      <alignment horizontal="left" vertical="center"/>
      <protection hidden="1"/>
    </xf>
    <xf numFmtId="0" fontId="13" fillId="2" borderId="0" xfId="0" applyFont="1" applyFill="1" applyBorder="1" applyAlignment="1" applyProtection="1">
      <alignment horizontal="left" vertical="center"/>
      <protection hidden="1"/>
    </xf>
    <xf numFmtId="0" fontId="13" fillId="2" borderId="26" xfId="0" applyFont="1" applyFill="1" applyBorder="1" applyAlignment="1" applyProtection="1">
      <alignment horizontal="left" vertical="center"/>
      <protection hidden="1"/>
    </xf>
    <xf numFmtId="0" fontId="15" fillId="4" borderId="0" xfId="0" applyFont="1" applyFill="1" applyBorder="1" applyAlignment="1" applyProtection="1">
      <alignment horizontal="left" vertical="center" wrapText="1" indent="2"/>
      <protection hidden="1"/>
    </xf>
    <xf numFmtId="0" fontId="15" fillId="2" borderId="0" xfId="0" applyFont="1" applyFill="1" applyBorder="1" applyAlignment="1" applyProtection="1">
      <alignment horizontal="left" vertical="center" wrapText="1" indent="2"/>
      <protection hidden="1"/>
    </xf>
    <xf numFmtId="0" fontId="22" fillId="4" borderId="0" xfId="0" applyFont="1" applyFill="1" applyBorder="1" applyAlignment="1" applyProtection="1">
      <alignment horizontal="left" vertical="center" wrapText="1" indent="1"/>
      <protection hidden="1"/>
    </xf>
    <xf numFmtId="0" fontId="22" fillId="2" borderId="0" xfId="0" applyFont="1" applyFill="1" applyBorder="1" applyAlignment="1" applyProtection="1">
      <alignment horizontal="left" vertical="center" wrapText="1" indent="1"/>
      <protection hidden="1"/>
    </xf>
    <xf numFmtId="0" fontId="15" fillId="4" borderId="0" xfId="0" applyFont="1" applyFill="1" applyBorder="1" applyAlignment="1" applyProtection="1">
      <alignment horizontal="left" vertical="center" wrapText="1" indent="1"/>
      <protection hidden="1"/>
    </xf>
    <xf numFmtId="0" fontId="15" fillId="2" borderId="0" xfId="0" applyFont="1" applyFill="1" applyBorder="1" applyAlignment="1" applyProtection="1">
      <alignment horizontal="left" vertical="center" wrapText="1" indent="1"/>
      <protection hidden="1"/>
    </xf>
    <xf numFmtId="0" fontId="20" fillId="0" borderId="17" xfId="4" applyFont="1" applyBorder="1" applyAlignment="1" applyProtection="1">
      <alignment horizontal="left" vertical="top" wrapText="1" indent="1"/>
      <protection hidden="1"/>
    </xf>
    <xf numFmtId="0" fontId="20" fillId="0" borderId="18" xfId="4" applyFont="1" applyBorder="1" applyAlignment="1" applyProtection="1">
      <alignment horizontal="left" vertical="top" wrapText="1" indent="1"/>
      <protection hidden="1"/>
    </xf>
    <xf numFmtId="0" fontId="20" fillId="0" borderId="19" xfId="4" applyFont="1" applyBorder="1" applyAlignment="1" applyProtection="1">
      <alignment horizontal="left" vertical="top" wrapText="1" indent="1"/>
      <protection hidden="1"/>
    </xf>
    <xf numFmtId="0" fontId="20" fillId="0" borderId="20" xfId="4" applyFont="1" applyBorder="1" applyAlignment="1" applyProtection="1">
      <alignment horizontal="left" vertical="top" wrapText="1" indent="1"/>
      <protection hidden="1"/>
    </xf>
    <xf numFmtId="0" fontId="20" fillId="0" borderId="11" xfId="4" applyFont="1" applyBorder="1" applyAlignment="1" applyProtection="1">
      <alignment horizontal="left" vertical="top" wrapText="1" indent="1"/>
      <protection hidden="1"/>
    </xf>
    <xf numFmtId="0" fontId="20" fillId="0" borderId="21" xfId="4" applyFont="1" applyBorder="1" applyAlignment="1" applyProtection="1">
      <alignment horizontal="left" vertical="top" wrapText="1" indent="1"/>
      <protection hidden="1"/>
    </xf>
    <xf numFmtId="0" fontId="20" fillId="0" borderId="22" xfId="4" applyFont="1" applyBorder="1" applyAlignment="1" applyProtection="1">
      <alignment horizontal="left" vertical="top" wrapText="1" indent="1"/>
      <protection hidden="1"/>
    </xf>
    <xf numFmtId="0" fontId="20" fillId="0" borderId="23" xfId="4" applyFont="1" applyBorder="1" applyAlignment="1" applyProtection="1">
      <alignment horizontal="left" vertical="top" wrapText="1" indent="1"/>
      <protection hidden="1"/>
    </xf>
    <xf numFmtId="0" fontId="20" fillId="0" borderId="24" xfId="4" applyFont="1" applyBorder="1" applyAlignment="1" applyProtection="1">
      <alignment horizontal="left" vertical="top" wrapText="1" indent="1"/>
      <protection hidden="1"/>
    </xf>
    <xf numFmtId="0" fontId="30" fillId="4" borderId="2" xfId="0" applyFont="1" applyFill="1" applyBorder="1" applyAlignment="1" applyProtection="1">
      <alignment horizontal="left" vertical="center" wrapText="1" indent="1"/>
      <protection hidden="1"/>
    </xf>
    <xf numFmtId="0" fontId="30" fillId="2" borderId="2" xfId="0" applyFont="1" applyFill="1" applyBorder="1" applyAlignment="1" applyProtection="1">
      <alignment horizontal="left" vertical="center" wrapText="1" indent="1"/>
      <protection hidden="1"/>
    </xf>
    <xf numFmtId="0" fontId="12" fillId="4" borderId="0" xfId="0" applyFont="1" applyFill="1" applyBorder="1" applyAlignment="1" applyProtection="1">
      <alignment horizontal="left" vertical="center" wrapText="1"/>
      <protection hidden="1"/>
    </xf>
    <xf numFmtId="0" fontId="15" fillId="4" borderId="0" xfId="0" applyFont="1" applyFill="1" applyBorder="1" applyAlignment="1" applyProtection="1">
      <alignment horizontal="left" vertical="center" wrapText="1"/>
      <protection hidden="1"/>
    </xf>
    <xf numFmtId="0" fontId="15" fillId="2" borderId="0" xfId="0" applyFont="1" applyFill="1" applyBorder="1" applyAlignment="1" applyProtection="1">
      <alignment horizontal="left" vertical="center" wrapText="1"/>
      <protection hidden="1"/>
    </xf>
    <xf numFmtId="0" fontId="22" fillId="4" borderId="0" xfId="0" applyFont="1" applyFill="1" applyBorder="1" applyAlignment="1" applyProtection="1">
      <alignment horizontal="left" vertical="center" wrapText="1"/>
      <protection hidden="1"/>
    </xf>
    <xf numFmtId="0" fontId="22" fillId="2" borderId="0" xfId="0" applyFont="1" applyFill="1" applyBorder="1" applyAlignment="1" applyProtection="1">
      <alignment horizontal="left" vertical="center" wrapText="1"/>
      <protection hidden="1"/>
    </xf>
    <xf numFmtId="0" fontId="12" fillId="4" borderId="0" xfId="0" applyFont="1" applyFill="1" applyBorder="1" applyAlignment="1" applyProtection="1">
      <alignment horizontal="left" vertical="center" wrapText="1" indent="2"/>
      <protection hidden="1"/>
    </xf>
    <xf numFmtId="0" fontId="17" fillId="4" borderId="0" xfId="0" applyFont="1" applyFill="1" applyBorder="1" applyAlignment="1" applyProtection="1">
      <alignment horizontal="left" vertical="center" wrapText="1" indent="1"/>
      <protection hidden="1"/>
    </xf>
    <xf numFmtId="0" fontId="17" fillId="2" borderId="0" xfId="0" applyFont="1" applyFill="1" applyBorder="1" applyAlignment="1" applyProtection="1">
      <alignment horizontal="left" vertical="center" wrapText="1" indent="1"/>
      <protection hidden="1"/>
    </xf>
    <xf numFmtId="0" fontId="19" fillId="4" borderId="0" xfId="0" applyFont="1" applyFill="1" applyBorder="1" applyAlignment="1" applyProtection="1">
      <alignment horizontal="left" vertical="center" wrapText="1"/>
      <protection hidden="1"/>
    </xf>
    <xf numFmtId="0" fontId="19" fillId="2" borderId="0" xfId="0" applyFont="1" applyFill="1" applyBorder="1" applyAlignment="1" applyProtection="1">
      <alignment horizontal="left" vertical="center" wrapText="1"/>
      <protection hidden="1"/>
    </xf>
    <xf numFmtId="0" fontId="19" fillId="2" borderId="7" xfId="0" applyFont="1" applyFill="1" applyBorder="1" applyAlignment="1" applyProtection="1">
      <alignment horizontal="left" vertical="center" wrapText="1"/>
      <protection hidden="1"/>
    </xf>
    <xf numFmtId="0" fontId="12" fillId="2" borderId="3" xfId="0" applyFont="1" applyFill="1" applyBorder="1" applyAlignment="1" applyProtection="1">
      <alignment horizontal="left" vertical="center" wrapText="1"/>
      <protection hidden="1"/>
    </xf>
    <xf numFmtId="0" fontId="13" fillId="4" borderId="7" xfId="0" applyFont="1" applyFill="1" applyBorder="1" applyAlignment="1" applyProtection="1">
      <alignment horizontal="left" vertical="center" wrapText="1"/>
      <protection hidden="1"/>
    </xf>
    <xf numFmtId="0" fontId="13" fillId="2" borderId="7" xfId="0" applyFont="1" applyFill="1" applyBorder="1" applyAlignment="1" applyProtection="1">
      <alignment horizontal="left" vertical="center" wrapText="1"/>
      <protection hidden="1"/>
    </xf>
    <xf numFmtId="0" fontId="13" fillId="2" borderId="8" xfId="0" applyFont="1" applyFill="1" applyBorder="1" applyAlignment="1" applyProtection="1">
      <alignment horizontal="left" vertical="center" wrapText="1"/>
      <protection hidden="1"/>
    </xf>
    <xf numFmtId="0" fontId="29" fillId="4" borderId="4" xfId="0" applyFont="1" applyFill="1" applyBorder="1" applyAlignment="1" applyProtection="1">
      <alignment horizontal="center" wrapText="1"/>
      <protection hidden="1"/>
    </xf>
    <xf numFmtId="0" fontId="29" fillId="2" borderId="0" xfId="0" applyFont="1" applyFill="1" applyBorder="1" applyAlignment="1" applyProtection="1">
      <alignment horizontal="center" wrapText="1"/>
      <protection hidden="1"/>
    </xf>
    <xf numFmtId="0" fontId="12" fillId="2" borderId="5" xfId="0" applyFont="1" applyFill="1" applyBorder="1" applyAlignment="1" applyProtection="1">
      <alignment horizontal="left" vertical="center" wrapText="1"/>
      <protection hidden="1"/>
    </xf>
    <xf numFmtId="0" fontId="27" fillId="4" borderId="4" xfId="0" applyFont="1" applyFill="1" applyBorder="1" applyAlignment="1" applyProtection="1">
      <alignment horizontal="center" vertical="top" wrapText="1"/>
      <protection hidden="1"/>
    </xf>
    <xf numFmtId="0" fontId="27" fillId="2" borderId="0" xfId="0" applyFont="1" applyFill="1" applyBorder="1" applyAlignment="1" applyProtection="1">
      <alignment horizontal="center" vertical="top" wrapText="1"/>
      <protection hidden="1"/>
    </xf>
    <xf numFmtId="0" fontId="27" fillId="2" borderId="4" xfId="0" applyFont="1" applyFill="1" applyBorder="1" applyAlignment="1" applyProtection="1">
      <alignment horizontal="center" vertical="top" wrapText="1"/>
      <protection hidden="1"/>
    </xf>
    <xf numFmtId="0" fontId="18" fillId="4" borderId="2" xfId="0" applyFont="1" applyFill="1" applyBorder="1" applyAlignment="1" applyProtection="1">
      <alignment horizontal="left" wrapText="1"/>
      <protection hidden="1"/>
    </xf>
    <xf numFmtId="0" fontId="18" fillId="2" borderId="2" xfId="0" applyFont="1" applyFill="1" applyBorder="1" applyAlignment="1" applyProtection="1">
      <alignment horizontal="left" wrapText="1"/>
      <protection hidden="1"/>
    </xf>
    <xf numFmtId="0" fontId="12" fillId="4" borderId="4" xfId="0" applyFont="1" applyFill="1" applyBorder="1" applyAlignment="1" applyProtection="1">
      <alignment horizontal="left" vertical="top" wrapText="1" indent="1"/>
      <protection hidden="1"/>
    </xf>
    <xf numFmtId="0" fontId="12" fillId="2" borderId="0" xfId="0" applyFont="1" applyFill="1" applyBorder="1" applyAlignment="1" applyProtection="1">
      <alignment horizontal="left" vertical="top" wrapText="1" indent="1"/>
      <protection hidden="1"/>
    </xf>
    <xf numFmtId="0" fontId="12" fillId="2" borderId="4" xfId="0" applyFont="1" applyFill="1" applyBorder="1" applyAlignment="1" applyProtection="1">
      <alignment horizontal="left" vertical="top" wrapText="1" indent="1"/>
      <protection hidden="1"/>
    </xf>
    <xf numFmtId="0" fontId="17" fillId="4" borderId="4" xfId="0" applyFont="1" applyFill="1" applyBorder="1" applyAlignment="1" applyProtection="1">
      <alignment horizontal="left" vertical="top" wrapText="1" indent="1"/>
      <protection hidden="1"/>
    </xf>
    <xf numFmtId="0" fontId="17" fillId="2" borderId="4" xfId="0" applyFont="1" applyFill="1" applyBorder="1" applyAlignment="1" applyProtection="1">
      <alignment horizontal="left" vertical="top" wrapText="1" indent="1"/>
      <protection hidden="1"/>
    </xf>
    <xf numFmtId="0" fontId="17" fillId="2" borderId="6" xfId="0" applyFont="1" applyFill="1" applyBorder="1" applyAlignment="1" applyProtection="1">
      <alignment horizontal="left" vertical="top" wrapText="1" indent="1"/>
      <protection hidden="1"/>
    </xf>
    <xf numFmtId="0" fontId="17" fillId="4" borderId="0" xfId="0" applyFont="1" applyFill="1" applyBorder="1" applyAlignment="1" applyProtection="1">
      <alignment vertical="top" wrapText="1"/>
      <protection hidden="1"/>
    </xf>
    <xf numFmtId="0" fontId="17" fillId="2" borderId="0" xfId="0" applyFont="1" applyFill="1" applyBorder="1" applyAlignment="1" applyProtection="1">
      <alignment vertical="top" wrapText="1"/>
      <protection hidden="1"/>
    </xf>
    <xf numFmtId="0" fontId="17" fillId="2" borderId="7" xfId="0" applyFont="1" applyFill="1" applyBorder="1" applyAlignment="1" applyProtection="1">
      <alignment vertical="top" wrapText="1"/>
      <protection hidden="1"/>
    </xf>
    <xf numFmtId="0" fontId="17" fillId="4" borderId="0" xfId="0" applyFont="1" applyFill="1" applyBorder="1" applyAlignment="1" applyProtection="1">
      <alignment horizontal="left" vertical="top" wrapText="1" indent="1"/>
      <protection hidden="1"/>
    </xf>
    <xf numFmtId="0" fontId="17" fillId="2" borderId="0" xfId="0" applyFont="1" applyFill="1" applyBorder="1" applyAlignment="1" applyProtection="1">
      <alignment horizontal="left" vertical="top" wrapText="1" indent="1"/>
      <protection hidden="1"/>
    </xf>
    <xf numFmtId="0" fontId="17" fillId="2" borderId="7" xfId="0" applyFont="1" applyFill="1" applyBorder="1" applyAlignment="1" applyProtection="1">
      <alignment horizontal="left" vertical="top" wrapText="1" indent="1"/>
      <protection hidden="1"/>
    </xf>
    <xf numFmtId="0" fontId="19" fillId="4" borderId="0" xfId="0" applyFont="1" applyFill="1" applyBorder="1" applyAlignment="1" applyProtection="1">
      <alignment horizontal="left" vertical="top" wrapText="1" indent="1"/>
      <protection hidden="1"/>
    </xf>
    <xf numFmtId="0" fontId="19" fillId="2" borderId="0" xfId="0" applyFont="1" applyFill="1" applyBorder="1" applyAlignment="1" applyProtection="1">
      <alignment horizontal="left" vertical="top" wrapText="1" indent="1"/>
      <protection hidden="1"/>
    </xf>
    <xf numFmtId="0" fontId="12" fillId="4" borderId="0" xfId="0" applyFont="1" applyFill="1" applyBorder="1" applyAlignment="1" applyProtection="1">
      <alignment horizontal="left" vertical="top" wrapText="1"/>
      <protection hidden="1"/>
    </xf>
    <xf numFmtId="0" fontId="12" fillId="2" borderId="0" xfId="0" applyFont="1" applyFill="1" applyBorder="1" applyAlignment="1" applyProtection="1">
      <alignment horizontal="left" vertical="top" wrapText="1"/>
      <protection hidden="1"/>
    </xf>
    <xf numFmtId="0" fontId="18" fillId="4" borderId="2" xfId="0" applyFont="1" applyFill="1" applyBorder="1" applyAlignment="1" applyProtection="1">
      <alignment horizontal="left" vertical="center" wrapText="1"/>
      <protection hidden="1"/>
    </xf>
    <xf numFmtId="0" fontId="18" fillId="2" borderId="2" xfId="0" applyFont="1" applyFill="1" applyBorder="1" applyAlignment="1" applyProtection="1">
      <alignment horizontal="left" vertical="center" wrapText="1"/>
      <protection hidden="1"/>
    </xf>
  </cellXfs>
  <cellStyles count="8">
    <cellStyle name="20% - Accent1" xfId="3" builtinId="30"/>
    <cellStyle name="Drop-down menu" xfId="4" xr:uid="{9A912496-A5B6-4AB7-9E70-7A281664DF24}"/>
    <cellStyle name="Hyperlink" xfId="7" builtinId="8"/>
    <cellStyle name="Normal" xfId="0" builtinId="0"/>
    <cellStyle name="Normal 2 2" xfId="1" xr:uid="{D3CB7531-AC80-44A9-8F0A-9EF96DF6C4DF}"/>
    <cellStyle name="Percent" xfId="2" builtinId="5"/>
    <cellStyle name="Recessed cell" xfId="5" xr:uid="{442E480E-0242-4153-8B88-F0C890411FB0}"/>
    <cellStyle name="Style 1" xfId="6" xr:uid="{A99BF108-B9D9-4E8C-8A74-C66DA5572B0E}"/>
  </cellStyles>
  <dxfs count="210">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medium">
          <color theme="0" tint="-4.9989318521683403E-2"/>
        </right>
        <top/>
        <bottom/>
      </border>
      <protection locked="0" hidden="0"/>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alignment vertical="bottom" textRotation="0" wrapText="0" indent="0" justifyLastLine="0" shrinkToFit="0" readingOrder="0"/>
      <border diagonalUp="0" diagonalDown="0" outline="0">
        <left style="thin">
          <color indexed="64"/>
        </left>
        <right style="thin">
          <color indexed="64"/>
        </right>
      </border>
      <protection locked="1" hidden="1"/>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outline="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outline="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medium">
          <color theme="0" tint="-4.9989318521683403E-2"/>
        </right>
        <top/>
        <bottom/>
      </border>
      <protection locked="0" hidden="0"/>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alignment vertical="bottom" textRotation="0" wrapText="0" indent="0" justifyLastLine="0" shrinkToFit="0" readingOrder="0"/>
      <border diagonalUp="0" diagonalDown="0" outline="0">
        <left style="thin">
          <color indexed="64"/>
        </left>
      </border>
      <protection locked="1" hidden="1"/>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0" formatCode="General"/>
    </dxf>
    <dxf>
      <numFmt numFmtId="164" formatCode="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09"/>
      <tableStyleElement type="headerRow" dxfId="208"/>
      <tableStyleElement type="totalRow" dxfId="207"/>
      <tableStyleElement type="firstColumn" dxfId="206"/>
      <tableStyleElement type="lastColumn" dxfId="205"/>
      <tableStyleElement type="firstRowStripe" dxfId="204"/>
      <tableStyleElement type="firstColumnStripe" dxfId="203"/>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Non-doers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Doers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Behaviour score</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 of responses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Non-doers</c:v>
                </c:pt>
              </c:strCache>
            </c:strRef>
          </c:tx>
          <c:spPr>
            <a:solidFill>
              <a:schemeClr val="accent1"/>
            </a:solidFill>
            <a:ln>
              <a:noFill/>
            </a:ln>
            <a:effectLst/>
          </c:spPr>
          <c:invertIfNegative val="0"/>
          <c:val>
            <c:numRef>
              <c:f>'Cutoff - Seuil'!$K$26</c:f>
              <c:numCache>
                <c:formatCode>0.0%</c:formatCode>
                <c:ptCount val="1"/>
                <c:pt idx="0">
                  <c:v>#N/A</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Doers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#N/A</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Difference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#N/A</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of responses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strRef>
              <c:f>[0]!chartFactorRange2</c:f>
            </c:strRef>
          </c:cat>
          <c:val>
            <c:numRef>
              <c:f>[0]!chartNondoersRange2</c:f>
              <c:numCache>
                <c:formatCode>0.0%</c:formatCode>
                <c:ptCount val="1"/>
                <c:pt idx="0">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strRef>
              <c:f>[0]!chartFactorRange2</c:f>
            </c:strRef>
          </c:cat>
          <c:val>
            <c:numRef>
              <c:f>[0]!chartDoersRange2</c:f>
              <c:numCache>
                <c:formatCode>0.0%</c:formatCode>
                <c:ptCount val="1"/>
                <c:pt idx="0">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strRef>
              <c:f>[0]!chartFactorRange2</c:f>
            </c:strRef>
          </c:cat>
          <c:val>
            <c:numRef>
              <c:f>[0]!chartDifferenceRange2</c:f>
              <c:numCache>
                <c:formatCode>0.0%</c:formatCode>
                <c:ptCount val="1"/>
                <c:pt idx="0">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HiddenTables!$AN$2</c:f>
              <c:strCache>
                <c:ptCount val="1"/>
                <c:pt idx="0">
                  <c:v>YaxisLimits</c:v>
                </c:pt>
              </c:strCache>
            </c:strRef>
          </c:tx>
          <c:spPr>
            <a:ln w="28575" cap="rnd">
              <a:noFill/>
              <a:round/>
            </a:ln>
            <a:effectLst/>
          </c:spPr>
          <c:marker>
            <c:symbol val="none"/>
          </c:marker>
          <c:val>
            <c:numRef>
              <c:f>HiddenTables!$AN$3:$AN$4</c:f>
              <c:numCache>
                <c:formatCode>General</c:formatCode>
                <c:ptCount val="2"/>
                <c:pt idx="0">
                  <c:v>0</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strRef>
              <c:f>[0]!chartFactorRange1</c:f>
            </c:strRef>
          </c:cat>
          <c:val>
            <c:numRef>
              <c:f>[0]!chartNondoersRange1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strRef>
              <c:f>[0]!chartFactorRange1</c:f>
            </c:strRef>
          </c:cat>
          <c:val>
            <c:numRef>
              <c:f>[0]!chartDoersRange1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strRef>
              <c:f>[0]!chartFactorRange1</c:f>
            </c:strRef>
          </c:cat>
          <c:val>
            <c:numRef>
              <c:f>[0]!chartDifferenceRange1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HiddenTables!$AN$2</c:f>
              <c:strCache>
                <c:ptCount val="1"/>
                <c:pt idx="0">
                  <c:v>YaxisLimits</c:v>
                </c:pt>
              </c:strCache>
            </c:strRef>
          </c:tx>
          <c:spPr>
            <a:ln w="28575" cap="rnd">
              <a:noFill/>
              <a:round/>
            </a:ln>
            <a:effectLst/>
          </c:spPr>
          <c:marker>
            <c:symbol val="none"/>
          </c:marker>
          <c:val>
            <c:numRef>
              <c:f>HiddenTables!$AN$3:$AN$4</c:f>
              <c:numCache>
                <c:formatCode>General</c:formatCode>
                <c:ptCount val="2"/>
                <c:pt idx="0">
                  <c:v>0</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26648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26648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parameter in the "GENERAL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"GENERAL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(i.e., grey text on grey background) of "chartTranslationTable" AFTER the thin black border (i.e., "tag" to "displayedText").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a:t>
          </a:r>
          <a:r>
            <a:rPr lang="en-GB" sz="1100" baseline="0">
              <a:effectLst/>
            </a:rPr>
            <a:t> "HiddenTables" as "very hidden" via the VBA Editor: Alt+F11 (open VBA Editor) &gt; F4 (open Properties window) &gt; set the "Visible" property for this sheet to "2 - xlSheetVeryHidden". Since the workbook cannot be protected (see note below), this will at least make it more difficult to unhide this sheet, because it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Since there are now two parallel versions of the RANAS Analyser – "Excel 365", using some recent Excel functions, and "Legacy", where those functions are replaced with backward-compatible alternatives –, both "dev" versions should always be edited simultaneously (except for changes specific to one or the other, of course), so that they differ as little as possible.</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5695" y="4076701"/>
          <a:ext cx="14519030" cy="838199"/>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857250</xdr:colOff>
      <xdr:row>20</xdr:row>
      <xdr:rowOff>361587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96624" y="82296"/>
          <a:ext cx="3476751" cy="413004"/>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249728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32057" y="87448"/>
          <a:ext cx="3471946" cy="407967"/>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7129" y="88791"/>
          <a:ext cx="3462421" cy="406509"/>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BU2:DE32" totalsRowShown="0">
  <autoFilter ref="BU2:DE32" xr:uid="{7CF5A421-5823-4B73-B189-B78612F8E60D}"/>
  <tableColumns count="37">
    <tableColumn id="1" xr3:uid="{82BC3950-7955-42C1-A626-044D10F72A7B}" name="index" dataDxfId="202">
      <calculatedColumnFormula array="1">ROW()-ROW(factorsTable[#Headers])</calculatedColumnFormula>
    </tableColumn>
    <tableColumn id="5" xr3:uid="{C334C763-0B79-40C4-8C84-35FFF71B9899}" name="factorHeader" dataDxfId="201">
      <calculatedColumnFormula>_xlfn.XLOOKUP(factorsTable[[#This Row],[index]],factorsConfigTable[index],factorsConfigTable[factorHeader])</calculatedColumnFormula>
    </tableColumn>
    <tableColumn id="9" xr3:uid="{5ADEB75C-70DD-4D3C-98E8-BB21F0C4BA10}" name="factorColNum" dataDxfId="200">
      <calculatedColumnFormula array="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calculatedColumnFormula>
    </tableColumn>
    <tableColumn id="13" xr3:uid="{97728CB5-F8CB-4049-AFF1-3B80F5786A36}" name="indirectColRef" dataDxfId="199">
      <calculatedColumnFormula array="1">IF(factorsTable[[#This Row],[factorHeader]]=0, "", ADDRESS(2, factorsTable[[#This Row],[factorColNum]], 1, 0, sheetNameData) &amp; ":" &amp; ADDRESS(numEntries+1, factorsTable[[#This Row],[factorColNum]], 1, 0))</calculatedColumnFormula>
    </tableColumn>
    <tableColumn id="14" xr3:uid="{0A11D2CC-E16D-4DBE-8A92-2C4B94AA5636}" name="minScore" dataDxfId="198">
      <calculatedColumnFormula>IF(factorsTable[[#This Row],[factorHeader]]=0, "", IF(_xlfn.XLOOKUP(factorsTable[[#This Row],[index]],factorsConfigTable[index],factorsConfigTable[minScore])="", NA(), _xlfn.XLOOKUP(factorsTable[[#This Row],[index]],factorsConfigTable[index],factorsConfigTable[minScore])))</calculatedColumnFormula>
    </tableColumn>
    <tableColumn id="15" xr3:uid="{568168DD-7F72-4643-9852-A444F53C3FE3}" name="maxScore" dataDxfId="197">
      <calculatedColumnFormula>IF(factorsTable[[#This Row],[factorHeader]]=0, "", IF(_xlfn.XLOOKUP(factorsTable[[#This Row],[index]],factorsConfigTable[index],factorsConfigTable[maxScore])="", NA(), _xlfn.XLOOKUP(factorsTable[[#This Row],[index]],factorsConfigTable[index],factorsConfigTable[maxScore])))</calculatedColumnFormula>
    </tableColumn>
    <tableColumn id="3" xr3:uid="{9299B28D-2017-439E-8B00-00DCA6FE13E9}" name="minValue" dataDxfId="196">
      <calculatedColumnFormula>IF(factorsTable[[#This Row],[factorHeader]]=0, "", IF(ISERROR(factorsTable[[#This Row],[factorColNum]]), NA(), MIN(INDIRECT(factorsTable[[#This Row],[indirectColRef]],FALSE))))</calculatedColumnFormula>
    </tableColumn>
    <tableColumn id="8" xr3:uid="{87D4DA42-E1CB-4BAA-AD75-046EE9E49A5E}" name="maxValue" dataDxfId="195">
      <calculatedColumnFormula>IF(factorsTable[[#This Row],[factorHeader]]=0, "", IF(ISERROR(factorsTable[[#This Row],[factorColNum]]), NA(), MAX(INDIRECT(factorsTable[[#This Row],[indirectColRef]],FALSE))))</calculatedColumnFormula>
    </tableColumn>
    <tableColumn id="16" xr3:uid="{26229385-59A4-45ED-BD26-502C90A4D6A0}" name="minError" dataDxfId="194">
      <calculatedColumnFormula array="1">AND(
    ISREF(INDIRECT(ADDRESS(1, 1, 1, 0, sheetNameData), FALSE)),
    factorsTable[[#This Row],[factorHeader]]&lt;&gt;0,
    NOT(ISERROR(factorsTable[[#This Row],[factorColNum]])),
    IFERROR(factorsTable[[#This Row],[display]], FALSE),
    IFERROR(factorsTable[[#This Row],[minValue]]&lt;factorsTable[[#This Row],[minScore]], FALSE)
  )</calculatedColumnFormula>
    </tableColumn>
    <tableColumn id="17" xr3:uid="{D02B2224-E8C8-4264-9E03-631D8856935E}" name="maxError" dataDxfId="193">
      <calculatedColumnFormula array="1">AND(
    ISREF(INDIRECT(ADDRESS(1, 1, 1, 0, sheetNameData), FALSE)),
    factorsTable[[#This Row],[factorHeader]]&lt;&gt;0,
    NOT(ISERROR(factorsTable[[#This Row],[factorColNum]])),
    IFERROR(factorsTable[[#This Row],[display]], FALSE),
    IFERROR(factorsTable[[#This Row],[maxValue]]&gt;factorsTable[[#This Row],[maxScore]], FALSE)
  )</calculatedColumnFormula>
    </tableColumn>
    <tableColumn id="10" xr3:uid="{7034CAAD-F9E3-4C5E-BFBC-10F69E82E55E}" name="numNondoers" dataDxfId="192">
      <calculatedColumnFormula array="1">IF(factorsTable[[#This Row],[factorHeader]]=0, "", SUMPRODUCT(IF(isDoer="", 0, 1-isDoer),--(INDIRECT(factorsTable[[#This Row],[indirectColRef]],FALSE)&lt;&gt;"")))</calculatedColumnFormula>
    </tableColumn>
    <tableColumn id="11" xr3:uid="{0B3445FB-3943-446B-84EF-E6F032B77EBC}" name="numDoers" dataDxfId="191">
      <calculatedColumnFormula array="1">IF(factorsTable[[#This Row],[factorHeader]]=0, "", SUMPRODUCT(IF(isDoer="", 0, isDoer),--(INDIRECT(factorsTable[[#This Row],[indirectColRef]],FALSE)&lt;&gt;"")))</calculatedColumnFormula>
    </tableColumn>
    <tableColumn id="12" xr3:uid="{6194FB4A-EAE1-4EB2-91CC-BAEB08C55F79}" name="numTotal" dataDxfId="190">
      <calculatedColumnFormula array="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calculatedColumnFormula>
    </tableColumn>
    <tableColumn id="6" xr3:uid="{DC2441ED-25F7-4797-922A-27071D9A5F9B}" name="nondoers" dataDxfId="189">
      <calculatedColumnFormula array="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calculatedColumnFormula>
    </tableColumn>
    <tableColumn id="7" xr3:uid="{90E25F9A-68D3-4200-94FB-54A4734CD141}" name="doers" dataDxfId="188">
      <calculatedColumnFormula array="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calculatedColumnFormula>
    </tableColumn>
    <tableColumn id="4" xr3:uid="{23018A48-D49F-4352-A661-90DE45924ACF}" name="difference" dataDxfId="187">
      <calculatedColumnFormula>IF(factorsTable[[#This Row],[factorHeader]]=0, "", factorsTable[[#This Row],[doers]]-factorsTable[[#This Row],[nondoers]])</calculatedColumnFormula>
    </tableColumn>
    <tableColumn id="2" xr3:uid="{00438B83-C38E-4558-A35F-4C6C6283246C}" name="displayConfig" dataDxfId="186">
      <calculatedColumnFormula>IF(
    factorsTable[[#This Row],[factorHeader]]=0,
    "",
    _xlfn.XLOOKUP(
      _xlfn.XLOOKUP(factorsTable[[#This Row],[index]], factorsConfigTable[index], factorsConfigTable[displayConfig]),
      yesNoTable[label],
      yesNoTable[tag]
    )
  )</calculatedColumnFormula>
    </tableColumn>
    <tableColumn id="18" xr3:uid="{18B128E5-4F26-4C09-85B4-EBFFB7C9392D}" name="display" dataDxfId="185">
      <calculatedColumnFormula>IF(factorsTable[[#This Row],[factorHeader]]=0, FALSE, IF(factorsTable[[#This Row],[displayConfig]]="yes", TRUE, IF(factorsTable[[#This Row],[displayConfig]]="no", FALSE, NA())))</calculatedColumnFormula>
    </tableColumn>
    <tableColumn id="19" xr3:uid="{BD9024DC-7C2F-475B-ACC4-8A5034D36271}" name="filteredIndex" dataDxfId="184">
      <calculatedColumnFormula array="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calculatedColumnFormula>
    </tableColumn>
    <tableColumn id="35" xr3:uid="{52AD6342-D0B2-4EC7-9A4D-DB12CB75927D}" name="relDiff" dataDxfId="183">
      <calculatedColumnFormula>IF(
    factorsTable[[#This Row],[filteredIndex]]="",
    "",
    IFERROR(
      _xlfn.XLOOKUP(factorsTable[[#This Row],[filteredIndex]], factorsTable[index], factorsTable[difference]),
      -99
    )
  )</calculatedColumnFormula>
    </tableColumn>
    <tableColumn id="36" xr3:uid="{FF853AE2-5312-4BF5-B35B-1F9A2FB0ACA9}" name="absDiff" dataDxfId="182">
      <calculatedColumnFormula>IF(factorsTable[[#This Row],[filteredIndex]]="", "", IF(factorsTable[[#This Row],[relDiff]]=-99, -99, ABS(factorsTable[[#This Row],[relDiff]])))</calculatedColumnFormula>
    </tableColumn>
    <tableColumn id="37" xr3:uid="{08369B9A-20E9-432E-B1A7-396C8F770DC9}" name="RANASIndex" dataDxfId="181">
      <calculatedColumnFormula>IF(
    factorsTable[[#This Row],[filteredIndex]]="",
    "",
    IFERROR(
      _xlfn.XLOOKUP(
        _xlfn.XLOOKUP(factorsTable[[#This Row],[filteredIndex]], factorsConfigTable[index], factorsConfigTable[RANASBlock]),
        RANASBlocksTable[label],
        RANASBlocksTable[index]
      ),
      6
    )
  )</calculatedColumnFormula>
    </tableColumn>
    <tableColumn id="32" xr3:uid="{9E341CD6-683C-4366-ADB6-E5F93DBA0AE1}" name="relDiffRank" dataDxfId="180">
      <calculatedColumnFormula>IF(factorsTable[[#This Row],[filteredIndex]]="", "", _xlfn.RANK.EQ(factorsTable[[#This Row],[relDiff]], factorsTable[relDiff], 0))</calculatedColumnFormula>
    </tableColumn>
    <tableColumn id="31" xr3:uid="{0A5FAB1A-9422-407E-A938-D6D06FD3CD9F}" name="absDiffRank" dataDxfId="179">
      <calculatedColumnFormula>IF(factorsTable[[#This Row],[filteredIndex]]="", "", _xlfn.RANK.EQ(factorsTable[[#This Row],[absDiff]], factorsTable[absDiff], 0))</calculatedColumnFormula>
    </tableColumn>
    <tableColumn id="30" xr3:uid="{0DF5B1D8-1506-4D45-A9CD-5979C5718C18}" name="RANASRank" dataDxfId="178">
      <calculatedColumnFormula>IF(factorsTable[[#This Row],[filteredIndex]]="", "", _xlfn.RANK.EQ(factorsTable[[#This Row],[RANASIndex]], factorsTable[RANASIndex], 1))</calculatedColumnFormula>
    </tableColumn>
    <tableColumn id="38" xr3:uid="{13B86249-923F-4137-AB9E-07CD3E7F3FB7}" name="selectedRank" dataDxfId="177">
      <calculatedColumnFormula array="1">_xlfn.SWITCH(
    sortingMethodTag,
    "none", factorsTable[[#This Row],[filteredIndex]],
    "relDiff", factorsTable[[#This Row],[relDiffRank]],
    "absDiff", factorsTable[[#This Row],[absDiffRank]],
    "RANAS", factorsTable[[#This Row],[RANASRank]],
    factorsTable[[#This Row],[filteredIndex]]
  )</calculatedColumnFormula>
    </tableColumn>
    <tableColumn id="23" xr3:uid="{62BD2B63-0DCC-426B-A21E-D5A0544A9635}" name="uniqueRank" dataDxfId="176">
      <calculatedColumnFormula>IF(
    factorsTable[[#This Row],[filteredIndex]]="",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175">
      <calculatedColumnFormula>IFERROR(
    _xlfn.XLOOKUP(factorsTable[[#This Row],[index]], factorsTable[uniqueRank], factorsTable[filteredIndex]),
    ""
  )</calculatedColumnFormula>
    </tableColumn>
    <tableColumn id="21" xr3:uid="{EB7CE240-3840-4014-92DF-AF38D361033C}" name="langSpecFactor" dataDxfId="174">
      <calculatedColumnFormula>IF(factorsTable[[#This Row],[sortedIndex]]="", "", INDEX(factorsConfigTable[],MATCH(factorsTable[[#This Row],[sortedIndex]],factorsConfigTable[index],0),MATCH(chartLanguage,factorsConfigTable_Headers,0)))</calculatedColumnFormula>
    </tableColumn>
    <tableColumn id="22" xr3:uid="{3817E727-BEC8-4531-9AB7-D3DCA6BCC3BB}" name="displayedFactor" dataDxfId="173">
      <calculatedColumnFormula array="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calculatedColumnFormula>
    </tableColumn>
    <tableColumn id="34" xr3:uid="{904AAD75-D400-45A7-AB40-8F2F7CDF85C6}" name="RANASTag" dataDxfId="172">
      <calculatedColumnFormula>IF(
    factorsTable[[#This Row],[sortedIndex]]="",
    "",
    _xlfn.XLOOKUP(
      _xlfn.XLOOKUP(factorsTable[[#This Row],[sortedIndex]], factorsConfigTable[index], factorsConfigTable[RANASBlock]),
      RANASBlocksTable[label],
      RANASBlocksTable[tag]
    )
  )</calculatedColumnFormula>
    </tableColumn>
    <tableColumn id="28" xr3:uid="{1B3A54FC-B133-42B0-8449-81B8DC66E8A9}" name="displayedRANASBlock" dataDxfId="171">
      <calculatedColumnFormula array="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calculatedColumnFormula>
    </tableColumn>
    <tableColumn id="24" xr3:uid="{0010B1FE-6B67-4704-88F3-8EB8057E0527}" name="chartLabel" dataDxfId="170">
      <calculatedColumnFormula>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calculatedColumnFormula>
    </tableColumn>
    <tableColumn id="25" xr3:uid="{0EC9F653-6B28-495B-B4E3-C653DA8D708C}" name="sortedNumTotal" dataDxfId="169">
      <calculatedColumnFormula>IF(
    factorsTable[[#This Row],[sortedIndex]]="",
    "",
    _xlfn.XLOOKUP(factorsTable[[#This Row],[sortedIndex]], factorsTable[index], factorsTable[numTotal])
  )</calculatedColumnFormula>
    </tableColumn>
    <tableColumn id="29" xr3:uid="{C63C1D5F-847C-4F2F-A655-A9404A302B5C}" name="sortedNondoers" dataDxfId="168">
      <calculatedColumnFormula>IF(
    factorsTable[[#This Row],[sortedIndex]]="",
    "",
    _xlfn.XLOOKUP(factorsTable[[#This Row],[sortedIndex]], factorsTable[index], factorsTable[nondoers])
  )</calculatedColumnFormula>
    </tableColumn>
    <tableColumn id="26" xr3:uid="{B3313D7F-936C-428E-A332-C62ACFDCFDB4}" name="sortedDoers" dataDxfId="167">
      <calculatedColumnFormula>IF(
    factorsTable[[#This Row],[sortedIndex]]="",
    "",
    _xlfn.XLOOKUP(factorsTable[[#This Row],[sortedIndex]], factorsTable[index], factorsTable[doers])
  )</calculatedColumnFormula>
    </tableColumn>
    <tableColumn id="27" xr3:uid="{2E011E21-7BBF-4AA7-8219-246E6ABE2ECA}" name="sortedDifference" dataDxfId="166">
      <calculatedColumnFormula>IF(
    factorsTable[[#This Row],[sortedIndex]]="",
    "",
    _xlfn.XLOOKUP(factorsTable[[#This Row],[sortedIndex]], factorsTable[index], factorsTable[difference])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dataDxfId="165">
  <autoFilter ref="E2:H93" xr:uid="{E1A987BA-385B-43CF-8D75-8A20E76AD886}"/>
  <tableColumns count="4">
    <tableColumn id="3" xr3:uid="{17CAD664-B418-4D78-BD59-D4B5737AD7EE}" name="index" dataDxfId="164">
      <calculatedColumnFormula array="1">ROW()-ROW(UITranslationTable[#Headers])</calculatedColumnFormula>
    </tableColumn>
    <tableColumn id="4" xr3:uid="{03C503E5-E9D8-4551-A8B5-9FDA56521045}" name="tag" dataDxfId="163"/>
    <tableColumn id="1" xr3:uid="{ECDE7AEB-F368-44E7-BFCF-A5753FD7A477}" name="English" dataDxfId="162"/>
    <tableColumn id="2" xr3:uid="{946F114A-2EA8-47CB-BD50-78D857845A99}" name="Français" dataDxfId="161"/>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generalVariablesTable" displayName="generalVariablesTable" ref="Q2:S31" totalsRowShown="0">
  <autoFilter ref="Q2:S31" xr:uid="{14C4E278-58A9-4D09-BB20-6D25AF029CB5}"/>
  <tableColumns count="3">
    <tableColumn id="1" xr3:uid="{912A0017-B2A0-4A04-8A68-66A7A1E432D1}" name="index" dataDxfId="160">
      <calculatedColumnFormula array="1">ROW()-ROW(generalVariablesTable[#Headers])</calculatedColumnFormula>
    </tableColumn>
    <tableColumn id="2" xr3:uid="{52453FB5-F9AE-4E53-B527-C38E684511CB}" name="name"/>
    <tableColumn id="3" xr3:uid="{029DACD9-A350-4330-B274-0DE49C3615C4}" name="value" dataDxfId="159"/>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P2:BC7" totalsRowShown="0">
  <autoFilter ref="AP2:BC7" xr:uid="{5FDE5A4B-2319-4FD1-AC15-9BE5A872EDDF}"/>
  <tableColumns count="14">
    <tableColumn id="1" xr3:uid="{DA0F2668-A103-4359-B616-FFC277054B9F}" name="index" dataDxfId="158">
      <calculatedColumnFormula array="1">ROW()-ROW(behaviourTable[#Headers])</calculatedColumnFormula>
    </tableColumn>
    <tableColumn id="3" xr3:uid="{49F46BD0-801C-4055-8591-0CFDACBD2D40}" name="behaviourHeader" dataDxfId="157">
      <calculatedColumnFormula>_xlfn.XLOOKUP(behaviourTable[[#This Row],[index]],behaviourConfigTable[index],behaviourConfigTable[behaviourHeader])</calculatedColumnFormula>
    </tableColumn>
    <tableColumn id="11" xr3:uid="{4860B4A1-8BF8-4F96-B9BF-FD4AF26F2F9A}" name="includeConfig" dataDxfId="156">
      <calculatedColumnFormula>IF(behaviourTable[[#This Row],[behaviourHeader]]=0, "", _xlfn.XLOOKUP(_xlfn.XLOOKUP(behaviourTable[[#This Row],[index]],behaviourConfigTable[index],behaviourConfigTable[includeConfig]),yesNoTable[label],yesNoTable[tag]))</calculatedColumnFormula>
    </tableColumn>
    <tableColumn id="7" xr3:uid="{903BBE01-8B4D-4C5F-BDDD-C592210169B0}" name="include" dataDxfId="155">
      <calculatedColumnFormula>IF(behaviourTable[[#This Row],[behaviourHeader]]=0, FALSE, IF(behaviourTable[[#This Row],[includeConfig]]="yes", TRUE, IF(behaviourTable[[#This Row],[includeConfig]]="no", FALSE, NA())))</calculatedColumnFormula>
    </tableColumn>
    <tableColumn id="4" xr3:uid="{9878937E-978B-416D-B361-0E258C1B1556}" name="behaviourColNum" dataDxfId="154">
      <calculatedColumnFormula array="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calculatedColumnFormula>
    </tableColumn>
    <tableColumn id="8" xr3:uid="{5D538893-1D72-4903-811F-850A58A0E698}" name="indirectColRef" dataDxfId="153">
      <calculatedColumnFormula array="1">IF(behaviourTable[[#This Row],[behaviourHeader]]=0, "", ADDRESS(2, behaviourTable[[#This Row],[behaviourColNum]], 1, 0, sheetNameData) &amp; ":" &amp; ADDRESS(numEntries+1, behaviourTable[[#This Row],[behaviourColNum]], 1, 0))</calculatedColumnFormula>
    </tableColumn>
    <tableColumn id="9" xr3:uid="{1696FAA8-5ACD-4FF4-A9A6-119C8FA14B41}" name="minScore" dataDxfId="152">
      <calculatedColumnFormula>IF(behaviourTable[[#This Row],[behaviourHeader]]=0, "", IF(_xlfn.XLOOKUP(behaviourTable[[#This Row],[index]],behaviourConfigTable[index],behaviourConfigTable[minScore])="", NA(), _xlfn.XLOOKUP(behaviourTable[[#This Row],[index]],behaviourConfigTable[index],behaviourConfigTable[minScore])))</calculatedColumnFormula>
    </tableColumn>
    <tableColumn id="10" xr3:uid="{478B80A2-9BB7-4CEE-973B-907ABC66097C}" name="maxScore" dataDxfId="151">
      <calculatedColumnFormula>IF(behaviourTable[[#This Row],[behaviourHeader]]=0, "", IF(_xlfn.XLOOKUP(behaviourTable[[#This Row],[index]],behaviourConfigTable[index],behaviourConfigTable[maxScore])="", NA(), _xlfn.XLOOKUP(behaviourTable[[#This Row],[index]],behaviourConfigTable[index],behaviourConfigTable[maxScore])))</calculatedColumnFormula>
    </tableColumn>
    <tableColumn id="2" xr3:uid="{2442D8FE-2472-42CF-B04F-67F3F6C3F2EC}" name="minValue" dataDxfId="150">
      <calculatedColumnFormula>IF(behaviourTable[[#This Row],[behaviourHeader]]=0, "", IF(ISERROR(behaviourTable[[#This Row],[behaviourColNum]]), NA(), MIN(INDIRECT(behaviourTable[[#This Row],[indirectColRef]],FALSE))))</calculatedColumnFormula>
    </tableColumn>
    <tableColumn id="12" xr3:uid="{E08D2F4D-5983-4350-9C20-AF28D7B6127E}" name="maxValue" dataDxfId="149">
      <calculatedColumnFormula>IF(behaviourTable[[#This Row],[behaviourHeader]]=0, "", IF(ISERROR(behaviourTable[[#This Row],[behaviourColNum]]), NA(), MAX(INDIRECT(behaviourTable[[#This Row],[indirectColRef]],FALSE))))</calculatedColumnFormula>
    </tableColumn>
    <tableColumn id="13" xr3:uid="{911173CE-D06E-4A78-BDC9-715BBB20BECA}" name="minError" dataDxfId="148">
      <calculatedColumnFormula array="1">AND(
    ISREF(INDIRECT(ADDRESS(1, 1, 1, 0, sheetNameData), FALSE)),
    behaviourTable[[#This Row],[behaviourHeader]]&lt;&gt;0,
    NOT(ISERROR(behaviourTable[[#This Row],[behaviourColNum]])),
    IFERROR(behaviourTable[[#This Row],[include]], FALSE),
    IFERROR(behaviourTable[[#This Row],[minValue]]&lt;behaviourTable[[#This Row],[minScore]], FALSE)
  )</calculatedColumnFormula>
    </tableColumn>
    <tableColumn id="14" xr3:uid="{E1E7F99A-51A0-4D5A-ADED-F100F7E230FC}" name="maxError" dataDxfId="147">
      <calculatedColumnFormula array="1">AND(
    ISREF(INDIRECT(ADDRESS(1, 1, 1, 0, sheetNameData), FALSE)),
    behaviourTable[[#This Row],[behaviourHeader]]&lt;&gt;0,
    NOT(ISERROR(behaviourTable[[#This Row],[behaviourColNum]])),
    IFERROR(behaviourTable[[#This Row],[include]], FALSE),
    IFERROR(behaviourTable[[#This Row],[maxValue]]&gt;behaviourTable[[#This Row],[maxScore]], FALSE)
  )</calculatedColumnFormula>
    </tableColumn>
    <tableColumn id="5" xr3:uid="{A4F0FFD7-4D9A-4925-8656-F33ED8C27B89}" name="numResponses" dataDxfId="146">
      <calculatedColumnFormula array="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calculatedColumnFormula>
    </tableColumn>
    <tableColumn id="6" xr3:uid="{4707CFD5-D28C-4733-A0AE-D9614A3D98E6}" name="numBlanks" dataDxfId="145">
      <calculatedColumnFormula array="1">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H2:BN12" totalsRowShown="0">
  <autoFilter ref="BH2:BN12" xr:uid="{626C3707-EDFC-4B32-99EA-4581A83A4BC6}"/>
  <tableColumns count="7">
    <tableColumn id="1" xr3:uid="{7E5FC355-9944-4804-BFC7-5349A6B5424B}" name="index" dataDxfId="144" dataCellStyle="Percent">
      <calculatedColumnFormula array="1">ROW()-ROW(cutoffTable[#Headers])</calculatedColumnFormula>
    </tableColumn>
    <tableColumn id="7" xr3:uid="{7AB9D2B2-F8A1-4FC8-9BE6-857137E1B164}" name="cutoffLevel" dataDxfId="143" dataCellStyle="Percent"/>
    <tableColumn id="2" xr3:uid="{F1876B10-5AAD-47FC-BA19-E3F64A284499}" name="label"/>
    <tableColumn id="3" xr3:uid="{3D08B3FA-BE94-4F05-8C7E-208F67B1368E}" name="numResponses" dataDxfId="142">
      <calculatedColumnFormula array="1">COUNTIFS(behaviourScoreNorm, "&gt;=" &amp; IF(cutoffTable[[#This Row],[index]]=1,0, INDEX(cutoffTable[cutoffLevel],cutoffTable[[#This Row],[index]]-1)), behaviourScoreNorm, "&lt;" &amp; IF(cutoffTable[[#This Row],[cutoffLevel]]=1,"=","") &amp; cutoffTable[[#This Row],[cutoffLevel]])</calculatedColumnFormula>
    </tableColumn>
    <tableColumn id="4" xr3:uid="{9C1EEF13-B70A-466F-9372-1089744CB9D1}" name="numNondoersBin" dataDxfId="141">
      <calculatedColumnFormula array="1">COUNTIFS(
    behaviourScoreNorm, "&gt;=" &amp; IF(cutoffTable[[#This Row],[index]]=1,0, INDEX(cutoffTable[cutoffLevel],cutoffTable[[#This Row],[index]]-1)),
    behaviourScoreNorm, "&lt;" &amp; IF(cutoffTable[[#This Row],[cutoffLevel]]=1,"=","") &amp; cutoffTable[[#This Row],[cutoffLevel]],
    behaviourScoreNorm, "&lt;" &amp; cutoffLevel
  )</calculatedColumnFormula>
    </tableColumn>
    <tableColumn id="5" xr3:uid="{31E07016-4269-467F-A5CF-C1E939DAD00E}" name="numDoersBin" dataDxfId="140">
      <calculatedColumnFormula array="1">COUNTIFS(
    behaviourScoreNorm, "&gt;=" &amp; IF(cutoffTable[[#This Row],[index]]=1,0, INDEX(cutoffTable[cutoffLevel],cutoffTable[[#This Row],[index]]-1)),
    behaviourScoreNorm, "&lt;" &amp; IF(cutoffTable[[#This Row],[cutoffLevel]]=1,"=","") &amp; cutoffTable[[#This Row],[cutoffLevel]],
    behaviourScoreNorm, "&gt;=" &amp; cutoffLevel
  )</calculatedColumnFormula>
    </tableColumn>
    <tableColumn id="6" xr3:uid="{3A110822-0E3B-441C-B6C2-61794DBF282D}" name="absDiff" dataDxfId="139">
      <calculatedColumnFormula>ABS(SUM(cutoffTable[numResponses])-2*SUM(INDEX(cutoffTable[numResponses],1):INDEX(cutoffTable[numResponses],cutoffTable[[#This Row],[index]])))</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BP2:BS3" totalsRowShown="0" dataDxfId="138" dataCellStyle="Percent">
  <autoFilter ref="BP2:BS3" xr:uid="{8370E1FF-62B3-4C6A-BFCE-37C7A704AE2E}"/>
  <tableColumns count="4">
    <tableColumn id="4" xr3:uid="{A1DD797A-BD13-4265-B3BB-DEC48664BB26}" name="index" dataDxfId="137" dataCellStyle="Percent">
      <calculatedColumnFormula array="1">ROW()-ROW(doersNondoersTable[#Headers])</calculatedColumnFormula>
    </tableColumn>
    <tableColumn id="1" xr3:uid="{CE98A6BF-A591-490B-B7FF-95F0757BEC26}" name="percentNondoers" dataDxfId="136" dataCellStyle="Percent">
      <calculatedColumnFormula>SUM(cutoffTable[numNondoersBin])/SUM(cutoffTable[numResponses])</calculatedColumnFormula>
    </tableColumn>
    <tableColumn id="2" xr3:uid="{4405B7FD-EADF-4B9D-8F61-ECF6DB7DD9D2}" name="percentDoers" dataDxfId="135" dataCellStyle="Percent">
      <calculatedColumnFormula>SUM(cutoffTable[numDoersBin])/SUM(cutoffTable[numResponses])</calculatedColumnFormula>
    </tableColumn>
    <tableColumn id="3" xr3:uid="{26EBCF1F-F51C-47CB-8FDE-C0F16439573B}" name="difference" dataDxfId="134" dataCellStyle="Percent">
      <calculatedColumnFormula>doersNondoersTable[[#This Row],[percentDoers]]-doersNondoersTable[[#This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A2:AC4" totalsRowShown="0">
  <autoFilter ref="AA2:AC4" xr:uid="{3CB9BB5F-79E5-40A7-918D-2DAA96437C0C}"/>
  <tableColumns count="3">
    <tableColumn id="1" xr3:uid="{7BF02E13-E0BD-4B20-B095-39672FC2BC73}" name="index" dataDxfId="133">
      <calculatedColumnFormula array="1">ROW()-ROW(yesNoTable[#Headers])</calculatedColumnFormula>
    </tableColumn>
    <tableColumn id="2" xr3:uid="{21B32DDF-C526-4F99-9BEC-BF9E504269BD}" name="tag"/>
    <tableColumn id="3" xr3:uid="{C36A9535-CE17-4A1D-A3B2-94720DE568F7}" name="label"/>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E2:AH7" totalsRowShown="0">
  <autoFilter ref="AE2:AH7" xr:uid="{D09F1969-0E0C-4887-8029-F381EE40E627}"/>
  <tableColumns count="4">
    <tableColumn id="1" xr3:uid="{B60E233B-4CF5-4D31-B9A9-F2820E4C2F91}" name="index" dataDxfId="132">
      <calculatedColumnFormula array="1">ROW()-ROW(RANASBlocksTable[#Headers])</calculatedColumnFormula>
    </tableColumn>
    <tableColumn id="2" xr3:uid="{C24DA6E5-D528-4966-A411-051C61457E97}" name="tag"/>
    <tableColumn id="3" xr3:uid="{DCDA070F-C663-438D-AA33-F480D39AF44C}" name="label" dataDxfId="131">
      <calculatedColumnFormula>_xlfn.XLOOKUP(RANASBlocksTable[[#This Row],[tag]],chartTranslationTable[tag],chartTranslationTable[lang1]) &amp; " / " &amp; _xlfn.XLOOKUP(RANASBlocksTable[[#This Row],[tag]],chartTranslationTable[tag],chartTranslationTable[lang2])</calculatedColumnFormula>
    </tableColumn>
    <tableColumn id="4" xr3:uid="{96A5596B-F6F5-4CC3-9704-7FA7D258009B}" name="langSpecLabel" dataDxfId="130">
      <calculatedColumnFormula>_xlfn.XLOOKUP(RANASBlocksTable[[#This Row],[tag]],chartTranslationTable[tag],chartTranslationTable[displayedText])</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J2:AL6" totalsRowShown="0">
  <autoFilter ref="AJ2:AL6" xr:uid="{46572049-63CB-4771-ADE3-A97A3C740CAE}"/>
  <tableColumns count="3">
    <tableColumn id="1" xr3:uid="{ACC44954-6B90-44FE-88E1-190E6A569A67}" name="index" dataDxfId="129">
      <calculatedColumnFormula array="1">ROW()-ROW(sortMenuTable[#Headers])</calculatedColumnFormula>
    </tableColumn>
    <tableColumn id="2" xr3:uid="{4D51B9A4-2B71-4841-B8D6-EA667254BD8B}" name="tag"/>
    <tableColumn id="3" xr3:uid="{1D506C08-274F-4C63-9890-FC6BB8AB0B98}" name="label"/>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O24" totalsRowShown="0">
  <autoFilter ref="J2:O24" xr:uid="{AB69D290-14F6-40FE-BED8-CCD81ECD108D}"/>
  <tableColumns count="6">
    <tableColumn id="1" xr3:uid="{3D127308-F44A-49E6-9F3C-C656E68E8ED1}" name="index" dataDxfId="128">
      <calculatedColumnFormula array="1">ROW()-ROW(errorMessagesTable[#Headers])</calculatedColumnFormula>
    </tableColumn>
    <tableColumn id="2" xr3:uid="{FFA21826-123C-4CB7-9DF9-678C1EE3C288}" name="condition"/>
    <tableColumn id="3" xr3:uid="{AC91FBF4-9C1F-4FA0-A6A4-FF295EDC8FCE}" name="English" dataDxfId="127"/>
    <tableColumn id="4" xr3:uid="{D4F08017-9763-449D-916C-76BCDA80CA8E}" name="Français" dataDxfId="126"/>
    <tableColumn id="5" xr3:uid="{E82D8A26-C0DB-40D7-A244-F53F76AF432C}" name="filteredIndex" dataDxfId="125">
      <calculatedColumnFormula array="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calculatedColumnFormula>
    </tableColumn>
    <tableColumn id="6" xr3:uid="{7B9D172B-977C-41C6-89D0-C603BCD7ECCB}" name="langSpecError" dataDxfId="124">
      <calculatedColumnFormula array="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U2:Y7" totalsRowShown="0" headerRowDxfId="123" dataDxfId="122">
  <autoFilter ref="U2:Y7" xr:uid="{E23C4FF4-8FD9-4D15-B4B0-8CA194D8A016}"/>
  <tableColumns count="5">
    <tableColumn id="1" xr3:uid="{9A98E7F9-13A5-4FB5-A569-F8A363E10403}" name="index" dataDxfId="121">
      <calculatedColumnFormula array="1">ROW()-ROW(languageTable[#Headers])</calculatedColumnFormula>
    </tableColumn>
    <tableColumn id="2" xr3:uid="{60B4F238-6219-48F8-A2CB-CD0410D91196}" name="languageHeaders" dataDxfId="120">
      <calculatedColumnFormula array="1">IFERROR(IF(INDEX(languageHeadersList,languageTable[[#This Row],[index]])&lt;&gt;"",INDEX(languageHeadersList,languageTable[[#This Row],[index]]),""),"")</calculatedColumnFormula>
    </tableColumn>
    <tableColumn id="5" xr3:uid="{A6991E2D-E892-482B-A043-A4CE9032B971}" name="hasValue" dataDxfId="119">
      <calculatedColumnFormula>(languageTable[[#This Row],[languageHeaders]]&lt;&gt;"")</calculatedColumnFormula>
    </tableColumn>
    <tableColumn id="6" xr3:uid="{C425EB26-4BEF-4C04-82E8-AC8F24CD68F9}" name="filteredIndex" dataDxfId="118">
      <calculatedColumnFormula array="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calculatedColumnFormula>
    </tableColumn>
    <tableColumn id="4" xr3:uid="{98FCEBFB-8113-4BCC-81CD-7849AB1DB835}" name="languageList" dataDxfId="117">
      <calculatedColumnFormula array="1">IFERROR(INDEX(languageTable[languageHeaders],languageTable[[#This Row],[filteredIndex]]),"")</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N2:AN4" totalsRowShown="0" headerRowDxfId="116" dataDxfId="115" tableBorderDxfId="114">
  <autoFilter ref="AN2:AN4" xr:uid="{58A35650-374D-4C03-A6DB-6A4E389D6F32}"/>
  <tableColumns count="1">
    <tableColumn id="1" xr3:uid="{51ECF4B0-F9CD-455D-B50C-D6D778696F7C}" name="YaxisLimits" dataDxfId="113"/>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B38:N68" totalsRowShown="0" headerRowDxfId="112" dataDxfId="110" headerRowBorderDxfId="111" tableBorderDxfId="109">
  <autoFilter ref="B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3" xr3:uid="{B124E554-861F-492F-9E9F-0E15CC9D1F7E}" name="factorColNum" dataDxfId="108">
      <calculatedColumnFormula>_xlfn.XLOOKUP(factorsConfigTable[[#This Row],[index]],factorsTable[index],factorsTable[factorColNum])</calculatedColumnFormula>
    </tableColumn>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Row],[index]],factorsTable[index],factorsTable[numTotal])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_xlfn.XLOOKUP(
      chartTranslationTable[[#This Row],[tag]],
      chartTranslationTable[tag],
      INDEX(
        chartTranslationTable[],
        0,
        MATCH(chartLanguage, languageHeadersList, 0)
          + MATCH(chartTranslationTable[[#Headers],[lang1]], chartTranslationTable[#Headers], 0)
          - 1
      )
    )
  )</calculatedColumnFormula>
    </tableColumn>
    <tableColumn id="9" xr3:uid="{898CF4B2-0371-4A7C-B4CD-1EE331BD1E68}" name="displayedText" dataDxfId="83">
      <calculatedColumnFormula array="1">IF(
    chartTranslationTable[[#This Row],[langSpecText]]="",
    "",
    IF(
      chartTranslationTable[[#This Row],[langSpecText]]=0,
      _xlfn.XLOOKUP(
        "noTranslation",
        UITranslationTable[tag],
        INDEX(
          UITranslationTable[],
          0,
          MATCH(UILanguage, UITranslationTable[#Headers], 0)
        )
      ),
      chartTranslationTable[[#This Row],[langSpecText]]
    )
  )</calculatedColumnFormula>
    </tableColumn>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numEntries-numScores</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B15:I20" totalsRowShown="0" headerRowDxfId="77" dataDxfId="75" headerRowBorderDxfId="76" tableBorderDxfId="74">
  <autoFilter ref="B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0" xr3:uid="{36F32BBC-A0F4-4731-87DD-33253E00378D}" name="behaviourColNum" dataDxfId="73">
      <calculatedColumnFormula>_xlfn.XLOOKUP(behaviourConfigTable[[#This Row],[index]],behaviourTable[index],behaviourTable[behaviourColNum])</calculatedColumnFormula>
    </tableColumn>
    <tableColumn id="1" xr3:uid="{7E8A7B52-7A59-4B9C-AD27-994C30519632}" name="includeConfig" dataDxfId="72"/>
    <tableColumn id="2" xr3:uid="{49CBA26E-5C7F-47E8-A14C-035629D59FF4}" name="index" dataDxfId="71">
      <calculatedColumnFormula array="1">ROW()-ROW(behaviourConfigTable[#Headers])</calculatedColumnFormula>
    </tableColumn>
    <tableColumn id="3" xr3:uid="{9E321BEB-12BF-410B-A0B8-571168D7CB6E}" name="behaviourHeader" dataDxfId="70"/>
    <tableColumn id="4" xr3:uid="{96B46EBA-0C69-4555-AD13-7D7AF6FF76D9}" name="minScore" dataDxfId="69"/>
    <tableColumn id="5" xr3:uid="{866F458D-33A6-47DD-B1E4-BAFE3681229F}" name="maxScore" dataDxfId="68"/>
    <tableColumn id="6" xr3:uid="{B0F89DAF-D367-4343-8FA7-C52681D5973D}" name="numResponses" dataDxfId="67">
      <calculatedColumnFormula>_xlfn.XLOOKUP(behaviourConfigTable[[#This Row],[index]],behaviourTable[index],behaviourTable[numResponses])</calculatedColumnFormula>
    </tableColumn>
    <tableColumn id="7" xr3:uid="{FC9843CC-967E-4330-BBCB-FF1375BCDA4C}" name="numBlanks" dataDxfId="66">
      <calculatedColumnFormula>_xlfn.XLOOKUP(behaviourConfigTable[[#This Row],[index]],behaviourTable[index],behaviourTable[numBlanks])</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5" dataDxfId="63" headerRowBorderDxfId="64">
  <tableColumns count="5">
    <tableColumn id="1" xr3:uid="{4CB45C51-CB69-4CC1-B338-FF7F101C0FDD}" name="index" dataDxfId="62">
      <calculatedColumnFormula array="1">ROW()-ROW(cutoffChartTable[#Headers])</calculatedColumnFormula>
    </tableColumn>
    <tableColumn id="2" xr3:uid="{0DB2BC85-F6F4-49BC-80BE-1AEE8BC2AE66}" name="label" dataDxfId="61">
      <calculatedColumnFormula>_xlfn.XLOOKUP(cutoffChartTable[[#This Row],[index]],cutoffTable[index],cutoffTable[label])</calculatedColumnFormula>
    </tableColumn>
    <tableColumn id="3" xr3:uid="{1C850F94-CAA9-4191-8D8A-85A8048CCA90}" name="numResponses" dataDxfId="60">
      <calculatedColumnFormula>_xlfn.XLOOKUP(cutoffChartTable[[#This Row],[index]],cutoffTable[index],cutoffTable[numResponses])</calculatedColumnFormula>
    </tableColumn>
    <tableColumn id="4" xr3:uid="{C4768E52-01B5-4D13-9707-17AD7B461447}" name="numNondoersBin" dataDxfId="59">
      <calculatedColumnFormula>_xlfn.XLOOKUP(cutoffChartTable[[#This Row],[index]],cutoffTable[index],cutoffTable[numNondoersBin])</calculatedColumnFormula>
    </tableColumn>
    <tableColumn id="5" xr3:uid="{D194BD99-D6D8-48CB-AA7E-9C7F48284702}" name="numDoersBin" dataDxfId="58">
      <calculatedColumnFormula>_xlfn.XLOOKUP(cutoffChartTable[[#This Row],[index]],cutoffTable[index],cutoffTable[numDoersBin])</calculatedColumnFormula>
    </tableColumn>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7" dataDxfId="55" headerRowBorderDxfId="56">
  <tableColumns count="4">
    <tableColumn id="1" xr3:uid="{1614890C-8CFE-49D2-AC79-A06A96C249C1}" name="index" dataDxfId="54"/>
    <tableColumn id="2" xr3:uid="{A96518A4-4144-403E-A144-B1156ED17703}" name="percentNondoers" dataDxfId="53" dataCellStyle="Percent">
      <calculatedColumnFormula>_xlfn.XLOOKUP(doersNondoersChartTable[[#This Row],[index]],doersNondoersTable[index],doersNondoersTable[percentNondoers])</calculatedColumnFormula>
    </tableColumn>
    <tableColumn id="3" xr3:uid="{52331AC1-DDEC-4492-B14D-59610AA44305}" name="percentDoers" dataDxfId="52" dataCellStyle="Percent">
      <calculatedColumnFormula>_xlfn.XLOOKUP(doersNondoersChartTable[[#This Row],[index]],doersNondoersTable[index],doersNondoersTable[percentDoers])</calculatedColumnFormula>
    </tableColumn>
    <tableColumn id="4" xr3:uid="{304F33DB-9E7C-4AE3-B895-B43D2DD3C077}" name="difference" dataDxfId="51" dataCellStyle="Percent">
      <calculatedColumnFormula>_xlfn.XLOOKUP(doersNondoersChartTable[[#This Row],[index]],doersNondoersTable[index],doersNondoersTable[difference])</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0" dataDxfId="48" headerRowBorderDxfId="49">
  <tableColumns count="9">
    <tableColumn id="7" xr3:uid="{73A9F968-C223-45AF-9B43-D37C15C90BDA}" name="index" dataDxfId="47">
      <calculatedColumnFormula array="1">ROW()-ROW(analysisChartTable[#Headers])</calculatedColumnFormula>
    </tableColumn>
    <tableColumn id="6" xr3:uid="{24D8732E-0D42-456B-A89F-B6F2988575FD}" name="chartLabel" dataDxfId="46">
      <calculatedColumnFormula>_xlfn.XLOOKUP(analysisChartTable[[#This Row],[index]],factorsTable[index],factorsTable[chartLabel])</calculatedColumnFormula>
    </tableColumn>
    <tableColumn id="9" xr3:uid="{E584D00C-BD4D-4805-BD0C-15F1ECDB3164}" name="RANASTag" dataDxfId="45">
      <calculatedColumnFormula>_xlfn.XLOOKUP(analysisChartTable[[#This Row],[index]],factorsTable[index],factorsTable[RANASTag])</calculatedColumnFormula>
    </tableColumn>
    <tableColumn id="1" xr3:uid="{D7B991BD-4644-4836-A962-8B6228469595}" name="displayedFactor" dataDxfId="44">
      <calculatedColumnFormula>_xlfn.XLOOKUP(analysisChartTable[[#This Row],[index]],factorsTable[index],factorsTable[displayedFactor])</calculatedColumnFormula>
    </tableColumn>
    <tableColumn id="8" xr3:uid="{948C760D-3BFA-4038-9E7E-26D392A9ABAD}" name="displayedRANASBlock" dataDxfId="43">
      <calculatedColumnFormula>_xlfn.XLOOKUP(analysisChartTable[[#This Row],[index]],factorsTable[index],factorsTable[displayedRANASBlock])</calculatedColumnFormula>
    </tableColumn>
    <tableColumn id="2" xr3:uid="{6FF69577-BFF1-4BAB-A33F-8907707E7F23}" name="sortedNondoers" dataDxfId="42" dataCellStyle="Percent">
      <calculatedColumnFormula>_xlfn.XLOOKUP(analysisChartTable[[#This Row],[index]],factorsTable[index],factorsTable[sortedNondoers])</calculatedColumnFormula>
    </tableColumn>
    <tableColumn id="3" xr3:uid="{AAA2ADF6-CA6C-4194-A2EA-95548C570799}" name="sortedDoers" dataDxfId="41" dataCellStyle="Percent">
      <calculatedColumnFormula>_xlfn.XLOOKUP(analysisChartTable[[#This Row],[index]],factorsTable[index],factorsTable[sortedDoers])</calculatedColumnFormula>
    </tableColumn>
    <tableColumn id="4" xr3:uid="{225894AD-DD7A-493E-A5EC-B5B242433372}" name="sortedDifference" dataDxfId="40" dataCellStyle="Percent">
      <calculatedColumnFormula>_xlfn.XLOOKUP(analysisChartTable[[#This Row],[index]],factorsTable[index],factorsTable[sortedDifference])</calculatedColumnFormula>
    </tableColumn>
    <tableColumn id="5" xr3:uid="{0EF07200-BD5E-4F9F-9DDA-0A2E76BC4044}" name="sortedNumTotal" dataDxfId="39">
      <calculatedColumnFormula>_xlfn.XLOOKUP(analysisChartTable[[#This Row],[index]],factorsTable[index],factorsTable[sortedNumTotal])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3-02-27T05:26:28.24" personId="{5D3AF245-2A3F-4AAD-90B1-868E92451BE0}" id="{38C86FA5-742F-4C4C-B63F-FFE18671B4F8}">
    <text>Each variable in the "General variables table" is defined as named range whose definition formula ("Refers To") is simply a reference to the cell in the "value" column, indexed by the name in the "name" column. Therefore, the actual formula/value for each variable is edited in the "value" column of this table, which is more convenient than in the "Name Manager".</text>
  </threadedComment>
  <threadedComment ref="BE2" dT="2023-02-16T16:42:43.18" personId="{5D3AF245-2A3F-4AAD-90B1-868E92451BE0}" id="{34572E9E-82EF-4688-B99E-6EB0EC59D350}">
    <text>I couldn't find a way of avoiding to explicitly compute the normalized behaviour score (and then the doer/non-doer status) as an array in the spreadsheet. All compact formulas I tried would not accept to combine an indirectly referenced array (the data columns for "behaviour" questions) with scalar values (the min/max scores used for scaling) and use the COUNTIF() function on it to count doers/non-doers. Either it's impossible or I must be doing something wrong.</text>
  </threadedComment>
  <threadedComment ref="S3" dT="2023-02-27T02:54:44.34" personId="{5D3AF245-2A3F-4AAD-90B1-868E92451BE0}" id="{12FB3649-7E3E-4920-8843-77EE573B59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S7" dT="2023-02-27T02:54:44.34" personId="{5D3AF245-2A3F-4AAD-90B1-868E92451BE0}" id="{268F9EA8-F343-44FE-B373-D0D8B6A2E4FC}">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S17" dT="2023-02-15T19:05:24.42" personId="{5D3AF245-2A3F-4AAD-90B1-868E92451BE0}" id="{DB6EDA19-79E7-4043-AF39-F51E52A43682}">
    <text>This formula calculates the "number of scores", i.e. the number of "data" entries having at least one non-empty value among the defined "behaviour" questions.
I couldn't find a way to design this formula to work for an arbitrary number of "behaviour" questions (i.e., to dynamically sum over all rows of the "Behaviour Table", regardless of the number of rows). Therefore, if the maximum number of behaviour questions (currently 5) is increased, this formula must be expanded.</text>
  </threadedComment>
  <threadedComment ref="S28" dT="2023-02-25T04:21:27.96" personId="{5D3AF245-2A3F-4AAD-90B1-868E92451BE0}" id="{9697CA96-1BC6-4063-86F0-8901C5DD6E53}">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3" Type="http://schemas.openxmlformats.org/officeDocument/2006/relationships/vmlDrawing" Target="../drawings/vmlDrawing1.vml"/><Relationship Id="rId7" Type="http://schemas.openxmlformats.org/officeDocument/2006/relationships/table" Target="../tables/table4.xml"/><Relationship Id="rId12" Type="http://schemas.openxmlformats.org/officeDocument/2006/relationships/table" Target="../tables/table9.xml"/><Relationship Id="rId17" Type="http://schemas.microsoft.com/office/2017/10/relationships/threadedComment" Target="../threadedComments/threadedComment1.xml"/><Relationship Id="rId2" Type="http://schemas.openxmlformats.org/officeDocument/2006/relationships/drawing" Target="../drawings/drawing1.xml"/><Relationship Id="rId1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E93"/>
  <sheetViews>
    <sheetView topLeftCell="A29" zoomScaleNormal="100" workbookViewId="0">
      <selection activeCell="J26" sqref="J26"/>
    </sheetView>
  </sheetViews>
  <sheetFormatPr defaultRowHeight="14.4" customHeight="1" x14ac:dyDescent="0.3"/>
  <cols>
    <col min="1" max="4" width="20.6640625" customWidth="1"/>
    <col min="5" max="5" width="8.5546875" customWidth="1"/>
    <col min="6" max="8" width="20.6640625" customWidth="1"/>
    <col min="11" max="11" width="11.109375" customWidth="1"/>
    <col min="12" max="13" width="20.88671875" customWidth="1"/>
    <col min="14" max="14" width="14.33203125" customWidth="1"/>
    <col min="15" max="15" width="14.6640625" customWidth="1"/>
    <col min="18" max="18" width="22.6640625" bestFit="1" customWidth="1"/>
    <col min="19" max="19" width="28.109375" customWidth="1"/>
    <col min="22" max="22" width="17.6640625" bestFit="1" customWidth="1"/>
    <col min="23" max="23" width="10.88671875" bestFit="1" customWidth="1"/>
    <col min="24" max="24" width="13.88671875" bestFit="1" customWidth="1"/>
    <col min="25" max="25" width="13.6640625" bestFit="1" customWidth="1"/>
    <col min="29" max="29" width="8.33203125" customWidth="1"/>
    <col min="32" max="32" width="12.5546875" bestFit="1" customWidth="1"/>
    <col min="33" max="33" width="27.109375" bestFit="1" customWidth="1"/>
    <col min="34" max="34" width="17.44140625" customWidth="1"/>
    <col min="38" max="38" width="14.109375" customWidth="1"/>
    <col min="39" max="39" width="8.88671875" customWidth="1"/>
    <col min="40" max="40" width="14.109375" customWidth="1"/>
    <col min="43" max="43" width="17.44140625" customWidth="1"/>
    <col min="44" max="44" width="14.6640625" bestFit="1" customWidth="1"/>
    <col min="45" max="45" width="9.88671875" customWidth="1"/>
    <col min="46" max="47" width="18.33203125" customWidth="1"/>
    <col min="48" max="53" width="11.6640625" customWidth="1"/>
    <col min="54" max="54" width="16" bestFit="1" customWidth="1"/>
    <col min="55" max="55" width="12.5546875" bestFit="1" customWidth="1"/>
    <col min="57" max="57" width="19.33203125" style="39" bestFit="1" customWidth="1"/>
    <col min="58" max="58" width="10.6640625" style="39" customWidth="1"/>
    <col min="61" max="61" width="12.88671875" customWidth="1"/>
    <col min="63" max="63" width="16" bestFit="1" customWidth="1"/>
    <col min="64" max="64" width="18.33203125" bestFit="1" customWidth="1"/>
    <col min="65" max="65" width="14.6640625" bestFit="1" customWidth="1"/>
    <col min="66" max="66" width="9.109375" bestFit="1" customWidth="1"/>
    <col min="69" max="69" width="19.33203125" customWidth="1"/>
    <col min="70" max="70" width="14.44140625" bestFit="1" customWidth="1"/>
    <col min="71" max="71" width="11.6640625" bestFit="1" customWidth="1"/>
    <col min="73" max="73" width="8.6640625" customWidth="1"/>
    <col min="74" max="74" width="16.6640625" bestFit="1" customWidth="1"/>
    <col min="75" max="75" width="15" bestFit="1" customWidth="1"/>
    <col min="76" max="76" width="21.109375" customWidth="1"/>
    <col min="77" max="77" width="11.109375" bestFit="1" customWidth="1"/>
    <col min="78" max="78" width="11.88671875" bestFit="1" customWidth="1"/>
    <col min="79" max="82" width="11.88671875" customWidth="1"/>
    <col min="83" max="83" width="11.33203125" bestFit="1" customWidth="1"/>
    <col min="84" max="85" width="12" bestFit="1" customWidth="1"/>
    <col min="86" max="86" width="12.6640625" bestFit="1" customWidth="1"/>
    <col min="87" max="87" width="14.5546875" bestFit="1" customWidth="1"/>
    <col min="88" max="88" width="12.6640625" bestFit="1" customWidth="1"/>
    <col min="89" max="89" width="14.5546875" bestFit="1" customWidth="1"/>
    <col min="90" max="93" width="13.88671875" customWidth="1"/>
    <col min="94" max="94" width="13.77734375" bestFit="1" customWidth="1"/>
    <col min="95" max="95" width="12.5546875" bestFit="1" customWidth="1"/>
    <col min="96" max="97" width="13.33203125" bestFit="1" customWidth="1"/>
    <col min="98" max="98" width="14.33203125" bestFit="1" customWidth="1"/>
    <col min="99" max="99" width="13.33203125" bestFit="1" customWidth="1"/>
    <col min="100" max="100" width="13.21875" bestFit="1" customWidth="1"/>
    <col min="101" max="101" width="16.33203125" customWidth="1"/>
    <col min="102" max="102" width="17.33203125" customWidth="1"/>
    <col min="103" max="103" width="12.6640625" customWidth="1"/>
    <col min="104" max="104" width="21.88671875" bestFit="1" customWidth="1"/>
    <col min="105" max="105" width="12.33203125" customWidth="1"/>
    <col min="106" max="106" width="17" bestFit="1" customWidth="1"/>
    <col min="107" max="107" width="17.33203125" bestFit="1" customWidth="1"/>
    <col min="108" max="108" width="13.33203125" bestFit="1" customWidth="1"/>
    <col min="109" max="109" width="17.33203125" bestFit="1" customWidth="1"/>
    <col min="110" max="110" width="8.88671875" customWidth="1"/>
    <col min="112" max="116" width="8.88671875" customWidth="1"/>
    <col min="118" max="118" width="8.88671875" customWidth="1"/>
  </cols>
  <sheetData>
    <row r="1" spans="5:109" ht="14.4" customHeight="1" x14ac:dyDescent="0.3">
      <c r="E1" t="s">
        <v>37</v>
      </c>
      <c r="J1" t="s">
        <v>179</v>
      </c>
      <c r="Q1" t="s">
        <v>124</v>
      </c>
      <c r="U1" s="14" t="s">
        <v>47</v>
      </c>
      <c r="V1" s="14"/>
      <c r="W1" s="14"/>
      <c r="X1" s="14"/>
      <c r="Y1" s="14"/>
      <c r="AA1" t="s">
        <v>125</v>
      </c>
      <c r="AE1" t="s">
        <v>131</v>
      </c>
      <c r="AJ1" t="s">
        <v>143</v>
      </c>
      <c r="AN1" s="14" t="s">
        <v>188</v>
      </c>
      <c r="AP1" t="s">
        <v>95</v>
      </c>
      <c r="BE1" s="19" t="s">
        <v>123</v>
      </c>
      <c r="BF1" s="19"/>
      <c r="BH1" t="s">
        <v>98</v>
      </c>
      <c r="BP1" t="s">
        <v>32</v>
      </c>
      <c r="BU1" t="s">
        <v>94</v>
      </c>
      <c r="BZ1" s="2"/>
      <c r="CA1" s="2"/>
      <c r="CB1" s="2"/>
      <c r="CC1" s="2"/>
      <c r="CD1" s="2"/>
      <c r="CE1" s="2"/>
      <c r="CG1" s="20"/>
      <c r="CK1" s="20"/>
      <c r="CL1" s="20"/>
      <c r="CM1" s="20"/>
      <c r="CN1" s="20"/>
      <c r="CO1" s="20"/>
      <c r="CP1" s="20"/>
      <c r="CQ1" s="20"/>
      <c r="CR1" s="20"/>
      <c r="CS1" s="20"/>
    </row>
    <row r="2" spans="5:109" ht="14.4" customHeight="1" x14ac:dyDescent="0.3">
      <c r="E2" t="s">
        <v>1</v>
      </c>
      <c r="F2" t="s">
        <v>12</v>
      </c>
      <c r="G2" t="s">
        <v>3</v>
      </c>
      <c r="H2" t="s">
        <v>5</v>
      </c>
      <c r="J2" t="s">
        <v>1</v>
      </c>
      <c r="K2" t="s">
        <v>180</v>
      </c>
      <c r="L2" t="s">
        <v>3</v>
      </c>
      <c r="M2" t="s">
        <v>5</v>
      </c>
      <c r="N2" t="s">
        <v>153</v>
      </c>
      <c r="O2" t="s">
        <v>181</v>
      </c>
      <c r="Q2" t="s">
        <v>1</v>
      </c>
      <c r="R2" t="s">
        <v>0</v>
      </c>
      <c r="S2" t="s">
        <v>29</v>
      </c>
      <c r="U2" s="14" t="s">
        <v>1</v>
      </c>
      <c r="V2" s="14" t="s">
        <v>44</v>
      </c>
      <c r="W2" s="14" t="s">
        <v>154</v>
      </c>
      <c r="X2" s="14" t="s">
        <v>153</v>
      </c>
      <c r="Y2" s="14" t="s">
        <v>43</v>
      </c>
      <c r="AA2" t="s">
        <v>1</v>
      </c>
      <c r="AB2" t="s">
        <v>12</v>
      </c>
      <c r="AC2" t="s">
        <v>99</v>
      </c>
      <c r="AE2" t="s">
        <v>1</v>
      </c>
      <c r="AF2" t="s">
        <v>12</v>
      </c>
      <c r="AG2" t="s">
        <v>99</v>
      </c>
      <c r="AH2" t="s">
        <v>20</v>
      </c>
      <c r="AJ2" t="s">
        <v>1</v>
      </c>
      <c r="AK2" t="s">
        <v>12</v>
      </c>
      <c r="AL2" t="s">
        <v>99</v>
      </c>
      <c r="AN2" s="13" t="s">
        <v>177</v>
      </c>
      <c r="AP2" t="s">
        <v>1</v>
      </c>
      <c r="AQ2" t="s">
        <v>65</v>
      </c>
      <c r="AR2" t="s">
        <v>151</v>
      </c>
      <c r="AS2" t="s">
        <v>150</v>
      </c>
      <c r="AT2" t="s">
        <v>96</v>
      </c>
      <c r="AU2" t="s">
        <v>97</v>
      </c>
      <c r="AV2" t="s">
        <v>66</v>
      </c>
      <c r="AW2" t="s">
        <v>67</v>
      </c>
      <c r="AX2" t="s">
        <v>300</v>
      </c>
      <c r="AY2" t="s">
        <v>301</v>
      </c>
      <c r="AZ2" t="s">
        <v>302</v>
      </c>
      <c r="BA2" t="s">
        <v>303</v>
      </c>
      <c r="BB2" t="s">
        <v>35</v>
      </c>
      <c r="BC2" t="s">
        <v>79</v>
      </c>
      <c r="BE2" s="38" t="s">
        <v>103</v>
      </c>
      <c r="BF2" s="38" t="s">
        <v>114</v>
      </c>
      <c r="BH2" t="s">
        <v>1</v>
      </c>
      <c r="BI2" t="s">
        <v>39</v>
      </c>
      <c r="BJ2" t="s">
        <v>99</v>
      </c>
      <c r="BK2" t="s">
        <v>35</v>
      </c>
      <c r="BL2" t="s">
        <v>304</v>
      </c>
      <c r="BM2" t="s">
        <v>305</v>
      </c>
      <c r="BN2" t="s">
        <v>100</v>
      </c>
      <c r="BP2" t="s">
        <v>1</v>
      </c>
      <c r="BQ2" t="s">
        <v>112</v>
      </c>
      <c r="BR2" t="s">
        <v>113</v>
      </c>
      <c r="BS2" t="s">
        <v>26</v>
      </c>
      <c r="BU2" t="s">
        <v>1</v>
      </c>
      <c r="BV2" t="s">
        <v>55</v>
      </c>
      <c r="BW2" t="s">
        <v>57</v>
      </c>
      <c r="BX2" t="s">
        <v>97</v>
      </c>
      <c r="BY2" t="s">
        <v>66</v>
      </c>
      <c r="BZ2" t="s">
        <v>67</v>
      </c>
      <c r="CA2" t="s">
        <v>300</v>
      </c>
      <c r="CB2" t="s">
        <v>301</v>
      </c>
      <c r="CC2" t="s">
        <v>302</v>
      </c>
      <c r="CD2" t="s">
        <v>303</v>
      </c>
      <c r="CE2" t="s">
        <v>28</v>
      </c>
      <c r="CF2" t="s">
        <v>27</v>
      </c>
      <c r="CG2" t="s">
        <v>33</v>
      </c>
      <c r="CH2" t="s">
        <v>25</v>
      </c>
      <c r="CI2" t="s">
        <v>24</v>
      </c>
      <c r="CJ2" t="s">
        <v>26</v>
      </c>
      <c r="CK2" t="s">
        <v>187</v>
      </c>
      <c r="CL2" t="s">
        <v>152</v>
      </c>
      <c r="CM2" t="s">
        <v>153</v>
      </c>
      <c r="CN2" t="s">
        <v>145</v>
      </c>
      <c r="CO2" t="s">
        <v>100</v>
      </c>
      <c r="CP2" t="s">
        <v>175</v>
      </c>
      <c r="CQ2" t="s">
        <v>169</v>
      </c>
      <c r="CR2" t="s">
        <v>170</v>
      </c>
      <c r="CS2" t="s">
        <v>171</v>
      </c>
      <c r="CT2" t="s">
        <v>308</v>
      </c>
      <c r="CU2" t="s">
        <v>309</v>
      </c>
      <c r="CV2" t="s">
        <v>155</v>
      </c>
      <c r="CW2" t="s">
        <v>156</v>
      </c>
      <c r="CX2" t="s">
        <v>157</v>
      </c>
      <c r="CY2" t="s">
        <v>168</v>
      </c>
      <c r="CZ2" t="s">
        <v>161</v>
      </c>
      <c r="DA2" t="s">
        <v>19</v>
      </c>
      <c r="DB2" t="s">
        <v>164</v>
      </c>
      <c r="DC2" t="s">
        <v>165</v>
      </c>
      <c r="DD2" t="s">
        <v>166</v>
      </c>
      <c r="DE2" t="s">
        <v>167</v>
      </c>
    </row>
    <row r="3" spans="5:109" ht="14.4" customHeight="1" x14ac:dyDescent="0.3">
      <c r="E3" s="1" cm="1">
        <f t="array" ref="E3">ROW()-ROW(UITranslationTable[#Headers])</f>
        <v>1</v>
      </c>
      <c r="F3" s="1" t="s">
        <v>21</v>
      </c>
      <c r="G3" s="59" t="s">
        <v>22</v>
      </c>
      <c r="H3" s="59" t="s">
        <v>23</v>
      </c>
      <c r="J3" cm="1">
        <f t="array" ref="J3">ROW()-ROW(errorMessagesTable[#Headers])</f>
        <v>1</v>
      </c>
      <c r="K3" t="b">
        <f>ISERROR(MATCH(UILanguage,UILanguageList,0))</f>
        <v>0</v>
      </c>
      <c r="L3" s="1" t="str" cm="1">
        <f t="array" aca="1" ref="L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M3" s="1"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cm="1">
        <f t="array" aca="1" ref="N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2</v>
      </c>
      <c r="O3" s="1" t="str" cm="1">
        <f t="array" aca="1" ref="O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xml:space="preserve">
1. The "data" sheet cannot be found. Make sure you have imported your data file as a new spreadsheet in this Excel workbook and renamed that sheet "data" (without quotes).</v>
      </c>
      <c r="Q3" s="15" cm="1">
        <f t="array" ref="Q3">ROW()-ROW(generalVariablesTable[#Headers])</f>
        <v>1</v>
      </c>
      <c r="R3" t="s">
        <v>282</v>
      </c>
      <c r="S3" s="59" t="str" cm="1">
        <f t="array" aca="1" ref="S3" ca="1">IF(NOT(ISERROR(CELL("address",A1))), "address",
    IF(NOT(ISERROR(CELL("adresse",A1))), "adresse",
      IF(NOT(ISERROR(CELL("Adresse",A1))), "Adresse",
        IF(NOT(ISERROR(CELL("DIRECCIÓN",A1))), "DIRECCIÓN", NA())
      )
    )
  )</f>
        <v>address</v>
      </c>
      <c r="U3" s="14" cm="1">
        <f t="array" ref="U3">ROW()-ROW(languageTable[#Headers])</f>
        <v>1</v>
      </c>
      <c r="V3" s="14" t="str" cm="1">
        <f t="array" ref="V3">IFERROR(IF(INDEX(languageHeadersList,languageTable[[#This Row],[index]])&lt;&gt;"",INDEX(languageHeadersList,languageTable[[#This Row],[index]]),""),"")</f>
        <v>English</v>
      </c>
      <c r="W3" s="14" t="b">
        <f>(languageTable[[#This Row],[languageHeaders]]&lt;&gt;"")</f>
        <v>1</v>
      </c>
      <c r="X3" s="14" cm="1">
        <f t="array" aca="1" ref="X3"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1</v>
      </c>
      <c r="Y3" s="14" t="str" cm="1">
        <f t="array" aca="1" ref="Y3" ca="1">IFERROR(INDEX(languageTable[languageHeaders],languageTable[[#This Row],[filteredIndex]]),"")</f>
        <v>English</v>
      </c>
      <c r="AA3" cm="1">
        <f t="array" ref="AA3">ROW()-ROW(yesNoTable[#Headers])</f>
        <v>1</v>
      </c>
      <c r="AB3" t="s">
        <v>126</v>
      </c>
      <c r="AC3" s="34" t="s">
        <v>128</v>
      </c>
      <c r="AE3" cm="1">
        <f t="array" ref="AE3">ROW()-ROW(RANASBlocksTable[#Headers])</f>
        <v>1</v>
      </c>
      <c r="AF3" t="s">
        <v>134</v>
      </c>
      <c r="AG3" t="str">
        <f>_xlfn.XLOOKUP(RANASBlocksTable[[#This Row],[tag]],chartTranslationTable[tag],chartTranslationTable[lang1]) &amp; " / " &amp; _xlfn.XLOOKUP(RANASBlocksTable[[#This Row],[tag]],chartTranslationTable[tag],chartTranslationTable[lang2])</f>
        <v>Risks / Risques</v>
      </c>
      <c r="AH3" t="str">
        <f>_xlfn.XLOOKUP(RANASBlocksTable[[#This Row],[tag]],chartTranslationTable[tag],chartTranslationTable[displayedText])</f>
        <v>Risks</v>
      </c>
      <c r="AJ3" cm="1">
        <f t="array" ref="AJ3">ROW()-ROW(sortMenuTable[#Headers])</f>
        <v>1</v>
      </c>
      <c r="AK3" t="s">
        <v>144</v>
      </c>
      <c r="AL3" s="35" t="s">
        <v>146</v>
      </c>
      <c r="AM3" s="35"/>
      <c r="AN3" s="14" cm="1">
        <f t="array" aca="1" ref="AN3" ca="1">MIN(MIN(IFERROR(analysisChartTable[sortedDifference],0)),0)</f>
        <v>0</v>
      </c>
      <c r="AP3" cm="1">
        <f t="array" ref="AP3">ROW()-ROW(behaviourTable[#Headers])</f>
        <v>1</v>
      </c>
      <c r="AQ3">
        <f>_xlfn.XLOOKUP(behaviourTable[[#This Row],[index]],behaviourConfigTable[index],behaviourConfigTable[behaviourHeader])</f>
        <v>0</v>
      </c>
      <c r="AR3" t="str">
        <f>IF(behaviourTable[[#This Row],[behaviourHeader]]=0, "", _xlfn.XLOOKUP(_xlfn.XLOOKUP(behaviourTable[[#This Row],[index]],behaviourConfigTable[index],behaviourConfigTable[includeConfig]),yesNoTable[label],yesNoTable[tag]))</f>
        <v/>
      </c>
      <c r="AS3" t="b">
        <f>IF(behaviourTable[[#This Row],[behaviourHeader]]=0, FALSE, IF(behaviourTable[[#This Row],[includeConfig]]="yes", TRUE, IF(behaviourTable[[#This Row],[includeConfig]]="no", FALSE, NA())))</f>
        <v>0</v>
      </c>
      <c r="AT3" t="str" cm="1">
        <f t="array" aca="1" ref="AT3"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3" s="58" t="str" cm="1">
        <f t="array" ref="AU3">IF(behaviourTable[[#This Row],[behaviourHeader]]=0, "", ADDRESS(2, behaviourTable[[#This Row],[behaviourColNum]], 1, 0, sheetNameData) &amp; ":" &amp; ADDRESS(numEntries+1, behaviourTable[[#This Row],[behaviourColNum]], 1, 0))</f>
        <v/>
      </c>
      <c r="AV3" t="str">
        <f>IF(behaviourTable[[#This Row],[behaviourHeader]]=0, "", IF(_xlfn.XLOOKUP(behaviourTable[[#This Row],[index]],behaviourConfigTable[index],behaviourConfigTable[minScore])="", NA(), _xlfn.XLOOKUP(behaviourTable[[#This Row],[index]],behaviourConfigTable[index],behaviourConfigTable[minScore])))</f>
        <v/>
      </c>
      <c r="AW3" t="str">
        <f>IF(behaviourTable[[#This Row],[behaviourHeader]]=0, "", IF(_xlfn.XLOOKUP(behaviourTable[[#This Row],[index]],behaviourConfigTable[index],behaviourConfigTable[maxScore])="", NA(), _xlfn.XLOOKUP(behaviourTable[[#This Row],[index]],behaviourConfigTable[index],behaviourConfigTable[maxScore])))</f>
        <v/>
      </c>
      <c r="AX3" t="str">
        <f ca="1">IF(behaviourTable[[#This Row],[behaviourHeader]]=0, "", IF(ISERROR(behaviourTable[[#This Row],[behaviourColNum]]), NA(), MIN(INDIRECT(behaviourTable[[#This Row],[indirectColRef]],FALSE))))</f>
        <v/>
      </c>
      <c r="AY3" t="str">
        <f ca="1">IF(behaviourTable[[#This Row],[behaviourHeader]]=0, "", IF(ISERROR(behaviourTable[[#This Row],[behaviourColNum]]), NA(), MAX(INDIRECT(behaviourTable[[#This Row],[indirectColRef]],FALSE))))</f>
        <v/>
      </c>
      <c r="AZ3" s="58" t="b" cm="1">
        <f t="array" aca="1" ref="AZ3" ca="1">AND(
    ISREF(INDIRECT(ADDRESS(1, 1, 1, 0, sheetNameData), FALSE)),
    behaviourTable[[#This Row],[behaviourHeader]]&lt;&gt;0,
    NOT(ISERROR(behaviourTable[[#This Row],[behaviourColNum]])),
    IFERROR(behaviourTable[[#This Row],[include]], FALSE),
    IFERROR(behaviourTable[[#This Row],[minValue]]&lt;behaviourTable[[#This Row],[minScore]], FALSE)
  )</f>
        <v>0</v>
      </c>
      <c r="BA3" t="b" cm="1">
        <f t="array" aca="1" ref="BA3" ca="1">AND(
    ISREF(INDIRECT(ADDRESS(1, 1, 1, 0, sheetNameData), FALSE)),
    behaviourTable[[#This Row],[behaviourHeader]]&lt;&gt;0,
    NOT(ISERROR(behaviourTable[[#This Row],[behaviourColNum]])),
    IFERROR(behaviourTable[[#This Row],[include]], FALSE),
    IFERROR(behaviourTable[[#This Row],[maxValue]]&gt;behaviourTable[[#This Row],[maxScore]], FALSE)
  )</f>
        <v>0</v>
      </c>
      <c r="BB3" t="str" cm="1">
        <f t="array" aca="1" ref="BB3"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3" t="str" cm="1">
        <f t="array" ref="BC3">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E3" s="39" t="str" cm="1">
        <f t="array" ref="BE3">IF(IF(behInclude1, IFERROR(--(behData1&lt;&gt;""), 0), 0) + IF(behInclude2, IFERROR(--(behData2&lt;&gt;""), 0), 0) + IF(behInclude3, IFERROR(--(behData3&lt;&gt;""), 0), 0) + IF(behInclude4, IFERROR(--(behData4&lt;&gt;""), 0), 0) + IF(behInclude5, IFERROR(--(behData5&lt;&gt;""), 0), 0) = 0, "",
(IF(behInclude1, IF(behData1&lt;&gt;"", (behData1-behMinScore1)/(behMaxScore1-behMinScore1), 0), 0) + IF(behInclude2, IF(behData2&lt;&gt;"", (behData2-behMinScore2)/(behMaxScore2-behMinScore2), 0), 0) + IF(behInclude3, IF(behData3&lt;&gt;"", (behData3-behMinScore3)/(behMaxScore3-behMinScore3), 0), 0) + IF(behInclude4, IF(behData4&lt;&gt;"", (behData4-behMinScore4)/(behMaxScore4-behMinScore4), 0), 0) + IF(behInclude5, IF(behData5&lt;&gt;"", (behData5-behMinScore5)/(behMaxScore5-behMinScore5), 0), 0))
/(IF(behInclude1, IF(behData1&lt;&gt;"", 1, 0), 0) + IF(behInclude2, IF(behData2&lt;&gt;"", 1,0), 0) + IF(behInclude3, IF(behData3&lt;&gt;"", 1,0), 0) + IF(behInclude4, IF(behData4&lt;&gt;"", 1,0), 0) + IF(behInclude5, IF(behData5&lt;&gt;"", 1,0), 0)))</f>
        <v/>
      </c>
      <c r="BF3" s="39" t="e" cm="1">
        <f t="array" aca="1" ref="BF3" ca="1">IF(behaviourScoreNorm="", "", IF(behaviourScoreNorm&gt;=cutoffLevel,1,0))</f>
        <v>#N/A</v>
      </c>
      <c r="BH3" s="17" cm="1">
        <f t="array" ref="BH3">ROW()-ROW(cutoffTable[#Headers])</f>
        <v>1</v>
      </c>
      <c r="BI3" s="16">
        <v>0.1</v>
      </c>
      <c r="BJ3" t="s">
        <v>290</v>
      </c>
      <c r="BK3" t="e" cm="1">
        <f t="array" aca="1" ref="BK3" ca="1">COUNTIFS(behaviourScoreNorm, "&gt;=" &amp; IF(cutoffTable[[#This Row],[index]]=1,0, INDEX(cutoffTable[cutoffLevel],cutoffTable[[#This Row],[index]]-1)), behaviourScoreNorm, "&lt;" &amp; IF(cutoffTable[[#This Row],[cutoffLevel]]=1,"=","") &amp; cutoffTable[[#This Row],[cutoffLevel]])</f>
        <v>#N/A</v>
      </c>
      <c r="BL3" t="e" cm="1">
        <f t="array" aca="1" ref="BL3" ca="1">COUNTIFS(
    behaviourScoreNorm, "&gt;=" &amp; IF(cutoffTable[[#This Row],[index]]=1,0, INDEX(cutoffTable[cutoffLevel],cutoffTable[[#This Row],[index]]-1)),
    behaviourScoreNorm, "&lt;" &amp; IF(cutoffTable[[#This Row],[cutoffLevel]]=1,"=","") &amp; cutoffTable[[#This Row],[cutoffLevel]],
    behaviourScoreNorm, "&lt;" &amp; cutoffLevel
  )</f>
        <v>#N/A</v>
      </c>
      <c r="BM3" t="e" cm="1">
        <f t="array" aca="1" ref="BM3" ca="1">COUNTIFS(
    behaviourScoreNorm, "&gt;=" &amp; IF(cutoffTable[[#This Row],[index]]=1,0, INDEX(cutoffTable[cutoffLevel],cutoffTable[[#This Row],[index]]-1)),
    behaviourScoreNorm, "&lt;" &amp; IF(cutoffTable[[#This Row],[cutoffLevel]]=1,"=","") &amp; cutoffTable[[#This Row],[cutoffLevel]],
    behaviourScoreNorm, "&gt;=" &amp; cutoffLevel
  )</f>
        <v>#N/A</v>
      </c>
      <c r="BN3" t="e">
        <f ca="1">ABS(SUM(cutoffTable[numResponses])-2*SUM(INDEX(cutoffTable[numResponses],1):INDEX(cutoffTable[numResponses],cutoffTable[[#This Row],[index]])))</f>
        <v>#N/A</v>
      </c>
      <c r="BP3" s="17" cm="1">
        <f t="array" ref="BP3">ROW()-ROW(doersNondoersTable[#Headers])</f>
        <v>1</v>
      </c>
      <c r="BQ3" s="18" t="e">
        <f ca="1">SUM(cutoffTable[numNondoersBin])/SUM(cutoffTable[numResponses])</f>
        <v>#N/A</v>
      </c>
      <c r="BR3" s="18" t="e">
        <f ca="1">SUM(cutoffTable[numDoersBin])/SUM(cutoffTable[numResponses])</f>
        <v>#N/A</v>
      </c>
      <c r="BS3" s="18" t="e">
        <f ca="1">doersNondoersTable[[#This Row],[percentDoers]]-doersNondoersTable[[#This Row],[percentNondoers]]</f>
        <v>#N/A</v>
      </c>
      <c r="BU3" cm="1">
        <f t="array" ref="BU3">ROW()-ROW(factorsTable[#Headers])</f>
        <v>1</v>
      </c>
      <c r="BV3">
        <f>_xlfn.XLOOKUP(factorsTable[[#This Row],[index]],factorsConfigTable[index],factorsConfigTable[factorHeader])</f>
        <v>0</v>
      </c>
      <c r="BW3" s="20" t="str" cm="1">
        <f t="array" aca="1" ref="BW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 s="20" t="str" cm="1">
        <f t="array" ref="BX3">IF(factorsTable[[#This Row],[factorHeader]]=0, "", ADDRESS(2, factorsTable[[#This Row],[factorColNum]], 1, 0, sheetNameData) &amp; ":" &amp; ADDRESS(numEntries+1, factorsTable[[#This Row],[factorColNum]], 1, 0))</f>
        <v/>
      </c>
      <c r="BY3" t="str">
        <f>IF(factorsTable[[#This Row],[factorHeader]]=0, "", IF(_xlfn.XLOOKUP(factorsTable[[#This Row],[index]],factorsConfigTable[index],factorsConfigTable[minScore])="", NA(), _xlfn.XLOOKUP(factorsTable[[#This Row],[index]],factorsConfigTable[index],factorsConfigTable[minScore])))</f>
        <v/>
      </c>
      <c r="BZ3" t="str">
        <f>IF(factorsTable[[#This Row],[factorHeader]]=0, "", IF(_xlfn.XLOOKUP(factorsTable[[#This Row],[index]],factorsConfigTable[index],factorsConfigTable[maxScore])="", NA(), _xlfn.XLOOKUP(factorsTable[[#This Row],[index]],factorsConfigTable[index],factorsConfigTable[maxScore])))</f>
        <v/>
      </c>
      <c r="CA3" t="str">
        <f ca="1">IF(factorsTable[[#This Row],[factorHeader]]=0, "", IF(ISERROR(factorsTable[[#This Row],[factorColNum]]), NA(), MIN(INDIRECT(factorsTable[[#This Row],[indirectColRef]],FALSE))))</f>
        <v/>
      </c>
      <c r="CB3" t="str">
        <f ca="1">IF(factorsTable[[#This Row],[factorHeader]]=0, "", IF(ISERROR(factorsTable[[#This Row],[factorColNum]]), NA(), MAX(INDIRECT(factorsTable[[#This Row],[indirectColRef]],FALSE))))</f>
        <v/>
      </c>
      <c r="CC3" t="b" cm="1">
        <f t="array" aca="1" ref="CC3" ca="1">AND(
    ISREF(INDIRECT(ADDRESS(1, 1, 1, 0, sheetNameData), FALSE)),
    factorsTable[[#This Row],[factorHeader]]&lt;&gt;0,
    NOT(ISERROR(factorsTable[[#This Row],[factorColNum]])),
    IFERROR(factorsTable[[#This Row],[display]], FALSE),
    IFERROR(factorsTable[[#This Row],[minValue]]&lt;factorsTable[[#This Row],[minScore]], FALSE)
  )</f>
        <v>0</v>
      </c>
      <c r="CD3" t="b" cm="1">
        <f t="array" aca="1" ref="CD3" ca="1">AND(
    ISREF(INDIRECT(ADDRESS(1, 1, 1, 0, sheetNameData), FALSE)),
    factorsTable[[#This Row],[factorHeader]]&lt;&gt;0,
    NOT(ISERROR(factorsTable[[#This Row],[factorColNum]])),
    IFERROR(factorsTable[[#This Row],[display]], FALSE),
    IFERROR(factorsTable[[#This Row],[maxValue]]&gt;factorsTable[[#This Row],[maxScore]], FALSE)
  )</f>
        <v>0</v>
      </c>
      <c r="CE3" t="str" cm="1">
        <f t="array" aca="1" ref="CE3" ca="1">IF(factorsTable[[#This Row],[factorHeader]]=0, "", SUMPRODUCT(IF(isDoer="", 0, 1-isDoer),--(INDIRECT(factorsTable[[#This Row],[indirectColRef]],FALSE)&lt;&gt;"")))</f>
        <v/>
      </c>
      <c r="CF3" t="str" cm="1">
        <f t="array" aca="1" ref="CF3" ca="1">IF(factorsTable[[#This Row],[factorHeader]]=0, "", SUMPRODUCT(IF(isDoer="", 0, isDoer),--(INDIRECT(factorsTable[[#This Row],[indirectColRef]],FALSE)&lt;&gt;"")))</f>
        <v/>
      </c>
      <c r="CG3" t="str" cm="1">
        <f t="array" ref="CG3">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 t="str" cm="1">
        <f t="array" aca="1" ref="CH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 t="str" cm="1">
        <f t="array" aca="1" ref="CI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 t="str">
        <f>IF(factorsTable[[#This Row],[factorHeader]]=0, "", factorsTable[[#This Row],[doers]]-factorsTable[[#This Row],[nondoers]])</f>
        <v/>
      </c>
      <c r="CK3" t="str">
        <f>IF(
    factorsTable[[#This Row],[factorHeader]]=0,
    "",
    _xlfn.XLOOKUP(
      _xlfn.XLOOKUP(factorsTable[[#This Row],[index]], factorsConfigTable[index], factorsConfigTable[displayConfig]),
      yesNoTable[label],
      yesNoTable[tag]
    )
  )</f>
        <v/>
      </c>
      <c r="CL3" s="15" t="b">
        <f>IF(factorsTable[[#This Row],[factorHeader]]=0, FALSE, IF(factorsTable[[#This Row],[displayConfig]]="yes", TRUE, IF(factorsTable[[#This Row],[displayConfig]]="no", FALSE, NA())))</f>
        <v>0</v>
      </c>
      <c r="CM3" s="15" t="str" cm="1">
        <f t="array" aca="1" ref="CM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 s="15" t="str">
        <f ca="1">IF(
    factorsTable[[#This Row],[filteredIndex]]="",
    "",
    IFERROR(
      _xlfn.XLOOKUP(factorsTable[[#This Row],[filteredIndex]], factorsTable[index], factorsTable[difference]),
      -99
    )
  )</f>
        <v/>
      </c>
      <c r="CO3" s="15" t="str">
        <f ca="1">IF(factorsTable[[#This Row],[filteredIndex]]="", "", IF(factorsTable[[#This Row],[relDiff]]=-99, -99, ABS(factorsTable[[#This Row],[relDiff]])))</f>
        <v/>
      </c>
      <c r="CP3" s="15" t="str">
        <f ca="1">IF(
    factorsTable[[#This Row],[filteredIndex]]="",
    "",
    IFERROR(
      _xlfn.XLOOKUP(
        _xlfn.XLOOKUP(factorsTable[[#This Row],[filteredIndex]], factorsConfigTable[index], factorsConfigTable[RANASBlock]),
        RANASBlocksTable[label],
        RANASBlocksTable[index]
      ),
      6
    )
  )</f>
        <v/>
      </c>
      <c r="CQ3" s="15" t="str">
        <f ca="1">IF(factorsTable[[#This Row],[filteredIndex]]="", "", _xlfn.RANK.EQ(factorsTable[[#This Row],[relDiff]], factorsTable[relDiff], 0))</f>
        <v/>
      </c>
      <c r="CR3" s="15" t="str">
        <f ca="1">IF(factorsTable[[#This Row],[filteredIndex]]="", "", _xlfn.RANK.EQ(factorsTable[[#This Row],[absDiff]], factorsTable[absDiff], 0))</f>
        <v/>
      </c>
      <c r="CS3" s="15" t="str">
        <f ca="1">IF(factorsTable[[#This Row],[filteredIndex]]="", "", _xlfn.RANK.EQ(factorsTable[[#This Row],[RANASIndex]], factorsTable[RANASIndex], 1))</f>
        <v/>
      </c>
      <c r="CT3" s="15" t="str" cm="1">
        <f t="array" aca="1" ref="CT3" ca="1">_xlfn.SWITCH(
    sortingMethodTag,
    "none", factorsTable[[#This Row],[filteredIndex]],
    "relDiff", factorsTable[[#This Row],[relDiffRank]],
    "absDiff", factorsTable[[#This Row],[absDiffRank]],
    "RANAS", factorsTable[[#This Row],[RANASRank]],
    factorsTable[[#This Row],[filteredIndex]]
  )</f>
        <v/>
      </c>
      <c r="CU3" s="15" t="str">
        <f ca="1">IF(
    factorsTable[[#This Row],[filteredIndex]]="",
    "",
    factorsTable[[#This Row],[selectedRank]]
      + COUNTIF(INDEX(factorsTable[selectedRank], 1):INDEX(factorsTable[selectedRank], factorsTable[[#This Row],[index]]), factorsTable[[#This Row],[selectedRank]])
      - 1
  )</f>
        <v/>
      </c>
      <c r="CV3" s="15" t="str">
        <f ca="1">IFERROR(
    _xlfn.XLOOKUP(factorsTable[[#This Row],[index]], factorsTable[uniqueRank], factorsTable[filteredIndex]),
    ""
  )</f>
        <v/>
      </c>
      <c r="CW3" s="15" t="str">
        <f ca="1">IF(factorsTable[[#This Row],[sortedIndex]]="", "", INDEX(factorsConfigTable[],MATCH(factorsTable[[#This Row],[sortedIndex]],factorsConfigTable[index],0),MATCH(chartLanguage,factorsConfigTable_Headers,0)))</f>
        <v/>
      </c>
      <c r="CX3" s="15" t="str" cm="1">
        <f t="array" aca="1" ref="CX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 s="15" t="str">
        <f ca="1">IF(
    factorsTable[[#This Row],[sortedIndex]]="",
    "",
    _xlfn.XLOOKUP(
      _xlfn.XLOOKUP(factorsTable[[#This Row],[sortedIndex]], factorsConfigTable[index], factorsConfigTable[RANASBlock]),
      RANASBlocksTable[label],
      RANASBlocksTable[tag]
    )
  )</f>
        <v/>
      </c>
      <c r="CZ3" s="15" t="str" cm="1">
        <f t="array" aca="1" ref="CZ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 s="15" t="str">
        <f ca="1">IF(
    factorsTable[[#This Row],[sortedIndex]]="",
    "",
    _xlfn.XLOOKUP(factorsTable[[#This Row],[sortedIndex]], factorsTable[index], factorsTable[numTotal])
  )</f>
        <v/>
      </c>
      <c r="DC3" s="15" t="str">
        <f ca="1">IF(
    factorsTable[[#This Row],[sortedIndex]]="",
    "",
    _xlfn.XLOOKUP(factorsTable[[#This Row],[sortedIndex]], factorsTable[index], factorsTable[nondoers])
  )</f>
        <v/>
      </c>
      <c r="DD3" s="15" t="str">
        <f ca="1">IF(
    factorsTable[[#This Row],[sortedIndex]]="",
    "",
    _xlfn.XLOOKUP(factorsTable[[#This Row],[sortedIndex]], factorsTable[index], factorsTable[doers])
  )</f>
        <v/>
      </c>
      <c r="DE3" s="15" t="str">
        <f ca="1">IF(
    factorsTable[[#This Row],[sortedIndex]]="",
    "",
    _xlfn.XLOOKUP(factorsTable[[#This Row],[sortedIndex]], factorsTable[index], factorsTable[difference])
  )</f>
        <v/>
      </c>
    </row>
    <row r="4" spans="5:109" ht="14.4" customHeight="1" x14ac:dyDescent="0.3">
      <c r="E4" s="1" cm="1">
        <f t="array" ref="E4">ROW()-ROW(UITranslationTable[#Headers])</f>
        <v>2</v>
      </c>
      <c r="F4" s="1" t="s">
        <v>158</v>
      </c>
      <c r="G4" s="59" t="s">
        <v>159</v>
      </c>
      <c r="H4" s="59" t="s">
        <v>160</v>
      </c>
      <c r="J4" cm="1">
        <f t="array" ref="J4">ROW()-ROW(errorMessagesTable[#Headers])</f>
        <v>2</v>
      </c>
      <c r="K4" t="b" cm="1">
        <f t="array" aca="1" ref="K4" ca="1">NOT(ISREF(INDIRECT(ADDRESS(1, 1, 1, 0, sheetNameData), FALSE)))</f>
        <v>1</v>
      </c>
      <c r="L4" s="1" t="str" cm="1">
        <f t="array" ref="L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M4" s="1" t="str" cm="1">
        <f t="array" ref="M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N4" t="str" cm="1">
        <f t="array" aca="1" ref="N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4" s="1" t="str" cm="1">
        <f t="array" aca="1" ref="O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4" s="15" cm="1">
        <f t="array" ref="Q4">ROW()-ROW(generalVariablesTable[#Headers])</f>
        <v>2</v>
      </c>
      <c r="R4" t="s">
        <v>284</v>
      </c>
      <c r="S4" s="59" t="s">
        <v>285</v>
      </c>
      <c r="U4" s="14" cm="1">
        <f t="array" ref="U4">ROW()-ROW(languageTable[#Headers])</f>
        <v>2</v>
      </c>
      <c r="V4" s="14" t="str" cm="1">
        <f t="array" ref="V4">IFERROR(IF(INDEX(languageHeadersList,languageTable[[#This Row],[index]])&lt;&gt;"",INDEX(languageHeadersList,languageTable[[#This Row],[index]]),""),"")</f>
        <v>Français</v>
      </c>
      <c r="W4" s="14" t="b">
        <f>(languageTable[[#This Row],[languageHeaders]]&lt;&gt;"")</f>
        <v>1</v>
      </c>
      <c r="X4" s="14" cm="1">
        <f t="array" aca="1" ref="X4"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2</v>
      </c>
      <c r="Y4" s="14" t="str" cm="1">
        <f t="array" aca="1" ref="Y4" ca="1">IFERROR(INDEX(languageTable[languageHeaders],languageTable[[#This Row],[filteredIndex]]),"")</f>
        <v>Français</v>
      </c>
      <c r="AA4" cm="1">
        <f t="array" ref="AA4">ROW()-ROW(yesNoTable[#Headers])</f>
        <v>2</v>
      </c>
      <c r="AB4" t="s">
        <v>127</v>
      </c>
      <c r="AC4" t="s">
        <v>129</v>
      </c>
      <c r="AE4" cm="1">
        <f t="array" ref="AE4">ROW()-ROW(RANASBlocksTable[#Headers])</f>
        <v>2</v>
      </c>
      <c r="AF4" t="s">
        <v>136</v>
      </c>
      <c r="AG4" t="str">
        <f>_xlfn.XLOOKUP(RANASBlocksTable[[#This Row],[tag]],chartTranslationTable[tag],chartTranslationTable[lang1]) &amp; " / " &amp; _xlfn.XLOOKUP(RANASBlocksTable[[#This Row],[tag]],chartTranslationTable[tag],chartTranslationTable[lang2])</f>
        <v>Attitudes / Attitudes</v>
      </c>
      <c r="AH4" t="str">
        <f>_xlfn.XLOOKUP(RANASBlocksTable[[#This Row],[tag]],chartTranslationTable[tag],chartTranslationTable[displayedText])</f>
        <v>Attitudes</v>
      </c>
      <c r="AJ4" cm="1">
        <f t="array" ref="AJ4">ROW()-ROW(sortMenuTable[#Headers])</f>
        <v>2</v>
      </c>
      <c r="AK4" t="s">
        <v>145</v>
      </c>
      <c r="AL4" t="s">
        <v>147</v>
      </c>
      <c r="AN4" s="14">
        <v>1</v>
      </c>
      <c r="AP4" cm="1">
        <f t="array" ref="AP4">ROW()-ROW(behaviourTable[#Headers])</f>
        <v>2</v>
      </c>
      <c r="AQ4">
        <f>_xlfn.XLOOKUP(behaviourTable[[#This Row],[index]],behaviourConfigTable[index],behaviourConfigTable[behaviourHeader])</f>
        <v>0</v>
      </c>
      <c r="AR4" t="str">
        <f>IF(behaviourTable[[#This Row],[behaviourHeader]]=0, "", _xlfn.XLOOKUP(_xlfn.XLOOKUP(behaviourTable[[#This Row],[index]],behaviourConfigTable[index],behaviourConfigTable[includeConfig]),yesNoTable[label],yesNoTable[tag]))</f>
        <v/>
      </c>
      <c r="AS4" t="b">
        <f>IF(behaviourTable[[#This Row],[behaviourHeader]]=0, FALSE, IF(behaviourTable[[#This Row],[includeConfig]]="yes", TRUE, IF(behaviourTable[[#This Row],[includeConfig]]="no", FALSE, NA())))</f>
        <v>0</v>
      </c>
      <c r="AT4" t="str" cm="1">
        <f t="array" aca="1" ref="AT4"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4" t="str" cm="1">
        <f t="array" ref="AU4">IF(behaviourTable[[#This Row],[behaviourHeader]]=0, "", ADDRESS(2, behaviourTable[[#This Row],[behaviourColNum]], 1, 0, sheetNameData) &amp; ":" &amp; ADDRESS(numEntries+1, behaviourTable[[#This Row],[behaviourColNum]], 1, 0))</f>
        <v/>
      </c>
      <c r="AV4" t="str">
        <f>IF(behaviourTable[[#This Row],[behaviourHeader]]=0, "", IF(_xlfn.XLOOKUP(behaviourTable[[#This Row],[index]],behaviourConfigTable[index],behaviourConfigTable[minScore])="", NA(), _xlfn.XLOOKUP(behaviourTable[[#This Row],[index]],behaviourConfigTable[index],behaviourConfigTable[minScore])))</f>
        <v/>
      </c>
      <c r="AW4" t="str">
        <f>IF(behaviourTable[[#This Row],[behaviourHeader]]=0, "", IF(_xlfn.XLOOKUP(behaviourTable[[#This Row],[index]],behaviourConfigTable[index],behaviourConfigTable[maxScore])="", NA(), _xlfn.XLOOKUP(behaviourTable[[#This Row],[index]],behaviourConfigTable[index],behaviourConfigTable[maxScore])))</f>
        <v/>
      </c>
      <c r="AX4" t="str">
        <f ca="1">IF(behaviourTable[[#This Row],[behaviourHeader]]=0, "", IF(ISERROR(behaviourTable[[#This Row],[behaviourColNum]]), NA(), MIN(INDIRECT(behaviourTable[[#This Row],[indirectColRef]],FALSE))))</f>
        <v/>
      </c>
      <c r="AY4" t="str">
        <f ca="1">IF(behaviourTable[[#This Row],[behaviourHeader]]=0, "", IF(ISERROR(behaviourTable[[#This Row],[behaviourColNum]]), NA(), MAX(INDIRECT(behaviourTable[[#This Row],[indirectColRef]],FALSE))))</f>
        <v/>
      </c>
      <c r="AZ4" t="b" cm="1">
        <f t="array" aca="1" ref="AZ4" ca="1">AND(
    ISREF(INDIRECT(ADDRESS(1, 1, 1, 0, sheetNameData), FALSE)),
    behaviourTable[[#This Row],[behaviourHeader]]&lt;&gt;0,
    NOT(ISERROR(behaviourTable[[#This Row],[behaviourColNum]])),
    IFERROR(behaviourTable[[#This Row],[include]], FALSE),
    IFERROR(behaviourTable[[#This Row],[minValue]]&lt;behaviourTable[[#This Row],[minScore]], FALSE)
  )</f>
        <v>0</v>
      </c>
      <c r="BA4" t="b" cm="1">
        <f t="array" aca="1" ref="BA4" ca="1">AND(
    ISREF(INDIRECT(ADDRESS(1, 1, 1, 0, sheetNameData), FALSE)),
    behaviourTable[[#This Row],[behaviourHeader]]&lt;&gt;0,
    NOT(ISERROR(behaviourTable[[#This Row],[behaviourColNum]])),
    IFERROR(behaviourTable[[#This Row],[include]], FALSE),
    IFERROR(behaviourTable[[#This Row],[maxValue]]&gt;behaviourTable[[#This Row],[maxScore]], FALSE)
  )</f>
        <v>0</v>
      </c>
      <c r="BB4" t="str" cm="1">
        <f t="array" aca="1" ref="BB4"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4" t="str" cm="1">
        <f t="array" ref="BC4">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H4" s="17" cm="1">
        <f t="array" ref="BH4">ROW()-ROW(cutoffTable[#Headers])</f>
        <v>2</v>
      </c>
      <c r="BI4" s="16">
        <v>0.2</v>
      </c>
      <c r="BJ4" t="s">
        <v>291</v>
      </c>
      <c r="BK4" t="e" cm="1">
        <f t="array" aca="1" ref="BK4" ca="1">COUNTIFS(behaviourScoreNorm, "&gt;=" &amp; IF(cutoffTable[[#This Row],[index]]=1,0, INDEX(cutoffTable[cutoffLevel],cutoffTable[[#This Row],[index]]-1)), behaviourScoreNorm, "&lt;" &amp; IF(cutoffTable[[#This Row],[cutoffLevel]]=1,"=","") &amp; cutoffTable[[#This Row],[cutoffLevel]])</f>
        <v>#N/A</v>
      </c>
      <c r="BL4" t="e" cm="1">
        <f t="array" aca="1" ref="BL4" ca="1">COUNTIFS(
    behaviourScoreNorm, "&gt;=" &amp; IF(cutoffTable[[#This Row],[index]]=1,0, INDEX(cutoffTable[cutoffLevel],cutoffTable[[#This Row],[index]]-1)),
    behaviourScoreNorm, "&lt;" &amp; IF(cutoffTable[[#This Row],[cutoffLevel]]=1,"=","") &amp; cutoffTable[[#This Row],[cutoffLevel]],
    behaviourScoreNorm, "&lt;" &amp; cutoffLevel
  )</f>
        <v>#N/A</v>
      </c>
      <c r="BM4" t="e" cm="1">
        <f t="array" aca="1" ref="BM4" ca="1">COUNTIFS(
    behaviourScoreNorm, "&gt;=" &amp; IF(cutoffTable[[#This Row],[index]]=1,0, INDEX(cutoffTable[cutoffLevel],cutoffTable[[#This Row],[index]]-1)),
    behaviourScoreNorm, "&lt;" &amp; IF(cutoffTable[[#This Row],[cutoffLevel]]=1,"=","") &amp; cutoffTable[[#This Row],[cutoffLevel]],
    behaviourScoreNorm, "&gt;=" &amp; cutoffLevel
  )</f>
        <v>#N/A</v>
      </c>
      <c r="BN4" t="e">
        <f ca="1">ABS(SUM(cutoffTable[numResponses])-2*SUM(INDEX(cutoffTable[numResponses],1):INDEX(cutoffTable[numResponses],cutoffTable[[#This Row],[index]])))</f>
        <v>#N/A</v>
      </c>
      <c r="BU4" cm="1">
        <f t="array" ref="BU4">ROW()-ROW(factorsTable[#Headers])</f>
        <v>2</v>
      </c>
      <c r="BV4">
        <f>_xlfn.XLOOKUP(factorsTable[[#This Row],[index]],factorsConfigTable[index],factorsConfigTable[factorHeader])</f>
        <v>0</v>
      </c>
      <c r="BW4" t="str" cm="1">
        <f t="array" aca="1" ref="BW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4" t="str" cm="1">
        <f t="array" ref="BX4">IF(factorsTable[[#This Row],[factorHeader]]=0, "", ADDRESS(2, factorsTable[[#This Row],[factorColNum]], 1, 0, sheetNameData) &amp; ":" &amp; ADDRESS(numEntries+1, factorsTable[[#This Row],[factorColNum]], 1, 0))</f>
        <v/>
      </c>
      <c r="BY4" t="str">
        <f>IF(factorsTable[[#This Row],[factorHeader]]=0, "", IF(_xlfn.XLOOKUP(factorsTable[[#This Row],[index]],factorsConfigTable[index],factorsConfigTable[minScore])="", NA(), _xlfn.XLOOKUP(factorsTable[[#This Row],[index]],factorsConfigTable[index],factorsConfigTable[minScore])))</f>
        <v/>
      </c>
      <c r="BZ4" t="str">
        <f>IF(factorsTable[[#This Row],[factorHeader]]=0, "", IF(_xlfn.XLOOKUP(factorsTable[[#This Row],[index]],factorsConfigTable[index],factorsConfigTable[maxScore])="", NA(), _xlfn.XLOOKUP(factorsTable[[#This Row],[index]],factorsConfigTable[index],factorsConfigTable[maxScore])))</f>
        <v/>
      </c>
      <c r="CA4" t="str">
        <f ca="1">IF(factorsTable[[#This Row],[factorHeader]]=0, "", IF(ISERROR(factorsTable[[#This Row],[factorColNum]]), NA(), MIN(INDIRECT(factorsTable[[#This Row],[indirectColRef]],FALSE))))</f>
        <v/>
      </c>
      <c r="CB4" t="str">
        <f ca="1">IF(factorsTable[[#This Row],[factorHeader]]=0, "", IF(ISERROR(factorsTable[[#This Row],[factorColNum]]), NA(), MAX(INDIRECT(factorsTable[[#This Row],[indirectColRef]],FALSE))))</f>
        <v/>
      </c>
      <c r="CC4" t="b" cm="1">
        <f t="array" aca="1" ref="CC4" ca="1">AND(
    ISREF(INDIRECT(ADDRESS(1, 1, 1, 0, sheetNameData), FALSE)),
    factorsTable[[#This Row],[factorHeader]]&lt;&gt;0,
    NOT(ISERROR(factorsTable[[#This Row],[factorColNum]])),
    IFERROR(factorsTable[[#This Row],[display]], FALSE),
    IFERROR(factorsTable[[#This Row],[minValue]]&lt;factorsTable[[#This Row],[minScore]], FALSE)
  )</f>
        <v>0</v>
      </c>
      <c r="CD4" t="b" cm="1">
        <f t="array" aca="1" ref="CD4" ca="1">AND(
    ISREF(INDIRECT(ADDRESS(1, 1, 1, 0, sheetNameData), FALSE)),
    factorsTable[[#This Row],[factorHeader]]&lt;&gt;0,
    NOT(ISERROR(factorsTable[[#This Row],[factorColNum]])),
    IFERROR(factorsTable[[#This Row],[display]], FALSE),
    IFERROR(factorsTable[[#This Row],[maxValue]]&gt;factorsTable[[#This Row],[maxScore]], FALSE)
  )</f>
        <v>0</v>
      </c>
      <c r="CE4" t="str" cm="1">
        <f t="array" aca="1" ref="CE4" ca="1">IF(factorsTable[[#This Row],[factorHeader]]=0, "", SUMPRODUCT(IF(isDoer="", 0, 1-isDoer),--(INDIRECT(factorsTable[[#This Row],[indirectColRef]],FALSE)&lt;&gt;"")))</f>
        <v/>
      </c>
      <c r="CF4" t="str" cm="1">
        <f t="array" aca="1" ref="CF4" ca="1">IF(factorsTable[[#This Row],[factorHeader]]=0, "", SUMPRODUCT(IF(isDoer="", 0, isDoer),--(INDIRECT(factorsTable[[#This Row],[indirectColRef]],FALSE)&lt;&gt;"")))</f>
        <v/>
      </c>
      <c r="CG4" t="str" cm="1">
        <f t="array" ref="CG4">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4" t="str" cm="1">
        <f t="array" aca="1" ref="CH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4" t="str" cm="1">
        <f t="array" aca="1" ref="CI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4" t="str">
        <f>IF(factorsTable[[#This Row],[factorHeader]]=0, "", factorsTable[[#This Row],[doers]]-factorsTable[[#This Row],[nondoers]])</f>
        <v/>
      </c>
      <c r="CK4" t="str">
        <f>IF(
    factorsTable[[#This Row],[factorHeader]]=0,
    "",
    _xlfn.XLOOKUP(
      _xlfn.XLOOKUP(factorsTable[[#This Row],[index]], factorsConfigTable[index], factorsConfigTable[displayConfig]),
      yesNoTable[label],
      yesNoTable[tag]
    )
  )</f>
        <v/>
      </c>
      <c r="CL4" s="15" t="b">
        <f>IF(factorsTable[[#This Row],[factorHeader]]=0, FALSE, IF(factorsTable[[#This Row],[displayConfig]]="yes", TRUE, IF(factorsTable[[#This Row],[displayConfig]]="no", FALSE, NA())))</f>
        <v>0</v>
      </c>
      <c r="CM4" s="15" t="str" cm="1">
        <f t="array" aca="1" ref="CM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4" s="15" t="str">
        <f ca="1">IF(
    factorsTable[[#This Row],[filteredIndex]]="",
    "",
    IFERROR(
      _xlfn.XLOOKUP(factorsTable[[#This Row],[filteredIndex]], factorsTable[index], factorsTable[difference]),
      -99
    )
  )</f>
        <v/>
      </c>
      <c r="CO4" s="15" t="str">
        <f ca="1">IF(factorsTable[[#This Row],[filteredIndex]]="", "", IF(factorsTable[[#This Row],[relDiff]]=-99, -99, ABS(factorsTable[[#This Row],[relDiff]])))</f>
        <v/>
      </c>
      <c r="CP4" s="15" t="str">
        <f ca="1">IF(
    factorsTable[[#This Row],[filteredIndex]]="",
    "",
    IFERROR(
      _xlfn.XLOOKUP(
        _xlfn.XLOOKUP(factorsTable[[#This Row],[filteredIndex]], factorsConfigTable[index], factorsConfigTable[RANASBlock]),
        RANASBlocksTable[label],
        RANASBlocksTable[index]
      ),
      6
    )
  )</f>
        <v/>
      </c>
      <c r="CQ4" s="15" t="str">
        <f ca="1">IF(factorsTable[[#This Row],[filteredIndex]]="", "", _xlfn.RANK.EQ(factorsTable[[#This Row],[relDiff]], factorsTable[relDiff], 0))</f>
        <v/>
      </c>
      <c r="CR4" s="15" t="str">
        <f ca="1">IF(factorsTable[[#This Row],[filteredIndex]]="", "", _xlfn.RANK.EQ(factorsTable[[#This Row],[absDiff]], factorsTable[absDiff], 0))</f>
        <v/>
      </c>
      <c r="CS4" s="15" t="str">
        <f ca="1">IF(factorsTable[[#This Row],[filteredIndex]]="", "", _xlfn.RANK.EQ(factorsTable[[#This Row],[RANASIndex]], factorsTable[RANASIndex], 1))</f>
        <v/>
      </c>
      <c r="CT4" s="15" t="str" cm="1">
        <f t="array" aca="1" ref="CT4" ca="1">_xlfn.SWITCH(
    sortingMethodTag,
    "none", factorsTable[[#This Row],[filteredIndex]],
    "relDiff", factorsTable[[#This Row],[relDiffRank]],
    "absDiff", factorsTable[[#This Row],[absDiffRank]],
    "RANAS", factorsTable[[#This Row],[RANASRank]],
    factorsTable[[#This Row],[filteredIndex]]
  )</f>
        <v/>
      </c>
      <c r="CU4" s="15" t="str">
        <f ca="1">IF(
    factorsTable[[#This Row],[filteredIndex]]="",
    "",
    factorsTable[[#This Row],[selectedRank]]
      + COUNTIF(INDEX(factorsTable[selectedRank], 1):INDEX(factorsTable[selectedRank], factorsTable[[#This Row],[index]]), factorsTable[[#This Row],[selectedRank]])
      - 1
  )</f>
        <v/>
      </c>
      <c r="CV4" s="15" t="str">
        <f ca="1">IFERROR(
    _xlfn.XLOOKUP(factorsTable[[#This Row],[index]], factorsTable[uniqueRank], factorsTable[filteredIndex]),
    ""
  )</f>
        <v/>
      </c>
      <c r="CW4" s="15" t="str">
        <f ca="1">IF(factorsTable[[#This Row],[sortedIndex]]="", "", INDEX(factorsConfigTable[],MATCH(factorsTable[[#This Row],[sortedIndex]],factorsConfigTable[index],0),MATCH(chartLanguage,factorsConfigTable_Headers,0)))</f>
        <v/>
      </c>
      <c r="CX4" s="15" t="str" cm="1">
        <f t="array" aca="1" ref="CX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4" s="15" t="str">
        <f ca="1">IF(
    factorsTable[[#This Row],[sortedIndex]]="",
    "",
    _xlfn.XLOOKUP(
      _xlfn.XLOOKUP(factorsTable[[#This Row],[sortedIndex]], factorsConfigTable[index], factorsConfigTable[RANASBlock]),
      RANASBlocksTable[label],
      RANASBlocksTable[tag]
    )
  )</f>
        <v/>
      </c>
      <c r="CZ4" s="15" t="str" cm="1">
        <f t="array" aca="1" ref="CZ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4"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4" s="15" t="str">
        <f ca="1">IF(
    factorsTable[[#This Row],[sortedIndex]]="",
    "",
    _xlfn.XLOOKUP(factorsTable[[#This Row],[sortedIndex]], factorsTable[index], factorsTable[numTotal])
  )</f>
        <v/>
      </c>
      <c r="DC4" s="15" t="str">
        <f ca="1">IF(
    factorsTable[[#This Row],[sortedIndex]]="",
    "",
    _xlfn.XLOOKUP(factorsTable[[#This Row],[sortedIndex]], factorsTable[index], factorsTable[nondoers])
  )</f>
        <v/>
      </c>
      <c r="DD4" s="15" t="str">
        <f ca="1">IF(
    factorsTable[[#This Row],[sortedIndex]]="",
    "",
    _xlfn.XLOOKUP(factorsTable[[#This Row],[sortedIndex]], factorsTable[index], factorsTable[doers])
  )</f>
        <v/>
      </c>
      <c r="DE4" s="15" t="str">
        <f ca="1">IF(
    factorsTable[[#This Row],[sortedIndex]]="",
    "",
    _xlfn.XLOOKUP(factorsTable[[#This Row],[sortedIndex]], factorsTable[index], factorsTable[difference])
  )</f>
        <v/>
      </c>
    </row>
    <row r="5" spans="5:109" ht="14.4" customHeight="1" x14ac:dyDescent="0.3">
      <c r="E5" s="1" cm="1">
        <f t="array" ref="E5">ROW()-ROW(UITranslationTable[#Headers])</f>
        <v>3</v>
      </c>
      <c r="F5" s="1" t="s">
        <v>182</v>
      </c>
      <c r="G5" s="59" t="s">
        <v>183</v>
      </c>
      <c r="H5" s="59" t="s">
        <v>184</v>
      </c>
      <c r="J5" cm="1">
        <f t="array" ref="J5">ROW()-ROW(errorMessagesTable[#Headers])</f>
        <v>3</v>
      </c>
      <c r="K5" t="b" cm="1">
        <f t="array" aca="1" ref="K5" ca="1">AND(ISREF(INDIRECT(ADDRESS(1, 1, 1, 0, sheetNameData), FALSE)), ISNA(dataRefColNum))</f>
        <v>0</v>
      </c>
      <c r="L5" s="1" t="str" cm="1">
        <f t="array" ref="L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M5" s="1" t="str" cm="1">
        <f t="array" ref="M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N5" t="str" cm="1">
        <f t="array" aca="1" ref="N5"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5" s="1" t="str" cm="1">
        <f t="array" aca="1" ref="O5"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5" s="15" cm="1">
        <f t="array" ref="Q5">ROW()-ROW(generalVariablesTable[#Headers])</f>
        <v>3</v>
      </c>
      <c r="R5" t="s">
        <v>278</v>
      </c>
      <c r="S5" s="59" t="str" cm="1">
        <f t="array" aca="1" ref="S5" ca="1">IFERROR(
    SUBSTITUTE(
      _xlfn.TEXTBEFORE(
        _xlfn.TEXTAFTER(CELL(localAddressParameter, behaviourScoreNormHeader), "]", -1),
        IF(
          LEFT(CELL(localAddressParameter, behaviourScoreNormHeader))="'",
          "'!",
          "!"
        ), -1
      ), "''", "'"
    ), "HiddenTables"
  )</f>
        <v>HiddenTables</v>
      </c>
      <c r="U5" s="14" cm="1">
        <f t="array" ref="U5">ROW()-ROW(languageTable[#Headers])</f>
        <v>3</v>
      </c>
      <c r="V5" s="14" t="str" cm="1">
        <f t="array" ref="V5">IFERROR(IF(INDEX(languageHeadersList,languageTable[[#This Row],[index]])&lt;&gt;"",INDEX(languageHeadersList,languageTable[[#This Row],[index]]),""),"")</f>
        <v/>
      </c>
      <c r="W5" s="14" t="b">
        <f>(languageTable[[#This Row],[languageHeaders]]&lt;&gt;"")</f>
        <v>0</v>
      </c>
      <c r="X5" s="14" t="str" cm="1">
        <f t="array" aca="1" ref="X5"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
      </c>
      <c r="Y5" s="14" t="str" cm="1">
        <f t="array" aca="1" ref="Y5" ca="1">IFERROR(INDEX(languageTable[languageHeaders],languageTable[[#This Row],[filteredIndex]]),"")</f>
        <v/>
      </c>
      <c r="AE5" cm="1">
        <f t="array" ref="AE5">ROW()-ROW(RANASBlocksTable[#Headers])</f>
        <v>3</v>
      </c>
      <c r="AF5" t="s">
        <v>137</v>
      </c>
      <c r="AG5" t="str">
        <f>_xlfn.XLOOKUP(RANASBlocksTable[[#This Row],[tag]],chartTranslationTable[tag],chartTranslationTable[lang1]) &amp; " / " &amp; _xlfn.XLOOKUP(RANASBlocksTable[[#This Row],[tag]],chartTranslationTable[tag],chartTranslationTable[lang2])</f>
        <v>Norms / Normes</v>
      </c>
      <c r="AH5" t="str">
        <f>_xlfn.XLOOKUP(RANASBlocksTable[[#This Row],[tag]],chartTranslationTable[tag],chartTranslationTable[displayedText])</f>
        <v>Norms</v>
      </c>
      <c r="AJ5" cm="1">
        <f t="array" ref="AJ5">ROW()-ROW(sortMenuTable[#Headers])</f>
        <v>3</v>
      </c>
      <c r="AK5" t="s">
        <v>100</v>
      </c>
      <c r="AL5" t="s">
        <v>130</v>
      </c>
      <c r="AP5" cm="1">
        <f t="array" ref="AP5">ROW()-ROW(behaviourTable[#Headers])</f>
        <v>3</v>
      </c>
      <c r="AQ5">
        <f>_xlfn.XLOOKUP(behaviourTable[[#This Row],[index]],behaviourConfigTable[index],behaviourConfigTable[behaviourHeader])</f>
        <v>0</v>
      </c>
      <c r="AR5" t="str">
        <f>IF(behaviourTable[[#This Row],[behaviourHeader]]=0, "", _xlfn.XLOOKUP(_xlfn.XLOOKUP(behaviourTable[[#This Row],[index]],behaviourConfigTable[index],behaviourConfigTable[includeConfig]),yesNoTable[label],yesNoTable[tag]))</f>
        <v/>
      </c>
      <c r="AS5" t="b">
        <f>IF(behaviourTable[[#This Row],[behaviourHeader]]=0, FALSE, IF(behaviourTable[[#This Row],[includeConfig]]="yes", TRUE, IF(behaviourTable[[#This Row],[includeConfig]]="no", FALSE, NA())))</f>
        <v>0</v>
      </c>
      <c r="AT5" t="str" cm="1">
        <f t="array" aca="1" ref="AT5"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5" t="str" cm="1">
        <f t="array" ref="AU5">IF(behaviourTable[[#This Row],[behaviourHeader]]=0, "", ADDRESS(2, behaviourTable[[#This Row],[behaviourColNum]], 1, 0, sheetNameData) &amp; ":" &amp; ADDRESS(numEntries+1, behaviourTable[[#This Row],[behaviourColNum]], 1, 0))</f>
        <v/>
      </c>
      <c r="AV5" t="str">
        <f>IF(behaviourTable[[#This Row],[behaviourHeader]]=0, "", IF(_xlfn.XLOOKUP(behaviourTable[[#This Row],[index]],behaviourConfigTable[index],behaviourConfigTable[minScore])="", NA(), _xlfn.XLOOKUP(behaviourTable[[#This Row],[index]],behaviourConfigTable[index],behaviourConfigTable[minScore])))</f>
        <v/>
      </c>
      <c r="AW5" t="str">
        <f>IF(behaviourTable[[#This Row],[behaviourHeader]]=0, "", IF(_xlfn.XLOOKUP(behaviourTable[[#This Row],[index]],behaviourConfigTable[index],behaviourConfigTable[maxScore])="", NA(), _xlfn.XLOOKUP(behaviourTable[[#This Row],[index]],behaviourConfigTable[index],behaviourConfigTable[maxScore])))</f>
        <v/>
      </c>
      <c r="AX5" t="str">
        <f ca="1">IF(behaviourTable[[#This Row],[behaviourHeader]]=0, "", IF(ISERROR(behaviourTable[[#This Row],[behaviourColNum]]), NA(), MIN(INDIRECT(behaviourTable[[#This Row],[indirectColRef]],FALSE))))</f>
        <v/>
      </c>
      <c r="AY5" t="str">
        <f ca="1">IF(behaviourTable[[#This Row],[behaviourHeader]]=0, "", IF(ISERROR(behaviourTable[[#This Row],[behaviourColNum]]), NA(), MAX(INDIRECT(behaviourTable[[#This Row],[indirectColRef]],FALSE))))</f>
        <v/>
      </c>
      <c r="AZ5" t="b" cm="1">
        <f t="array" aca="1" ref="AZ5" ca="1">AND(
    ISREF(INDIRECT(ADDRESS(1, 1, 1, 0, sheetNameData), FALSE)),
    behaviourTable[[#This Row],[behaviourHeader]]&lt;&gt;0,
    NOT(ISERROR(behaviourTable[[#This Row],[behaviourColNum]])),
    IFERROR(behaviourTable[[#This Row],[include]], FALSE),
    IFERROR(behaviourTable[[#This Row],[minValue]]&lt;behaviourTable[[#This Row],[minScore]], FALSE)
  )</f>
        <v>0</v>
      </c>
      <c r="BA5" t="b" cm="1">
        <f t="array" aca="1" ref="BA5" ca="1">AND(
    ISREF(INDIRECT(ADDRESS(1, 1, 1, 0, sheetNameData), FALSE)),
    behaviourTable[[#This Row],[behaviourHeader]]&lt;&gt;0,
    NOT(ISERROR(behaviourTable[[#This Row],[behaviourColNum]])),
    IFERROR(behaviourTable[[#This Row],[include]], FALSE),
    IFERROR(behaviourTable[[#This Row],[maxValue]]&gt;behaviourTable[[#This Row],[maxScore]], FALSE)
  )</f>
        <v>0</v>
      </c>
      <c r="BB5" t="str" cm="1">
        <f t="array" aca="1" ref="BB5"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5" t="str" cm="1">
        <f t="array" ref="BC5">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H5" s="17" cm="1">
        <f t="array" ref="BH5">ROW()-ROW(cutoffTable[#Headers])</f>
        <v>3</v>
      </c>
      <c r="BI5" s="16">
        <v>0.3</v>
      </c>
      <c r="BJ5" t="s">
        <v>292</v>
      </c>
      <c r="BK5" t="e" cm="1">
        <f t="array" aca="1" ref="BK5" ca="1">COUNTIFS(behaviourScoreNorm, "&gt;=" &amp; IF(cutoffTable[[#This Row],[index]]=1,0, INDEX(cutoffTable[cutoffLevel],cutoffTable[[#This Row],[index]]-1)), behaviourScoreNorm, "&lt;" &amp; IF(cutoffTable[[#This Row],[cutoffLevel]]=1,"=","") &amp; cutoffTable[[#This Row],[cutoffLevel]])</f>
        <v>#N/A</v>
      </c>
      <c r="BL5" t="e" cm="1">
        <f t="array" aca="1" ref="BL5" ca="1">COUNTIFS(
    behaviourScoreNorm, "&gt;=" &amp; IF(cutoffTable[[#This Row],[index]]=1,0, INDEX(cutoffTable[cutoffLevel],cutoffTable[[#This Row],[index]]-1)),
    behaviourScoreNorm, "&lt;" &amp; IF(cutoffTable[[#This Row],[cutoffLevel]]=1,"=","") &amp; cutoffTable[[#This Row],[cutoffLevel]],
    behaviourScoreNorm, "&lt;" &amp; cutoffLevel
  )</f>
        <v>#N/A</v>
      </c>
      <c r="BM5" t="e" cm="1">
        <f t="array" aca="1" ref="BM5" ca="1">COUNTIFS(
    behaviourScoreNorm, "&gt;=" &amp; IF(cutoffTable[[#This Row],[index]]=1,0, INDEX(cutoffTable[cutoffLevel],cutoffTable[[#This Row],[index]]-1)),
    behaviourScoreNorm, "&lt;" &amp; IF(cutoffTable[[#This Row],[cutoffLevel]]=1,"=","") &amp; cutoffTable[[#This Row],[cutoffLevel]],
    behaviourScoreNorm, "&gt;=" &amp; cutoffLevel
  )</f>
        <v>#N/A</v>
      </c>
      <c r="BN5" t="e">
        <f ca="1">ABS(SUM(cutoffTable[numResponses])-2*SUM(INDEX(cutoffTable[numResponses],1):INDEX(cutoffTable[numResponses],cutoffTable[[#This Row],[index]])))</f>
        <v>#N/A</v>
      </c>
      <c r="BU5" cm="1">
        <f t="array" ref="BU5">ROW()-ROW(factorsTable[#Headers])</f>
        <v>3</v>
      </c>
      <c r="BV5">
        <f>_xlfn.XLOOKUP(factorsTable[[#This Row],[index]],factorsConfigTable[index],factorsConfigTable[factorHeader])</f>
        <v>0</v>
      </c>
      <c r="BW5" t="str" cm="1">
        <f t="array" aca="1" ref="BW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5" t="str" cm="1">
        <f t="array" ref="BX5">IF(factorsTable[[#This Row],[factorHeader]]=0, "", ADDRESS(2, factorsTable[[#This Row],[factorColNum]], 1, 0, sheetNameData) &amp; ":" &amp; ADDRESS(numEntries+1, factorsTable[[#This Row],[factorColNum]], 1, 0))</f>
        <v/>
      </c>
      <c r="BY5" t="str">
        <f>IF(factorsTable[[#This Row],[factorHeader]]=0, "", IF(_xlfn.XLOOKUP(factorsTable[[#This Row],[index]],factorsConfigTable[index],factorsConfigTable[minScore])="", NA(), _xlfn.XLOOKUP(factorsTable[[#This Row],[index]],factorsConfigTable[index],factorsConfigTable[minScore])))</f>
        <v/>
      </c>
      <c r="BZ5" t="str">
        <f>IF(factorsTable[[#This Row],[factorHeader]]=0, "", IF(_xlfn.XLOOKUP(factorsTable[[#This Row],[index]],factorsConfigTable[index],factorsConfigTable[maxScore])="", NA(), _xlfn.XLOOKUP(factorsTable[[#This Row],[index]],factorsConfigTable[index],factorsConfigTable[maxScore])))</f>
        <v/>
      </c>
      <c r="CA5" t="str">
        <f ca="1">IF(factorsTable[[#This Row],[factorHeader]]=0, "", IF(ISERROR(factorsTable[[#This Row],[factorColNum]]), NA(), MIN(INDIRECT(factorsTable[[#This Row],[indirectColRef]],FALSE))))</f>
        <v/>
      </c>
      <c r="CB5" t="str">
        <f ca="1">IF(factorsTable[[#This Row],[factorHeader]]=0, "", IF(ISERROR(factorsTable[[#This Row],[factorColNum]]), NA(), MAX(INDIRECT(factorsTable[[#This Row],[indirectColRef]],FALSE))))</f>
        <v/>
      </c>
      <c r="CC5" t="b" cm="1">
        <f t="array" aca="1" ref="CC5" ca="1">AND(
    ISREF(INDIRECT(ADDRESS(1, 1, 1, 0, sheetNameData), FALSE)),
    factorsTable[[#This Row],[factorHeader]]&lt;&gt;0,
    NOT(ISERROR(factorsTable[[#This Row],[factorColNum]])),
    IFERROR(factorsTable[[#This Row],[display]], FALSE),
    IFERROR(factorsTable[[#This Row],[minValue]]&lt;factorsTable[[#This Row],[minScore]], FALSE)
  )</f>
        <v>0</v>
      </c>
      <c r="CD5" t="b" cm="1">
        <f t="array" aca="1" ref="CD5" ca="1">AND(
    ISREF(INDIRECT(ADDRESS(1, 1, 1, 0, sheetNameData), FALSE)),
    factorsTable[[#This Row],[factorHeader]]&lt;&gt;0,
    NOT(ISERROR(factorsTable[[#This Row],[factorColNum]])),
    IFERROR(factorsTable[[#This Row],[display]], FALSE),
    IFERROR(factorsTable[[#This Row],[maxValue]]&gt;factorsTable[[#This Row],[maxScore]], FALSE)
  )</f>
        <v>0</v>
      </c>
      <c r="CE5" t="str" cm="1">
        <f t="array" aca="1" ref="CE5" ca="1">IF(factorsTable[[#This Row],[factorHeader]]=0, "", SUMPRODUCT(IF(isDoer="", 0, 1-isDoer),--(INDIRECT(factorsTable[[#This Row],[indirectColRef]],FALSE)&lt;&gt;"")))</f>
        <v/>
      </c>
      <c r="CF5" t="str" cm="1">
        <f t="array" aca="1" ref="CF5" ca="1">IF(factorsTable[[#This Row],[factorHeader]]=0, "", SUMPRODUCT(IF(isDoer="", 0, isDoer),--(INDIRECT(factorsTable[[#This Row],[indirectColRef]],FALSE)&lt;&gt;"")))</f>
        <v/>
      </c>
      <c r="CG5" t="str" cm="1">
        <f t="array" ref="CG5">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5" t="str" cm="1">
        <f t="array" aca="1" ref="CH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5" t="str" cm="1">
        <f t="array" aca="1" ref="CI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5" t="str">
        <f>IF(factorsTable[[#This Row],[factorHeader]]=0, "", factorsTable[[#This Row],[doers]]-factorsTable[[#This Row],[nondoers]])</f>
        <v/>
      </c>
      <c r="CK5" t="str">
        <f>IF(
    factorsTable[[#This Row],[factorHeader]]=0,
    "",
    _xlfn.XLOOKUP(
      _xlfn.XLOOKUP(factorsTable[[#This Row],[index]], factorsConfigTable[index], factorsConfigTable[displayConfig]),
      yesNoTable[label],
      yesNoTable[tag]
    )
  )</f>
        <v/>
      </c>
      <c r="CL5" s="15" t="b">
        <f>IF(factorsTable[[#This Row],[factorHeader]]=0, FALSE, IF(factorsTable[[#This Row],[displayConfig]]="yes", TRUE, IF(factorsTable[[#This Row],[displayConfig]]="no", FALSE, NA())))</f>
        <v>0</v>
      </c>
      <c r="CM5" s="15" t="str" cm="1">
        <f t="array" aca="1" ref="CM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5" s="15" t="str">
        <f ca="1">IF(
    factorsTable[[#This Row],[filteredIndex]]="",
    "",
    IFERROR(
      _xlfn.XLOOKUP(factorsTable[[#This Row],[filteredIndex]], factorsTable[index], factorsTable[difference]),
      -99
    )
  )</f>
        <v/>
      </c>
      <c r="CO5" s="15" t="str">
        <f ca="1">IF(factorsTable[[#This Row],[filteredIndex]]="", "", IF(factorsTable[[#This Row],[relDiff]]=-99, -99, ABS(factorsTable[[#This Row],[relDiff]])))</f>
        <v/>
      </c>
      <c r="CP5" s="15" t="str">
        <f ca="1">IF(
    factorsTable[[#This Row],[filteredIndex]]="",
    "",
    IFERROR(
      _xlfn.XLOOKUP(
        _xlfn.XLOOKUP(factorsTable[[#This Row],[filteredIndex]], factorsConfigTable[index], factorsConfigTable[RANASBlock]),
        RANASBlocksTable[label],
        RANASBlocksTable[index]
      ),
      6
    )
  )</f>
        <v/>
      </c>
      <c r="CQ5" s="15" t="str">
        <f ca="1">IF(factorsTable[[#This Row],[filteredIndex]]="", "", _xlfn.RANK.EQ(factorsTable[[#This Row],[relDiff]], factorsTable[relDiff], 0))</f>
        <v/>
      </c>
      <c r="CR5" s="15" t="str">
        <f ca="1">IF(factorsTable[[#This Row],[filteredIndex]]="", "", _xlfn.RANK.EQ(factorsTable[[#This Row],[absDiff]], factorsTable[absDiff], 0))</f>
        <v/>
      </c>
      <c r="CS5" s="15" t="str">
        <f ca="1">IF(factorsTable[[#This Row],[filteredIndex]]="", "", _xlfn.RANK.EQ(factorsTable[[#This Row],[RANASIndex]], factorsTable[RANASIndex], 1))</f>
        <v/>
      </c>
      <c r="CT5" s="15" t="str" cm="1">
        <f t="array" aca="1" ref="CT5" ca="1">_xlfn.SWITCH(
    sortingMethodTag,
    "none", factorsTable[[#This Row],[filteredIndex]],
    "relDiff", factorsTable[[#This Row],[relDiffRank]],
    "absDiff", factorsTable[[#This Row],[absDiffRank]],
    "RANAS", factorsTable[[#This Row],[RANASRank]],
    factorsTable[[#This Row],[filteredIndex]]
  )</f>
        <v/>
      </c>
      <c r="CU5" s="15" t="str">
        <f ca="1">IF(
    factorsTable[[#This Row],[filteredIndex]]="",
    "",
    factorsTable[[#This Row],[selectedRank]]
      + COUNTIF(INDEX(factorsTable[selectedRank], 1):INDEX(factorsTable[selectedRank], factorsTable[[#This Row],[index]]), factorsTable[[#This Row],[selectedRank]])
      - 1
  )</f>
        <v/>
      </c>
      <c r="CV5" s="15" t="str">
        <f ca="1">IFERROR(
    _xlfn.XLOOKUP(factorsTable[[#This Row],[index]], factorsTable[uniqueRank], factorsTable[filteredIndex]),
    ""
  )</f>
        <v/>
      </c>
      <c r="CW5" s="15" t="str">
        <f ca="1">IF(factorsTable[[#This Row],[sortedIndex]]="", "", INDEX(factorsConfigTable[],MATCH(factorsTable[[#This Row],[sortedIndex]],factorsConfigTable[index],0),MATCH(chartLanguage,factorsConfigTable_Headers,0)))</f>
        <v/>
      </c>
      <c r="CX5" s="15" t="str" cm="1">
        <f t="array" aca="1" ref="CX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5" s="15" t="str">
        <f ca="1">IF(
    factorsTable[[#This Row],[sortedIndex]]="",
    "",
    _xlfn.XLOOKUP(
      _xlfn.XLOOKUP(factorsTable[[#This Row],[sortedIndex]], factorsConfigTable[index], factorsConfigTable[RANASBlock]),
      RANASBlocksTable[label],
      RANASBlocksTable[tag]
    )
  )</f>
        <v/>
      </c>
      <c r="CZ5" s="15" t="str" cm="1">
        <f t="array" aca="1" ref="CZ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5"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5" s="15" t="str">
        <f ca="1">IF(
    factorsTable[[#This Row],[sortedIndex]]="",
    "",
    _xlfn.XLOOKUP(factorsTable[[#This Row],[sortedIndex]], factorsTable[index], factorsTable[numTotal])
  )</f>
        <v/>
      </c>
      <c r="DC5" s="15" t="str">
        <f ca="1">IF(
    factorsTable[[#This Row],[sortedIndex]]="",
    "",
    _xlfn.XLOOKUP(factorsTable[[#This Row],[sortedIndex]], factorsTable[index], factorsTable[nondoers])
  )</f>
        <v/>
      </c>
      <c r="DD5" s="15" t="str">
        <f ca="1">IF(
    factorsTable[[#This Row],[sortedIndex]]="",
    "",
    _xlfn.XLOOKUP(factorsTable[[#This Row],[sortedIndex]], factorsTable[index], factorsTable[doers])
  )</f>
        <v/>
      </c>
      <c r="DE5" s="15" t="str">
        <f ca="1">IF(
    factorsTable[[#This Row],[sortedIndex]]="",
    "",
    _xlfn.XLOOKUP(factorsTable[[#This Row],[sortedIndex]], factorsTable[index], factorsTable[difference])
  )</f>
        <v/>
      </c>
    </row>
    <row r="6" spans="5:109" ht="14.4" customHeight="1" x14ac:dyDescent="0.3">
      <c r="E6" s="40" cm="1">
        <f t="array" ref="E6">ROW()-ROW(UITranslationTable[#Headers])</f>
        <v>4</v>
      </c>
      <c r="F6" s="1"/>
      <c r="G6" s="59"/>
      <c r="H6" s="59"/>
      <c r="J6" cm="1">
        <f t="array" ref="J6">ROW()-ROW(errorMessagesTable[#Headers])</f>
        <v>4</v>
      </c>
      <c r="K6" s="20" t="b" cm="1">
        <f t="array" aca="1" ref="K6" ca="1">AND(
    ISREF(INDIRECT(ADDRESS(1, 1, 1, 0, sheetNameData), FALSE)),
    NOT(
      ISNA(
        MATCH(
          "* *",
          INDIRECT(ADDRESS(1, 1, 1, 0, sheetNameData) &amp; ":" &amp; ADDRESS(1, maxColNum, 1, 0), FALSE),
          0
        )
      )
    )
  )</f>
        <v>0</v>
      </c>
      <c r="L6" s="1" t="str" cm="1">
        <f t="array" ref="L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M6" s="1" t="str" cm="1">
        <f t="array" ref="M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N6" t="str" cm="1">
        <f t="array" aca="1" ref="N6"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6" s="1" t="str" cm="1">
        <f t="array" aca="1" ref="O6"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6" s="15" cm="1">
        <f t="array" ref="Q6">ROW()-ROW(generalVariablesTable[#Headers])</f>
        <v>4</v>
      </c>
      <c r="R6" s="68" t="s">
        <v>348</v>
      </c>
      <c r="S6" s="59" t="str" cm="1">
        <f t="array" aca="1" ref="S6" ca="1">IFERROR(
    SUBSTITUTE(
      _xlfn.TEXTBEFORE(
        _xlfn.TEXTAFTER(CELL(localAddressParameter, UILanguage), "]", -1),
        IF(
          LEFT(CELL(localAddressParameter, UILanguage))="'",
          "'!",
          "!"
        ), -1
      ), "''", "'"
    ), "Introduction"
  )</f>
        <v>Introduction</v>
      </c>
      <c r="U6" s="14" cm="1">
        <f t="array" ref="U6">ROW()-ROW(languageTable[#Headers])</f>
        <v>4</v>
      </c>
      <c r="V6" s="14" t="str" cm="1">
        <f t="array" ref="V6">IFERROR(IF(INDEX(languageHeadersList,languageTable[[#This Row],[index]])&lt;&gt;"",INDEX(languageHeadersList,languageTable[[#This Row],[index]]),""),"")</f>
        <v/>
      </c>
      <c r="W6" s="14" t="b">
        <f>(languageTable[[#This Row],[languageHeaders]]&lt;&gt;"")</f>
        <v>0</v>
      </c>
      <c r="X6" s="14" t="str" cm="1">
        <f t="array" aca="1" ref="X6"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
      </c>
      <c r="Y6" s="14" t="str" cm="1">
        <f t="array" aca="1" ref="Y6" ca="1">IFERROR(INDEX(languageTable[languageHeaders],languageTable[[#This Row],[filteredIndex]]),"")</f>
        <v/>
      </c>
      <c r="AE6" cm="1">
        <f t="array" ref="AE6">ROW()-ROW(RANASBlocksTable[#Headers])</f>
        <v>4</v>
      </c>
      <c r="AF6" t="s">
        <v>139</v>
      </c>
      <c r="AG6" t="str">
        <f>_xlfn.XLOOKUP(RANASBlocksTable[[#This Row],[tag]],chartTranslationTable[tag],chartTranslationTable[lang1]) &amp; " / " &amp; _xlfn.XLOOKUP(RANASBlocksTable[[#This Row],[tag]],chartTranslationTable[tag],chartTranslationTable[lang2])</f>
        <v>Abilities / Capacités</v>
      </c>
      <c r="AH6" t="str">
        <f>_xlfn.XLOOKUP(RANASBlocksTable[[#This Row],[tag]],chartTranslationTable[tag],chartTranslationTable[displayedText])</f>
        <v>Abilities</v>
      </c>
      <c r="AJ6" cm="1">
        <f t="array" ref="AJ6">ROW()-ROW(sortMenuTable[#Headers])</f>
        <v>4</v>
      </c>
      <c r="AK6" t="s">
        <v>120</v>
      </c>
      <c r="AL6" t="s">
        <v>120</v>
      </c>
      <c r="AP6" cm="1">
        <f t="array" ref="AP6">ROW()-ROW(behaviourTable[#Headers])</f>
        <v>4</v>
      </c>
      <c r="AQ6">
        <f>_xlfn.XLOOKUP(behaviourTable[[#This Row],[index]],behaviourConfigTable[index],behaviourConfigTable[behaviourHeader])</f>
        <v>0</v>
      </c>
      <c r="AR6" t="str">
        <f>IF(behaviourTable[[#This Row],[behaviourHeader]]=0, "", _xlfn.XLOOKUP(_xlfn.XLOOKUP(behaviourTable[[#This Row],[index]],behaviourConfigTable[index],behaviourConfigTable[includeConfig]),yesNoTable[label],yesNoTable[tag]))</f>
        <v/>
      </c>
      <c r="AS6" t="b">
        <f>IF(behaviourTable[[#This Row],[behaviourHeader]]=0, FALSE, IF(behaviourTable[[#This Row],[includeConfig]]="yes", TRUE, IF(behaviourTable[[#This Row],[includeConfig]]="no", FALSE, NA())))</f>
        <v>0</v>
      </c>
      <c r="AT6" t="str" cm="1">
        <f t="array" aca="1" ref="AT6"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6" t="str" cm="1">
        <f t="array" ref="AU6">IF(behaviourTable[[#This Row],[behaviourHeader]]=0, "", ADDRESS(2, behaviourTable[[#This Row],[behaviourColNum]], 1, 0, sheetNameData) &amp; ":" &amp; ADDRESS(numEntries+1, behaviourTable[[#This Row],[behaviourColNum]], 1, 0))</f>
        <v/>
      </c>
      <c r="AV6" t="str">
        <f>IF(behaviourTable[[#This Row],[behaviourHeader]]=0, "", IF(_xlfn.XLOOKUP(behaviourTable[[#This Row],[index]],behaviourConfigTable[index],behaviourConfigTable[minScore])="", NA(), _xlfn.XLOOKUP(behaviourTable[[#This Row],[index]],behaviourConfigTable[index],behaviourConfigTable[minScore])))</f>
        <v/>
      </c>
      <c r="AW6" t="str">
        <f>IF(behaviourTable[[#This Row],[behaviourHeader]]=0, "", IF(_xlfn.XLOOKUP(behaviourTable[[#This Row],[index]],behaviourConfigTable[index],behaviourConfigTable[maxScore])="", NA(), _xlfn.XLOOKUP(behaviourTable[[#This Row],[index]],behaviourConfigTable[index],behaviourConfigTable[maxScore])))</f>
        <v/>
      </c>
      <c r="AX6" t="str">
        <f ca="1">IF(behaviourTable[[#This Row],[behaviourHeader]]=0, "", IF(ISERROR(behaviourTable[[#This Row],[behaviourColNum]]), NA(), MIN(INDIRECT(behaviourTable[[#This Row],[indirectColRef]],FALSE))))</f>
        <v/>
      </c>
      <c r="AY6" t="str">
        <f ca="1">IF(behaviourTable[[#This Row],[behaviourHeader]]=0, "", IF(ISERROR(behaviourTable[[#This Row],[behaviourColNum]]), NA(), MAX(INDIRECT(behaviourTable[[#This Row],[indirectColRef]],FALSE))))</f>
        <v/>
      </c>
      <c r="AZ6" t="b" cm="1">
        <f t="array" aca="1" ref="AZ6" ca="1">AND(
    ISREF(INDIRECT(ADDRESS(1, 1, 1, 0, sheetNameData), FALSE)),
    behaviourTable[[#This Row],[behaviourHeader]]&lt;&gt;0,
    NOT(ISERROR(behaviourTable[[#This Row],[behaviourColNum]])),
    IFERROR(behaviourTable[[#This Row],[include]], FALSE),
    IFERROR(behaviourTable[[#This Row],[minValue]]&lt;behaviourTable[[#This Row],[minScore]], FALSE)
  )</f>
        <v>0</v>
      </c>
      <c r="BA6" t="b" cm="1">
        <f t="array" aca="1" ref="BA6" ca="1">AND(
    ISREF(INDIRECT(ADDRESS(1, 1, 1, 0, sheetNameData), FALSE)),
    behaviourTable[[#This Row],[behaviourHeader]]&lt;&gt;0,
    NOT(ISERROR(behaviourTable[[#This Row],[behaviourColNum]])),
    IFERROR(behaviourTable[[#This Row],[include]], FALSE),
    IFERROR(behaviourTable[[#This Row],[maxValue]]&gt;behaviourTable[[#This Row],[maxScore]], FALSE)
  )</f>
        <v>0</v>
      </c>
      <c r="BB6" t="str" cm="1">
        <f t="array" aca="1" ref="BB6"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6" t="str" cm="1">
        <f t="array" ref="BC6">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H6" s="17" cm="1">
        <f t="array" ref="BH6">ROW()-ROW(cutoffTable[#Headers])</f>
        <v>4</v>
      </c>
      <c r="BI6" s="16">
        <v>0.4</v>
      </c>
      <c r="BJ6" t="s">
        <v>293</v>
      </c>
      <c r="BK6" t="e" cm="1">
        <f t="array" aca="1" ref="BK6" ca="1">COUNTIFS(behaviourScoreNorm, "&gt;=" &amp; IF(cutoffTable[[#This Row],[index]]=1,0, INDEX(cutoffTable[cutoffLevel],cutoffTable[[#This Row],[index]]-1)), behaviourScoreNorm, "&lt;" &amp; IF(cutoffTable[[#This Row],[cutoffLevel]]=1,"=","") &amp; cutoffTable[[#This Row],[cutoffLevel]])</f>
        <v>#N/A</v>
      </c>
      <c r="BL6" t="e" cm="1">
        <f t="array" aca="1" ref="BL6" ca="1">COUNTIFS(
    behaviourScoreNorm, "&gt;=" &amp; IF(cutoffTable[[#This Row],[index]]=1,0, INDEX(cutoffTable[cutoffLevel],cutoffTable[[#This Row],[index]]-1)),
    behaviourScoreNorm, "&lt;" &amp; IF(cutoffTable[[#This Row],[cutoffLevel]]=1,"=","") &amp; cutoffTable[[#This Row],[cutoffLevel]],
    behaviourScoreNorm, "&lt;" &amp; cutoffLevel
  )</f>
        <v>#N/A</v>
      </c>
      <c r="BM6" t="e" cm="1">
        <f t="array" aca="1" ref="BM6" ca="1">COUNTIFS(
    behaviourScoreNorm, "&gt;=" &amp; IF(cutoffTable[[#This Row],[index]]=1,0, INDEX(cutoffTable[cutoffLevel],cutoffTable[[#This Row],[index]]-1)),
    behaviourScoreNorm, "&lt;" &amp; IF(cutoffTable[[#This Row],[cutoffLevel]]=1,"=","") &amp; cutoffTable[[#This Row],[cutoffLevel]],
    behaviourScoreNorm, "&gt;=" &amp; cutoffLevel
  )</f>
        <v>#N/A</v>
      </c>
      <c r="BN6" t="e">
        <f ca="1">ABS(SUM(cutoffTable[numResponses])-2*SUM(INDEX(cutoffTable[numResponses],1):INDEX(cutoffTable[numResponses],cutoffTable[[#This Row],[index]])))</f>
        <v>#N/A</v>
      </c>
      <c r="BU6" cm="1">
        <f t="array" ref="BU6">ROW()-ROW(factorsTable[#Headers])</f>
        <v>4</v>
      </c>
      <c r="BV6">
        <f>_xlfn.XLOOKUP(factorsTable[[#This Row],[index]],factorsConfigTable[index],factorsConfigTable[factorHeader])</f>
        <v>0</v>
      </c>
      <c r="BW6" t="str" cm="1">
        <f t="array" aca="1" ref="BW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6" t="str" cm="1">
        <f t="array" ref="BX6">IF(factorsTable[[#This Row],[factorHeader]]=0, "", ADDRESS(2, factorsTable[[#This Row],[factorColNum]], 1, 0, sheetNameData) &amp; ":" &amp; ADDRESS(numEntries+1, factorsTable[[#This Row],[factorColNum]], 1, 0))</f>
        <v/>
      </c>
      <c r="BY6" t="str">
        <f>IF(factorsTable[[#This Row],[factorHeader]]=0, "", IF(_xlfn.XLOOKUP(factorsTable[[#This Row],[index]],factorsConfigTable[index],factorsConfigTable[minScore])="", NA(), _xlfn.XLOOKUP(factorsTable[[#This Row],[index]],factorsConfigTable[index],factorsConfigTable[minScore])))</f>
        <v/>
      </c>
      <c r="BZ6" t="str">
        <f>IF(factorsTable[[#This Row],[factorHeader]]=0, "", IF(_xlfn.XLOOKUP(factorsTable[[#This Row],[index]],factorsConfigTable[index],factorsConfigTable[maxScore])="", NA(), _xlfn.XLOOKUP(factorsTable[[#This Row],[index]],factorsConfigTable[index],factorsConfigTable[maxScore])))</f>
        <v/>
      </c>
      <c r="CA6" t="str">
        <f ca="1">IF(factorsTable[[#This Row],[factorHeader]]=0, "", IF(ISERROR(factorsTable[[#This Row],[factorColNum]]), NA(), MIN(INDIRECT(factorsTable[[#This Row],[indirectColRef]],FALSE))))</f>
        <v/>
      </c>
      <c r="CB6" t="str">
        <f ca="1">IF(factorsTable[[#This Row],[factorHeader]]=0, "", IF(ISERROR(factorsTable[[#This Row],[factorColNum]]), NA(), MAX(INDIRECT(factorsTable[[#This Row],[indirectColRef]],FALSE))))</f>
        <v/>
      </c>
      <c r="CC6" t="b" cm="1">
        <f t="array" aca="1" ref="CC6" ca="1">AND(
    ISREF(INDIRECT(ADDRESS(1, 1, 1, 0, sheetNameData), FALSE)),
    factorsTable[[#This Row],[factorHeader]]&lt;&gt;0,
    NOT(ISERROR(factorsTable[[#This Row],[factorColNum]])),
    IFERROR(factorsTable[[#This Row],[display]], FALSE),
    IFERROR(factorsTable[[#This Row],[minValue]]&lt;factorsTable[[#This Row],[minScore]], FALSE)
  )</f>
        <v>0</v>
      </c>
      <c r="CD6" t="b" cm="1">
        <f t="array" aca="1" ref="CD6" ca="1">AND(
    ISREF(INDIRECT(ADDRESS(1, 1, 1, 0, sheetNameData), FALSE)),
    factorsTable[[#This Row],[factorHeader]]&lt;&gt;0,
    NOT(ISERROR(factorsTable[[#This Row],[factorColNum]])),
    IFERROR(factorsTable[[#This Row],[display]], FALSE),
    IFERROR(factorsTable[[#This Row],[maxValue]]&gt;factorsTable[[#This Row],[maxScore]], FALSE)
  )</f>
        <v>0</v>
      </c>
      <c r="CE6" t="str" cm="1">
        <f t="array" aca="1" ref="CE6" ca="1">IF(factorsTable[[#This Row],[factorHeader]]=0, "", SUMPRODUCT(IF(isDoer="", 0, 1-isDoer),--(INDIRECT(factorsTable[[#This Row],[indirectColRef]],FALSE)&lt;&gt;"")))</f>
        <v/>
      </c>
      <c r="CF6" t="str" cm="1">
        <f t="array" aca="1" ref="CF6" ca="1">IF(factorsTable[[#This Row],[factorHeader]]=0, "", SUMPRODUCT(IF(isDoer="", 0, isDoer),--(INDIRECT(factorsTable[[#This Row],[indirectColRef]],FALSE)&lt;&gt;"")))</f>
        <v/>
      </c>
      <c r="CG6" t="str" cm="1">
        <f t="array" ref="CG6">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6" t="str" cm="1">
        <f t="array" aca="1" ref="CH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6" t="str" cm="1">
        <f t="array" aca="1" ref="CI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6" t="str">
        <f>IF(factorsTable[[#This Row],[factorHeader]]=0, "", factorsTable[[#This Row],[doers]]-factorsTable[[#This Row],[nondoers]])</f>
        <v/>
      </c>
      <c r="CK6" t="str">
        <f>IF(
    factorsTable[[#This Row],[factorHeader]]=0,
    "",
    _xlfn.XLOOKUP(
      _xlfn.XLOOKUP(factorsTable[[#This Row],[index]], factorsConfigTable[index], factorsConfigTable[displayConfig]),
      yesNoTable[label],
      yesNoTable[tag]
    )
  )</f>
        <v/>
      </c>
      <c r="CL6" s="15" t="b">
        <f>IF(factorsTable[[#This Row],[factorHeader]]=0, FALSE, IF(factorsTable[[#This Row],[displayConfig]]="yes", TRUE, IF(factorsTable[[#This Row],[displayConfig]]="no", FALSE, NA())))</f>
        <v>0</v>
      </c>
      <c r="CM6" s="15" t="str" cm="1">
        <f t="array" aca="1" ref="CM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6" s="15" t="str">
        <f ca="1">IF(
    factorsTable[[#This Row],[filteredIndex]]="",
    "",
    IFERROR(
      _xlfn.XLOOKUP(factorsTable[[#This Row],[filteredIndex]], factorsTable[index], factorsTable[difference]),
      -99
    )
  )</f>
        <v/>
      </c>
      <c r="CO6" s="15" t="str">
        <f ca="1">IF(factorsTable[[#This Row],[filteredIndex]]="", "", IF(factorsTable[[#This Row],[relDiff]]=-99, -99, ABS(factorsTable[[#This Row],[relDiff]])))</f>
        <v/>
      </c>
      <c r="CP6" s="15" t="str">
        <f ca="1">IF(
    factorsTable[[#This Row],[filteredIndex]]="",
    "",
    IFERROR(
      _xlfn.XLOOKUP(
        _xlfn.XLOOKUP(factorsTable[[#This Row],[filteredIndex]], factorsConfigTable[index], factorsConfigTable[RANASBlock]),
        RANASBlocksTable[label],
        RANASBlocksTable[index]
      ),
      6
    )
  )</f>
        <v/>
      </c>
      <c r="CQ6" s="15" t="str">
        <f ca="1">IF(factorsTable[[#This Row],[filteredIndex]]="", "", _xlfn.RANK.EQ(factorsTable[[#This Row],[relDiff]], factorsTable[relDiff], 0))</f>
        <v/>
      </c>
      <c r="CR6" s="15" t="str">
        <f ca="1">IF(factorsTable[[#This Row],[filteredIndex]]="", "", _xlfn.RANK.EQ(factorsTable[[#This Row],[absDiff]], factorsTable[absDiff], 0))</f>
        <v/>
      </c>
      <c r="CS6" s="15" t="str">
        <f ca="1">IF(factorsTable[[#This Row],[filteredIndex]]="", "", _xlfn.RANK.EQ(factorsTable[[#This Row],[RANASIndex]], factorsTable[RANASIndex], 1))</f>
        <v/>
      </c>
      <c r="CT6" s="15" t="str" cm="1">
        <f t="array" aca="1" ref="CT6" ca="1">_xlfn.SWITCH(
    sortingMethodTag,
    "none", factorsTable[[#This Row],[filteredIndex]],
    "relDiff", factorsTable[[#This Row],[relDiffRank]],
    "absDiff", factorsTable[[#This Row],[absDiffRank]],
    "RANAS", factorsTable[[#This Row],[RANASRank]],
    factorsTable[[#This Row],[filteredIndex]]
  )</f>
        <v/>
      </c>
      <c r="CU6" s="15" t="str">
        <f ca="1">IF(
    factorsTable[[#This Row],[filteredIndex]]="",
    "",
    factorsTable[[#This Row],[selectedRank]]
      + COUNTIF(INDEX(factorsTable[selectedRank], 1):INDEX(factorsTable[selectedRank], factorsTable[[#This Row],[index]]), factorsTable[[#This Row],[selectedRank]])
      - 1
  )</f>
        <v/>
      </c>
      <c r="CV6" s="15" t="str">
        <f ca="1">IFERROR(
    _xlfn.XLOOKUP(factorsTable[[#This Row],[index]], factorsTable[uniqueRank], factorsTable[filteredIndex]),
    ""
  )</f>
        <v/>
      </c>
      <c r="CW6" s="15" t="str">
        <f ca="1">IF(factorsTable[[#This Row],[sortedIndex]]="", "", INDEX(factorsConfigTable[],MATCH(factorsTable[[#This Row],[sortedIndex]],factorsConfigTable[index],0),MATCH(chartLanguage,factorsConfigTable_Headers,0)))</f>
        <v/>
      </c>
      <c r="CX6" s="15" t="str" cm="1">
        <f t="array" aca="1" ref="CX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6" s="15" t="str">
        <f ca="1">IF(
    factorsTable[[#This Row],[sortedIndex]]="",
    "",
    _xlfn.XLOOKUP(
      _xlfn.XLOOKUP(factorsTable[[#This Row],[sortedIndex]], factorsConfigTable[index], factorsConfigTable[RANASBlock]),
      RANASBlocksTable[label],
      RANASBlocksTable[tag]
    )
  )</f>
        <v/>
      </c>
      <c r="CZ6" s="15" t="str" cm="1">
        <f t="array" aca="1" ref="CZ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6"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6" s="15" t="str">
        <f ca="1">IF(
    factorsTable[[#This Row],[sortedIndex]]="",
    "",
    _xlfn.XLOOKUP(factorsTable[[#This Row],[sortedIndex]], factorsTable[index], factorsTable[numTotal])
  )</f>
        <v/>
      </c>
      <c r="DC6" s="15" t="str">
        <f ca="1">IF(
    factorsTable[[#This Row],[sortedIndex]]="",
    "",
    _xlfn.XLOOKUP(factorsTable[[#This Row],[sortedIndex]], factorsTable[index], factorsTable[nondoers])
  )</f>
        <v/>
      </c>
      <c r="DD6" s="15" t="str">
        <f ca="1">IF(
    factorsTable[[#This Row],[sortedIndex]]="",
    "",
    _xlfn.XLOOKUP(factorsTable[[#This Row],[sortedIndex]], factorsTable[index], factorsTable[doers])
  )</f>
        <v/>
      </c>
      <c r="DE6" s="15" t="str">
        <f ca="1">IF(
    factorsTable[[#This Row],[sortedIndex]]="",
    "",
    _xlfn.XLOOKUP(factorsTable[[#This Row],[sortedIndex]], factorsTable[index], factorsTable[difference])
  )</f>
        <v/>
      </c>
    </row>
    <row r="7" spans="5:109" ht="14.4" customHeight="1" x14ac:dyDescent="0.3">
      <c r="E7" s="1" cm="1">
        <f t="array" ref="E7">ROW()-ROW(UITranslationTable[#Headers])</f>
        <v>5</v>
      </c>
      <c r="F7" s="59" t="s">
        <v>314</v>
      </c>
      <c r="G7" s="59" t="s">
        <v>60</v>
      </c>
      <c r="H7" s="59" t="s">
        <v>61</v>
      </c>
      <c r="J7" cm="1">
        <f t="array" ref="J7">ROW()-ROW(errorMessagesTable[#Headers])</f>
        <v>5</v>
      </c>
      <c r="K7" t="b" cm="1">
        <f t="array" aca="1" ref="K7" ca="1">AND(ISREF(INDIRECT(ADDRESS(1, 1, 1, 0, sheetNameData), FALSE)), SUM(_xlfn.BITAND(behaviourConfigTable[includeConfig]=yesLabel, ISNA(behaviourConfigTable[behaviourColNum])))&gt;0)</f>
        <v>0</v>
      </c>
      <c r="L7" s="59" t="str" cm="1">
        <f t="array" ref="L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M7" s="59" t="str" cm="1">
        <f t="array" ref="M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N7" t="str" cm="1">
        <f t="array" aca="1" ref="N7"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7" s="1" t="str" cm="1">
        <f t="array" aca="1" ref="O7"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7" s="15" cm="1">
        <f t="array" ref="Q7">ROW()-ROW(generalVariablesTable[#Headers])</f>
        <v>5</v>
      </c>
      <c r="R7" t="s">
        <v>279</v>
      </c>
      <c r="S7" s="59" t="str" cm="1">
        <f t="array" aca="1" ref="S7" ca="1">IFERROR(
    SUBSTITUTE(
      _xlfn.TEXTBEFORE(
        _xlfn.TEXTAFTER(CELL(localAddressParameter, behaviourConfigTable[]), "]", -1),
        IF(
          LEFT(CELL(localAddressParameter, behaviourConfigTable[]))="'",
          "'!",
          "!"
        ), -1
      ), "''", "'"
    ), "Configuration"
  )</f>
        <v>Configuration</v>
      </c>
      <c r="U7" s="14" cm="1">
        <f t="array" ref="U7">ROW()-ROW(languageTable[#Headers])</f>
        <v>5</v>
      </c>
      <c r="V7" s="14" t="str" cm="1">
        <f t="array" ref="V7">IFERROR(IF(INDEX(languageHeadersList,languageTable[[#This Row],[index]])&lt;&gt;"",INDEX(languageHeadersList,languageTable[[#This Row],[index]]),""),"")</f>
        <v/>
      </c>
      <c r="W7" s="14" t="b">
        <f>(languageTable[[#This Row],[languageHeaders]]&lt;&gt;"")</f>
        <v>0</v>
      </c>
      <c r="X7" s="14" t="str" cm="1">
        <f t="array" aca="1" ref="X7" ca="1">IF(IF(languageTable[[#This Row],[index]]=1, FALSE, INDEX(languageTable[filteredIndex],languageTable[[#This Row],[index]]-1)&gt;=MAX(languageTable[index])), "", IFERROR(MATCH(TRUE,OFFSET(INDEX(languageTable[hasValue],1),IF(languageTable[[#This Row],[index]]=1,0, INDEX(languageTable[filteredIndex],languageTable[[#This Row],[index]]-1)),0):INDEX(languageTable[hasValue],MAX(languageTable[index])),0)+IF(languageTable[[#This Row],[index]]=1,0, INDEX(languageTable[filteredIndex],languageTable[[#This Row],[index]]-1)),""))</f>
        <v/>
      </c>
      <c r="Y7" s="14" t="str" cm="1">
        <f t="array" aca="1" ref="Y7" ca="1">IFERROR(INDEX(languageTable[languageHeaders],languageTable[[#This Row],[filteredIndex]]),"")</f>
        <v/>
      </c>
      <c r="AE7" cm="1">
        <f t="array" ref="AE7">ROW()-ROW(RANASBlocksTable[#Headers])</f>
        <v>5</v>
      </c>
      <c r="AF7" t="s">
        <v>141</v>
      </c>
      <c r="AG7" t="str">
        <f>_xlfn.XLOOKUP(RANASBlocksTable[[#This Row],[tag]],chartTranslationTable[tag],chartTranslationTable[lang1]) &amp; " / " &amp; _xlfn.XLOOKUP(RANASBlocksTable[[#This Row],[tag]],chartTranslationTable[tag],chartTranslationTable[lang2])</f>
        <v>Self-regulation / Autorégulation</v>
      </c>
      <c r="AH7" t="str">
        <f>_xlfn.XLOOKUP(RANASBlocksTable[[#This Row],[tag]],chartTranslationTable[tag],chartTranslationTable[displayedText])</f>
        <v>Self-regulation</v>
      </c>
      <c r="AP7" cm="1">
        <f t="array" ref="AP7">ROW()-ROW(behaviourTable[#Headers])</f>
        <v>5</v>
      </c>
      <c r="AQ7">
        <f>_xlfn.XLOOKUP(behaviourTable[[#This Row],[index]],behaviourConfigTable[index],behaviourConfigTable[behaviourHeader])</f>
        <v>0</v>
      </c>
      <c r="AR7" t="str">
        <f>IF(behaviourTable[[#This Row],[behaviourHeader]]=0, "", _xlfn.XLOOKUP(_xlfn.XLOOKUP(behaviourTable[[#This Row],[index]],behaviourConfigTable[index],behaviourConfigTable[includeConfig]),yesNoTable[label],yesNoTable[tag]))</f>
        <v/>
      </c>
      <c r="AS7" t="b">
        <f>IF(behaviourTable[[#This Row],[behaviourHeader]]=0, FALSE, IF(behaviourTable[[#This Row],[includeConfig]]="yes", TRUE, IF(behaviourTable[[#This Row],[includeConfig]]="no", FALSE, NA())))</f>
        <v>0</v>
      </c>
      <c r="AT7" t="str" cm="1">
        <f t="array" aca="1" ref="AT7" ca="1">IF(behaviourTable[[#This Row],[behaviourHeader]]=0, "",
    _xlfn.IFNA(MATCH(behaviourTable[[#This Row],[behaviourHeader]], INDIRECT(ADDRESS(1, 1, 1, 0, sheetNameData) &amp; ":" &amp; ADDRESS(1, maxColNum, 1, 0), FALSE), 0),
      _xlfn.IFNA(MATCH("*/"&amp;behaviourTable[[#This Row],[behaviourHeader]], INDIRECT(ADDRESS(1, 1, 1, 0, sheetNameData) &amp; ":" &amp; ADDRESS(1, maxColNum, 1, 0), FALSE), 0),
        MATCH("*-"&amp;behaviourTable[[#This Row],[behaviourHeader]], INDIRECT(ADDRESS(1, 1, 1, 0, sheetNameData) &amp; ":" &amp; ADDRESS(1, maxColNum, 1, 0), FALSE), 0)
      )
    )
  )</f>
        <v/>
      </c>
      <c r="AU7" t="str" cm="1">
        <f t="array" ref="AU7">IF(behaviourTable[[#This Row],[behaviourHeader]]=0, "", ADDRESS(2, behaviourTable[[#This Row],[behaviourColNum]], 1, 0, sheetNameData) &amp; ":" &amp; ADDRESS(numEntries+1, behaviourTable[[#This Row],[behaviourColNum]], 1, 0))</f>
        <v/>
      </c>
      <c r="AV7" t="str">
        <f>IF(behaviourTable[[#This Row],[behaviourHeader]]=0, "", IF(_xlfn.XLOOKUP(behaviourTable[[#This Row],[index]],behaviourConfigTable[index],behaviourConfigTable[minScore])="", NA(), _xlfn.XLOOKUP(behaviourTable[[#This Row],[index]],behaviourConfigTable[index],behaviourConfigTable[minScore])))</f>
        <v/>
      </c>
      <c r="AW7" t="str">
        <f>IF(behaviourTable[[#This Row],[behaviourHeader]]=0, "", IF(_xlfn.XLOOKUP(behaviourTable[[#This Row],[index]],behaviourConfigTable[index],behaviourConfigTable[maxScore])="", NA(), _xlfn.XLOOKUP(behaviourTable[[#This Row],[index]],behaviourConfigTable[index],behaviourConfigTable[maxScore])))</f>
        <v/>
      </c>
      <c r="AX7" t="str">
        <f ca="1">IF(behaviourTable[[#This Row],[behaviourHeader]]=0, "", IF(ISERROR(behaviourTable[[#This Row],[behaviourColNum]]), NA(), MIN(INDIRECT(behaviourTable[[#This Row],[indirectColRef]],FALSE))))</f>
        <v/>
      </c>
      <c r="AY7" t="str">
        <f ca="1">IF(behaviourTable[[#This Row],[behaviourHeader]]=0, "", IF(ISERROR(behaviourTable[[#This Row],[behaviourColNum]]), NA(), MAX(INDIRECT(behaviourTable[[#This Row],[indirectColRef]],FALSE))))</f>
        <v/>
      </c>
      <c r="AZ7" t="b" cm="1">
        <f t="array" aca="1" ref="AZ7" ca="1">AND(
    ISREF(INDIRECT(ADDRESS(1, 1, 1, 0, sheetNameData), FALSE)),
    behaviourTable[[#This Row],[behaviourHeader]]&lt;&gt;0,
    NOT(ISERROR(behaviourTable[[#This Row],[behaviourColNum]])),
    IFERROR(behaviourTable[[#This Row],[include]], FALSE),
    IFERROR(behaviourTable[[#This Row],[minValue]]&lt;behaviourTable[[#This Row],[minScore]], FALSE)
  )</f>
        <v>0</v>
      </c>
      <c r="BA7" t="b" cm="1">
        <f t="array" aca="1" ref="BA7" ca="1">AND(
    ISREF(INDIRECT(ADDRESS(1, 1, 1, 0, sheetNameData), FALSE)),
    behaviourTable[[#This Row],[behaviourHeader]]&lt;&gt;0,
    NOT(ISERROR(behaviourTable[[#This Row],[behaviourColNum]])),
    IFERROR(behaviourTable[[#This Row],[include]], FALSE),
    IFERROR(behaviourTable[[#This Row],[maxValue]]&gt;behaviourTable[[#This Row],[maxScore]], FALSE)
  )</f>
        <v>0</v>
      </c>
      <c r="BB7" t="str" cm="1">
        <f t="array" aca="1" ref="BB7" ca="1">IF(
    behaviourTable[[#This Row],[behaviourHeader]]=0,
    "",
    IF(
      ISERROR(behaviourTable[[#This Row],[behaviourColNum]]),
      _xlfn.XLOOKUP(
        "dataNotFound",
        UITranslationTable[tag],
        INDEX(
          UITranslationTable[],
          0,
          IFERROR(
            MATCH(UILanguage, UITranslationTable[#Headers], 0),
            MATCH(UITranslationTable[[#Headers],[English]], UITranslationTable[#Headers], 0)
          )
        )
      ),
      COUNT(INDIRECT(behaviourTable[[#This Row],[indirectColRef]],FALSE))
    )
  )</f>
        <v/>
      </c>
      <c r="BC7" t="str" cm="1">
        <f t="array" ref="BC7">IF(
    behaviourTable[[#This Row],[behaviourHeader]]=0,
    "",
    IF(
      ISERROR(behaviourTable[[#This Row],[behaviourColNum]]),
      _xlfn.XLOOKUP(
        "dataNotFound",
        UITranslationTable[tag],
        INDEX(
          UITranslationTable[],
          0,
          IFERROR(
            MATCH(UILanguage,UITranslationTable[#Headers],0),
            MATCH(UITranslationTable[[#Headers],[English]],UITranslationTable[#Headers],0)
          )
        )
      ),
      numEntries - behaviourTable[[#This Row],[numResponses]]
    )
  )</f>
        <v/>
      </c>
      <c r="BH7" s="17" cm="1">
        <f t="array" ref="BH7">ROW()-ROW(cutoffTable[#Headers])</f>
        <v>5</v>
      </c>
      <c r="BI7" s="16">
        <v>0.5</v>
      </c>
      <c r="BJ7" t="s">
        <v>294</v>
      </c>
      <c r="BK7" t="e" cm="1">
        <f t="array" aca="1" ref="BK7" ca="1">COUNTIFS(behaviourScoreNorm, "&gt;=" &amp; IF(cutoffTable[[#This Row],[index]]=1,0, INDEX(cutoffTable[cutoffLevel],cutoffTable[[#This Row],[index]]-1)), behaviourScoreNorm, "&lt;" &amp; IF(cutoffTable[[#This Row],[cutoffLevel]]=1,"=","") &amp; cutoffTable[[#This Row],[cutoffLevel]])</f>
        <v>#N/A</v>
      </c>
      <c r="BL7" t="e" cm="1">
        <f t="array" aca="1" ref="BL7" ca="1">COUNTIFS(
    behaviourScoreNorm, "&gt;=" &amp; IF(cutoffTable[[#This Row],[index]]=1,0, INDEX(cutoffTable[cutoffLevel],cutoffTable[[#This Row],[index]]-1)),
    behaviourScoreNorm, "&lt;" &amp; IF(cutoffTable[[#This Row],[cutoffLevel]]=1,"=","") &amp; cutoffTable[[#This Row],[cutoffLevel]],
    behaviourScoreNorm, "&lt;" &amp; cutoffLevel
  )</f>
        <v>#N/A</v>
      </c>
      <c r="BM7" t="e" cm="1">
        <f t="array" aca="1" ref="BM7" ca="1">COUNTIFS(
    behaviourScoreNorm, "&gt;=" &amp; IF(cutoffTable[[#This Row],[index]]=1,0, INDEX(cutoffTable[cutoffLevel],cutoffTable[[#This Row],[index]]-1)),
    behaviourScoreNorm, "&lt;" &amp; IF(cutoffTable[[#This Row],[cutoffLevel]]=1,"=","") &amp; cutoffTable[[#This Row],[cutoffLevel]],
    behaviourScoreNorm, "&gt;=" &amp; cutoffLevel
  )</f>
        <v>#N/A</v>
      </c>
      <c r="BN7" t="e">
        <f ca="1">ABS(SUM(cutoffTable[numResponses])-2*SUM(INDEX(cutoffTable[numResponses],1):INDEX(cutoffTable[numResponses],cutoffTable[[#This Row],[index]])))</f>
        <v>#N/A</v>
      </c>
      <c r="BU7" cm="1">
        <f t="array" ref="BU7">ROW()-ROW(factorsTable[#Headers])</f>
        <v>5</v>
      </c>
      <c r="BV7">
        <f>_xlfn.XLOOKUP(factorsTable[[#This Row],[index]],factorsConfigTable[index],factorsConfigTable[factorHeader])</f>
        <v>0</v>
      </c>
      <c r="BW7" t="str" cm="1">
        <f t="array" aca="1" ref="BW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7" t="str" cm="1">
        <f t="array" ref="BX7">IF(factorsTable[[#This Row],[factorHeader]]=0, "", ADDRESS(2, factorsTable[[#This Row],[factorColNum]], 1, 0, sheetNameData) &amp; ":" &amp; ADDRESS(numEntries+1, factorsTable[[#This Row],[factorColNum]], 1, 0))</f>
        <v/>
      </c>
      <c r="BY7" t="str">
        <f>IF(factorsTable[[#This Row],[factorHeader]]=0, "", IF(_xlfn.XLOOKUP(factorsTable[[#This Row],[index]],factorsConfigTable[index],factorsConfigTable[minScore])="", NA(), _xlfn.XLOOKUP(factorsTable[[#This Row],[index]],factorsConfigTable[index],factorsConfigTable[minScore])))</f>
        <v/>
      </c>
      <c r="BZ7" t="str">
        <f>IF(factorsTable[[#This Row],[factorHeader]]=0, "", IF(_xlfn.XLOOKUP(factorsTable[[#This Row],[index]],factorsConfigTable[index],factorsConfigTable[maxScore])="", NA(), _xlfn.XLOOKUP(factorsTable[[#This Row],[index]],factorsConfigTable[index],factorsConfigTable[maxScore])))</f>
        <v/>
      </c>
      <c r="CA7" t="str">
        <f ca="1">IF(factorsTable[[#This Row],[factorHeader]]=0, "", IF(ISERROR(factorsTable[[#This Row],[factorColNum]]), NA(), MIN(INDIRECT(factorsTable[[#This Row],[indirectColRef]],FALSE))))</f>
        <v/>
      </c>
      <c r="CB7" t="str">
        <f ca="1">IF(factorsTable[[#This Row],[factorHeader]]=0, "", IF(ISERROR(factorsTable[[#This Row],[factorColNum]]), NA(), MAX(INDIRECT(factorsTable[[#This Row],[indirectColRef]],FALSE))))</f>
        <v/>
      </c>
      <c r="CC7" t="b" cm="1">
        <f t="array" aca="1" ref="CC7" ca="1">AND(
    ISREF(INDIRECT(ADDRESS(1, 1, 1, 0, sheetNameData), FALSE)),
    factorsTable[[#This Row],[factorHeader]]&lt;&gt;0,
    NOT(ISERROR(factorsTable[[#This Row],[factorColNum]])),
    IFERROR(factorsTable[[#This Row],[display]], FALSE),
    IFERROR(factorsTable[[#This Row],[minValue]]&lt;factorsTable[[#This Row],[minScore]], FALSE)
  )</f>
        <v>0</v>
      </c>
      <c r="CD7" t="b" cm="1">
        <f t="array" aca="1" ref="CD7" ca="1">AND(
    ISREF(INDIRECT(ADDRESS(1, 1, 1, 0, sheetNameData), FALSE)),
    factorsTable[[#This Row],[factorHeader]]&lt;&gt;0,
    NOT(ISERROR(factorsTable[[#This Row],[factorColNum]])),
    IFERROR(factorsTable[[#This Row],[display]], FALSE),
    IFERROR(factorsTable[[#This Row],[maxValue]]&gt;factorsTable[[#This Row],[maxScore]], FALSE)
  )</f>
        <v>0</v>
      </c>
      <c r="CE7" t="str" cm="1">
        <f t="array" aca="1" ref="CE7" ca="1">IF(factorsTable[[#This Row],[factorHeader]]=0, "", SUMPRODUCT(IF(isDoer="", 0, 1-isDoer),--(INDIRECT(factorsTable[[#This Row],[indirectColRef]],FALSE)&lt;&gt;"")))</f>
        <v/>
      </c>
      <c r="CF7" t="str" cm="1">
        <f t="array" aca="1" ref="CF7" ca="1">IF(factorsTable[[#This Row],[factorHeader]]=0, "", SUMPRODUCT(IF(isDoer="", 0, isDoer),--(INDIRECT(factorsTable[[#This Row],[indirectColRef]],FALSE)&lt;&gt;"")))</f>
        <v/>
      </c>
      <c r="CG7" t="str" cm="1">
        <f t="array" ref="CG7">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7" t="str" cm="1">
        <f t="array" aca="1" ref="CH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7" t="str" cm="1">
        <f t="array" aca="1" ref="CI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7" t="str">
        <f>IF(factorsTable[[#This Row],[factorHeader]]=0, "", factorsTable[[#This Row],[doers]]-factorsTable[[#This Row],[nondoers]])</f>
        <v/>
      </c>
      <c r="CK7" t="str">
        <f>IF(
    factorsTable[[#This Row],[factorHeader]]=0,
    "",
    _xlfn.XLOOKUP(
      _xlfn.XLOOKUP(factorsTable[[#This Row],[index]], factorsConfigTable[index], factorsConfigTable[displayConfig]),
      yesNoTable[label],
      yesNoTable[tag]
    )
  )</f>
        <v/>
      </c>
      <c r="CL7" s="15" t="b">
        <f>IF(factorsTable[[#This Row],[factorHeader]]=0, FALSE, IF(factorsTable[[#This Row],[displayConfig]]="yes", TRUE, IF(factorsTable[[#This Row],[displayConfig]]="no", FALSE, NA())))</f>
        <v>0</v>
      </c>
      <c r="CM7" s="15" t="str" cm="1">
        <f t="array" aca="1" ref="CM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7" s="15" t="str">
        <f ca="1">IF(
    factorsTable[[#This Row],[filteredIndex]]="",
    "",
    IFERROR(
      _xlfn.XLOOKUP(factorsTable[[#This Row],[filteredIndex]], factorsTable[index], factorsTable[difference]),
      -99
    )
  )</f>
        <v/>
      </c>
      <c r="CO7" s="15" t="str">
        <f ca="1">IF(factorsTable[[#This Row],[filteredIndex]]="", "", IF(factorsTable[[#This Row],[relDiff]]=-99, -99, ABS(factorsTable[[#This Row],[relDiff]])))</f>
        <v/>
      </c>
      <c r="CP7" s="15" t="str">
        <f ca="1">IF(
    factorsTable[[#This Row],[filteredIndex]]="",
    "",
    IFERROR(
      _xlfn.XLOOKUP(
        _xlfn.XLOOKUP(factorsTable[[#This Row],[filteredIndex]], factorsConfigTable[index], factorsConfigTable[RANASBlock]),
        RANASBlocksTable[label],
        RANASBlocksTable[index]
      ),
      6
    )
  )</f>
        <v/>
      </c>
      <c r="CQ7" s="15" t="str">
        <f ca="1">IF(factorsTable[[#This Row],[filteredIndex]]="", "", _xlfn.RANK.EQ(factorsTable[[#This Row],[relDiff]], factorsTable[relDiff], 0))</f>
        <v/>
      </c>
      <c r="CR7" s="15" t="str">
        <f ca="1">IF(factorsTable[[#This Row],[filteredIndex]]="", "", _xlfn.RANK.EQ(factorsTable[[#This Row],[absDiff]], factorsTable[absDiff], 0))</f>
        <v/>
      </c>
      <c r="CS7" s="15" t="str">
        <f ca="1">IF(factorsTable[[#This Row],[filteredIndex]]="", "", _xlfn.RANK.EQ(factorsTable[[#This Row],[RANASIndex]], factorsTable[RANASIndex], 1))</f>
        <v/>
      </c>
      <c r="CT7" s="15" t="str" cm="1">
        <f t="array" aca="1" ref="CT7" ca="1">_xlfn.SWITCH(
    sortingMethodTag,
    "none", factorsTable[[#This Row],[filteredIndex]],
    "relDiff", factorsTable[[#This Row],[relDiffRank]],
    "absDiff", factorsTable[[#This Row],[absDiffRank]],
    "RANAS", factorsTable[[#This Row],[RANASRank]],
    factorsTable[[#This Row],[filteredIndex]]
  )</f>
        <v/>
      </c>
      <c r="CU7" s="15" t="str">
        <f ca="1">IF(
    factorsTable[[#This Row],[filteredIndex]]="",
    "",
    factorsTable[[#This Row],[selectedRank]]
      + COUNTIF(INDEX(factorsTable[selectedRank], 1):INDEX(factorsTable[selectedRank], factorsTable[[#This Row],[index]]), factorsTable[[#This Row],[selectedRank]])
      - 1
  )</f>
        <v/>
      </c>
      <c r="CV7" s="15" t="str">
        <f ca="1">IFERROR(
    _xlfn.XLOOKUP(factorsTable[[#This Row],[index]], factorsTable[uniqueRank], factorsTable[filteredIndex]),
    ""
  )</f>
        <v/>
      </c>
      <c r="CW7" s="15" t="str">
        <f ca="1">IF(factorsTable[[#This Row],[sortedIndex]]="", "", INDEX(factorsConfigTable[],MATCH(factorsTable[[#This Row],[sortedIndex]],factorsConfigTable[index],0),MATCH(chartLanguage,factorsConfigTable_Headers,0)))</f>
        <v/>
      </c>
      <c r="CX7" s="15" t="str" cm="1">
        <f t="array" aca="1" ref="CX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7" s="15" t="str">
        <f ca="1">IF(
    factorsTable[[#This Row],[sortedIndex]]="",
    "",
    _xlfn.XLOOKUP(
      _xlfn.XLOOKUP(factorsTable[[#This Row],[sortedIndex]], factorsConfigTable[index], factorsConfigTable[RANASBlock]),
      RANASBlocksTable[label],
      RANASBlocksTable[tag]
    )
  )</f>
        <v/>
      </c>
      <c r="CZ7" s="15" t="str" cm="1">
        <f t="array" aca="1" ref="CZ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7"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7" s="15" t="str">
        <f ca="1">IF(
    factorsTable[[#This Row],[sortedIndex]]="",
    "",
    _xlfn.XLOOKUP(factorsTable[[#This Row],[sortedIndex]], factorsTable[index], factorsTable[numTotal])
  )</f>
        <v/>
      </c>
      <c r="DC7" s="15" t="str">
        <f ca="1">IF(
    factorsTable[[#This Row],[sortedIndex]]="",
    "",
    _xlfn.XLOOKUP(factorsTable[[#This Row],[sortedIndex]], factorsTable[index], factorsTable[nondoers])
  )</f>
        <v/>
      </c>
      <c r="DD7" s="15" t="str">
        <f ca="1">IF(
    factorsTable[[#This Row],[sortedIndex]]="",
    "",
    _xlfn.XLOOKUP(factorsTable[[#This Row],[sortedIndex]], factorsTable[index], factorsTable[doers])
  )</f>
        <v/>
      </c>
      <c r="DE7" s="15" t="str">
        <f ca="1">IF(
    factorsTable[[#This Row],[sortedIndex]]="",
    "",
    _xlfn.XLOOKUP(factorsTable[[#This Row],[sortedIndex]], factorsTable[index], factorsTable[difference])
  )</f>
        <v/>
      </c>
    </row>
    <row r="8" spans="5:109" ht="14.4" customHeight="1" x14ac:dyDescent="0.3">
      <c r="E8" s="1" cm="1">
        <f t="array" ref="E8">ROW()-ROW(UITranslationTable[#Headers])</f>
        <v>6</v>
      </c>
      <c r="F8" s="1" t="s">
        <v>315</v>
      </c>
      <c r="G8" s="59" t="s">
        <v>34</v>
      </c>
      <c r="H8" s="59" t="s">
        <v>62</v>
      </c>
      <c r="J8" cm="1">
        <f t="array" ref="J8">ROW()-ROW(errorMessagesTable[#Headers])</f>
        <v>6</v>
      </c>
      <c r="K8" t="b" cm="1">
        <f t="array" aca="1" ref="K8" ca="1">AND(ISREF(INDIRECT(ADDRESS(1, 1, 1, 0, sheetNameData), FALSE)), SUM(_xlfn.BITAND(NOT(_xlfn.BITOR(behaviourConfigTable[includeConfig]=yesLabel, behaviourConfigTable[includeConfig]=noLabel)), behaviourConfigTable[behaviourHeader]&lt;&gt;""))&gt;0)</f>
        <v>0</v>
      </c>
      <c r="L8" s="59" t="s">
        <v>253</v>
      </c>
      <c r="M8" s="59" t="s">
        <v>257</v>
      </c>
      <c r="N8" t="str" cm="1">
        <f t="array" aca="1" ref="N8"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8" s="1" t="str" cm="1">
        <f t="array" aca="1" ref="O8"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8" s="15" cm="1">
        <f t="array" ref="Q8">ROW()-ROW(generalVariablesTable[#Headers])</f>
        <v>6</v>
      </c>
      <c r="R8" t="s">
        <v>280</v>
      </c>
      <c r="S8" s="59" t="str" cm="1">
        <f t="array" aca="1" ref="S8" ca="1">IFERROR(
    SUBSTITUTE(
      _xlfn.TEXTBEFORE(
        _xlfn.TEXTAFTER(CELL(localAddressParameter, cutoffLevel), "]", -1),
        IF(
          LEFT(CELL(localAddressParameter, cutoffLevel))="'",
          "'!",
          "!"
        ), -1
      ), "''", "'"
    ), "Cutoff - Seuil"
  )</f>
        <v>Cutoff - Seuil</v>
      </c>
      <c r="BH8" s="17" cm="1">
        <f t="array" ref="BH8">ROW()-ROW(cutoffTable[#Headers])</f>
        <v>6</v>
      </c>
      <c r="BI8" s="16">
        <v>0.6</v>
      </c>
      <c r="BJ8" t="s">
        <v>295</v>
      </c>
      <c r="BK8" s="15" t="e" cm="1">
        <f t="array" aca="1" ref="BK8" ca="1">COUNTIFS(behaviourScoreNorm, "&gt;=" &amp; IF(cutoffTable[[#This Row],[index]]=1,0, INDEX(cutoffTable[cutoffLevel],cutoffTable[[#This Row],[index]]-1)), behaviourScoreNorm, "&lt;" &amp; IF(cutoffTable[[#This Row],[cutoffLevel]]=1,"=","") &amp; cutoffTable[[#This Row],[cutoffLevel]])</f>
        <v>#N/A</v>
      </c>
      <c r="BL8" s="15" t="e" cm="1">
        <f t="array" aca="1" ref="BL8" ca="1">COUNTIFS(
    behaviourScoreNorm, "&gt;=" &amp; IF(cutoffTable[[#This Row],[index]]=1,0, INDEX(cutoffTable[cutoffLevel],cutoffTable[[#This Row],[index]]-1)),
    behaviourScoreNorm, "&lt;" &amp; IF(cutoffTable[[#This Row],[cutoffLevel]]=1,"=","") &amp; cutoffTable[[#This Row],[cutoffLevel]],
    behaviourScoreNorm, "&lt;" &amp; cutoffLevel
  )</f>
        <v>#N/A</v>
      </c>
      <c r="BM8" s="15" t="e" cm="1">
        <f t="array" aca="1" ref="BM8" ca="1">COUNTIFS(
    behaviourScoreNorm, "&gt;=" &amp; IF(cutoffTable[[#This Row],[index]]=1,0, INDEX(cutoffTable[cutoffLevel],cutoffTable[[#This Row],[index]]-1)),
    behaviourScoreNorm, "&lt;" &amp; IF(cutoffTable[[#This Row],[cutoffLevel]]=1,"=","") &amp; cutoffTable[[#This Row],[cutoffLevel]],
    behaviourScoreNorm, "&gt;=" &amp; cutoffLevel
  )</f>
        <v>#N/A</v>
      </c>
      <c r="BN8" s="15" t="e">
        <f ca="1">ABS(SUM(cutoffTable[numResponses])-2*SUM(INDEX(cutoffTable[numResponses],1):INDEX(cutoffTable[numResponses],cutoffTable[[#This Row],[index]])))</f>
        <v>#N/A</v>
      </c>
      <c r="BU8" cm="1">
        <f t="array" ref="BU8">ROW()-ROW(factorsTable[#Headers])</f>
        <v>6</v>
      </c>
      <c r="BV8">
        <f>_xlfn.XLOOKUP(factorsTable[[#This Row],[index]],factorsConfigTable[index],factorsConfigTable[factorHeader])</f>
        <v>0</v>
      </c>
      <c r="BW8" t="str" cm="1">
        <f t="array" aca="1" ref="BW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8" t="str" cm="1">
        <f t="array" ref="BX8">IF(factorsTable[[#This Row],[factorHeader]]=0, "", ADDRESS(2, factorsTable[[#This Row],[factorColNum]], 1, 0, sheetNameData) &amp; ":" &amp; ADDRESS(numEntries+1, factorsTable[[#This Row],[factorColNum]], 1, 0))</f>
        <v/>
      </c>
      <c r="BY8" t="str">
        <f>IF(factorsTable[[#This Row],[factorHeader]]=0, "", IF(_xlfn.XLOOKUP(factorsTable[[#This Row],[index]],factorsConfigTable[index],factorsConfigTable[minScore])="", NA(), _xlfn.XLOOKUP(factorsTable[[#This Row],[index]],factorsConfigTable[index],factorsConfigTable[minScore])))</f>
        <v/>
      </c>
      <c r="BZ8" t="str">
        <f>IF(factorsTable[[#This Row],[factorHeader]]=0, "", IF(_xlfn.XLOOKUP(factorsTable[[#This Row],[index]],factorsConfigTable[index],factorsConfigTable[maxScore])="", NA(), _xlfn.XLOOKUP(factorsTable[[#This Row],[index]],factorsConfigTable[index],factorsConfigTable[maxScore])))</f>
        <v/>
      </c>
      <c r="CA8" t="str">
        <f ca="1">IF(factorsTable[[#This Row],[factorHeader]]=0, "", IF(ISERROR(factorsTable[[#This Row],[factorColNum]]), NA(), MIN(INDIRECT(factorsTable[[#This Row],[indirectColRef]],FALSE))))</f>
        <v/>
      </c>
      <c r="CB8" t="str">
        <f ca="1">IF(factorsTable[[#This Row],[factorHeader]]=0, "", IF(ISERROR(factorsTable[[#This Row],[factorColNum]]), NA(), MAX(INDIRECT(factorsTable[[#This Row],[indirectColRef]],FALSE))))</f>
        <v/>
      </c>
      <c r="CC8" t="b" cm="1">
        <f t="array" aca="1" ref="CC8" ca="1">AND(
    ISREF(INDIRECT(ADDRESS(1, 1, 1, 0, sheetNameData), FALSE)),
    factorsTable[[#This Row],[factorHeader]]&lt;&gt;0,
    NOT(ISERROR(factorsTable[[#This Row],[factorColNum]])),
    IFERROR(factorsTable[[#This Row],[display]], FALSE),
    IFERROR(factorsTable[[#This Row],[minValue]]&lt;factorsTable[[#This Row],[minScore]], FALSE)
  )</f>
        <v>0</v>
      </c>
      <c r="CD8" t="b" cm="1">
        <f t="array" aca="1" ref="CD8" ca="1">AND(
    ISREF(INDIRECT(ADDRESS(1, 1, 1, 0, sheetNameData), FALSE)),
    factorsTable[[#This Row],[factorHeader]]&lt;&gt;0,
    NOT(ISERROR(factorsTable[[#This Row],[factorColNum]])),
    IFERROR(factorsTable[[#This Row],[display]], FALSE),
    IFERROR(factorsTable[[#This Row],[maxValue]]&gt;factorsTable[[#This Row],[maxScore]], FALSE)
  )</f>
        <v>0</v>
      </c>
      <c r="CE8" t="str" cm="1">
        <f t="array" aca="1" ref="CE8" ca="1">IF(factorsTable[[#This Row],[factorHeader]]=0, "", SUMPRODUCT(IF(isDoer="", 0, 1-isDoer),--(INDIRECT(factorsTable[[#This Row],[indirectColRef]],FALSE)&lt;&gt;"")))</f>
        <v/>
      </c>
      <c r="CF8" t="str" cm="1">
        <f t="array" aca="1" ref="CF8" ca="1">IF(factorsTable[[#This Row],[factorHeader]]=0, "", SUMPRODUCT(IF(isDoer="", 0, isDoer),--(INDIRECT(factorsTable[[#This Row],[indirectColRef]],FALSE)&lt;&gt;"")))</f>
        <v/>
      </c>
      <c r="CG8" t="str" cm="1">
        <f t="array" ref="CG8">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8" t="str" cm="1">
        <f t="array" aca="1" ref="CH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8" t="str" cm="1">
        <f t="array" aca="1" ref="CI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8" t="str">
        <f>IF(factorsTable[[#This Row],[factorHeader]]=0, "", factorsTable[[#This Row],[doers]]-factorsTable[[#This Row],[nondoers]])</f>
        <v/>
      </c>
      <c r="CK8" t="str">
        <f>IF(
    factorsTable[[#This Row],[factorHeader]]=0,
    "",
    _xlfn.XLOOKUP(
      _xlfn.XLOOKUP(factorsTable[[#This Row],[index]], factorsConfigTable[index], factorsConfigTable[displayConfig]),
      yesNoTable[label],
      yesNoTable[tag]
    )
  )</f>
        <v/>
      </c>
      <c r="CL8" s="15" t="b">
        <f>IF(factorsTable[[#This Row],[factorHeader]]=0, FALSE, IF(factorsTable[[#This Row],[displayConfig]]="yes", TRUE, IF(factorsTable[[#This Row],[displayConfig]]="no", FALSE, NA())))</f>
        <v>0</v>
      </c>
      <c r="CM8" s="15" t="str" cm="1">
        <f t="array" aca="1" ref="CM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8" s="15" t="str">
        <f ca="1">IF(
    factorsTable[[#This Row],[filteredIndex]]="",
    "",
    IFERROR(
      _xlfn.XLOOKUP(factorsTable[[#This Row],[filteredIndex]], factorsTable[index], factorsTable[difference]),
      -99
    )
  )</f>
        <v/>
      </c>
      <c r="CO8" s="15" t="str">
        <f ca="1">IF(factorsTable[[#This Row],[filteredIndex]]="", "", IF(factorsTable[[#This Row],[relDiff]]=-99, -99, ABS(factorsTable[[#This Row],[relDiff]])))</f>
        <v/>
      </c>
      <c r="CP8" s="15" t="str">
        <f ca="1">IF(
    factorsTable[[#This Row],[filteredIndex]]="",
    "",
    IFERROR(
      _xlfn.XLOOKUP(
        _xlfn.XLOOKUP(factorsTable[[#This Row],[filteredIndex]], factorsConfigTable[index], factorsConfigTable[RANASBlock]),
        RANASBlocksTable[label],
        RANASBlocksTable[index]
      ),
      6
    )
  )</f>
        <v/>
      </c>
      <c r="CQ8" s="15" t="str">
        <f ca="1">IF(factorsTable[[#This Row],[filteredIndex]]="", "", _xlfn.RANK.EQ(factorsTable[[#This Row],[relDiff]], factorsTable[relDiff], 0))</f>
        <v/>
      </c>
      <c r="CR8" s="15" t="str">
        <f ca="1">IF(factorsTable[[#This Row],[filteredIndex]]="", "", _xlfn.RANK.EQ(factorsTable[[#This Row],[absDiff]], factorsTable[absDiff], 0))</f>
        <v/>
      </c>
      <c r="CS8" s="15" t="str">
        <f ca="1">IF(factorsTable[[#This Row],[filteredIndex]]="", "", _xlfn.RANK.EQ(factorsTable[[#This Row],[RANASIndex]], factorsTable[RANASIndex], 1))</f>
        <v/>
      </c>
      <c r="CT8" s="15" t="str" cm="1">
        <f t="array" aca="1" ref="CT8" ca="1">_xlfn.SWITCH(
    sortingMethodTag,
    "none", factorsTable[[#This Row],[filteredIndex]],
    "relDiff", factorsTable[[#This Row],[relDiffRank]],
    "absDiff", factorsTable[[#This Row],[absDiffRank]],
    "RANAS", factorsTable[[#This Row],[RANASRank]],
    factorsTable[[#This Row],[filteredIndex]]
  )</f>
        <v/>
      </c>
      <c r="CU8" s="15" t="str">
        <f ca="1">IF(
    factorsTable[[#This Row],[filteredIndex]]="",
    "",
    factorsTable[[#This Row],[selectedRank]]
      + COUNTIF(INDEX(factorsTable[selectedRank], 1):INDEX(factorsTable[selectedRank], factorsTable[[#This Row],[index]]), factorsTable[[#This Row],[selectedRank]])
      - 1
  )</f>
        <v/>
      </c>
      <c r="CV8" s="15" t="str">
        <f ca="1">IFERROR(
    _xlfn.XLOOKUP(factorsTable[[#This Row],[index]], factorsTable[uniqueRank], factorsTable[filteredIndex]),
    ""
  )</f>
        <v/>
      </c>
      <c r="CW8" s="15" t="str">
        <f ca="1">IF(factorsTable[[#This Row],[sortedIndex]]="", "", INDEX(factorsConfigTable[],MATCH(factorsTable[[#This Row],[sortedIndex]],factorsConfigTable[index],0),MATCH(chartLanguage,factorsConfigTable_Headers,0)))</f>
        <v/>
      </c>
      <c r="CX8" s="15" t="str" cm="1">
        <f t="array" aca="1" ref="CX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8" s="15" t="str">
        <f ca="1">IF(
    factorsTable[[#This Row],[sortedIndex]]="",
    "",
    _xlfn.XLOOKUP(
      _xlfn.XLOOKUP(factorsTable[[#This Row],[sortedIndex]], factorsConfigTable[index], factorsConfigTable[RANASBlock]),
      RANASBlocksTable[label],
      RANASBlocksTable[tag]
    )
  )</f>
        <v/>
      </c>
      <c r="CZ8" s="15" t="str" cm="1">
        <f t="array" aca="1" ref="CZ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8"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8" s="15" t="str">
        <f ca="1">IF(
    factorsTable[[#This Row],[sortedIndex]]="",
    "",
    _xlfn.XLOOKUP(factorsTable[[#This Row],[sortedIndex]], factorsTable[index], factorsTable[numTotal])
  )</f>
        <v/>
      </c>
      <c r="DC8" s="15" t="str">
        <f ca="1">IF(
    factorsTable[[#This Row],[sortedIndex]]="",
    "",
    _xlfn.XLOOKUP(factorsTable[[#This Row],[sortedIndex]], factorsTable[index], factorsTable[nondoers])
  )</f>
        <v/>
      </c>
      <c r="DD8" s="15" t="str">
        <f ca="1">IF(
    factorsTable[[#This Row],[sortedIndex]]="",
    "",
    _xlfn.XLOOKUP(factorsTable[[#This Row],[sortedIndex]], factorsTable[index], factorsTable[doers])
  )</f>
        <v/>
      </c>
      <c r="DE8" s="15" t="str">
        <f ca="1">IF(
    factorsTable[[#This Row],[sortedIndex]]="",
    "",
    _xlfn.XLOOKUP(factorsTable[[#This Row],[sortedIndex]], factorsTable[index], factorsTable[difference])
  )</f>
        <v/>
      </c>
    </row>
    <row r="9" spans="5:109" ht="14.4" customHeight="1" x14ac:dyDescent="0.3">
      <c r="E9" s="1" cm="1">
        <f t="array" ref="E9">ROW()-ROW(UITranslationTable[#Headers])</f>
        <v>7</v>
      </c>
      <c r="F9" s="1" t="s">
        <v>316</v>
      </c>
      <c r="G9" s="59"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59"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cm="1">
        <f t="array" ref="J9">ROW()-ROW(errorMessagesTable[#Headers])</f>
        <v>7</v>
      </c>
      <c r="K9" t="b" cm="1">
        <f t="array" aca="1" ref="K9" ca="1">AND(ISREF(INDIRECT(ADDRESS(1, 1, 1, 0, sheetNameData), FALSE)), noValidBehaviourSelected)</f>
        <v>0</v>
      </c>
      <c r="L9" s="59" t="str" cm="1">
        <f t="array" ref="L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M9" s="59" t="str" cm="1">
        <f t="array" ref="M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N9" t="str" cm="1">
        <f t="array" aca="1" ref="N9"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9" s="1" t="str" cm="1">
        <f t="array" aca="1" ref="O9"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9" s="15" cm="1">
        <f t="array" ref="Q9">ROW()-ROW(generalVariablesTable[#Headers])</f>
        <v>7</v>
      </c>
      <c r="R9" t="s">
        <v>281</v>
      </c>
      <c r="S9" s="59" t="str" cm="1">
        <f t="array" aca="1" ref="S9" ca="1">IFERROR(
    SUBSTITUTE(
      _xlfn.TEXTBEFORE(
        _xlfn.TEXTAFTER(CELL(localAddressParameter, sortingMethod), "]", -1),
        IF(
          LEFT(CELL(localAddressParameter, sortingMethod))="'",
          "'!",
          "!"
        ), -1
      ), "''", "'"
    ), "Analysis"
  )</f>
        <v>Analysis</v>
      </c>
      <c r="BH9" s="17" cm="1">
        <f t="array" ref="BH9">ROW()-ROW(cutoffTable[#Headers])</f>
        <v>7</v>
      </c>
      <c r="BI9" s="16">
        <v>0.7</v>
      </c>
      <c r="BJ9" t="s">
        <v>296</v>
      </c>
      <c r="BK9" s="15" t="e" cm="1">
        <f t="array" aca="1" ref="BK9" ca="1">COUNTIFS(behaviourScoreNorm, "&gt;=" &amp; IF(cutoffTable[[#This Row],[index]]=1,0, INDEX(cutoffTable[cutoffLevel],cutoffTable[[#This Row],[index]]-1)), behaviourScoreNorm, "&lt;" &amp; IF(cutoffTable[[#This Row],[cutoffLevel]]=1,"=","") &amp; cutoffTable[[#This Row],[cutoffLevel]])</f>
        <v>#N/A</v>
      </c>
      <c r="BL9" s="15" t="e" cm="1">
        <f t="array" aca="1" ref="BL9" ca="1">COUNTIFS(
    behaviourScoreNorm, "&gt;=" &amp; IF(cutoffTable[[#This Row],[index]]=1,0, INDEX(cutoffTable[cutoffLevel],cutoffTable[[#This Row],[index]]-1)),
    behaviourScoreNorm, "&lt;" &amp; IF(cutoffTable[[#This Row],[cutoffLevel]]=1,"=","") &amp; cutoffTable[[#This Row],[cutoffLevel]],
    behaviourScoreNorm, "&lt;" &amp; cutoffLevel
  )</f>
        <v>#N/A</v>
      </c>
      <c r="BM9" s="15" t="e" cm="1">
        <f t="array" aca="1" ref="BM9" ca="1">COUNTIFS(
    behaviourScoreNorm, "&gt;=" &amp; IF(cutoffTable[[#This Row],[index]]=1,0, INDEX(cutoffTable[cutoffLevel],cutoffTable[[#This Row],[index]]-1)),
    behaviourScoreNorm, "&lt;" &amp; IF(cutoffTable[[#This Row],[cutoffLevel]]=1,"=","") &amp; cutoffTable[[#This Row],[cutoffLevel]],
    behaviourScoreNorm, "&gt;=" &amp; cutoffLevel
  )</f>
        <v>#N/A</v>
      </c>
      <c r="BN9" s="15" t="e">
        <f ca="1">ABS(SUM(cutoffTable[numResponses])-2*SUM(INDEX(cutoffTable[numResponses],1):INDEX(cutoffTable[numResponses],cutoffTable[[#This Row],[index]])))</f>
        <v>#N/A</v>
      </c>
      <c r="BU9" cm="1">
        <f t="array" ref="BU9">ROW()-ROW(factorsTable[#Headers])</f>
        <v>7</v>
      </c>
      <c r="BV9">
        <f>_xlfn.XLOOKUP(factorsTable[[#This Row],[index]],factorsConfigTable[index],factorsConfigTable[factorHeader])</f>
        <v>0</v>
      </c>
      <c r="BW9" t="str" cm="1">
        <f t="array" aca="1" ref="BW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9" t="str" cm="1">
        <f t="array" ref="BX9">IF(factorsTable[[#This Row],[factorHeader]]=0, "", ADDRESS(2, factorsTable[[#This Row],[factorColNum]], 1, 0, sheetNameData) &amp; ":" &amp; ADDRESS(numEntries+1, factorsTable[[#This Row],[factorColNum]], 1, 0))</f>
        <v/>
      </c>
      <c r="BY9" t="str">
        <f>IF(factorsTable[[#This Row],[factorHeader]]=0, "", IF(_xlfn.XLOOKUP(factorsTable[[#This Row],[index]],factorsConfigTable[index],factorsConfigTable[minScore])="", NA(), _xlfn.XLOOKUP(factorsTable[[#This Row],[index]],factorsConfigTable[index],factorsConfigTable[minScore])))</f>
        <v/>
      </c>
      <c r="BZ9" t="str">
        <f>IF(factorsTable[[#This Row],[factorHeader]]=0, "", IF(_xlfn.XLOOKUP(factorsTable[[#This Row],[index]],factorsConfigTable[index],factorsConfigTable[maxScore])="", NA(), _xlfn.XLOOKUP(factorsTable[[#This Row],[index]],factorsConfigTable[index],factorsConfigTable[maxScore])))</f>
        <v/>
      </c>
      <c r="CA9" t="str">
        <f ca="1">IF(factorsTable[[#This Row],[factorHeader]]=0, "", IF(ISERROR(factorsTable[[#This Row],[factorColNum]]), NA(), MIN(INDIRECT(factorsTable[[#This Row],[indirectColRef]],FALSE))))</f>
        <v/>
      </c>
      <c r="CB9" t="str">
        <f ca="1">IF(factorsTable[[#This Row],[factorHeader]]=0, "", IF(ISERROR(factorsTable[[#This Row],[factorColNum]]), NA(), MAX(INDIRECT(factorsTable[[#This Row],[indirectColRef]],FALSE))))</f>
        <v/>
      </c>
      <c r="CC9" t="b" cm="1">
        <f t="array" aca="1" ref="CC9" ca="1">AND(
    ISREF(INDIRECT(ADDRESS(1, 1, 1, 0, sheetNameData), FALSE)),
    factorsTable[[#This Row],[factorHeader]]&lt;&gt;0,
    NOT(ISERROR(factorsTable[[#This Row],[factorColNum]])),
    IFERROR(factorsTable[[#This Row],[display]], FALSE),
    IFERROR(factorsTable[[#This Row],[minValue]]&lt;factorsTable[[#This Row],[minScore]], FALSE)
  )</f>
        <v>0</v>
      </c>
      <c r="CD9" t="b" cm="1">
        <f t="array" aca="1" ref="CD9" ca="1">AND(
    ISREF(INDIRECT(ADDRESS(1, 1, 1, 0, sheetNameData), FALSE)),
    factorsTable[[#This Row],[factorHeader]]&lt;&gt;0,
    NOT(ISERROR(factorsTable[[#This Row],[factorColNum]])),
    IFERROR(factorsTable[[#This Row],[display]], FALSE),
    IFERROR(factorsTable[[#This Row],[maxValue]]&gt;factorsTable[[#This Row],[maxScore]], FALSE)
  )</f>
        <v>0</v>
      </c>
      <c r="CE9" t="str" cm="1">
        <f t="array" aca="1" ref="CE9" ca="1">IF(factorsTable[[#This Row],[factorHeader]]=0, "", SUMPRODUCT(IF(isDoer="", 0, 1-isDoer),--(INDIRECT(factorsTable[[#This Row],[indirectColRef]],FALSE)&lt;&gt;"")))</f>
        <v/>
      </c>
      <c r="CF9" t="str" cm="1">
        <f t="array" aca="1" ref="CF9" ca="1">IF(factorsTable[[#This Row],[factorHeader]]=0, "", SUMPRODUCT(IF(isDoer="", 0, isDoer),--(INDIRECT(factorsTable[[#This Row],[indirectColRef]],FALSE)&lt;&gt;"")))</f>
        <v/>
      </c>
      <c r="CG9" t="str" cm="1">
        <f t="array" ref="CG9">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9" t="str" cm="1">
        <f t="array" aca="1" ref="CH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9" t="str" cm="1">
        <f t="array" aca="1" ref="CI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9" t="str">
        <f>IF(factorsTable[[#This Row],[factorHeader]]=0, "", factorsTable[[#This Row],[doers]]-factorsTable[[#This Row],[nondoers]])</f>
        <v/>
      </c>
      <c r="CK9" t="str">
        <f>IF(
    factorsTable[[#This Row],[factorHeader]]=0,
    "",
    _xlfn.XLOOKUP(
      _xlfn.XLOOKUP(factorsTable[[#This Row],[index]], factorsConfigTable[index], factorsConfigTable[displayConfig]),
      yesNoTable[label],
      yesNoTable[tag]
    )
  )</f>
        <v/>
      </c>
      <c r="CL9" s="15" t="b">
        <f>IF(factorsTable[[#This Row],[factorHeader]]=0, FALSE, IF(factorsTable[[#This Row],[displayConfig]]="yes", TRUE, IF(factorsTable[[#This Row],[displayConfig]]="no", FALSE, NA())))</f>
        <v>0</v>
      </c>
      <c r="CM9" s="15" t="str" cm="1">
        <f t="array" aca="1" ref="CM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9" s="15" t="str">
        <f ca="1">IF(
    factorsTable[[#This Row],[filteredIndex]]="",
    "",
    IFERROR(
      _xlfn.XLOOKUP(factorsTable[[#This Row],[filteredIndex]], factorsTable[index], factorsTable[difference]),
      -99
    )
  )</f>
        <v/>
      </c>
      <c r="CO9" s="15" t="str">
        <f ca="1">IF(factorsTable[[#This Row],[filteredIndex]]="", "", IF(factorsTable[[#This Row],[relDiff]]=-99, -99, ABS(factorsTable[[#This Row],[relDiff]])))</f>
        <v/>
      </c>
      <c r="CP9" s="15" t="str">
        <f ca="1">IF(
    factorsTable[[#This Row],[filteredIndex]]="",
    "",
    IFERROR(
      _xlfn.XLOOKUP(
        _xlfn.XLOOKUP(factorsTable[[#This Row],[filteredIndex]], factorsConfigTable[index], factorsConfigTable[RANASBlock]),
        RANASBlocksTable[label],
        RANASBlocksTable[index]
      ),
      6
    )
  )</f>
        <v/>
      </c>
      <c r="CQ9" s="15" t="str">
        <f ca="1">IF(factorsTable[[#This Row],[filteredIndex]]="", "", _xlfn.RANK.EQ(factorsTable[[#This Row],[relDiff]], factorsTable[relDiff], 0))</f>
        <v/>
      </c>
      <c r="CR9" s="15" t="str">
        <f ca="1">IF(factorsTable[[#This Row],[filteredIndex]]="", "", _xlfn.RANK.EQ(factorsTable[[#This Row],[absDiff]], factorsTable[absDiff], 0))</f>
        <v/>
      </c>
      <c r="CS9" s="15" t="str">
        <f ca="1">IF(factorsTable[[#This Row],[filteredIndex]]="", "", _xlfn.RANK.EQ(factorsTable[[#This Row],[RANASIndex]], factorsTable[RANASIndex], 1))</f>
        <v/>
      </c>
      <c r="CT9" s="15" t="str" cm="1">
        <f t="array" aca="1" ref="CT9" ca="1">_xlfn.SWITCH(
    sortingMethodTag,
    "none", factorsTable[[#This Row],[filteredIndex]],
    "relDiff", factorsTable[[#This Row],[relDiffRank]],
    "absDiff", factorsTable[[#This Row],[absDiffRank]],
    "RANAS", factorsTable[[#This Row],[RANASRank]],
    factorsTable[[#This Row],[filteredIndex]]
  )</f>
        <v/>
      </c>
      <c r="CU9" s="15" t="str">
        <f ca="1">IF(
    factorsTable[[#This Row],[filteredIndex]]="",
    "",
    factorsTable[[#This Row],[selectedRank]]
      + COUNTIF(INDEX(factorsTable[selectedRank], 1):INDEX(factorsTable[selectedRank], factorsTable[[#This Row],[index]]), factorsTable[[#This Row],[selectedRank]])
      - 1
  )</f>
        <v/>
      </c>
      <c r="CV9" s="15" t="str">
        <f ca="1">IFERROR(
    _xlfn.XLOOKUP(factorsTable[[#This Row],[index]], factorsTable[uniqueRank], factorsTable[filteredIndex]),
    ""
  )</f>
        <v/>
      </c>
      <c r="CW9" s="15" t="str">
        <f ca="1">IF(factorsTable[[#This Row],[sortedIndex]]="", "", INDEX(factorsConfigTable[],MATCH(factorsTable[[#This Row],[sortedIndex]],factorsConfigTable[index],0),MATCH(chartLanguage,factorsConfigTable_Headers,0)))</f>
        <v/>
      </c>
      <c r="CX9" s="15" t="str" cm="1">
        <f t="array" aca="1" ref="CX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9" s="15" t="str">
        <f ca="1">IF(
    factorsTable[[#This Row],[sortedIndex]]="",
    "",
    _xlfn.XLOOKUP(
      _xlfn.XLOOKUP(factorsTable[[#This Row],[sortedIndex]], factorsConfigTable[index], factorsConfigTable[RANASBlock]),
      RANASBlocksTable[label],
      RANASBlocksTable[tag]
    )
  )</f>
        <v/>
      </c>
      <c r="CZ9" s="15" t="str" cm="1">
        <f t="array" aca="1" ref="CZ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9"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9" s="15" t="str">
        <f ca="1">IF(
    factorsTable[[#This Row],[sortedIndex]]="",
    "",
    _xlfn.XLOOKUP(factorsTable[[#This Row],[sortedIndex]], factorsTable[index], factorsTable[numTotal])
  )</f>
        <v/>
      </c>
      <c r="DC9" s="15" t="str">
        <f ca="1">IF(
    factorsTable[[#This Row],[sortedIndex]]="",
    "",
    _xlfn.XLOOKUP(factorsTable[[#This Row],[sortedIndex]], factorsTable[index], factorsTable[nondoers])
  )</f>
        <v/>
      </c>
      <c r="DD9" s="15" t="str">
        <f ca="1">IF(
    factorsTable[[#This Row],[sortedIndex]]="",
    "",
    _xlfn.XLOOKUP(factorsTable[[#This Row],[sortedIndex]], factorsTable[index], factorsTable[doers])
  )</f>
        <v/>
      </c>
      <c r="DE9" s="15" t="str">
        <f ca="1">IF(
    factorsTable[[#This Row],[sortedIndex]]="",
    "",
    _xlfn.XLOOKUP(factorsTable[[#This Row],[sortedIndex]], factorsTable[index], factorsTable[difference])
  )</f>
        <v/>
      </c>
    </row>
    <row r="10" spans="5:109" ht="14.4" customHeight="1" x14ac:dyDescent="0.3">
      <c r="E10" s="40" cm="1">
        <f t="array" ref="E10">ROW()-ROW(UITranslationTable[#Headers])</f>
        <v>8</v>
      </c>
      <c r="F10" s="1" t="s">
        <v>317</v>
      </c>
      <c r="G10" s="59" t="s">
        <v>313</v>
      </c>
      <c r="H10" s="59" t="s">
        <v>313</v>
      </c>
      <c r="J10" cm="1">
        <f t="array" ref="J10">ROW()-ROW(errorMessagesTable[#Headers])</f>
        <v>8</v>
      </c>
      <c r="K10" t="b" cm="1">
        <f t="array" aca="1" ref="K10" ca="1">AND(ISREF(INDIRECT(ADDRESS(1, 1, 1, 0, sheetNameData), FALSE)), SUM(_xlfn.BITAND(behaviourConfigTable[includeConfig]=yesLabel, _xlfn.BITAND(behaviourConfigTable[behaviourHeader]&lt;&gt;"", _xlfn.BITOR(NOT(ISNUMBER(behaviourConfigTable[minScore])), _xlfn.BITOR(NOT(ISNUMBER(behaviourConfigTable[maxScore])), behaviourConfigTable[minScore]&gt;=behaviourConfigTable[maxScore])))))&gt;0)</f>
        <v>0</v>
      </c>
      <c r="L10" s="59" t="s">
        <v>254</v>
      </c>
      <c r="M10" s="59" t="s">
        <v>258</v>
      </c>
      <c r="N10" t="str" cm="1">
        <f t="array" aca="1" ref="N10"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0" s="1" t="str" cm="1">
        <f t="array" aca="1" ref="O10"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0" s="15" cm="1">
        <f t="array" ref="Q10">ROW()-ROW(generalVariablesTable[#Headers])</f>
        <v>8</v>
      </c>
      <c r="R10" t="s">
        <v>310</v>
      </c>
      <c r="S10" s="66" t="s">
        <v>382</v>
      </c>
      <c r="BB10" s="58"/>
      <c r="BH10" s="17" cm="1">
        <f t="array" ref="BH10">ROW()-ROW(cutoffTable[#Headers])</f>
        <v>8</v>
      </c>
      <c r="BI10" s="16">
        <v>0.8</v>
      </c>
      <c r="BJ10" t="s">
        <v>297</v>
      </c>
      <c r="BK10" s="15" t="e" cm="1">
        <f t="array" aca="1" ref="BK10" ca="1">COUNTIFS(behaviourScoreNorm, "&gt;=" &amp; IF(cutoffTable[[#This Row],[index]]=1,0, INDEX(cutoffTable[cutoffLevel],cutoffTable[[#This Row],[index]]-1)), behaviourScoreNorm, "&lt;" &amp; IF(cutoffTable[[#This Row],[cutoffLevel]]=1,"=","") &amp; cutoffTable[[#This Row],[cutoffLevel]])</f>
        <v>#N/A</v>
      </c>
      <c r="BL10" s="15" t="e" cm="1">
        <f t="array" aca="1" ref="BL10" ca="1">COUNTIFS(
    behaviourScoreNorm, "&gt;=" &amp; IF(cutoffTable[[#This Row],[index]]=1,0, INDEX(cutoffTable[cutoffLevel],cutoffTable[[#This Row],[index]]-1)),
    behaviourScoreNorm, "&lt;" &amp; IF(cutoffTable[[#This Row],[cutoffLevel]]=1,"=","") &amp; cutoffTable[[#This Row],[cutoffLevel]],
    behaviourScoreNorm, "&lt;" &amp; cutoffLevel
  )</f>
        <v>#N/A</v>
      </c>
      <c r="BM10" s="15" t="e" cm="1">
        <f t="array" aca="1" ref="BM10" ca="1">COUNTIFS(
    behaviourScoreNorm, "&gt;=" &amp; IF(cutoffTable[[#This Row],[index]]=1,0, INDEX(cutoffTable[cutoffLevel],cutoffTable[[#This Row],[index]]-1)),
    behaviourScoreNorm, "&lt;" &amp; IF(cutoffTable[[#This Row],[cutoffLevel]]=1,"=","") &amp; cutoffTable[[#This Row],[cutoffLevel]],
    behaviourScoreNorm, "&gt;=" &amp; cutoffLevel
  )</f>
        <v>#N/A</v>
      </c>
      <c r="BN10" s="15" t="e">
        <f ca="1">ABS(SUM(cutoffTable[numResponses])-2*SUM(INDEX(cutoffTable[numResponses],1):INDEX(cutoffTable[numResponses],cutoffTable[[#This Row],[index]])))</f>
        <v>#N/A</v>
      </c>
      <c r="BU10" cm="1">
        <f t="array" ref="BU10">ROW()-ROW(factorsTable[#Headers])</f>
        <v>8</v>
      </c>
      <c r="BV10">
        <f>_xlfn.XLOOKUP(factorsTable[[#This Row],[index]],factorsConfigTable[index],factorsConfigTable[factorHeader])</f>
        <v>0</v>
      </c>
      <c r="BW10" t="str" cm="1">
        <f t="array" aca="1" ref="BW1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0" t="str" cm="1">
        <f t="array" ref="BX10">IF(factorsTable[[#This Row],[factorHeader]]=0, "", ADDRESS(2, factorsTable[[#This Row],[factorColNum]], 1, 0, sheetNameData) &amp; ":" &amp; ADDRESS(numEntries+1, factorsTable[[#This Row],[factorColNum]], 1, 0))</f>
        <v/>
      </c>
      <c r="BY10" t="str">
        <f>IF(factorsTable[[#This Row],[factorHeader]]=0, "", IF(_xlfn.XLOOKUP(factorsTable[[#This Row],[index]],factorsConfigTable[index],factorsConfigTable[minScore])="", NA(), _xlfn.XLOOKUP(factorsTable[[#This Row],[index]],factorsConfigTable[index],factorsConfigTable[minScore])))</f>
        <v/>
      </c>
      <c r="BZ10" t="str">
        <f>IF(factorsTable[[#This Row],[factorHeader]]=0, "", IF(_xlfn.XLOOKUP(factorsTable[[#This Row],[index]],factorsConfigTable[index],factorsConfigTable[maxScore])="", NA(), _xlfn.XLOOKUP(factorsTable[[#This Row],[index]],factorsConfigTable[index],factorsConfigTable[maxScore])))</f>
        <v/>
      </c>
      <c r="CA10" t="str">
        <f ca="1">IF(factorsTable[[#This Row],[factorHeader]]=0, "", IF(ISERROR(factorsTable[[#This Row],[factorColNum]]), NA(), MIN(INDIRECT(factorsTable[[#This Row],[indirectColRef]],FALSE))))</f>
        <v/>
      </c>
      <c r="CB10" t="str">
        <f ca="1">IF(factorsTable[[#This Row],[factorHeader]]=0, "", IF(ISERROR(factorsTable[[#This Row],[factorColNum]]), NA(), MAX(INDIRECT(factorsTable[[#This Row],[indirectColRef]],FALSE))))</f>
        <v/>
      </c>
      <c r="CC10" t="b" cm="1">
        <f t="array" aca="1" ref="CC10" ca="1">AND(
    ISREF(INDIRECT(ADDRESS(1, 1, 1, 0, sheetNameData), FALSE)),
    factorsTable[[#This Row],[factorHeader]]&lt;&gt;0,
    NOT(ISERROR(factorsTable[[#This Row],[factorColNum]])),
    IFERROR(factorsTable[[#This Row],[display]], FALSE),
    IFERROR(factorsTable[[#This Row],[minValue]]&lt;factorsTable[[#This Row],[minScore]], FALSE)
  )</f>
        <v>0</v>
      </c>
      <c r="CD10" t="b" cm="1">
        <f t="array" aca="1" ref="CD10" ca="1">AND(
    ISREF(INDIRECT(ADDRESS(1, 1, 1, 0, sheetNameData), FALSE)),
    factorsTable[[#This Row],[factorHeader]]&lt;&gt;0,
    NOT(ISERROR(factorsTable[[#This Row],[factorColNum]])),
    IFERROR(factorsTable[[#This Row],[display]], FALSE),
    IFERROR(factorsTable[[#This Row],[maxValue]]&gt;factorsTable[[#This Row],[maxScore]], FALSE)
  )</f>
        <v>0</v>
      </c>
      <c r="CE10" t="str" cm="1">
        <f t="array" aca="1" ref="CE10" ca="1">IF(factorsTable[[#This Row],[factorHeader]]=0, "", SUMPRODUCT(IF(isDoer="", 0, 1-isDoer),--(INDIRECT(factorsTable[[#This Row],[indirectColRef]],FALSE)&lt;&gt;"")))</f>
        <v/>
      </c>
      <c r="CF10" t="str" cm="1">
        <f t="array" aca="1" ref="CF10" ca="1">IF(factorsTable[[#This Row],[factorHeader]]=0, "", SUMPRODUCT(IF(isDoer="", 0, isDoer),--(INDIRECT(factorsTable[[#This Row],[indirectColRef]],FALSE)&lt;&gt;"")))</f>
        <v/>
      </c>
      <c r="CG10" t="str" cm="1">
        <f t="array" ref="CG10">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0" t="str" cm="1">
        <f t="array" aca="1" ref="CH1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0" t="str" cm="1">
        <f t="array" aca="1" ref="CI1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0" t="str">
        <f>IF(factorsTable[[#This Row],[factorHeader]]=0, "", factorsTable[[#This Row],[doers]]-factorsTable[[#This Row],[nondoers]])</f>
        <v/>
      </c>
      <c r="CK10" t="str">
        <f>IF(
    factorsTable[[#This Row],[factorHeader]]=0,
    "",
    _xlfn.XLOOKUP(
      _xlfn.XLOOKUP(factorsTable[[#This Row],[index]], factorsConfigTable[index], factorsConfigTable[displayConfig]),
      yesNoTable[label],
      yesNoTable[tag]
    )
  )</f>
        <v/>
      </c>
      <c r="CL10" s="15" t="b">
        <f>IF(factorsTable[[#This Row],[factorHeader]]=0, FALSE, IF(factorsTable[[#This Row],[displayConfig]]="yes", TRUE, IF(factorsTable[[#This Row],[displayConfig]]="no", FALSE, NA())))</f>
        <v>0</v>
      </c>
      <c r="CM10" s="15" t="str" cm="1">
        <f t="array" aca="1" ref="CM1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0" s="15" t="str">
        <f ca="1">IF(
    factorsTable[[#This Row],[filteredIndex]]="",
    "",
    IFERROR(
      _xlfn.XLOOKUP(factorsTable[[#This Row],[filteredIndex]], factorsTable[index], factorsTable[difference]),
      -99
    )
  )</f>
        <v/>
      </c>
      <c r="CO10" s="15" t="str">
        <f ca="1">IF(factorsTable[[#This Row],[filteredIndex]]="", "", IF(factorsTable[[#This Row],[relDiff]]=-99, -99, ABS(factorsTable[[#This Row],[relDiff]])))</f>
        <v/>
      </c>
      <c r="CP10" s="15" t="str">
        <f ca="1">IF(
    factorsTable[[#This Row],[filteredIndex]]="",
    "",
    IFERROR(
      _xlfn.XLOOKUP(
        _xlfn.XLOOKUP(factorsTable[[#This Row],[filteredIndex]], factorsConfigTable[index], factorsConfigTable[RANASBlock]),
        RANASBlocksTable[label],
        RANASBlocksTable[index]
      ),
      6
    )
  )</f>
        <v/>
      </c>
      <c r="CQ10" s="15" t="str">
        <f ca="1">IF(factorsTable[[#This Row],[filteredIndex]]="", "", _xlfn.RANK.EQ(factorsTable[[#This Row],[relDiff]], factorsTable[relDiff], 0))</f>
        <v/>
      </c>
      <c r="CR10" s="15" t="str">
        <f ca="1">IF(factorsTable[[#This Row],[filteredIndex]]="", "", _xlfn.RANK.EQ(factorsTable[[#This Row],[absDiff]], factorsTable[absDiff], 0))</f>
        <v/>
      </c>
      <c r="CS10" s="15" t="str">
        <f ca="1">IF(factorsTable[[#This Row],[filteredIndex]]="", "", _xlfn.RANK.EQ(factorsTable[[#This Row],[RANASIndex]], factorsTable[RANASIndex], 1))</f>
        <v/>
      </c>
      <c r="CT10" s="15" t="str" cm="1">
        <f t="array" aca="1" ref="CT10" ca="1">_xlfn.SWITCH(
    sortingMethodTag,
    "none", factorsTable[[#This Row],[filteredIndex]],
    "relDiff", factorsTable[[#This Row],[relDiffRank]],
    "absDiff", factorsTable[[#This Row],[absDiffRank]],
    "RANAS", factorsTable[[#This Row],[RANASRank]],
    factorsTable[[#This Row],[filteredIndex]]
  )</f>
        <v/>
      </c>
      <c r="CU10" s="15" t="str">
        <f ca="1">IF(
    factorsTable[[#This Row],[filteredIndex]]="",
    "",
    factorsTable[[#This Row],[selectedRank]]
      + COUNTIF(INDEX(factorsTable[selectedRank], 1):INDEX(factorsTable[selectedRank], factorsTable[[#This Row],[index]]), factorsTable[[#This Row],[selectedRank]])
      - 1
  )</f>
        <v/>
      </c>
      <c r="CV10" s="15" t="str">
        <f ca="1">IFERROR(
    _xlfn.XLOOKUP(factorsTable[[#This Row],[index]], factorsTable[uniqueRank], factorsTable[filteredIndex]),
    ""
  )</f>
        <v/>
      </c>
      <c r="CW10" s="15" t="str">
        <f ca="1">IF(factorsTable[[#This Row],[sortedIndex]]="", "", INDEX(factorsConfigTable[],MATCH(factorsTable[[#This Row],[sortedIndex]],factorsConfigTable[index],0),MATCH(chartLanguage,factorsConfigTable_Headers,0)))</f>
        <v/>
      </c>
      <c r="CX10" s="15" t="str" cm="1">
        <f t="array" aca="1" ref="CX1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0" s="15" t="str">
        <f ca="1">IF(
    factorsTable[[#This Row],[sortedIndex]]="",
    "",
    _xlfn.XLOOKUP(
      _xlfn.XLOOKUP(factorsTable[[#This Row],[sortedIndex]], factorsConfigTable[index], factorsConfigTable[RANASBlock]),
      RANASBlocksTable[label],
      RANASBlocksTable[tag]
    )
  )</f>
        <v/>
      </c>
      <c r="CZ10" s="15" t="str" cm="1">
        <f t="array" aca="1" ref="CZ1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0"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0" s="15" t="str">
        <f ca="1">IF(
    factorsTable[[#This Row],[sortedIndex]]="",
    "",
    _xlfn.XLOOKUP(factorsTable[[#This Row],[sortedIndex]], factorsTable[index], factorsTable[numTotal])
  )</f>
        <v/>
      </c>
      <c r="DC10" s="15" t="str">
        <f ca="1">IF(
    factorsTable[[#This Row],[sortedIndex]]="",
    "",
    _xlfn.XLOOKUP(factorsTable[[#This Row],[sortedIndex]], factorsTable[index], factorsTable[nondoers])
  )</f>
        <v/>
      </c>
      <c r="DD10" s="15" t="str">
        <f ca="1">IF(
    factorsTable[[#This Row],[sortedIndex]]="",
    "",
    _xlfn.XLOOKUP(factorsTable[[#This Row],[sortedIndex]], factorsTable[index], factorsTable[doers])
  )</f>
        <v/>
      </c>
      <c r="DE10" s="15" t="str">
        <f ca="1">IF(
    factorsTable[[#This Row],[sortedIndex]]="",
    "",
    _xlfn.XLOOKUP(factorsTable[[#This Row],[sortedIndex]], factorsTable[index], factorsTable[difference])
  )</f>
        <v/>
      </c>
    </row>
    <row r="11" spans="5:109" ht="14.4" customHeight="1" x14ac:dyDescent="0.3">
      <c r="E11" s="40" cm="1">
        <f t="array" ref="E11">ROW()-ROW(UITranslationTable[#Headers])</f>
        <v>9</v>
      </c>
      <c r="F11" s="1" t="s">
        <v>318</v>
      </c>
      <c r="G11" s="59"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59"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cm="1">
        <f t="array" ref="J11">ROW()-ROW(errorMessagesTable[#Headers])</f>
        <v>9</v>
      </c>
      <c r="K11" t="b">
        <f ca="1">OR(OR(behaviourTable[minError]), OR(behaviourTable[maxError]))</f>
        <v>0</v>
      </c>
      <c r="L11" s="59" t="str" cm="1">
        <f t="array" ref="L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M11" s="63" t="str" cm="1">
        <f t="array" ref="M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N11" t="str" cm="1">
        <f t="array" aca="1" ref="N11"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1" s="1" t="str" cm="1">
        <f t="array" aca="1" ref="O11"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1" s="15" cm="1">
        <f t="array" ref="Q11">ROW()-ROW(generalVariablesTable[#Headers])</f>
        <v>9</v>
      </c>
      <c r="R11" s="68" t="s">
        <v>329</v>
      </c>
      <c r="S11" s="66" t="s">
        <v>381</v>
      </c>
      <c r="BH11" s="17" cm="1">
        <f t="array" ref="BH11">ROW()-ROW(cutoffTable[#Headers])</f>
        <v>9</v>
      </c>
      <c r="BI11" s="16">
        <v>0.9</v>
      </c>
      <c r="BJ11" t="s">
        <v>298</v>
      </c>
      <c r="BK11" s="15" t="e" cm="1">
        <f t="array" aca="1" ref="BK11" ca="1">COUNTIFS(behaviourScoreNorm, "&gt;=" &amp; IF(cutoffTable[[#This Row],[index]]=1,0, INDEX(cutoffTable[cutoffLevel],cutoffTable[[#This Row],[index]]-1)), behaviourScoreNorm, "&lt;" &amp; IF(cutoffTable[[#This Row],[cutoffLevel]]=1,"=","") &amp; cutoffTable[[#This Row],[cutoffLevel]])</f>
        <v>#N/A</v>
      </c>
      <c r="BL11" s="15" t="e" cm="1">
        <f t="array" aca="1" ref="BL11" ca="1">COUNTIFS(
    behaviourScoreNorm, "&gt;=" &amp; IF(cutoffTable[[#This Row],[index]]=1,0, INDEX(cutoffTable[cutoffLevel],cutoffTable[[#This Row],[index]]-1)),
    behaviourScoreNorm, "&lt;" &amp; IF(cutoffTable[[#This Row],[cutoffLevel]]=1,"=","") &amp; cutoffTable[[#This Row],[cutoffLevel]],
    behaviourScoreNorm, "&lt;" &amp; cutoffLevel
  )</f>
        <v>#N/A</v>
      </c>
      <c r="BM11" s="15" t="e" cm="1">
        <f t="array" aca="1" ref="BM11" ca="1">COUNTIFS(
    behaviourScoreNorm, "&gt;=" &amp; IF(cutoffTable[[#This Row],[index]]=1,0, INDEX(cutoffTable[cutoffLevel],cutoffTable[[#This Row],[index]]-1)),
    behaviourScoreNorm, "&lt;" &amp; IF(cutoffTable[[#This Row],[cutoffLevel]]=1,"=","") &amp; cutoffTable[[#This Row],[cutoffLevel]],
    behaviourScoreNorm, "&gt;=" &amp; cutoffLevel
  )</f>
        <v>#N/A</v>
      </c>
      <c r="BN11" s="15" t="e">
        <f ca="1">ABS(SUM(cutoffTable[numResponses])-2*SUM(INDEX(cutoffTable[numResponses],1):INDEX(cutoffTable[numResponses],cutoffTable[[#This Row],[index]])))</f>
        <v>#N/A</v>
      </c>
      <c r="BU11" cm="1">
        <f t="array" ref="BU11">ROW()-ROW(factorsTable[#Headers])</f>
        <v>9</v>
      </c>
      <c r="BV11">
        <f>_xlfn.XLOOKUP(factorsTable[[#This Row],[index]],factorsConfigTable[index],factorsConfigTable[factorHeader])</f>
        <v>0</v>
      </c>
      <c r="BW11" t="str" cm="1">
        <f t="array" aca="1" ref="BW1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1" t="str" cm="1">
        <f t="array" ref="BX11">IF(factorsTable[[#This Row],[factorHeader]]=0, "", ADDRESS(2, factorsTable[[#This Row],[factorColNum]], 1, 0, sheetNameData) &amp; ":" &amp; ADDRESS(numEntries+1, factorsTable[[#This Row],[factorColNum]], 1, 0))</f>
        <v/>
      </c>
      <c r="BY11" t="str">
        <f>IF(factorsTable[[#This Row],[factorHeader]]=0, "", IF(_xlfn.XLOOKUP(factorsTable[[#This Row],[index]],factorsConfigTable[index],factorsConfigTable[minScore])="", NA(), _xlfn.XLOOKUP(factorsTable[[#This Row],[index]],factorsConfigTable[index],factorsConfigTable[minScore])))</f>
        <v/>
      </c>
      <c r="BZ11" t="str">
        <f>IF(factorsTable[[#This Row],[factorHeader]]=0, "", IF(_xlfn.XLOOKUP(factorsTable[[#This Row],[index]],factorsConfigTable[index],factorsConfigTable[maxScore])="", NA(), _xlfn.XLOOKUP(factorsTable[[#This Row],[index]],factorsConfigTable[index],factorsConfigTable[maxScore])))</f>
        <v/>
      </c>
      <c r="CA11" t="str">
        <f ca="1">IF(factorsTable[[#This Row],[factorHeader]]=0, "", IF(ISERROR(factorsTable[[#This Row],[factorColNum]]), NA(), MIN(INDIRECT(factorsTable[[#This Row],[indirectColRef]],FALSE))))</f>
        <v/>
      </c>
      <c r="CB11" t="str">
        <f ca="1">IF(factorsTable[[#This Row],[factorHeader]]=0, "", IF(ISERROR(factorsTable[[#This Row],[factorColNum]]), NA(), MAX(INDIRECT(factorsTable[[#This Row],[indirectColRef]],FALSE))))</f>
        <v/>
      </c>
      <c r="CC11" t="b" cm="1">
        <f t="array" aca="1" ref="CC11" ca="1">AND(
    ISREF(INDIRECT(ADDRESS(1, 1, 1, 0, sheetNameData), FALSE)),
    factorsTable[[#This Row],[factorHeader]]&lt;&gt;0,
    NOT(ISERROR(factorsTable[[#This Row],[factorColNum]])),
    IFERROR(factorsTable[[#This Row],[display]], FALSE),
    IFERROR(factorsTable[[#This Row],[minValue]]&lt;factorsTable[[#This Row],[minScore]], FALSE)
  )</f>
        <v>0</v>
      </c>
      <c r="CD11" t="b" cm="1">
        <f t="array" aca="1" ref="CD11" ca="1">AND(
    ISREF(INDIRECT(ADDRESS(1, 1, 1, 0, sheetNameData), FALSE)),
    factorsTable[[#This Row],[factorHeader]]&lt;&gt;0,
    NOT(ISERROR(factorsTable[[#This Row],[factorColNum]])),
    IFERROR(factorsTable[[#This Row],[display]], FALSE),
    IFERROR(factorsTable[[#This Row],[maxValue]]&gt;factorsTable[[#This Row],[maxScore]], FALSE)
  )</f>
        <v>0</v>
      </c>
      <c r="CE11" t="str" cm="1">
        <f t="array" aca="1" ref="CE11" ca="1">IF(factorsTable[[#This Row],[factorHeader]]=0, "", SUMPRODUCT(IF(isDoer="", 0, 1-isDoer),--(INDIRECT(factorsTable[[#This Row],[indirectColRef]],FALSE)&lt;&gt;"")))</f>
        <v/>
      </c>
      <c r="CF11" t="str" cm="1">
        <f t="array" aca="1" ref="CF11" ca="1">IF(factorsTable[[#This Row],[factorHeader]]=0, "", SUMPRODUCT(IF(isDoer="", 0, isDoer),--(INDIRECT(factorsTable[[#This Row],[indirectColRef]],FALSE)&lt;&gt;"")))</f>
        <v/>
      </c>
      <c r="CG11" t="str" cm="1">
        <f t="array" ref="CG1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1" t="str" cm="1">
        <f t="array" aca="1" ref="CH1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1" t="str" cm="1">
        <f t="array" aca="1" ref="CI1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1" t="str">
        <f>IF(factorsTable[[#This Row],[factorHeader]]=0, "", factorsTable[[#This Row],[doers]]-factorsTable[[#This Row],[nondoers]])</f>
        <v/>
      </c>
      <c r="CK11" t="str">
        <f>IF(
    factorsTable[[#This Row],[factorHeader]]=0,
    "",
    _xlfn.XLOOKUP(
      _xlfn.XLOOKUP(factorsTable[[#This Row],[index]], factorsConfigTable[index], factorsConfigTable[displayConfig]),
      yesNoTable[label],
      yesNoTable[tag]
    )
  )</f>
        <v/>
      </c>
      <c r="CL11" s="15" t="b">
        <f>IF(factorsTable[[#This Row],[factorHeader]]=0, FALSE, IF(factorsTable[[#This Row],[displayConfig]]="yes", TRUE, IF(factorsTable[[#This Row],[displayConfig]]="no", FALSE, NA())))</f>
        <v>0</v>
      </c>
      <c r="CM11" s="15" t="str" cm="1">
        <f t="array" aca="1" ref="CM1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1" s="15" t="str">
        <f ca="1">IF(
    factorsTable[[#This Row],[filteredIndex]]="",
    "",
    IFERROR(
      _xlfn.XLOOKUP(factorsTable[[#This Row],[filteredIndex]], factorsTable[index], factorsTable[difference]),
      -99
    )
  )</f>
        <v/>
      </c>
      <c r="CO11" s="15" t="str">
        <f ca="1">IF(factorsTable[[#This Row],[filteredIndex]]="", "", IF(factorsTable[[#This Row],[relDiff]]=-99, -99, ABS(factorsTable[[#This Row],[relDiff]])))</f>
        <v/>
      </c>
      <c r="CP11" s="15" t="str">
        <f ca="1">IF(
    factorsTable[[#This Row],[filteredIndex]]="",
    "",
    IFERROR(
      _xlfn.XLOOKUP(
        _xlfn.XLOOKUP(factorsTable[[#This Row],[filteredIndex]], factorsConfigTable[index], factorsConfigTable[RANASBlock]),
        RANASBlocksTable[label],
        RANASBlocksTable[index]
      ),
      6
    )
  )</f>
        <v/>
      </c>
      <c r="CQ11" s="15" t="str">
        <f ca="1">IF(factorsTable[[#This Row],[filteredIndex]]="", "", _xlfn.RANK.EQ(factorsTable[[#This Row],[relDiff]], factorsTable[relDiff], 0))</f>
        <v/>
      </c>
      <c r="CR11" s="15" t="str">
        <f ca="1">IF(factorsTable[[#This Row],[filteredIndex]]="", "", _xlfn.RANK.EQ(factorsTable[[#This Row],[absDiff]], factorsTable[absDiff], 0))</f>
        <v/>
      </c>
      <c r="CS11" s="15" t="str">
        <f ca="1">IF(factorsTable[[#This Row],[filteredIndex]]="", "", _xlfn.RANK.EQ(factorsTable[[#This Row],[RANASIndex]], factorsTable[RANASIndex], 1))</f>
        <v/>
      </c>
      <c r="CT11" s="15" t="str" cm="1">
        <f t="array" aca="1" ref="CT11" ca="1">_xlfn.SWITCH(
    sortingMethodTag,
    "none", factorsTable[[#This Row],[filteredIndex]],
    "relDiff", factorsTable[[#This Row],[relDiffRank]],
    "absDiff", factorsTable[[#This Row],[absDiffRank]],
    "RANAS", factorsTable[[#This Row],[RANASRank]],
    factorsTable[[#This Row],[filteredIndex]]
  )</f>
        <v/>
      </c>
      <c r="CU11" s="15" t="str">
        <f ca="1">IF(
    factorsTable[[#This Row],[filteredIndex]]="",
    "",
    factorsTable[[#This Row],[selectedRank]]
      + COUNTIF(INDEX(factorsTable[selectedRank], 1):INDEX(factorsTable[selectedRank], factorsTable[[#This Row],[index]]), factorsTable[[#This Row],[selectedRank]])
      - 1
  )</f>
        <v/>
      </c>
      <c r="CV11" s="15" t="str">
        <f ca="1">IFERROR(
    _xlfn.XLOOKUP(factorsTable[[#This Row],[index]], factorsTable[uniqueRank], factorsTable[filteredIndex]),
    ""
  )</f>
        <v/>
      </c>
      <c r="CW11" s="15" t="str">
        <f ca="1">IF(factorsTable[[#This Row],[sortedIndex]]="", "", INDEX(factorsConfigTable[],MATCH(factorsTable[[#This Row],[sortedIndex]],factorsConfigTable[index],0),MATCH(chartLanguage,factorsConfigTable_Headers,0)))</f>
        <v/>
      </c>
      <c r="CX11" s="15" t="str" cm="1">
        <f t="array" aca="1" ref="CX1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1" s="15" t="str">
        <f ca="1">IF(
    factorsTable[[#This Row],[sortedIndex]]="",
    "",
    _xlfn.XLOOKUP(
      _xlfn.XLOOKUP(factorsTable[[#This Row],[sortedIndex]], factorsConfigTable[index], factorsConfigTable[RANASBlock]),
      RANASBlocksTable[label],
      RANASBlocksTable[tag]
    )
  )</f>
        <v/>
      </c>
      <c r="CZ11" s="15" t="str" cm="1">
        <f t="array" aca="1" ref="CZ1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1"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1" s="15" t="str">
        <f ca="1">IF(
    factorsTable[[#This Row],[sortedIndex]]="",
    "",
    _xlfn.XLOOKUP(factorsTable[[#This Row],[sortedIndex]], factorsTable[index], factorsTable[numTotal])
  )</f>
        <v/>
      </c>
      <c r="DC11" s="15" t="str">
        <f ca="1">IF(
    factorsTable[[#This Row],[sortedIndex]]="",
    "",
    _xlfn.XLOOKUP(factorsTable[[#This Row],[sortedIndex]], factorsTable[index], factorsTable[nondoers])
  )</f>
        <v/>
      </c>
      <c r="DD11" s="15" t="str">
        <f ca="1">IF(
    factorsTable[[#This Row],[sortedIndex]]="",
    "",
    _xlfn.XLOOKUP(factorsTable[[#This Row],[sortedIndex]], factorsTable[index], factorsTable[doers])
  )</f>
        <v/>
      </c>
      <c r="DE11" s="15" t="str">
        <f ca="1">IF(
    factorsTable[[#This Row],[sortedIndex]]="",
    "",
    _xlfn.XLOOKUP(factorsTable[[#This Row],[sortedIndex]], factorsTable[index], factorsTable[difference])
  )</f>
        <v/>
      </c>
    </row>
    <row r="12" spans="5:109" ht="14.4" customHeight="1" x14ac:dyDescent="0.3">
      <c r="E12" s="40" cm="1">
        <f t="array" ref="E12">ROW()-ROW(UITranslationTable[#Headers])</f>
        <v>10</v>
      </c>
      <c r="F12" s="1" t="s">
        <v>319</v>
      </c>
      <c r="G12" s="59"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59"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cm="1">
        <f t="array" ref="J12">ROW()-ROW(errorMessagesTable[#Headers])</f>
        <v>10</v>
      </c>
      <c r="K12" t="b" cm="1">
        <f t="array" aca="1" ref="K12" ca="1">AND(ISREF(INDIRECT(ADDRESS(1, 1, 1, 0, sheetNameData), FALSE)), SUM(_xlfn.BITAND(factorsConfigTable[displayConfig]=yesLabel, ISNA(factorsConfigTable[factorColNum])))&gt;0)</f>
        <v>0</v>
      </c>
      <c r="L12" s="59" t="str" cm="1">
        <f t="array" ref="L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M12" s="59" t="str" cm="1">
        <f t="array" ref="M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N12" t="str" cm="1">
        <f t="array" aca="1" ref="N12"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2" s="1" t="str" cm="1">
        <f t="array" aca="1" ref="O12"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2" s="15" cm="1">
        <f t="array" ref="Q12">ROW()-ROW(generalVariablesTable[#Headers])</f>
        <v>10</v>
      </c>
      <c r="R12" s="68" t="s">
        <v>335</v>
      </c>
      <c r="S12" s="66" t="s">
        <v>336</v>
      </c>
      <c r="AP12" s="36"/>
      <c r="BH12" s="17" cm="1">
        <f t="array" ref="BH12">ROW()-ROW(cutoffTable[#Headers])</f>
        <v>10</v>
      </c>
      <c r="BI12" s="16">
        <v>1</v>
      </c>
      <c r="BJ12" t="s">
        <v>299</v>
      </c>
      <c r="BK12" s="15" t="e" cm="1">
        <f t="array" aca="1" ref="BK12" ca="1">COUNTIFS(behaviourScoreNorm, "&gt;=" &amp; IF(cutoffTable[[#This Row],[index]]=1,0, INDEX(cutoffTable[cutoffLevel],cutoffTable[[#This Row],[index]]-1)), behaviourScoreNorm, "&lt;" &amp; IF(cutoffTable[[#This Row],[cutoffLevel]]=1,"=","") &amp; cutoffTable[[#This Row],[cutoffLevel]])</f>
        <v>#N/A</v>
      </c>
      <c r="BL12" s="15" t="e" cm="1">
        <f t="array" aca="1" ref="BL12" ca="1">COUNTIFS(
    behaviourScoreNorm, "&gt;=" &amp; IF(cutoffTable[[#This Row],[index]]=1,0, INDEX(cutoffTable[cutoffLevel],cutoffTable[[#This Row],[index]]-1)),
    behaviourScoreNorm, "&lt;" &amp; IF(cutoffTable[[#This Row],[cutoffLevel]]=1,"=","") &amp; cutoffTable[[#This Row],[cutoffLevel]],
    behaviourScoreNorm, "&lt;" &amp; cutoffLevel
  )</f>
        <v>#N/A</v>
      </c>
      <c r="BM12" s="15" t="e" cm="1">
        <f t="array" aca="1" ref="BM12" ca="1">COUNTIFS(
    behaviourScoreNorm, "&gt;=" &amp; IF(cutoffTable[[#This Row],[index]]=1,0, INDEX(cutoffTable[cutoffLevel],cutoffTable[[#This Row],[index]]-1)),
    behaviourScoreNorm, "&lt;" &amp; IF(cutoffTable[[#This Row],[cutoffLevel]]=1,"=","") &amp; cutoffTable[[#This Row],[cutoffLevel]],
    behaviourScoreNorm, "&gt;=" &amp; cutoffLevel
  )</f>
        <v>#N/A</v>
      </c>
      <c r="BN12" s="15" t="e">
        <f ca="1">ABS(SUM(cutoffTable[numResponses])-2*SUM(INDEX(cutoffTable[numResponses],1):INDEX(cutoffTable[numResponses],cutoffTable[[#This Row],[index]])))</f>
        <v>#N/A</v>
      </c>
      <c r="BU12" cm="1">
        <f t="array" ref="BU12">ROW()-ROW(factorsTable[#Headers])</f>
        <v>10</v>
      </c>
      <c r="BV12">
        <f>_xlfn.XLOOKUP(factorsTable[[#This Row],[index]],factorsConfigTable[index],factorsConfigTable[factorHeader])</f>
        <v>0</v>
      </c>
      <c r="BW12" t="str" cm="1">
        <f t="array" aca="1" ref="BW1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2" t="str" cm="1">
        <f t="array" ref="BX12">IF(factorsTable[[#This Row],[factorHeader]]=0, "", ADDRESS(2, factorsTable[[#This Row],[factorColNum]], 1, 0, sheetNameData) &amp; ":" &amp; ADDRESS(numEntries+1, factorsTable[[#This Row],[factorColNum]], 1, 0))</f>
        <v/>
      </c>
      <c r="BY12" t="str">
        <f>IF(factorsTable[[#This Row],[factorHeader]]=0, "", IF(_xlfn.XLOOKUP(factorsTable[[#This Row],[index]],factorsConfigTable[index],factorsConfigTable[minScore])="", NA(), _xlfn.XLOOKUP(factorsTable[[#This Row],[index]],factorsConfigTable[index],factorsConfigTable[minScore])))</f>
        <v/>
      </c>
      <c r="BZ12" t="str">
        <f>IF(factorsTable[[#This Row],[factorHeader]]=0, "", IF(_xlfn.XLOOKUP(factorsTable[[#This Row],[index]],factorsConfigTable[index],factorsConfigTable[maxScore])="", NA(), _xlfn.XLOOKUP(factorsTable[[#This Row],[index]],factorsConfigTable[index],factorsConfigTable[maxScore])))</f>
        <v/>
      </c>
      <c r="CA12" t="str">
        <f ca="1">IF(factorsTable[[#This Row],[factorHeader]]=0, "", IF(ISERROR(factorsTable[[#This Row],[factorColNum]]), NA(), MIN(INDIRECT(factorsTable[[#This Row],[indirectColRef]],FALSE))))</f>
        <v/>
      </c>
      <c r="CB12" t="str">
        <f ca="1">IF(factorsTable[[#This Row],[factorHeader]]=0, "", IF(ISERROR(factorsTable[[#This Row],[factorColNum]]), NA(), MAX(INDIRECT(factorsTable[[#This Row],[indirectColRef]],FALSE))))</f>
        <v/>
      </c>
      <c r="CC12" t="b" cm="1">
        <f t="array" aca="1" ref="CC12" ca="1">AND(
    ISREF(INDIRECT(ADDRESS(1, 1, 1, 0, sheetNameData), FALSE)),
    factorsTable[[#This Row],[factorHeader]]&lt;&gt;0,
    NOT(ISERROR(factorsTable[[#This Row],[factorColNum]])),
    IFERROR(factorsTable[[#This Row],[display]], FALSE),
    IFERROR(factorsTable[[#This Row],[minValue]]&lt;factorsTable[[#This Row],[minScore]], FALSE)
  )</f>
        <v>0</v>
      </c>
      <c r="CD12" t="b" cm="1">
        <f t="array" aca="1" ref="CD12" ca="1">AND(
    ISREF(INDIRECT(ADDRESS(1, 1, 1, 0, sheetNameData), FALSE)),
    factorsTable[[#This Row],[factorHeader]]&lt;&gt;0,
    NOT(ISERROR(factorsTable[[#This Row],[factorColNum]])),
    IFERROR(factorsTable[[#This Row],[display]], FALSE),
    IFERROR(factorsTable[[#This Row],[maxValue]]&gt;factorsTable[[#This Row],[maxScore]], FALSE)
  )</f>
        <v>0</v>
      </c>
      <c r="CE12" t="str" cm="1">
        <f t="array" aca="1" ref="CE12" ca="1">IF(factorsTable[[#This Row],[factorHeader]]=0, "", SUMPRODUCT(IF(isDoer="", 0, 1-isDoer),--(INDIRECT(factorsTable[[#This Row],[indirectColRef]],FALSE)&lt;&gt;"")))</f>
        <v/>
      </c>
      <c r="CF12" t="str" cm="1">
        <f t="array" aca="1" ref="CF12" ca="1">IF(factorsTable[[#This Row],[factorHeader]]=0, "", SUMPRODUCT(IF(isDoer="", 0, isDoer),--(INDIRECT(factorsTable[[#This Row],[indirectColRef]],FALSE)&lt;&gt;"")))</f>
        <v/>
      </c>
      <c r="CG12" t="str" cm="1">
        <f t="array" ref="CG12">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2" t="str" cm="1">
        <f t="array" aca="1" ref="CH1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2" t="str" cm="1">
        <f t="array" aca="1" ref="CI1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2" t="str">
        <f>IF(factorsTable[[#This Row],[factorHeader]]=0, "", factorsTable[[#This Row],[doers]]-factorsTable[[#This Row],[nondoers]])</f>
        <v/>
      </c>
      <c r="CK12" t="str">
        <f>IF(
    factorsTable[[#This Row],[factorHeader]]=0,
    "",
    _xlfn.XLOOKUP(
      _xlfn.XLOOKUP(factorsTable[[#This Row],[index]], factorsConfigTable[index], factorsConfigTable[displayConfig]),
      yesNoTable[label],
      yesNoTable[tag]
    )
  )</f>
        <v/>
      </c>
      <c r="CL12" s="15" t="b">
        <f>IF(factorsTable[[#This Row],[factorHeader]]=0, FALSE, IF(factorsTable[[#This Row],[displayConfig]]="yes", TRUE, IF(factorsTable[[#This Row],[displayConfig]]="no", FALSE, NA())))</f>
        <v>0</v>
      </c>
      <c r="CM12" s="15" t="str" cm="1">
        <f t="array" aca="1" ref="CM1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2" s="15" t="str">
        <f ca="1">IF(
    factorsTable[[#This Row],[filteredIndex]]="",
    "",
    IFERROR(
      _xlfn.XLOOKUP(factorsTable[[#This Row],[filteredIndex]], factorsTable[index], factorsTable[difference]),
      -99
    )
  )</f>
        <v/>
      </c>
      <c r="CO12" s="15" t="str">
        <f ca="1">IF(factorsTable[[#This Row],[filteredIndex]]="", "", IF(factorsTable[[#This Row],[relDiff]]=-99, -99, ABS(factorsTable[[#This Row],[relDiff]])))</f>
        <v/>
      </c>
      <c r="CP12" s="15" t="str">
        <f ca="1">IF(
    factorsTable[[#This Row],[filteredIndex]]="",
    "",
    IFERROR(
      _xlfn.XLOOKUP(
        _xlfn.XLOOKUP(factorsTable[[#This Row],[filteredIndex]], factorsConfigTable[index], factorsConfigTable[RANASBlock]),
        RANASBlocksTable[label],
        RANASBlocksTable[index]
      ),
      6
    )
  )</f>
        <v/>
      </c>
      <c r="CQ12" s="15" t="str">
        <f ca="1">IF(factorsTable[[#This Row],[filteredIndex]]="", "", _xlfn.RANK.EQ(factorsTable[[#This Row],[relDiff]], factorsTable[relDiff], 0))</f>
        <v/>
      </c>
      <c r="CR12" s="15" t="str">
        <f ca="1">IF(factorsTable[[#This Row],[filteredIndex]]="", "", _xlfn.RANK.EQ(factorsTable[[#This Row],[absDiff]], factorsTable[absDiff], 0))</f>
        <v/>
      </c>
      <c r="CS12" s="15" t="str">
        <f ca="1">IF(factorsTable[[#This Row],[filteredIndex]]="", "", _xlfn.RANK.EQ(factorsTable[[#This Row],[RANASIndex]], factorsTable[RANASIndex], 1))</f>
        <v/>
      </c>
      <c r="CT12" s="15" t="str" cm="1">
        <f t="array" aca="1" ref="CT12" ca="1">_xlfn.SWITCH(
    sortingMethodTag,
    "none", factorsTable[[#This Row],[filteredIndex]],
    "relDiff", factorsTable[[#This Row],[relDiffRank]],
    "absDiff", factorsTable[[#This Row],[absDiffRank]],
    "RANAS", factorsTable[[#This Row],[RANASRank]],
    factorsTable[[#This Row],[filteredIndex]]
  )</f>
        <v/>
      </c>
      <c r="CU12" s="15" t="str">
        <f ca="1">IF(
    factorsTable[[#This Row],[filteredIndex]]="",
    "",
    factorsTable[[#This Row],[selectedRank]]
      + COUNTIF(INDEX(factorsTable[selectedRank], 1):INDEX(factorsTable[selectedRank], factorsTable[[#This Row],[index]]), factorsTable[[#This Row],[selectedRank]])
      - 1
  )</f>
        <v/>
      </c>
      <c r="CV12" s="15" t="str">
        <f ca="1">IFERROR(
    _xlfn.XLOOKUP(factorsTable[[#This Row],[index]], factorsTable[uniqueRank], factorsTable[filteredIndex]),
    ""
  )</f>
        <v/>
      </c>
      <c r="CW12" s="15" t="str">
        <f ca="1">IF(factorsTable[[#This Row],[sortedIndex]]="", "", INDEX(factorsConfigTable[],MATCH(factorsTable[[#This Row],[sortedIndex]],factorsConfigTable[index],0),MATCH(chartLanguage,factorsConfigTable_Headers,0)))</f>
        <v/>
      </c>
      <c r="CX12" s="15" t="str" cm="1">
        <f t="array" aca="1" ref="CX1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2" s="15" t="str">
        <f ca="1">IF(
    factorsTable[[#This Row],[sortedIndex]]="",
    "",
    _xlfn.XLOOKUP(
      _xlfn.XLOOKUP(factorsTable[[#This Row],[sortedIndex]], factorsConfigTable[index], factorsConfigTable[RANASBlock]),
      RANASBlocksTable[label],
      RANASBlocksTable[tag]
    )
  )</f>
        <v/>
      </c>
      <c r="CZ12" s="15" t="str" cm="1">
        <f t="array" aca="1" ref="CZ1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2"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2" s="15" t="str">
        <f ca="1">IF(
    factorsTable[[#This Row],[sortedIndex]]="",
    "",
    _xlfn.XLOOKUP(factorsTable[[#This Row],[sortedIndex]], factorsTable[index], factorsTable[numTotal])
  )</f>
        <v/>
      </c>
      <c r="DC12" s="15" t="str">
        <f ca="1">IF(
    factorsTable[[#This Row],[sortedIndex]]="",
    "",
    _xlfn.XLOOKUP(factorsTable[[#This Row],[sortedIndex]], factorsTable[index], factorsTable[nondoers])
  )</f>
        <v/>
      </c>
      <c r="DD12" s="15" t="str">
        <f ca="1">IF(
    factorsTable[[#This Row],[sortedIndex]]="",
    "",
    _xlfn.XLOOKUP(factorsTable[[#This Row],[sortedIndex]], factorsTable[index], factorsTable[doers])
  )</f>
        <v/>
      </c>
      <c r="DE12" s="15" t="str">
        <f ca="1">IF(
    factorsTable[[#This Row],[sortedIndex]]="",
    "",
    _xlfn.XLOOKUP(factorsTable[[#This Row],[sortedIndex]], factorsTable[index], factorsTable[difference])
  )</f>
        <v/>
      </c>
    </row>
    <row r="13" spans="5:109" ht="14.4" customHeight="1" x14ac:dyDescent="0.3">
      <c r="E13" s="40" cm="1">
        <f t="array" ref="E13">ROW()-ROW(UITranslationTable[#Headers])</f>
        <v>11</v>
      </c>
      <c r="F13" s="1" t="s">
        <v>320</v>
      </c>
      <c r="G13" s="62"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59"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cm="1">
        <f t="array" ref="J13">ROW()-ROW(errorMessagesTable[#Headers])</f>
        <v>11</v>
      </c>
      <c r="K13" t="b" cm="1">
        <f t="array" aca="1" ref="K13" ca="1">AND(ISREF(INDIRECT(ADDRESS(1, 1, 1, 0, sheetNameData), FALSE)), SUM(_xlfn.BITAND(NOT(_xlfn.BITOR(factorsConfigTable[displayConfig]=yesLabel,factorsConfigTable[displayConfig]=noLabel)), factorsConfigTable[factorHeader]&lt;&gt;""))&gt;0)</f>
        <v>0</v>
      </c>
      <c r="L13" s="59" t="s">
        <v>355</v>
      </c>
      <c r="M13" s="59" t="s">
        <v>351</v>
      </c>
      <c r="N13" t="str" cm="1">
        <f t="array" aca="1" ref="N1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3" s="1" t="str" cm="1">
        <f t="array" aca="1" ref="O1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3" cm="1">
        <f t="array" ref="Q13">ROW()-ROW(generalVariablesTable[#Headers])</f>
        <v>11</v>
      </c>
      <c r="R13" t="s">
        <v>30</v>
      </c>
      <c r="S13" s="1">
        <v>1000</v>
      </c>
      <c r="AP13" s="36"/>
      <c r="BU13" s="15" cm="1">
        <f t="array" ref="BU13">ROW()-ROW(factorsTable[#Headers])</f>
        <v>11</v>
      </c>
      <c r="BV13" s="15">
        <f>_xlfn.XLOOKUP(factorsTable[[#This Row],[index]],factorsConfigTable[index],factorsConfigTable[factorHeader])</f>
        <v>0</v>
      </c>
      <c r="BW13" s="15" t="str" cm="1">
        <f t="array" aca="1" ref="BW1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3" s="15" t="str" cm="1">
        <f t="array" ref="BX13">IF(factorsTable[[#This Row],[factorHeader]]=0, "", ADDRESS(2, factorsTable[[#This Row],[factorColNum]], 1, 0, sheetNameData) &amp; ":" &amp; ADDRESS(numEntries+1, factorsTable[[#This Row],[factorColNum]], 1, 0))</f>
        <v/>
      </c>
      <c r="BY13" s="15" t="str">
        <f>IF(factorsTable[[#This Row],[factorHeader]]=0, "", IF(_xlfn.XLOOKUP(factorsTable[[#This Row],[index]],factorsConfigTable[index],factorsConfigTable[minScore])="", NA(), _xlfn.XLOOKUP(factorsTable[[#This Row],[index]],factorsConfigTable[index],factorsConfigTable[minScore])))</f>
        <v/>
      </c>
      <c r="BZ13" s="15" t="str">
        <f>IF(factorsTable[[#This Row],[factorHeader]]=0, "", IF(_xlfn.XLOOKUP(factorsTable[[#This Row],[index]],factorsConfigTable[index],factorsConfigTable[maxScore])="", NA(), _xlfn.XLOOKUP(factorsTable[[#This Row],[index]],factorsConfigTable[index],factorsConfigTable[maxScore])))</f>
        <v/>
      </c>
      <c r="CA13" s="15" t="str">
        <f ca="1">IF(factorsTable[[#This Row],[factorHeader]]=0, "", IF(ISERROR(factorsTable[[#This Row],[factorColNum]]), NA(), MIN(INDIRECT(factorsTable[[#This Row],[indirectColRef]],FALSE))))</f>
        <v/>
      </c>
      <c r="CB13" s="15" t="str">
        <f ca="1">IF(factorsTable[[#This Row],[factorHeader]]=0, "", IF(ISERROR(factorsTable[[#This Row],[factorColNum]]), NA(), MAX(INDIRECT(factorsTable[[#This Row],[indirectColRef]],FALSE))))</f>
        <v/>
      </c>
      <c r="CC13" s="15" t="b" cm="1">
        <f t="array" aca="1" ref="CC13" ca="1">AND(
    ISREF(INDIRECT(ADDRESS(1, 1, 1, 0, sheetNameData), FALSE)),
    factorsTable[[#This Row],[factorHeader]]&lt;&gt;0,
    NOT(ISERROR(factorsTable[[#This Row],[factorColNum]])),
    IFERROR(factorsTable[[#This Row],[display]], FALSE),
    IFERROR(factorsTable[[#This Row],[minValue]]&lt;factorsTable[[#This Row],[minScore]], FALSE)
  )</f>
        <v>0</v>
      </c>
      <c r="CD13" s="15" t="b" cm="1">
        <f t="array" aca="1" ref="CD13" ca="1">AND(
    ISREF(INDIRECT(ADDRESS(1, 1, 1, 0, sheetNameData), FALSE)),
    factorsTable[[#This Row],[factorHeader]]&lt;&gt;0,
    NOT(ISERROR(factorsTable[[#This Row],[factorColNum]])),
    IFERROR(factorsTable[[#This Row],[display]], FALSE),
    IFERROR(factorsTable[[#This Row],[maxValue]]&gt;factorsTable[[#This Row],[maxScore]], FALSE)
  )</f>
        <v>0</v>
      </c>
      <c r="CE13" s="15" t="str" cm="1">
        <f t="array" aca="1" ref="CE13" ca="1">IF(factorsTable[[#This Row],[factorHeader]]=0, "", SUMPRODUCT(IF(isDoer="", 0, 1-isDoer),--(INDIRECT(factorsTable[[#This Row],[indirectColRef]],FALSE)&lt;&gt;"")))</f>
        <v/>
      </c>
      <c r="CF13" s="15" t="str" cm="1">
        <f t="array" aca="1" ref="CF13" ca="1">IF(factorsTable[[#This Row],[factorHeader]]=0, "", SUMPRODUCT(IF(isDoer="", 0, isDoer),--(INDIRECT(factorsTable[[#This Row],[indirectColRef]],FALSE)&lt;&gt;"")))</f>
        <v/>
      </c>
      <c r="CG13" s="15" t="str" cm="1">
        <f t="array" ref="CG13">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3" s="15" t="str" cm="1">
        <f t="array" aca="1" ref="CH1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3" s="15" t="str" cm="1">
        <f t="array" aca="1" ref="CI1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3" s="15" t="str">
        <f>IF(factorsTable[[#This Row],[factorHeader]]=0, "", factorsTable[[#This Row],[doers]]-factorsTable[[#This Row],[nondoers]])</f>
        <v/>
      </c>
      <c r="CK13" s="15" t="str">
        <f>IF(
    factorsTable[[#This Row],[factorHeader]]=0,
    "",
    _xlfn.XLOOKUP(
      _xlfn.XLOOKUP(factorsTable[[#This Row],[index]], factorsConfigTable[index], factorsConfigTable[displayConfig]),
      yesNoTable[label],
      yesNoTable[tag]
    )
  )</f>
        <v/>
      </c>
      <c r="CL13" s="15" t="b">
        <f>IF(factorsTable[[#This Row],[factorHeader]]=0, FALSE, IF(factorsTable[[#This Row],[displayConfig]]="yes", TRUE, IF(factorsTable[[#This Row],[displayConfig]]="no", FALSE, NA())))</f>
        <v>0</v>
      </c>
      <c r="CM13" s="15" t="str" cm="1">
        <f t="array" aca="1" ref="CM1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3" s="15" t="str">
        <f ca="1">IF(
    factorsTable[[#This Row],[filteredIndex]]="",
    "",
    IFERROR(
      _xlfn.XLOOKUP(factorsTable[[#This Row],[filteredIndex]], factorsTable[index], factorsTable[difference]),
      -99
    )
  )</f>
        <v/>
      </c>
      <c r="CO13" s="15" t="str">
        <f ca="1">IF(factorsTable[[#This Row],[filteredIndex]]="", "", IF(factorsTable[[#This Row],[relDiff]]=-99, -99, ABS(factorsTable[[#This Row],[relDiff]])))</f>
        <v/>
      </c>
      <c r="CP13" s="15" t="str">
        <f ca="1">IF(
    factorsTable[[#This Row],[filteredIndex]]="",
    "",
    IFERROR(
      _xlfn.XLOOKUP(
        _xlfn.XLOOKUP(factorsTable[[#This Row],[filteredIndex]], factorsConfigTable[index], factorsConfigTable[RANASBlock]),
        RANASBlocksTable[label],
        RANASBlocksTable[index]
      ),
      6
    )
  )</f>
        <v/>
      </c>
      <c r="CQ13" s="15" t="str">
        <f ca="1">IF(factorsTable[[#This Row],[filteredIndex]]="", "", _xlfn.RANK.EQ(factorsTable[[#This Row],[relDiff]], factorsTable[relDiff], 0))</f>
        <v/>
      </c>
      <c r="CR13" s="15" t="str">
        <f ca="1">IF(factorsTable[[#This Row],[filteredIndex]]="", "", _xlfn.RANK.EQ(factorsTable[[#This Row],[absDiff]], factorsTable[absDiff], 0))</f>
        <v/>
      </c>
      <c r="CS13" s="15" t="str">
        <f ca="1">IF(factorsTable[[#This Row],[filteredIndex]]="", "", _xlfn.RANK.EQ(factorsTable[[#This Row],[RANASIndex]], factorsTable[RANASIndex], 1))</f>
        <v/>
      </c>
      <c r="CT13" s="15" t="str" cm="1">
        <f t="array" aca="1" ref="CT13" ca="1">_xlfn.SWITCH(
    sortingMethodTag,
    "none", factorsTable[[#This Row],[filteredIndex]],
    "relDiff", factorsTable[[#This Row],[relDiffRank]],
    "absDiff", factorsTable[[#This Row],[absDiffRank]],
    "RANAS", factorsTable[[#This Row],[RANASRank]],
    factorsTable[[#This Row],[filteredIndex]]
  )</f>
        <v/>
      </c>
      <c r="CU13" s="15" t="str">
        <f ca="1">IF(
    factorsTable[[#This Row],[filteredIndex]]="",
    "",
    factorsTable[[#This Row],[selectedRank]]
      + COUNTIF(INDEX(factorsTable[selectedRank], 1):INDEX(factorsTable[selectedRank], factorsTable[[#This Row],[index]]), factorsTable[[#This Row],[selectedRank]])
      - 1
  )</f>
        <v/>
      </c>
      <c r="CV13" s="15" t="str">
        <f ca="1">IFERROR(
    _xlfn.XLOOKUP(factorsTable[[#This Row],[index]], factorsTable[uniqueRank], factorsTable[filteredIndex]),
    ""
  )</f>
        <v/>
      </c>
      <c r="CW13" s="15" t="str">
        <f ca="1">IF(factorsTable[[#This Row],[sortedIndex]]="", "", INDEX(factorsConfigTable[],MATCH(factorsTable[[#This Row],[sortedIndex]],factorsConfigTable[index],0),MATCH(chartLanguage,factorsConfigTable_Headers,0)))</f>
        <v/>
      </c>
      <c r="CX13" s="15" t="str" cm="1">
        <f t="array" aca="1" ref="CX1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3" s="15" t="str">
        <f ca="1">IF(
    factorsTable[[#This Row],[sortedIndex]]="",
    "",
    _xlfn.XLOOKUP(
      _xlfn.XLOOKUP(factorsTable[[#This Row],[sortedIndex]], factorsConfigTable[index], factorsConfigTable[RANASBlock]),
      RANASBlocksTable[label],
      RANASBlocksTable[tag]
    )
  )</f>
        <v/>
      </c>
      <c r="CZ13" s="15" t="str" cm="1">
        <f t="array" aca="1" ref="CZ1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3"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3" s="15" t="str">
        <f ca="1">IF(
    factorsTable[[#This Row],[sortedIndex]]="",
    "",
    _xlfn.XLOOKUP(factorsTable[[#This Row],[sortedIndex]], factorsTable[index], factorsTable[numTotal])
  )</f>
        <v/>
      </c>
      <c r="DC13" s="15" t="str">
        <f ca="1">IF(
    factorsTable[[#This Row],[sortedIndex]]="",
    "",
    _xlfn.XLOOKUP(factorsTable[[#This Row],[sortedIndex]], factorsTable[index], factorsTable[nondoers])
  )</f>
        <v/>
      </c>
      <c r="DD13" s="15" t="str">
        <f ca="1">IF(
    factorsTable[[#This Row],[sortedIndex]]="",
    "",
    _xlfn.XLOOKUP(factorsTable[[#This Row],[sortedIndex]], factorsTable[index], factorsTable[doers])
  )</f>
        <v/>
      </c>
      <c r="DE13" s="15" t="str">
        <f ca="1">IF(
    factorsTable[[#This Row],[sortedIndex]]="",
    "",
    _xlfn.XLOOKUP(factorsTable[[#This Row],[sortedIndex]], factorsTable[index], factorsTable[difference])
  )</f>
        <v/>
      </c>
    </row>
    <row r="14" spans="5:109" ht="14.4" customHeight="1" x14ac:dyDescent="0.3">
      <c r="E14" s="40" cm="1">
        <f t="array" ref="E14">ROW()-ROW(UITranslationTable[#Headers])</f>
        <v>12</v>
      </c>
      <c r="F14" s="1" t="s">
        <v>337</v>
      </c>
      <c r="G14" s="62" t="s">
        <v>338</v>
      </c>
      <c r="H14" s="59" t="s">
        <v>340</v>
      </c>
      <c r="J14" cm="1">
        <f t="array" ref="J14">ROW()-ROW(errorMessagesTable[#Headers])</f>
        <v>12</v>
      </c>
      <c r="K14" t="b" cm="1">
        <f t="array" aca="1" ref="K14" ca="1">AND(ISREF(INDIRECT(ADDRESS(1, 1, 1, 0, sheetNameData), FALSE)), noValidFactorSelected)</f>
        <v>0</v>
      </c>
      <c r="L14" s="59" t="str" cm="1">
        <f t="array" ref="L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M14" s="59" t="str" cm="1">
        <f t="array" ref="M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N14" t="str" cm="1">
        <f t="array" aca="1" ref="N1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4" s="1" t="str" cm="1">
        <f t="array" aca="1" ref="O1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4" cm="1">
        <f t="array" ref="Q14">ROW()-ROW(generalVariablesTable[#Headers])</f>
        <v>12</v>
      </c>
      <c r="R14" t="s">
        <v>31</v>
      </c>
      <c r="S14" s="1">
        <v>1000</v>
      </c>
      <c r="BU14" s="15" cm="1">
        <f t="array" ref="BU14">ROW()-ROW(factorsTable[#Headers])</f>
        <v>12</v>
      </c>
      <c r="BV14" s="15">
        <f>_xlfn.XLOOKUP(factorsTable[[#This Row],[index]],factorsConfigTable[index],factorsConfigTable[factorHeader])</f>
        <v>0</v>
      </c>
      <c r="BW14" s="15" t="str" cm="1">
        <f t="array" aca="1" ref="BW1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4" s="15" t="str" cm="1">
        <f t="array" ref="BX14">IF(factorsTable[[#This Row],[factorHeader]]=0, "", ADDRESS(2, factorsTable[[#This Row],[factorColNum]], 1, 0, sheetNameData) &amp; ":" &amp; ADDRESS(numEntries+1, factorsTable[[#This Row],[factorColNum]], 1, 0))</f>
        <v/>
      </c>
      <c r="BY14" s="15" t="str">
        <f>IF(factorsTable[[#This Row],[factorHeader]]=0, "", IF(_xlfn.XLOOKUP(factorsTable[[#This Row],[index]],factorsConfigTable[index],factorsConfigTable[minScore])="", NA(), _xlfn.XLOOKUP(factorsTable[[#This Row],[index]],factorsConfigTable[index],factorsConfigTable[minScore])))</f>
        <v/>
      </c>
      <c r="BZ14" s="15" t="str">
        <f>IF(factorsTable[[#This Row],[factorHeader]]=0, "", IF(_xlfn.XLOOKUP(factorsTable[[#This Row],[index]],factorsConfigTable[index],factorsConfigTable[maxScore])="", NA(), _xlfn.XLOOKUP(factorsTable[[#This Row],[index]],factorsConfigTable[index],factorsConfigTable[maxScore])))</f>
        <v/>
      </c>
      <c r="CA14" s="15" t="str">
        <f ca="1">IF(factorsTable[[#This Row],[factorHeader]]=0, "", IF(ISERROR(factorsTable[[#This Row],[factorColNum]]), NA(), MIN(INDIRECT(factorsTable[[#This Row],[indirectColRef]],FALSE))))</f>
        <v/>
      </c>
      <c r="CB14" s="15" t="str">
        <f ca="1">IF(factorsTable[[#This Row],[factorHeader]]=0, "", IF(ISERROR(factorsTable[[#This Row],[factorColNum]]), NA(), MAX(INDIRECT(factorsTable[[#This Row],[indirectColRef]],FALSE))))</f>
        <v/>
      </c>
      <c r="CC14" s="15" t="b" cm="1">
        <f t="array" aca="1" ref="CC14" ca="1">AND(
    ISREF(INDIRECT(ADDRESS(1, 1, 1, 0, sheetNameData), FALSE)),
    factorsTable[[#This Row],[factorHeader]]&lt;&gt;0,
    NOT(ISERROR(factorsTable[[#This Row],[factorColNum]])),
    IFERROR(factorsTable[[#This Row],[display]], FALSE),
    IFERROR(factorsTable[[#This Row],[minValue]]&lt;factorsTable[[#This Row],[minScore]], FALSE)
  )</f>
        <v>0</v>
      </c>
      <c r="CD14" s="15" t="b" cm="1">
        <f t="array" aca="1" ref="CD14" ca="1">AND(
    ISREF(INDIRECT(ADDRESS(1, 1, 1, 0, sheetNameData), FALSE)),
    factorsTable[[#This Row],[factorHeader]]&lt;&gt;0,
    NOT(ISERROR(factorsTable[[#This Row],[factorColNum]])),
    IFERROR(factorsTable[[#This Row],[display]], FALSE),
    IFERROR(factorsTable[[#This Row],[maxValue]]&gt;factorsTable[[#This Row],[maxScore]], FALSE)
  )</f>
        <v>0</v>
      </c>
      <c r="CE14" s="15" t="str" cm="1">
        <f t="array" aca="1" ref="CE14" ca="1">IF(factorsTable[[#This Row],[factorHeader]]=0, "", SUMPRODUCT(IF(isDoer="", 0, 1-isDoer),--(INDIRECT(factorsTable[[#This Row],[indirectColRef]],FALSE)&lt;&gt;"")))</f>
        <v/>
      </c>
      <c r="CF14" s="15" t="str" cm="1">
        <f t="array" aca="1" ref="CF14" ca="1">IF(factorsTable[[#This Row],[factorHeader]]=0, "", SUMPRODUCT(IF(isDoer="", 0, isDoer),--(INDIRECT(factorsTable[[#This Row],[indirectColRef]],FALSE)&lt;&gt;"")))</f>
        <v/>
      </c>
      <c r="CG14" s="15" t="str" cm="1">
        <f t="array" ref="CG14">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4" s="15" t="str" cm="1">
        <f t="array" aca="1" ref="CH1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4" s="15" t="str" cm="1">
        <f t="array" aca="1" ref="CI1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4" s="15" t="str">
        <f>IF(factorsTable[[#This Row],[factorHeader]]=0, "", factorsTable[[#This Row],[doers]]-factorsTable[[#This Row],[nondoers]])</f>
        <v/>
      </c>
      <c r="CK14" s="15" t="str">
        <f>IF(
    factorsTable[[#This Row],[factorHeader]]=0,
    "",
    _xlfn.XLOOKUP(
      _xlfn.XLOOKUP(factorsTable[[#This Row],[index]], factorsConfigTable[index], factorsConfigTable[displayConfig]),
      yesNoTable[label],
      yesNoTable[tag]
    )
  )</f>
        <v/>
      </c>
      <c r="CL14" s="15" t="b">
        <f>IF(factorsTable[[#This Row],[factorHeader]]=0, FALSE, IF(factorsTable[[#This Row],[displayConfig]]="yes", TRUE, IF(factorsTable[[#This Row],[displayConfig]]="no", FALSE, NA())))</f>
        <v>0</v>
      </c>
      <c r="CM14" s="15" t="str" cm="1">
        <f t="array" aca="1" ref="CM1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4" s="15" t="str">
        <f ca="1">IF(
    factorsTable[[#This Row],[filteredIndex]]="",
    "",
    IFERROR(
      _xlfn.XLOOKUP(factorsTable[[#This Row],[filteredIndex]], factorsTable[index], factorsTable[difference]),
      -99
    )
  )</f>
        <v/>
      </c>
      <c r="CO14" s="15" t="str">
        <f ca="1">IF(factorsTable[[#This Row],[filteredIndex]]="", "", IF(factorsTable[[#This Row],[relDiff]]=-99, -99, ABS(factorsTable[[#This Row],[relDiff]])))</f>
        <v/>
      </c>
      <c r="CP14" s="15" t="str">
        <f ca="1">IF(
    factorsTable[[#This Row],[filteredIndex]]="",
    "",
    IFERROR(
      _xlfn.XLOOKUP(
        _xlfn.XLOOKUP(factorsTable[[#This Row],[filteredIndex]], factorsConfigTable[index], factorsConfigTable[RANASBlock]),
        RANASBlocksTable[label],
        RANASBlocksTable[index]
      ),
      6
    )
  )</f>
        <v/>
      </c>
      <c r="CQ14" s="15" t="str">
        <f ca="1">IF(factorsTable[[#This Row],[filteredIndex]]="", "", _xlfn.RANK.EQ(factorsTable[[#This Row],[relDiff]], factorsTable[relDiff], 0))</f>
        <v/>
      </c>
      <c r="CR14" s="15" t="str">
        <f ca="1">IF(factorsTable[[#This Row],[filteredIndex]]="", "", _xlfn.RANK.EQ(factorsTable[[#This Row],[absDiff]], factorsTable[absDiff], 0))</f>
        <v/>
      </c>
      <c r="CS14" s="15" t="str">
        <f ca="1">IF(factorsTable[[#This Row],[filteredIndex]]="", "", _xlfn.RANK.EQ(factorsTable[[#This Row],[RANASIndex]], factorsTable[RANASIndex], 1))</f>
        <v/>
      </c>
      <c r="CT14" s="15" t="str" cm="1">
        <f t="array" aca="1" ref="CT14" ca="1">_xlfn.SWITCH(
    sortingMethodTag,
    "none", factorsTable[[#This Row],[filteredIndex]],
    "relDiff", factorsTable[[#This Row],[relDiffRank]],
    "absDiff", factorsTable[[#This Row],[absDiffRank]],
    "RANAS", factorsTable[[#This Row],[RANASRank]],
    factorsTable[[#This Row],[filteredIndex]]
  )</f>
        <v/>
      </c>
      <c r="CU14" s="15" t="str">
        <f ca="1">IF(
    factorsTable[[#This Row],[filteredIndex]]="",
    "",
    factorsTable[[#This Row],[selectedRank]]
      + COUNTIF(INDEX(factorsTable[selectedRank], 1):INDEX(factorsTable[selectedRank], factorsTable[[#This Row],[index]]), factorsTable[[#This Row],[selectedRank]])
      - 1
  )</f>
        <v/>
      </c>
      <c r="CV14" s="15" t="str">
        <f ca="1">IFERROR(
    _xlfn.XLOOKUP(factorsTable[[#This Row],[index]], factorsTable[uniqueRank], factorsTable[filteredIndex]),
    ""
  )</f>
        <v/>
      </c>
      <c r="CW14" s="15" t="str">
        <f ca="1">IF(factorsTable[[#This Row],[sortedIndex]]="", "", INDEX(factorsConfigTable[],MATCH(factorsTable[[#This Row],[sortedIndex]],factorsConfigTable[index],0),MATCH(chartLanguage,factorsConfigTable_Headers,0)))</f>
        <v/>
      </c>
      <c r="CX14" s="15" t="str" cm="1">
        <f t="array" aca="1" ref="CX1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4" s="15" t="str">
        <f ca="1">IF(
    factorsTable[[#This Row],[sortedIndex]]="",
    "",
    _xlfn.XLOOKUP(
      _xlfn.XLOOKUP(factorsTable[[#This Row],[sortedIndex]], factorsConfigTable[index], factorsConfigTable[RANASBlock]),
      RANASBlocksTable[label],
      RANASBlocksTable[tag]
    )
  )</f>
        <v/>
      </c>
      <c r="CZ14" s="15" t="str" cm="1">
        <f t="array" aca="1" ref="CZ1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4"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4" s="15" t="str">
        <f ca="1">IF(
    factorsTable[[#This Row],[sortedIndex]]="",
    "",
    _xlfn.XLOOKUP(factorsTable[[#This Row],[sortedIndex]], factorsTable[index], factorsTable[numTotal])
  )</f>
        <v/>
      </c>
      <c r="DC14" s="15" t="str">
        <f ca="1">IF(
    factorsTable[[#This Row],[sortedIndex]]="",
    "",
    _xlfn.XLOOKUP(factorsTable[[#This Row],[sortedIndex]], factorsTable[index], factorsTable[nondoers])
  )</f>
        <v/>
      </c>
      <c r="DD14" s="15" t="str">
        <f ca="1">IF(
    factorsTable[[#This Row],[sortedIndex]]="",
    "",
    _xlfn.XLOOKUP(factorsTable[[#This Row],[sortedIndex]], factorsTable[index], factorsTable[doers])
  )</f>
        <v/>
      </c>
      <c r="DE14" s="15" t="str">
        <f ca="1">IF(
    factorsTable[[#This Row],[sortedIndex]]="",
    "",
    _xlfn.XLOOKUP(factorsTable[[#This Row],[sortedIndex]], factorsTable[index], factorsTable[difference])
  )</f>
        <v/>
      </c>
    </row>
    <row r="15" spans="5:109" ht="14.4" customHeight="1" x14ac:dyDescent="0.3">
      <c r="E15" s="40" cm="1">
        <f t="array" ref="E15">ROW()-ROW(UITranslationTable[#Headers])</f>
        <v>13</v>
      </c>
      <c r="F15" s="1" t="s">
        <v>339</v>
      </c>
      <c r="G15" s="67" t="s">
        <v>345</v>
      </c>
      <c r="H15" s="59" t="s">
        <v>321</v>
      </c>
      <c r="J15" cm="1">
        <f t="array" ref="J15">ROW()-ROW(errorMessagesTable[#Headers])</f>
        <v>13</v>
      </c>
      <c r="K15" t="b" cm="1">
        <f t="array" aca="1" ref="K15" ca="1">AND(ISREF(INDIRECT(ADDRESS(1, 1, 1, 0, sheetNameData), FALSE)), SUM(_xlfn.BITAND(factorsConfigTable[displayConfig]=yesLabel, _xlfn.BITAND(factorsConfigTable[factorHeader]&lt;&gt;"", _xlfn.BITOR(NOT(ISNUMBER(factorsConfigTable[minScore])), _xlfn.BITOR(NOT(ISNUMBER(factorsConfigTable[maxScore])), factorsConfigTable[minScore]&gt;=factorsConfigTable[maxScore])))))&gt;0)</f>
        <v>0</v>
      </c>
      <c r="L15" s="59" t="s">
        <v>356</v>
      </c>
      <c r="M15" s="59" t="s">
        <v>352</v>
      </c>
      <c r="N15" t="str" cm="1">
        <f t="array" aca="1" ref="N15"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5" s="1" t="str" cm="1">
        <f t="array" aca="1" ref="O15"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5" cm="1">
        <f t="array" ref="Q15">ROW()-ROW(generalVariablesTable[#Headers])</f>
        <v>13</v>
      </c>
      <c r="R15" t="s">
        <v>91</v>
      </c>
      <c r="S15" s="59" t="e" cm="1">
        <f t="array" aca="1" ref="S15" ca="1">_xlfn.IFNA(
    MATCH("_uuid", INDIRECT(ADDRESS(1, 1, 1, 0, sheetNameData) &amp; ":" &amp; ADDRESS(1, maxColNum, 1, 0), FALSE), 0),
    _xlfn.IFNA(
      MATCH("instanceID", INDIRECT(ADDRESS(1, 1, 1, 0, sheetNameData) &amp; ":" &amp; ADDRESS(1, maxColNum, 1, 0), FALSE), 0),
      MATCH("*-"&amp;"instanceID", INDIRECT(ADDRESS(1, 1, 1, 0, sheetNameData) &amp; ":" &amp; ADDRESS(1, maxColNum, 1, 0), FALSE), 0)
    )
  )</f>
        <v>#REF!</v>
      </c>
      <c r="BH15" s="61"/>
      <c r="BU15" s="15" cm="1">
        <f t="array" ref="BU15">ROW()-ROW(factorsTable[#Headers])</f>
        <v>13</v>
      </c>
      <c r="BV15" s="15">
        <f>_xlfn.XLOOKUP(factorsTable[[#This Row],[index]],factorsConfigTable[index],factorsConfigTable[factorHeader])</f>
        <v>0</v>
      </c>
      <c r="BW15" s="15" t="str" cm="1">
        <f t="array" aca="1" ref="BW1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5" s="15" t="str" cm="1">
        <f t="array" ref="BX15">IF(factorsTable[[#This Row],[factorHeader]]=0, "", ADDRESS(2, factorsTable[[#This Row],[factorColNum]], 1, 0, sheetNameData) &amp; ":" &amp; ADDRESS(numEntries+1, factorsTable[[#This Row],[factorColNum]], 1, 0))</f>
        <v/>
      </c>
      <c r="BY15" s="15" t="str">
        <f>IF(factorsTable[[#This Row],[factorHeader]]=0, "", IF(_xlfn.XLOOKUP(factorsTable[[#This Row],[index]],factorsConfigTable[index],factorsConfigTable[minScore])="", NA(), _xlfn.XLOOKUP(factorsTable[[#This Row],[index]],factorsConfigTable[index],factorsConfigTable[minScore])))</f>
        <v/>
      </c>
      <c r="BZ15" s="15" t="str">
        <f>IF(factorsTable[[#This Row],[factorHeader]]=0, "", IF(_xlfn.XLOOKUP(factorsTable[[#This Row],[index]],factorsConfigTable[index],factorsConfigTable[maxScore])="", NA(), _xlfn.XLOOKUP(factorsTable[[#This Row],[index]],factorsConfigTable[index],factorsConfigTable[maxScore])))</f>
        <v/>
      </c>
      <c r="CA15" s="15" t="str">
        <f ca="1">IF(factorsTable[[#This Row],[factorHeader]]=0, "", IF(ISERROR(factorsTable[[#This Row],[factorColNum]]), NA(), MIN(INDIRECT(factorsTable[[#This Row],[indirectColRef]],FALSE))))</f>
        <v/>
      </c>
      <c r="CB15" s="15" t="str">
        <f ca="1">IF(factorsTable[[#This Row],[factorHeader]]=0, "", IF(ISERROR(factorsTable[[#This Row],[factorColNum]]), NA(), MAX(INDIRECT(factorsTable[[#This Row],[indirectColRef]],FALSE))))</f>
        <v/>
      </c>
      <c r="CC15" s="15" t="b" cm="1">
        <f t="array" aca="1" ref="CC15" ca="1">AND(
    ISREF(INDIRECT(ADDRESS(1, 1, 1, 0, sheetNameData), FALSE)),
    factorsTable[[#This Row],[factorHeader]]&lt;&gt;0,
    NOT(ISERROR(factorsTable[[#This Row],[factorColNum]])),
    IFERROR(factorsTable[[#This Row],[display]], FALSE),
    IFERROR(factorsTable[[#This Row],[minValue]]&lt;factorsTable[[#This Row],[minScore]], FALSE)
  )</f>
        <v>0</v>
      </c>
      <c r="CD15" s="15" t="b" cm="1">
        <f t="array" aca="1" ref="CD15" ca="1">AND(
    ISREF(INDIRECT(ADDRESS(1, 1, 1, 0, sheetNameData), FALSE)),
    factorsTable[[#This Row],[factorHeader]]&lt;&gt;0,
    NOT(ISERROR(factorsTable[[#This Row],[factorColNum]])),
    IFERROR(factorsTable[[#This Row],[display]], FALSE),
    IFERROR(factorsTable[[#This Row],[maxValue]]&gt;factorsTable[[#This Row],[maxScore]], FALSE)
  )</f>
        <v>0</v>
      </c>
      <c r="CE15" s="15" t="str" cm="1">
        <f t="array" aca="1" ref="CE15" ca="1">IF(factorsTable[[#This Row],[factorHeader]]=0, "", SUMPRODUCT(IF(isDoer="", 0, 1-isDoer),--(INDIRECT(factorsTable[[#This Row],[indirectColRef]],FALSE)&lt;&gt;"")))</f>
        <v/>
      </c>
      <c r="CF15" s="15" t="str" cm="1">
        <f t="array" aca="1" ref="CF15" ca="1">IF(factorsTable[[#This Row],[factorHeader]]=0, "", SUMPRODUCT(IF(isDoer="", 0, isDoer),--(INDIRECT(factorsTable[[#This Row],[indirectColRef]],FALSE)&lt;&gt;"")))</f>
        <v/>
      </c>
      <c r="CG15" s="15" t="str" cm="1">
        <f t="array" ref="CG15">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5" s="15" t="str" cm="1">
        <f t="array" aca="1" ref="CH1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5" s="15" t="str" cm="1">
        <f t="array" aca="1" ref="CI1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5" s="15" t="str">
        <f>IF(factorsTable[[#This Row],[factorHeader]]=0, "", factorsTable[[#This Row],[doers]]-factorsTable[[#This Row],[nondoers]])</f>
        <v/>
      </c>
      <c r="CK15" s="15" t="str">
        <f>IF(
    factorsTable[[#This Row],[factorHeader]]=0,
    "",
    _xlfn.XLOOKUP(
      _xlfn.XLOOKUP(factorsTable[[#This Row],[index]], factorsConfigTable[index], factorsConfigTable[displayConfig]),
      yesNoTable[label],
      yesNoTable[tag]
    )
  )</f>
        <v/>
      </c>
      <c r="CL15" s="15" t="b">
        <f>IF(factorsTable[[#This Row],[factorHeader]]=0, FALSE, IF(factorsTable[[#This Row],[displayConfig]]="yes", TRUE, IF(factorsTable[[#This Row],[displayConfig]]="no", FALSE, NA())))</f>
        <v>0</v>
      </c>
      <c r="CM15" s="15" t="str" cm="1">
        <f t="array" aca="1" ref="CM1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5" s="15" t="str">
        <f ca="1">IF(
    factorsTable[[#This Row],[filteredIndex]]="",
    "",
    IFERROR(
      _xlfn.XLOOKUP(factorsTable[[#This Row],[filteredIndex]], factorsTable[index], factorsTable[difference]),
      -99
    )
  )</f>
        <v/>
      </c>
      <c r="CO15" s="15" t="str">
        <f ca="1">IF(factorsTable[[#This Row],[filteredIndex]]="", "", IF(factorsTable[[#This Row],[relDiff]]=-99, -99, ABS(factorsTable[[#This Row],[relDiff]])))</f>
        <v/>
      </c>
      <c r="CP15" s="15" t="str">
        <f ca="1">IF(
    factorsTable[[#This Row],[filteredIndex]]="",
    "",
    IFERROR(
      _xlfn.XLOOKUP(
        _xlfn.XLOOKUP(factorsTable[[#This Row],[filteredIndex]], factorsConfigTable[index], factorsConfigTable[RANASBlock]),
        RANASBlocksTable[label],
        RANASBlocksTable[index]
      ),
      6
    )
  )</f>
        <v/>
      </c>
      <c r="CQ15" s="15" t="str">
        <f ca="1">IF(factorsTable[[#This Row],[filteredIndex]]="", "", _xlfn.RANK.EQ(factorsTable[[#This Row],[relDiff]], factorsTable[relDiff], 0))</f>
        <v/>
      </c>
      <c r="CR15" s="15" t="str">
        <f ca="1">IF(factorsTable[[#This Row],[filteredIndex]]="", "", _xlfn.RANK.EQ(factorsTable[[#This Row],[absDiff]], factorsTable[absDiff], 0))</f>
        <v/>
      </c>
      <c r="CS15" s="15" t="str">
        <f ca="1">IF(factorsTable[[#This Row],[filteredIndex]]="", "", _xlfn.RANK.EQ(factorsTable[[#This Row],[RANASIndex]], factorsTable[RANASIndex], 1))</f>
        <v/>
      </c>
      <c r="CT15" s="15" t="str" cm="1">
        <f t="array" aca="1" ref="CT15" ca="1">_xlfn.SWITCH(
    sortingMethodTag,
    "none", factorsTable[[#This Row],[filteredIndex]],
    "relDiff", factorsTable[[#This Row],[relDiffRank]],
    "absDiff", factorsTable[[#This Row],[absDiffRank]],
    "RANAS", factorsTable[[#This Row],[RANASRank]],
    factorsTable[[#This Row],[filteredIndex]]
  )</f>
        <v/>
      </c>
      <c r="CU15" s="15" t="str">
        <f ca="1">IF(
    factorsTable[[#This Row],[filteredIndex]]="",
    "",
    factorsTable[[#This Row],[selectedRank]]
      + COUNTIF(INDEX(factorsTable[selectedRank], 1):INDEX(factorsTable[selectedRank], factorsTable[[#This Row],[index]]), factorsTable[[#This Row],[selectedRank]])
      - 1
  )</f>
        <v/>
      </c>
      <c r="CV15" s="15" t="str">
        <f ca="1">IFERROR(
    _xlfn.XLOOKUP(factorsTable[[#This Row],[index]], factorsTable[uniqueRank], factorsTable[filteredIndex]),
    ""
  )</f>
        <v/>
      </c>
      <c r="CW15" s="15" t="str">
        <f ca="1">IF(factorsTable[[#This Row],[sortedIndex]]="", "", INDEX(factorsConfigTable[],MATCH(factorsTable[[#This Row],[sortedIndex]],factorsConfigTable[index],0),MATCH(chartLanguage,factorsConfigTable_Headers,0)))</f>
        <v/>
      </c>
      <c r="CX15" s="15" t="str" cm="1">
        <f t="array" aca="1" ref="CX1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5" s="15" t="str">
        <f ca="1">IF(
    factorsTable[[#This Row],[sortedIndex]]="",
    "",
    _xlfn.XLOOKUP(
      _xlfn.XLOOKUP(factorsTable[[#This Row],[sortedIndex]], factorsConfigTable[index], factorsConfigTable[RANASBlock]),
      RANASBlocksTable[label],
      RANASBlocksTable[tag]
    )
  )</f>
        <v/>
      </c>
      <c r="CZ15" s="15" t="str" cm="1">
        <f t="array" aca="1" ref="CZ1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5"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5" s="15" t="str">
        <f ca="1">IF(
    factorsTable[[#This Row],[sortedIndex]]="",
    "",
    _xlfn.XLOOKUP(factorsTable[[#This Row],[sortedIndex]], factorsTable[index], factorsTable[numTotal])
  )</f>
        <v/>
      </c>
      <c r="DC15" s="15" t="str">
        <f ca="1">IF(
    factorsTable[[#This Row],[sortedIndex]]="",
    "",
    _xlfn.XLOOKUP(factorsTable[[#This Row],[sortedIndex]], factorsTable[index], factorsTable[nondoers])
  )</f>
        <v/>
      </c>
      <c r="DD15" s="15" t="str">
        <f ca="1">IF(
    factorsTable[[#This Row],[sortedIndex]]="",
    "",
    _xlfn.XLOOKUP(factorsTable[[#This Row],[sortedIndex]], factorsTable[index], factorsTable[doers])
  )</f>
        <v/>
      </c>
      <c r="DE15" s="15" t="str">
        <f ca="1">IF(
    factorsTable[[#This Row],[sortedIndex]]="",
    "",
    _xlfn.XLOOKUP(factorsTable[[#This Row],[sortedIndex]], factorsTable[index], factorsTable[difference])
  )</f>
        <v/>
      </c>
    </row>
    <row r="16" spans="5:109" ht="14.4" customHeight="1" x14ac:dyDescent="0.3">
      <c r="E16" s="40" cm="1">
        <f t="array" ref="E16">ROW()-ROW(UITranslationTable[#Headers])</f>
        <v>14</v>
      </c>
      <c r="F16" s="1" t="s">
        <v>324</v>
      </c>
      <c r="G16" s="67" t="s">
        <v>325</v>
      </c>
      <c r="H16" s="59" t="s">
        <v>326</v>
      </c>
      <c r="J16" cm="1">
        <f t="array" ref="J16">ROW()-ROW(errorMessagesTable[#Headers])</f>
        <v>14</v>
      </c>
      <c r="K16" t="b">
        <f ca="1">OR(OR(factorsTable[minError]), OR(factorsTable[maxError]))</f>
        <v>0</v>
      </c>
      <c r="L16" s="59" t="str" cm="1">
        <f t="array" ref="L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M16" s="59" t="str" cm="1">
        <f t="array" ref="M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N16" t="str" cm="1">
        <f t="array" aca="1" ref="N16"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6" s="1" t="str" cm="1">
        <f t="array" aca="1" ref="O16"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6" cm="1">
        <f t="array" ref="Q16">ROW()-ROW(generalVariablesTable[#Headers])</f>
        <v>14</v>
      </c>
      <c r="R16" t="s">
        <v>92</v>
      </c>
      <c r="S16" s="1" t="e" cm="1">
        <f t="array" aca="1" ref="S16" ca="1">IF(
    ISERROR(dataRefColNum),
    NA(),
    COUNTA(
      INDIRECT(
        ADDRESS(2, dataRefColNum, 1, 0, sheetNameData) &amp; ":" &amp; ADDRESS(maxRowNum, dataRefColNum, 1, 0),
        FALSE)
    )
  )</f>
        <v>#N/A</v>
      </c>
      <c r="BU16" s="15" cm="1">
        <f t="array" ref="BU16">ROW()-ROW(factorsTable[#Headers])</f>
        <v>14</v>
      </c>
      <c r="BV16" s="15">
        <f>_xlfn.XLOOKUP(factorsTable[[#This Row],[index]],factorsConfigTable[index],factorsConfigTable[factorHeader])</f>
        <v>0</v>
      </c>
      <c r="BW16" s="15" t="str" cm="1">
        <f t="array" aca="1" ref="BW1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6" s="15" t="str" cm="1">
        <f t="array" ref="BX16">IF(factorsTable[[#This Row],[factorHeader]]=0, "", ADDRESS(2, factorsTable[[#This Row],[factorColNum]], 1, 0, sheetNameData) &amp; ":" &amp; ADDRESS(numEntries+1, factorsTable[[#This Row],[factorColNum]], 1, 0))</f>
        <v/>
      </c>
      <c r="BY16" s="15" t="str">
        <f>IF(factorsTable[[#This Row],[factorHeader]]=0, "", IF(_xlfn.XLOOKUP(factorsTable[[#This Row],[index]],factorsConfigTable[index],factorsConfigTable[minScore])="", NA(), _xlfn.XLOOKUP(factorsTable[[#This Row],[index]],factorsConfigTable[index],factorsConfigTable[minScore])))</f>
        <v/>
      </c>
      <c r="BZ16" s="15" t="str">
        <f>IF(factorsTable[[#This Row],[factorHeader]]=0, "", IF(_xlfn.XLOOKUP(factorsTable[[#This Row],[index]],factorsConfigTable[index],factorsConfigTable[maxScore])="", NA(), _xlfn.XLOOKUP(factorsTable[[#This Row],[index]],factorsConfigTable[index],factorsConfigTable[maxScore])))</f>
        <v/>
      </c>
      <c r="CA16" s="15" t="str">
        <f ca="1">IF(factorsTable[[#This Row],[factorHeader]]=0, "", IF(ISERROR(factorsTable[[#This Row],[factorColNum]]), NA(), MIN(INDIRECT(factorsTable[[#This Row],[indirectColRef]],FALSE))))</f>
        <v/>
      </c>
      <c r="CB16" s="15" t="str">
        <f ca="1">IF(factorsTable[[#This Row],[factorHeader]]=0, "", IF(ISERROR(factorsTable[[#This Row],[factorColNum]]), NA(), MAX(INDIRECT(factorsTable[[#This Row],[indirectColRef]],FALSE))))</f>
        <v/>
      </c>
      <c r="CC16" s="15" t="b" cm="1">
        <f t="array" aca="1" ref="CC16" ca="1">AND(
    ISREF(INDIRECT(ADDRESS(1, 1, 1, 0, sheetNameData), FALSE)),
    factorsTable[[#This Row],[factorHeader]]&lt;&gt;0,
    NOT(ISERROR(factorsTable[[#This Row],[factorColNum]])),
    IFERROR(factorsTable[[#This Row],[display]], FALSE),
    IFERROR(factorsTable[[#This Row],[minValue]]&lt;factorsTable[[#This Row],[minScore]], FALSE)
  )</f>
        <v>0</v>
      </c>
      <c r="CD16" s="15" t="b" cm="1">
        <f t="array" aca="1" ref="CD16" ca="1">AND(
    ISREF(INDIRECT(ADDRESS(1, 1, 1, 0, sheetNameData), FALSE)),
    factorsTable[[#This Row],[factorHeader]]&lt;&gt;0,
    NOT(ISERROR(factorsTable[[#This Row],[factorColNum]])),
    IFERROR(factorsTable[[#This Row],[display]], FALSE),
    IFERROR(factorsTable[[#This Row],[maxValue]]&gt;factorsTable[[#This Row],[maxScore]], FALSE)
  )</f>
        <v>0</v>
      </c>
      <c r="CE16" s="15" t="str" cm="1">
        <f t="array" aca="1" ref="CE16" ca="1">IF(factorsTable[[#This Row],[factorHeader]]=0, "", SUMPRODUCT(IF(isDoer="", 0, 1-isDoer),--(INDIRECT(factorsTable[[#This Row],[indirectColRef]],FALSE)&lt;&gt;"")))</f>
        <v/>
      </c>
      <c r="CF16" s="15" t="str" cm="1">
        <f t="array" aca="1" ref="CF16" ca="1">IF(factorsTable[[#This Row],[factorHeader]]=0, "", SUMPRODUCT(IF(isDoer="", 0, isDoer),--(INDIRECT(factorsTable[[#This Row],[indirectColRef]],FALSE)&lt;&gt;"")))</f>
        <v/>
      </c>
      <c r="CG16" s="15" t="str" cm="1">
        <f t="array" ref="CG16">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6" s="15" t="str" cm="1">
        <f t="array" aca="1" ref="CH1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6" s="15" t="str" cm="1">
        <f t="array" aca="1" ref="CI1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6" s="15" t="str">
        <f>IF(factorsTable[[#This Row],[factorHeader]]=0, "", factorsTable[[#This Row],[doers]]-factorsTable[[#This Row],[nondoers]])</f>
        <v/>
      </c>
      <c r="CK16" s="15" t="str">
        <f>IF(
    factorsTable[[#This Row],[factorHeader]]=0,
    "",
    _xlfn.XLOOKUP(
      _xlfn.XLOOKUP(factorsTable[[#This Row],[index]], factorsConfigTable[index], factorsConfigTable[displayConfig]),
      yesNoTable[label],
      yesNoTable[tag]
    )
  )</f>
        <v/>
      </c>
      <c r="CL16" s="15" t="b">
        <f>IF(factorsTable[[#This Row],[factorHeader]]=0, FALSE, IF(factorsTable[[#This Row],[displayConfig]]="yes", TRUE, IF(factorsTable[[#This Row],[displayConfig]]="no", FALSE, NA())))</f>
        <v>0</v>
      </c>
      <c r="CM16" s="15" t="str" cm="1">
        <f t="array" aca="1" ref="CM1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6" s="15" t="str">
        <f ca="1">IF(
    factorsTable[[#This Row],[filteredIndex]]="",
    "",
    IFERROR(
      _xlfn.XLOOKUP(factorsTable[[#This Row],[filteredIndex]], factorsTable[index], factorsTable[difference]),
      -99
    )
  )</f>
        <v/>
      </c>
      <c r="CO16" s="15" t="str">
        <f ca="1">IF(factorsTable[[#This Row],[filteredIndex]]="", "", IF(factorsTable[[#This Row],[relDiff]]=-99, -99, ABS(factorsTable[[#This Row],[relDiff]])))</f>
        <v/>
      </c>
      <c r="CP16" s="15" t="str">
        <f ca="1">IF(
    factorsTable[[#This Row],[filteredIndex]]="",
    "",
    IFERROR(
      _xlfn.XLOOKUP(
        _xlfn.XLOOKUP(factorsTable[[#This Row],[filteredIndex]], factorsConfigTable[index], factorsConfigTable[RANASBlock]),
        RANASBlocksTable[label],
        RANASBlocksTable[index]
      ),
      6
    )
  )</f>
        <v/>
      </c>
      <c r="CQ16" s="15" t="str">
        <f ca="1">IF(factorsTable[[#This Row],[filteredIndex]]="", "", _xlfn.RANK.EQ(factorsTable[[#This Row],[relDiff]], factorsTable[relDiff], 0))</f>
        <v/>
      </c>
      <c r="CR16" s="15" t="str">
        <f ca="1">IF(factorsTable[[#This Row],[filteredIndex]]="", "", _xlfn.RANK.EQ(factorsTable[[#This Row],[absDiff]], factorsTable[absDiff], 0))</f>
        <v/>
      </c>
      <c r="CS16" s="15" t="str">
        <f ca="1">IF(factorsTable[[#This Row],[filteredIndex]]="", "", _xlfn.RANK.EQ(factorsTable[[#This Row],[RANASIndex]], factorsTable[RANASIndex], 1))</f>
        <v/>
      </c>
      <c r="CT16" s="15" t="str" cm="1">
        <f t="array" aca="1" ref="CT16" ca="1">_xlfn.SWITCH(
    sortingMethodTag,
    "none", factorsTable[[#This Row],[filteredIndex]],
    "relDiff", factorsTable[[#This Row],[relDiffRank]],
    "absDiff", factorsTable[[#This Row],[absDiffRank]],
    "RANAS", factorsTable[[#This Row],[RANASRank]],
    factorsTable[[#This Row],[filteredIndex]]
  )</f>
        <v/>
      </c>
      <c r="CU16" s="15" t="str">
        <f ca="1">IF(
    factorsTable[[#This Row],[filteredIndex]]="",
    "",
    factorsTable[[#This Row],[selectedRank]]
      + COUNTIF(INDEX(factorsTable[selectedRank], 1):INDEX(factorsTable[selectedRank], factorsTable[[#This Row],[index]]), factorsTable[[#This Row],[selectedRank]])
      - 1
  )</f>
        <v/>
      </c>
      <c r="CV16" s="15" t="str">
        <f ca="1">IFERROR(
    _xlfn.XLOOKUP(factorsTable[[#This Row],[index]], factorsTable[uniqueRank], factorsTable[filteredIndex]),
    ""
  )</f>
        <v/>
      </c>
      <c r="CW16" s="15" t="str">
        <f ca="1">IF(factorsTable[[#This Row],[sortedIndex]]="", "", INDEX(factorsConfigTable[],MATCH(factorsTable[[#This Row],[sortedIndex]],factorsConfigTable[index],0),MATCH(chartLanguage,factorsConfigTable_Headers,0)))</f>
        <v/>
      </c>
      <c r="CX16" s="15" t="str" cm="1">
        <f t="array" aca="1" ref="CX1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6" s="15" t="str">
        <f ca="1">IF(
    factorsTable[[#This Row],[sortedIndex]]="",
    "",
    _xlfn.XLOOKUP(
      _xlfn.XLOOKUP(factorsTable[[#This Row],[sortedIndex]], factorsConfigTable[index], factorsConfigTable[RANASBlock]),
      RANASBlocksTable[label],
      RANASBlocksTable[tag]
    )
  )</f>
        <v/>
      </c>
      <c r="CZ16" s="15" t="str" cm="1">
        <f t="array" aca="1" ref="CZ1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6"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6" s="15" t="str">
        <f ca="1">IF(
    factorsTable[[#This Row],[sortedIndex]]="",
    "",
    _xlfn.XLOOKUP(factorsTable[[#This Row],[sortedIndex]], factorsTable[index], factorsTable[numTotal])
  )</f>
        <v/>
      </c>
      <c r="DC16" s="15" t="str">
        <f ca="1">IF(
    factorsTable[[#This Row],[sortedIndex]]="",
    "",
    _xlfn.XLOOKUP(factorsTable[[#This Row],[sortedIndex]], factorsTable[index], factorsTable[nondoers])
  )</f>
        <v/>
      </c>
      <c r="DD16" s="15" t="str">
        <f ca="1">IF(
    factorsTable[[#This Row],[sortedIndex]]="",
    "",
    _xlfn.XLOOKUP(factorsTable[[#This Row],[sortedIndex]], factorsTable[index], factorsTable[doers])
  )</f>
        <v/>
      </c>
      <c r="DE16" s="15" t="str">
        <f ca="1">IF(
    factorsTable[[#This Row],[sortedIndex]]="",
    "",
    _xlfn.XLOOKUP(factorsTable[[#This Row],[sortedIndex]], factorsTable[index], factorsTable[difference])
  )</f>
        <v/>
      </c>
    </row>
    <row r="17" spans="5:109" ht="14.4" customHeight="1" x14ac:dyDescent="0.3">
      <c r="E17" s="40" cm="1">
        <f t="array" ref="E17">ROW()-ROW(UITranslationTable[#Headers])</f>
        <v>15</v>
      </c>
      <c r="F17" s="1" t="s">
        <v>327</v>
      </c>
      <c r="G17" s="67" t="s">
        <v>341</v>
      </c>
      <c r="H17" s="59" t="s">
        <v>342</v>
      </c>
      <c r="J17" cm="1">
        <f t="array" ref="J17">ROW()-ROW(errorMessagesTable[#Headers])</f>
        <v>15</v>
      </c>
      <c r="K17" t="b" cm="1">
        <f t="array" aca="1" ref="K17" ca="1">AND(ISREF(INDIRECT(ADDRESS(1, 1, 1, 0, sheetNameData), FALSE)), ISERROR(MATCH(chartLanguage,chartLanguageList,0)))</f>
        <v>0</v>
      </c>
      <c r="L17" s="59" t="str" cm="1">
        <f t="array" aca="1" ref="L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M17" s="59" t="str" cm="1">
        <f t="array" aca="1" ref="M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N17" t="str" cm="1">
        <f t="array" aca="1" ref="N17"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7" s="1" t="str" cm="1">
        <f t="array" aca="1" ref="O17"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7" cm="1">
        <f t="array" ref="Q17">ROW()-ROW(generalVariablesTable[#Headers])</f>
        <v>15</v>
      </c>
      <c r="R17" t="s">
        <v>80</v>
      </c>
      <c r="S17" s="59" cm="1">
        <f t="array" ref="S17">SUMPRODUCT(
  --(
      IF(INDEX(behaviourTable[include],1), IFERROR(--(behData1&lt;&gt;""),0), 0)
   + IF(INDEX(behaviourTable[include],2), IFERROR(--(behData2&lt;&gt;""),0), 0)
   + IF(INDEX(behaviourTable[include],3), IFERROR(--(behData3&lt;&gt;""),0), 0)
   + IF(INDEX(behaviourTable[include],4), IFERROR(--(behData4&lt;&gt;""),0), 0)
   + IF(INDEX(behaviourTable[include],5), IFERROR(--(behData5&lt;&gt;""),0), 0)
   &gt; 0)
 )</f>
        <v>0</v>
      </c>
      <c r="AP17" s="36"/>
      <c r="BU17" s="15" cm="1">
        <f t="array" ref="BU17">ROW()-ROW(factorsTable[#Headers])</f>
        <v>15</v>
      </c>
      <c r="BV17" s="15">
        <f>_xlfn.XLOOKUP(factorsTable[[#This Row],[index]],factorsConfigTable[index],factorsConfigTable[factorHeader])</f>
        <v>0</v>
      </c>
      <c r="BW17" s="15" t="str" cm="1">
        <f t="array" aca="1" ref="BW1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7" s="15" t="str" cm="1">
        <f t="array" ref="BX17">IF(factorsTable[[#This Row],[factorHeader]]=0, "", ADDRESS(2, factorsTable[[#This Row],[factorColNum]], 1, 0, sheetNameData) &amp; ":" &amp; ADDRESS(numEntries+1, factorsTable[[#This Row],[factorColNum]], 1, 0))</f>
        <v/>
      </c>
      <c r="BY17" s="15" t="str">
        <f>IF(factorsTable[[#This Row],[factorHeader]]=0, "", IF(_xlfn.XLOOKUP(factorsTable[[#This Row],[index]],factorsConfigTable[index],factorsConfigTable[minScore])="", NA(), _xlfn.XLOOKUP(factorsTable[[#This Row],[index]],factorsConfigTable[index],factorsConfigTable[minScore])))</f>
        <v/>
      </c>
      <c r="BZ17" s="15" t="str">
        <f>IF(factorsTable[[#This Row],[factorHeader]]=0, "", IF(_xlfn.XLOOKUP(factorsTable[[#This Row],[index]],factorsConfigTable[index],factorsConfigTable[maxScore])="", NA(), _xlfn.XLOOKUP(factorsTable[[#This Row],[index]],factorsConfigTable[index],factorsConfigTable[maxScore])))</f>
        <v/>
      </c>
      <c r="CA17" s="15" t="str">
        <f ca="1">IF(factorsTable[[#This Row],[factorHeader]]=0, "", IF(ISERROR(factorsTable[[#This Row],[factorColNum]]), NA(), MIN(INDIRECT(factorsTable[[#This Row],[indirectColRef]],FALSE))))</f>
        <v/>
      </c>
      <c r="CB17" s="15" t="str">
        <f ca="1">IF(factorsTable[[#This Row],[factorHeader]]=0, "", IF(ISERROR(factorsTable[[#This Row],[factorColNum]]), NA(), MAX(INDIRECT(factorsTable[[#This Row],[indirectColRef]],FALSE))))</f>
        <v/>
      </c>
      <c r="CC17" s="15" t="b" cm="1">
        <f t="array" aca="1" ref="CC17" ca="1">AND(
    ISREF(INDIRECT(ADDRESS(1, 1, 1, 0, sheetNameData), FALSE)),
    factorsTable[[#This Row],[factorHeader]]&lt;&gt;0,
    NOT(ISERROR(factorsTable[[#This Row],[factorColNum]])),
    IFERROR(factorsTable[[#This Row],[display]], FALSE),
    IFERROR(factorsTable[[#This Row],[minValue]]&lt;factorsTable[[#This Row],[minScore]], FALSE)
  )</f>
        <v>0</v>
      </c>
      <c r="CD17" s="15" t="b" cm="1">
        <f t="array" aca="1" ref="CD17" ca="1">AND(
    ISREF(INDIRECT(ADDRESS(1, 1, 1, 0, sheetNameData), FALSE)),
    factorsTable[[#This Row],[factorHeader]]&lt;&gt;0,
    NOT(ISERROR(factorsTable[[#This Row],[factorColNum]])),
    IFERROR(factorsTable[[#This Row],[display]], FALSE),
    IFERROR(factorsTable[[#This Row],[maxValue]]&gt;factorsTable[[#This Row],[maxScore]], FALSE)
  )</f>
        <v>0</v>
      </c>
      <c r="CE17" s="15" t="str" cm="1">
        <f t="array" aca="1" ref="CE17" ca="1">IF(factorsTable[[#This Row],[factorHeader]]=0, "", SUMPRODUCT(IF(isDoer="", 0, 1-isDoer),--(INDIRECT(factorsTable[[#This Row],[indirectColRef]],FALSE)&lt;&gt;"")))</f>
        <v/>
      </c>
      <c r="CF17" s="15" t="str" cm="1">
        <f t="array" aca="1" ref="CF17" ca="1">IF(factorsTable[[#This Row],[factorHeader]]=0, "", SUMPRODUCT(IF(isDoer="", 0, isDoer),--(INDIRECT(factorsTable[[#This Row],[indirectColRef]],FALSE)&lt;&gt;"")))</f>
        <v/>
      </c>
      <c r="CG17" s="15" t="str" cm="1">
        <f t="array" ref="CG17">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7" s="15" t="str" cm="1">
        <f t="array" aca="1" ref="CH1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7" s="15" t="str" cm="1">
        <f t="array" aca="1" ref="CI1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7" s="15" t="str">
        <f>IF(factorsTable[[#This Row],[factorHeader]]=0, "", factorsTable[[#This Row],[doers]]-factorsTable[[#This Row],[nondoers]])</f>
        <v/>
      </c>
      <c r="CK17" s="15" t="str">
        <f>IF(
    factorsTable[[#This Row],[factorHeader]]=0,
    "",
    _xlfn.XLOOKUP(
      _xlfn.XLOOKUP(factorsTable[[#This Row],[index]], factorsConfigTable[index], factorsConfigTable[displayConfig]),
      yesNoTable[label],
      yesNoTable[tag]
    )
  )</f>
        <v/>
      </c>
      <c r="CL17" s="15" t="b">
        <f>IF(factorsTable[[#This Row],[factorHeader]]=0, FALSE, IF(factorsTable[[#This Row],[displayConfig]]="yes", TRUE, IF(factorsTable[[#This Row],[displayConfig]]="no", FALSE, NA())))</f>
        <v>0</v>
      </c>
      <c r="CM17" s="15" t="str" cm="1">
        <f t="array" aca="1" ref="CM1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7" s="15" t="str">
        <f ca="1">IF(
    factorsTable[[#This Row],[filteredIndex]]="",
    "",
    IFERROR(
      _xlfn.XLOOKUP(factorsTable[[#This Row],[filteredIndex]], factorsTable[index], factorsTable[difference]),
      -99
    )
  )</f>
        <v/>
      </c>
      <c r="CO17" s="15" t="str">
        <f ca="1">IF(factorsTable[[#This Row],[filteredIndex]]="", "", IF(factorsTable[[#This Row],[relDiff]]=-99, -99, ABS(factorsTable[[#This Row],[relDiff]])))</f>
        <v/>
      </c>
      <c r="CP17" s="15" t="str">
        <f ca="1">IF(
    factorsTable[[#This Row],[filteredIndex]]="",
    "",
    IFERROR(
      _xlfn.XLOOKUP(
        _xlfn.XLOOKUP(factorsTable[[#This Row],[filteredIndex]], factorsConfigTable[index], factorsConfigTable[RANASBlock]),
        RANASBlocksTable[label],
        RANASBlocksTable[index]
      ),
      6
    )
  )</f>
        <v/>
      </c>
      <c r="CQ17" s="15" t="str">
        <f ca="1">IF(factorsTable[[#This Row],[filteredIndex]]="", "", _xlfn.RANK.EQ(factorsTable[[#This Row],[relDiff]], factorsTable[relDiff], 0))</f>
        <v/>
      </c>
      <c r="CR17" s="15" t="str">
        <f ca="1">IF(factorsTable[[#This Row],[filteredIndex]]="", "", _xlfn.RANK.EQ(factorsTable[[#This Row],[absDiff]], factorsTable[absDiff], 0))</f>
        <v/>
      </c>
      <c r="CS17" s="15" t="str">
        <f ca="1">IF(factorsTable[[#This Row],[filteredIndex]]="", "", _xlfn.RANK.EQ(factorsTable[[#This Row],[RANASIndex]], factorsTable[RANASIndex], 1))</f>
        <v/>
      </c>
      <c r="CT17" s="15" t="str" cm="1">
        <f t="array" aca="1" ref="CT17" ca="1">_xlfn.SWITCH(
    sortingMethodTag,
    "none", factorsTable[[#This Row],[filteredIndex]],
    "relDiff", factorsTable[[#This Row],[relDiffRank]],
    "absDiff", factorsTable[[#This Row],[absDiffRank]],
    "RANAS", factorsTable[[#This Row],[RANASRank]],
    factorsTable[[#This Row],[filteredIndex]]
  )</f>
        <v/>
      </c>
      <c r="CU17" s="15" t="str">
        <f ca="1">IF(
    factorsTable[[#This Row],[filteredIndex]]="",
    "",
    factorsTable[[#This Row],[selectedRank]]
      + COUNTIF(INDEX(factorsTable[selectedRank], 1):INDEX(factorsTable[selectedRank], factorsTable[[#This Row],[index]]), factorsTable[[#This Row],[selectedRank]])
      - 1
  )</f>
        <v/>
      </c>
      <c r="CV17" s="15" t="str">
        <f ca="1">IFERROR(
    _xlfn.XLOOKUP(factorsTable[[#This Row],[index]], factorsTable[uniqueRank], factorsTable[filteredIndex]),
    ""
  )</f>
        <v/>
      </c>
      <c r="CW17" s="15" t="str">
        <f ca="1">IF(factorsTable[[#This Row],[sortedIndex]]="", "", INDEX(factorsConfigTable[],MATCH(factorsTable[[#This Row],[sortedIndex]],factorsConfigTable[index],0),MATCH(chartLanguage,factorsConfigTable_Headers,0)))</f>
        <v/>
      </c>
      <c r="CX17" s="15" t="str" cm="1">
        <f t="array" aca="1" ref="CX1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7" s="15" t="str">
        <f ca="1">IF(
    factorsTable[[#This Row],[sortedIndex]]="",
    "",
    _xlfn.XLOOKUP(
      _xlfn.XLOOKUP(factorsTable[[#This Row],[sortedIndex]], factorsConfigTable[index], factorsConfigTable[RANASBlock]),
      RANASBlocksTable[label],
      RANASBlocksTable[tag]
    )
  )</f>
        <v/>
      </c>
      <c r="CZ17" s="15" t="str" cm="1">
        <f t="array" aca="1" ref="CZ1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7"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7" s="15" t="str">
        <f ca="1">IF(
    factorsTable[[#This Row],[sortedIndex]]="",
    "",
    _xlfn.XLOOKUP(factorsTable[[#This Row],[sortedIndex]], factorsTable[index], factorsTable[numTotal])
  )</f>
        <v/>
      </c>
      <c r="DC17" s="15" t="str">
        <f ca="1">IF(
    factorsTable[[#This Row],[sortedIndex]]="",
    "",
    _xlfn.XLOOKUP(factorsTable[[#This Row],[sortedIndex]], factorsTable[index], factorsTable[nondoers])
  )</f>
        <v/>
      </c>
      <c r="DD17" s="15" t="str">
        <f ca="1">IF(
    factorsTable[[#This Row],[sortedIndex]]="",
    "",
    _xlfn.XLOOKUP(factorsTable[[#This Row],[sortedIndex]], factorsTable[index], factorsTable[doers])
  )</f>
        <v/>
      </c>
      <c r="DE17" s="15" t="str">
        <f ca="1">IF(
    factorsTable[[#This Row],[sortedIndex]]="",
    "",
    _xlfn.XLOOKUP(factorsTable[[#This Row],[sortedIndex]], factorsTable[index], factorsTable[difference])
  )</f>
        <v/>
      </c>
    </row>
    <row r="18" spans="5:109" ht="14.4" customHeight="1" x14ac:dyDescent="0.3">
      <c r="E18" s="40" cm="1">
        <f t="array" ref="E18">ROW()-ROW(UITranslationTable[#Headers])</f>
        <v>16</v>
      </c>
      <c r="F18" s="1" t="s">
        <v>328</v>
      </c>
      <c r="G18" s="67" t="s">
        <v>333</v>
      </c>
      <c r="H18" s="59" t="s">
        <v>334</v>
      </c>
      <c r="J18" cm="1">
        <f t="array" ref="J18">ROW()-ROW(errorMessagesTable[#Headers])</f>
        <v>16</v>
      </c>
      <c r="K18" t="b" cm="1">
        <f t="array" aca="1" ref="K18" ca="1">AND(ISREF(INDIRECT(ADDRESS(1, 1, 1, 0, sheetNameData), FALSE)), SUM(_xlfn.BITAND(factorsConfigTable[displayConfig]=yesLabel, _xlfn.BITAND(factorsConfigTable[factorHeader]&lt;&gt;"", ISERROR(MATCH(factorsConfigTable[RANASBlock],RANASList,0)))))&gt;0)</f>
        <v>0</v>
      </c>
      <c r="L18" s="59" t="s">
        <v>357</v>
      </c>
      <c r="M18" s="59" t="s">
        <v>353</v>
      </c>
      <c r="N18" t="str" cm="1">
        <f t="array" aca="1" ref="N18"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8" s="1" t="str" cm="1">
        <f t="array" aca="1" ref="O18"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8" cm="1">
        <f t="array" ref="Q18">ROW()-ROW(generalVariablesTable[#Headers])</f>
        <v>16</v>
      </c>
      <c r="R18" t="s">
        <v>101</v>
      </c>
      <c r="S18" s="65" t="e" cm="1">
        <f t="array" aca="1" ref="S18" ca="1">ROUND(
    AVERAGE(
      MATCH(
        MIN(ABS(numScores - 2*COUNTIF(behaviourScoreNorm, "&lt;" &amp; (ROW(1:101)-1)/100))),
        ABS(numScores - 2*COUNTIF(behaviourScoreNorm, "&lt;" &amp; (ROW(1:101)-1)/100)),
        0
      ),
      101 - MATCH(
        MIN(ABS(numScores - 2*COUNTIF(behaviourScoreNorm, "&lt;" &amp; (ROW(1:101)-1)/100))),
        ABS(numScores - 2*COUNTIF(behaviourScoreNorm, "&lt;" &amp; ((101-ROW(1:101))-1)/100)),
        0
      )
    ) -1,
    0
  )</f>
        <v>#N/A</v>
      </c>
      <c r="BU18" s="15" cm="1">
        <f t="array" ref="BU18">ROW()-ROW(factorsTable[#Headers])</f>
        <v>16</v>
      </c>
      <c r="BV18" s="15">
        <f>_xlfn.XLOOKUP(factorsTable[[#This Row],[index]],factorsConfigTable[index],factorsConfigTable[factorHeader])</f>
        <v>0</v>
      </c>
      <c r="BW18" s="15" t="str" cm="1">
        <f t="array" aca="1" ref="BW1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8" s="15" t="str" cm="1">
        <f t="array" ref="BX18">IF(factorsTable[[#This Row],[factorHeader]]=0, "", ADDRESS(2, factorsTable[[#This Row],[factorColNum]], 1, 0, sheetNameData) &amp; ":" &amp; ADDRESS(numEntries+1, factorsTable[[#This Row],[factorColNum]], 1, 0))</f>
        <v/>
      </c>
      <c r="BY18" s="15" t="str">
        <f>IF(factorsTable[[#This Row],[factorHeader]]=0, "", IF(_xlfn.XLOOKUP(factorsTable[[#This Row],[index]],factorsConfigTable[index],factorsConfigTable[minScore])="", NA(), _xlfn.XLOOKUP(factorsTable[[#This Row],[index]],factorsConfigTable[index],factorsConfigTable[minScore])))</f>
        <v/>
      </c>
      <c r="BZ18" s="15" t="str">
        <f>IF(factorsTable[[#This Row],[factorHeader]]=0, "", IF(_xlfn.XLOOKUP(factorsTable[[#This Row],[index]],factorsConfigTable[index],factorsConfigTable[maxScore])="", NA(), _xlfn.XLOOKUP(factorsTable[[#This Row],[index]],factorsConfigTable[index],factorsConfigTable[maxScore])))</f>
        <v/>
      </c>
      <c r="CA18" s="15" t="str">
        <f ca="1">IF(factorsTable[[#This Row],[factorHeader]]=0, "", IF(ISERROR(factorsTable[[#This Row],[factorColNum]]), NA(), MIN(INDIRECT(factorsTable[[#This Row],[indirectColRef]],FALSE))))</f>
        <v/>
      </c>
      <c r="CB18" s="15" t="str">
        <f ca="1">IF(factorsTable[[#This Row],[factorHeader]]=0, "", IF(ISERROR(factorsTable[[#This Row],[factorColNum]]), NA(), MAX(INDIRECT(factorsTable[[#This Row],[indirectColRef]],FALSE))))</f>
        <v/>
      </c>
      <c r="CC18" s="15" t="b" cm="1">
        <f t="array" aca="1" ref="CC18" ca="1">AND(
    ISREF(INDIRECT(ADDRESS(1, 1, 1, 0, sheetNameData), FALSE)),
    factorsTable[[#This Row],[factorHeader]]&lt;&gt;0,
    NOT(ISERROR(factorsTable[[#This Row],[factorColNum]])),
    IFERROR(factorsTable[[#This Row],[display]], FALSE),
    IFERROR(factorsTable[[#This Row],[minValue]]&lt;factorsTable[[#This Row],[minScore]], FALSE)
  )</f>
        <v>0</v>
      </c>
      <c r="CD18" s="15" t="b" cm="1">
        <f t="array" aca="1" ref="CD18" ca="1">AND(
    ISREF(INDIRECT(ADDRESS(1, 1, 1, 0, sheetNameData), FALSE)),
    factorsTable[[#This Row],[factorHeader]]&lt;&gt;0,
    NOT(ISERROR(factorsTable[[#This Row],[factorColNum]])),
    IFERROR(factorsTable[[#This Row],[display]], FALSE),
    IFERROR(factorsTable[[#This Row],[maxValue]]&gt;factorsTable[[#This Row],[maxScore]], FALSE)
  )</f>
        <v>0</v>
      </c>
      <c r="CE18" s="15" t="str" cm="1">
        <f t="array" aca="1" ref="CE18" ca="1">IF(factorsTable[[#This Row],[factorHeader]]=0, "", SUMPRODUCT(IF(isDoer="", 0, 1-isDoer),--(INDIRECT(factorsTable[[#This Row],[indirectColRef]],FALSE)&lt;&gt;"")))</f>
        <v/>
      </c>
      <c r="CF18" s="15" t="str" cm="1">
        <f t="array" aca="1" ref="CF18" ca="1">IF(factorsTable[[#This Row],[factorHeader]]=0, "", SUMPRODUCT(IF(isDoer="", 0, isDoer),--(INDIRECT(factorsTable[[#This Row],[indirectColRef]],FALSE)&lt;&gt;"")))</f>
        <v/>
      </c>
      <c r="CG18" s="15" t="str" cm="1">
        <f t="array" ref="CG18">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8" s="15" t="str" cm="1">
        <f t="array" aca="1" ref="CH1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8" s="15" t="str" cm="1">
        <f t="array" aca="1" ref="CI1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8" s="15" t="str">
        <f>IF(factorsTable[[#This Row],[factorHeader]]=0, "", factorsTable[[#This Row],[doers]]-factorsTable[[#This Row],[nondoers]])</f>
        <v/>
      </c>
      <c r="CK18" s="15" t="str">
        <f>IF(
    factorsTable[[#This Row],[factorHeader]]=0,
    "",
    _xlfn.XLOOKUP(
      _xlfn.XLOOKUP(factorsTable[[#This Row],[index]], factorsConfigTable[index], factorsConfigTable[displayConfig]),
      yesNoTable[label],
      yesNoTable[tag]
    )
  )</f>
        <v/>
      </c>
      <c r="CL18" s="15" t="b">
        <f>IF(factorsTable[[#This Row],[factorHeader]]=0, FALSE, IF(factorsTable[[#This Row],[displayConfig]]="yes", TRUE, IF(factorsTable[[#This Row],[displayConfig]]="no", FALSE, NA())))</f>
        <v>0</v>
      </c>
      <c r="CM18" s="15" t="str" cm="1">
        <f t="array" aca="1" ref="CM1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8" s="15" t="str">
        <f ca="1">IF(
    factorsTable[[#This Row],[filteredIndex]]="",
    "",
    IFERROR(
      _xlfn.XLOOKUP(factorsTable[[#This Row],[filteredIndex]], factorsTable[index], factorsTable[difference]),
      -99
    )
  )</f>
        <v/>
      </c>
      <c r="CO18" s="15" t="str">
        <f ca="1">IF(factorsTable[[#This Row],[filteredIndex]]="", "", IF(factorsTable[[#This Row],[relDiff]]=-99, -99, ABS(factorsTable[[#This Row],[relDiff]])))</f>
        <v/>
      </c>
      <c r="CP18" s="15" t="str">
        <f ca="1">IF(
    factorsTable[[#This Row],[filteredIndex]]="",
    "",
    IFERROR(
      _xlfn.XLOOKUP(
        _xlfn.XLOOKUP(factorsTable[[#This Row],[filteredIndex]], factorsConfigTable[index], factorsConfigTable[RANASBlock]),
        RANASBlocksTable[label],
        RANASBlocksTable[index]
      ),
      6
    )
  )</f>
        <v/>
      </c>
      <c r="CQ18" s="15" t="str">
        <f ca="1">IF(factorsTable[[#This Row],[filteredIndex]]="", "", _xlfn.RANK.EQ(factorsTable[[#This Row],[relDiff]], factorsTable[relDiff], 0))</f>
        <v/>
      </c>
      <c r="CR18" s="15" t="str">
        <f ca="1">IF(factorsTable[[#This Row],[filteredIndex]]="", "", _xlfn.RANK.EQ(factorsTable[[#This Row],[absDiff]], factorsTable[absDiff], 0))</f>
        <v/>
      </c>
      <c r="CS18" s="15" t="str">
        <f ca="1">IF(factorsTable[[#This Row],[filteredIndex]]="", "", _xlfn.RANK.EQ(factorsTable[[#This Row],[RANASIndex]], factorsTable[RANASIndex], 1))</f>
        <v/>
      </c>
      <c r="CT18" s="15" t="str" cm="1">
        <f t="array" aca="1" ref="CT18" ca="1">_xlfn.SWITCH(
    sortingMethodTag,
    "none", factorsTable[[#This Row],[filteredIndex]],
    "relDiff", factorsTable[[#This Row],[relDiffRank]],
    "absDiff", factorsTable[[#This Row],[absDiffRank]],
    "RANAS", factorsTable[[#This Row],[RANASRank]],
    factorsTable[[#This Row],[filteredIndex]]
  )</f>
        <v/>
      </c>
      <c r="CU18" s="15" t="str">
        <f ca="1">IF(
    factorsTable[[#This Row],[filteredIndex]]="",
    "",
    factorsTable[[#This Row],[selectedRank]]
      + COUNTIF(INDEX(factorsTable[selectedRank], 1):INDEX(factorsTable[selectedRank], factorsTable[[#This Row],[index]]), factorsTable[[#This Row],[selectedRank]])
      - 1
  )</f>
        <v/>
      </c>
      <c r="CV18" s="15" t="str">
        <f ca="1">IFERROR(
    _xlfn.XLOOKUP(factorsTable[[#This Row],[index]], factorsTable[uniqueRank], factorsTable[filteredIndex]),
    ""
  )</f>
        <v/>
      </c>
      <c r="CW18" s="15" t="str">
        <f ca="1">IF(factorsTable[[#This Row],[sortedIndex]]="", "", INDEX(factorsConfigTable[],MATCH(factorsTable[[#This Row],[sortedIndex]],factorsConfigTable[index],0),MATCH(chartLanguage,factorsConfigTable_Headers,0)))</f>
        <v/>
      </c>
      <c r="CX18" s="15" t="str" cm="1">
        <f t="array" aca="1" ref="CX1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8" s="15" t="str">
        <f ca="1">IF(
    factorsTable[[#This Row],[sortedIndex]]="",
    "",
    _xlfn.XLOOKUP(
      _xlfn.XLOOKUP(factorsTable[[#This Row],[sortedIndex]], factorsConfigTable[index], factorsConfigTable[RANASBlock]),
      RANASBlocksTable[label],
      RANASBlocksTable[tag]
    )
  )</f>
        <v/>
      </c>
      <c r="CZ18" s="15" t="str" cm="1">
        <f t="array" aca="1" ref="CZ1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8"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8" s="15" t="str">
        <f ca="1">IF(
    factorsTable[[#This Row],[sortedIndex]]="",
    "",
    _xlfn.XLOOKUP(factorsTable[[#This Row],[sortedIndex]], factorsTable[index], factorsTable[numTotal])
  )</f>
        <v/>
      </c>
      <c r="DC18" s="15" t="str">
        <f ca="1">IF(
    factorsTable[[#This Row],[sortedIndex]]="",
    "",
    _xlfn.XLOOKUP(factorsTable[[#This Row],[sortedIndex]], factorsTable[index], factorsTable[nondoers])
  )</f>
        <v/>
      </c>
      <c r="DD18" s="15" t="str">
        <f ca="1">IF(
    factorsTable[[#This Row],[sortedIndex]]="",
    "",
    _xlfn.XLOOKUP(factorsTable[[#This Row],[sortedIndex]], factorsTable[index], factorsTable[doers])
  )</f>
        <v/>
      </c>
      <c r="DE18" s="15" t="str">
        <f ca="1">IF(
    factorsTable[[#This Row],[sortedIndex]]="",
    "",
    _xlfn.XLOOKUP(factorsTable[[#This Row],[sortedIndex]], factorsTable[index], factorsTable[difference])
  )</f>
        <v/>
      </c>
    </row>
    <row r="19" spans="5:109" ht="14.4" customHeight="1" x14ac:dyDescent="0.3">
      <c r="E19" s="40" cm="1">
        <f t="array" ref="E19">ROW()-ROW(UITranslationTable[#Headers])</f>
        <v>17</v>
      </c>
      <c r="F19" s="1" t="s">
        <v>331</v>
      </c>
      <c r="G19" s="67" t="s">
        <v>330</v>
      </c>
      <c r="H19" s="59" t="s">
        <v>343</v>
      </c>
      <c r="J19" cm="1">
        <f t="array" ref="J19">ROW()-ROW(errorMessagesTable[#Headers])</f>
        <v>17</v>
      </c>
      <c r="K19" t="b" cm="1">
        <f t="array" aca="1" ref="K19" ca="1">AND(ISREF(INDIRECT(ADDRESS(1, 1, 1, 0, sheetNameData), FALSE)), SUM(_xlfn.BITAND(factorsConfigTable[displayConfig]=yesLabel, _xlfn.BITAND(factorsConfigTable[factorHeader]&lt;&gt;"", INDEX(factorsConfigTable[],0,MATCH(chartLanguage,languageHeadersList,0)+MATCH(factorsConfigTable[[#Headers],[lang1]],factorsConfigTable[#Headers],0)-1)="")))&gt;0)</f>
        <v>0</v>
      </c>
      <c r="L19" s="59" t="s">
        <v>358</v>
      </c>
      <c r="M19" s="59" t="s">
        <v>354</v>
      </c>
      <c r="N19" t="str" cm="1">
        <f t="array" aca="1" ref="N19"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19" s="1" t="str" cm="1">
        <f t="array" aca="1" ref="O19"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19" cm="1">
        <f t="array" ref="Q19">ROW()-ROW(generalVariablesTable[#Headers])</f>
        <v>17</v>
      </c>
      <c r="R19" t="s">
        <v>58</v>
      </c>
      <c r="S19" s="1">
        <f ca="1">COUNTA(factorsTable[sortedIndex])-COUNTBLANK(factorsTable[sortedIndex])</f>
        <v>0</v>
      </c>
      <c r="BU19" s="15" cm="1">
        <f t="array" ref="BU19">ROW()-ROW(factorsTable[#Headers])</f>
        <v>17</v>
      </c>
      <c r="BV19" s="15">
        <f>_xlfn.XLOOKUP(factorsTable[[#This Row],[index]],factorsConfigTable[index],factorsConfigTable[factorHeader])</f>
        <v>0</v>
      </c>
      <c r="BW19" s="15" t="str" cm="1">
        <f t="array" aca="1" ref="BW1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19" s="15" t="str" cm="1">
        <f t="array" ref="BX19">IF(factorsTable[[#This Row],[factorHeader]]=0, "", ADDRESS(2, factorsTable[[#This Row],[factorColNum]], 1, 0, sheetNameData) &amp; ":" &amp; ADDRESS(numEntries+1, factorsTable[[#This Row],[factorColNum]], 1, 0))</f>
        <v/>
      </c>
      <c r="BY19" s="15" t="str">
        <f>IF(factorsTable[[#This Row],[factorHeader]]=0, "", IF(_xlfn.XLOOKUP(factorsTable[[#This Row],[index]],factorsConfigTable[index],factorsConfigTable[minScore])="", NA(), _xlfn.XLOOKUP(factorsTable[[#This Row],[index]],factorsConfigTable[index],factorsConfigTable[minScore])))</f>
        <v/>
      </c>
      <c r="BZ19" s="15" t="str">
        <f>IF(factorsTable[[#This Row],[factorHeader]]=0, "", IF(_xlfn.XLOOKUP(factorsTable[[#This Row],[index]],factorsConfigTable[index],factorsConfigTable[maxScore])="", NA(), _xlfn.XLOOKUP(factorsTable[[#This Row],[index]],factorsConfigTable[index],factorsConfigTable[maxScore])))</f>
        <v/>
      </c>
      <c r="CA19" s="15" t="str">
        <f ca="1">IF(factorsTable[[#This Row],[factorHeader]]=0, "", IF(ISERROR(factorsTable[[#This Row],[factorColNum]]), NA(), MIN(INDIRECT(factorsTable[[#This Row],[indirectColRef]],FALSE))))</f>
        <v/>
      </c>
      <c r="CB19" s="15" t="str">
        <f ca="1">IF(factorsTable[[#This Row],[factorHeader]]=0, "", IF(ISERROR(factorsTable[[#This Row],[factorColNum]]), NA(), MAX(INDIRECT(factorsTable[[#This Row],[indirectColRef]],FALSE))))</f>
        <v/>
      </c>
      <c r="CC19" s="15" t="b" cm="1">
        <f t="array" aca="1" ref="CC19" ca="1">AND(
    ISREF(INDIRECT(ADDRESS(1, 1, 1, 0, sheetNameData), FALSE)),
    factorsTable[[#This Row],[factorHeader]]&lt;&gt;0,
    NOT(ISERROR(factorsTable[[#This Row],[factorColNum]])),
    IFERROR(factorsTable[[#This Row],[display]], FALSE),
    IFERROR(factorsTable[[#This Row],[minValue]]&lt;factorsTable[[#This Row],[minScore]], FALSE)
  )</f>
        <v>0</v>
      </c>
      <c r="CD19" s="15" t="b" cm="1">
        <f t="array" aca="1" ref="CD19" ca="1">AND(
    ISREF(INDIRECT(ADDRESS(1, 1, 1, 0, sheetNameData), FALSE)),
    factorsTable[[#This Row],[factorHeader]]&lt;&gt;0,
    NOT(ISERROR(factorsTable[[#This Row],[factorColNum]])),
    IFERROR(factorsTable[[#This Row],[display]], FALSE),
    IFERROR(factorsTable[[#This Row],[maxValue]]&gt;factorsTable[[#This Row],[maxScore]], FALSE)
  )</f>
        <v>0</v>
      </c>
      <c r="CE19" s="15" t="str" cm="1">
        <f t="array" aca="1" ref="CE19" ca="1">IF(factorsTable[[#This Row],[factorHeader]]=0, "", SUMPRODUCT(IF(isDoer="", 0, 1-isDoer),--(INDIRECT(factorsTable[[#This Row],[indirectColRef]],FALSE)&lt;&gt;"")))</f>
        <v/>
      </c>
      <c r="CF19" s="15" t="str" cm="1">
        <f t="array" aca="1" ref="CF19" ca="1">IF(factorsTable[[#This Row],[factorHeader]]=0, "", SUMPRODUCT(IF(isDoer="", 0, isDoer),--(INDIRECT(factorsTable[[#This Row],[indirectColRef]],FALSE)&lt;&gt;"")))</f>
        <v/>
      </c>
      <c r="CG19" s="15" t="str" cm="1">
        <f t="array" ref="CG19">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19" s="15" t="str" cm="1">
        <f t="array" aca="1" ref="CH1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19" s="15" t="str" cm="1">
        <f t="array" aca="1" ref="CI1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19" s="15" t="str">
        <f>IF(factorsTable[[#This Row],[factorHeader]]=0, "", factorsTable[[#This Row],[doers]]-factorsTable[[#This Row],[nondoers]])</f>
        <v/>
      </c>
      <c r="CK19" s="15" t="str">
        <f>IF(
    factorsTable[[#This Row],[factorHeader]]=0,
    "",
    _xlfn.XLOOKUP(
      _xlfn.XLOOKUP(factorsTable[[#This Row],[index]], factorsConfigTable[index], factorsConfigTable[displayConfig]),
      yesNoTable[label],
      yesNoTable[tag]
    )
  )</f>
        <v/>
      </c>
      <c r="CL19" s="15" t="b">
        <f>IF(factorsTable[[#This Row],[factorHeader]]=0, FALSE, IF(factorsTable[[#This Row],[displayConfig]]="yes", TRUE, IF(factorsTable[[#This Row],[displayConfig]]="no", FALSE, NA())))</f>
        <v>0</v>
      </c>
      <c r="CM19" s="15" t="str" cm="1">
        <f t="array" aca="1" ref="CM1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19" s="15" t="str">
        <f ca="1">IF(
    factorsTable[[#This Row],[filteredIndex]]="",
    "",
    IFERROR(
      _xlfn.XLOOKUP(factorsTable[[#This Row],[filteredIndex]], factorsTable[index], factorsTable[difference]),
      -99
    )
  )</f>
        <v/>
      </c>
      <c r="CO19" s="15" t="str">
        <f ca="1">IF(factorsTable[[#This Row],[filteredIndex]]="", "", IF(factorsTable[[#This Row],[relDiff]]=-99, -99, ABS(factorsTable[[#This Row],[relDiff]])))</f>
        <v/>
      </c>
      <c r="CP19" s="15" t="str">
        <f ca="1">IF(
    factorsTable[[#This Row],[filteredIndex]]="",
    "",
    IFERROR(
      _xlfn.XLOOKUP(
        _xlfn.XLOOKUP(factorsTable[[#This Row],[filteredIndex]], factorsConfigTable[index], factorsConfigTable[RANASBlock]),
        RANASBlocksTable[label],
        RANASBlocksTable[index]
      ),
      6
    )
  )</f>
        <v/>
      </c>
      <c r="CQ19" s="15" t="str">
        <f ca="1">IF(factorsTable[[#This Row],[filteredIndex]]="", "", _xlfn.RANK.EQ(factorsTable[[#This Row],[relDiff]], factorsTable[relDiff], 0))</f>
        <v/>
      </c>
      <c r="CR19" s="15" t="str">
        <f ca="1">IF(factorsTable[[#This Row],[filteredIndex]]="", "", _xlfn.RANK.EQ(factorsTable[[#This Row],[absDiff]], factorsTable[absDiff], 0))</f>
        <v/>
      </c>
      <c r="CS19" s="15" t="str">
        <f ca="1">IF(factorsTable[[#This Row],[filteredIndex]]="", "", _xlfn.RANK.EQ(factorsTable[[#This Row],[RANASIndex]], factorsTable[RANASIndex], 1))</f>
        <v/>
      </c>
      <c r="CT19" s="15" t="str" cm="1">
        <f t="array" aca="1" ref="CT19" ca="1">_xlfn.SWITCH(
    sortingMethodTag,
    "none", factorsTable[[#This Row],[filteredIndex]],
    "relDiff", factorsTable[[#This Row],[relDiffRank]],
    "absDiff", factorsTable[[#This Row],[absDiffRank]],
    "RANAS", factorsTable[[#This Row],[RANASRank]],
    factorsTable[[#This Row],[filteredIndex]]
  )</f>
        <v/>
      </c>
      <c r="CU19" s="15" t="str">
        <f ca="1">IF(
    factorsTable[[#This Row],[filteredIndex]]="",
    "",
    factorsTable[[#This Row],[selectedRank]]
      + COUNTIF(INDEX(factorsTable[selectedRank], 1):INDEX(factorsTable[selectedRank], factorsTable[[#This Row],[index]]), factorsTable[[#This Row],[selectedRank]])
      - 1
  )</f>
        <v/>
      </c>
      <c r="CV19" s="15" t="str">
        <f ca="1">IFERROR(
    _xlfn.XLOOKUP(factorsTable[[#This Row],[index]], factorsTable[uniqueRank], factorsTable[filteredIndex]),
    ""
  )</f>
        <v/>
      </c>
      <c r="CW19" s="15" t="str">
        <f ca="1">IF(factorsTable[[#This Row],[sortedIndex]]="", "", INDEX(factorsConfigTable[],MATCH(factorsTable[[#This Row],[sortedIndex]],factorsConfigTable[index],0),MATCH(chartLanguage,factorsConfigTable_Headers,0)))</f>
        <v/>
      </c>
      <c r="CX19" s="15" t="str" cm="1">
        <f t="array" aca="1" ref="CX1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19" s="15" t="str">
        <f ca="1">IF(
    factorsTable[[#This Row],[sortedIndex]]="",
    "",
    _xlfn.XLOOKUP(
      _xlfn.XLOOKUP(factorsTable[[#This Row],[sortedIndex]], factorsConfigTable[index], factorsConfigTable[RANASBlock]),
      RANASBlocksTable[label],
      RANASBlocksTable[tag]
    )
  )</f>
        <v/>
      </c>
      <c r="CZ19" s="15" t="str" cm="1">
        <f t="array" aca="1" ref="CZ1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19"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19" s="15" t="str">
        <f ca="1">IF(
    factorsTable[[#This Row],[sortedIndex]]="",
    "",
    _xlfn.XLOOKUP(factorsTable[[#This Row],[sortedIndex]], factorsTable[index], factorsTable[numTotal])
  )</f>
        <v/>
      </c>
      <c r="DC19" s="15" t="str">
        <f ca="1">IF(
    factorsTable[[#This Row],[sortedIndex]]="",
    "",
    _xlfn.XLOOKUP(factorsTable[[#This Row],[sortedIndex]], factorsTable[index], factorsTable[nondoers])
  )</f>
        <v/>
      </c>
      <c r="DD19" s="15" t="str">
        <f ca="1">IF(
    factorsTable[[#This Row],[sortedIndex]]="",
    "",
    _xlfn.XLOOKUP(factorsTable[[#This Row],[sortedIndex]], factorsTable[index], factorsTable[doers])
  )</f>
        <v/>
      </c>
      <c r="DE19" s="15" t="str">
        <f ca="1">IF(
    factorsTable[[#This Row],[sortedIndex]]="",
    "",
    _xlfn.XLOOKUP(factorsTable[[#This Row],[sortedIndex]], factorsTable[index], factorsTable[difference])
  )</f>
        <v/>
      </c>
    </row>
    <row r="20" spans="5:109" ht="14.4" customHeight="1" x14ac:dyDescent="0.3">
      <c r="E20" s="40" cm="1">
        <f t="array" ref="E20">ROW()-ROW(UITranslationTable[#Headers])</f>
        <v>18</v>
      </c>
      <c r="F20" s="1" t="s">
        <v>332</v>
      </c>
      <c r="G20" s="67"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59"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cm="1">
        <f t="array" ref="J20">ROW()-ROW(errorMessagesTable[#Headers])</f>
        <v>18</v>
      </c>
      <c r="K20" t="b" cm="1">
        <f t="array" aca="1" ref="K20" ca="1">AND(ISREF(INDIRECT(ADDRESS(1, 1, 1, 0, sheetNameData), FALSE)), SUM(_xlfn.BITAND(chartTranslationTable[tag]&lt;&gt;"", INDEX(chartTranslationTable[],0,MATCH(chartLanguage,languageHeadersList,0)+MATCH(chartTranslationTable[[#Headers],[lang1]],chartTranslationTable[#Headers],0)-1)=""))&gt;0)</f>
        <v>0</v>
      </c>
      <c r="L20" s="59" t="s">
        <v>255</v>
      </c>
      <c r="M20" s="59" t="s">
        <v>256</v>
      </c>
      <c r="N20" t="str" cm="1">
        <f t="array" aca="1" ref="N20"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0" s="1" t="str" cm="1">
        <f t="array" aca="1" ref="O20"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0" cm="1">
        <f t="array" ref="Q20">ROW()-ROW(generalVariablesTable[#Headers])</f>
        <v>18</v>
      </c>
      <c r="R20" t="s">
        <v>172</v>
      </c>
      <c r="S20" s="59">
        <v>9</v>
      </c>
      <c r="BU20" s="15" cm="1">
        <f t="array" ref="BU20">ROW()-ROW(factorsTable[#Headers])</f>
        <v>18</v>
      </c>
      <c r="BV20" s="15">
        <f>_xlfn.XLOOKUP(factorsTable[[#This Row],[index]],factorsConfigTable[index],factorsConfigTable[factorHeader])</f>
        <v>0</v>
      </c>
      <c r="BW20" s="15" t="str" cm="1">
        <f t="array" aca="1" ref="BW2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0" s="15" t="str" cm="1">
        <f t="array" ref="BX20">IF(factorsTable[[#This Row],[factorHeader]]=0, "", ADDRESS(2, factorsTable[[#This Row],[factorColNum]], 1, 0, sheetNameData) &amp; ":" &amp; ADDRESS(numEntries+1, factorsTable[[#This Row],[factorColNum]], 1, 0))</f>
        <v/>
      </c>
      <c r="BY20" s="15" t="str">
        <f>IF(factorsTable[[#This Row],[factorHeader]]=0, "", IF(_xlfn.XLOOKUP(factorsTable[[#This Row],[index]],factorsConfigTable[index],factorsConfigTable[minScore])="", NA(), _xlfn.XLOOKUP(factorsTable[[#This Row],[index]],factorsConfigTable[index],factorsConfigTable[minScore])))</f>
        <v/>
      </c>
      <c r="BZ20" s="15" t="str">
        <f>IF(factorsTable[[#This Row],[factorHeader]]=0, "", IF(_xlfn.XLOOKUP(factorsTable[[#This Row],[index]],factorsConfigTable[index],factorsConfigTable[maxScore])="", NA(), _xlfn.XLOOKUP(factorsTable[[#This Row],[index]],factorsConfigTable[index],factorsConfigTable[maxScore])))</f>
        <v/>
      </c>
      <c r="CA20" s="15" t="str">
        <f ca="1">IF(factorsTable[[#This Row],[factorHeader]]=0, "", IF(ISERROR(factorsTable[[#This Row],[factorColNum]]), NA(), MIN(INDIRECT(factorsTable[[#This Row],[indirectColRef]],FALSE))))</f>
        <v/>
      </c>
      <c r="CB20" s="15" t="str">
        <f ca="1">IF(factorsTable[[#This Row],[factorHeader]]=0, "", IF(ISERROR(factorsTable[[#This Row],[factorColNum]]), NA(), MAX(INDIRECT(factorsTable[[#This Row],[indirectColRef]],FALSE))))</f>
        <v/>
      </c>
      <c r="CC20" s="15" t="b" cm="1">
        <f t="array" aca="1" ref="CC20" ca="1">AND(
    ISREF(INDIRECT(ADDRESS(1, 1, 1, 0, sheetNameData), FALSE)),
    factorsTable[[#This Row],[factorHeader]]&lt;&gt;0,
    NOT(ISERROR(factorsTable[[#This Row],[factorColNum]])),
    IFERROR(factorsTable[[#This Row],[display]], FALSE),
    IFERROR(factorsTable[[#This Row],[minValue]]&lt;factorsTable[[#This Row],[minScore]], FALSE)
  )</f>
        <v>0</v>
      </c>
      <c r="CD20" s="15" t="b" cm="1">
        <f t="array" aca="1" ref="CD20" ca="1">AND(
    ISREF(INDIRECT(ADDRESS(1, 1, 1, 0, sheetNameData), FALSE)),
    factorsTable[[#This Row],[factorHeader]]&lt;&gt;0,
    NOT(ISERROR(factorsTable[[#This Row],[factorColNum]])),
    IFERROR(factorsTable[[#This Row],[display]], FALSE),
    IFERROR(factorsTable[[#This Row],[maxValue]]&gt;factorsTable[[#This Row],[maxScore]], FALSE)
  )</f>
        <v>0</v>
      </c>
      <c r="CE20" s="15" t="str" cm="1">
        <f t="array" aca="1" ref="CE20" ca="1">IF(factorsTable[[#This Row],[factorHeader]]=0, "", SUMPRODUCT(IF(isDoer="", 0, 1-isDoer),--(INDIRECT(factorsTable[[#This Row],[indirectColRef]],FALSE)&lt;&gt;"")))</f>
        <v/>
      </c>
      <c r="CF20" s="15" t="str" cm="1">
        <f t="array" aca="1" ref="CF20" ca="1">IF(factorsTable[[#This Row],[factorHeader]]=0, "", SUMPRODUCT(IF(isDoer="", 0, isDoer),--(INDIRECT(factorsTable[[#This Row],[indirectColRef]],FALSE)&lt;&gt;"")))</f>
        <v/>
      </c>
      <c r="CG20" s="15" t="str" cm="1">
        <f t="array" ref="CG20">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0" s="15" t="str" cm="1">
        <f t="array" aca="1" ref="CH2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0" s="15" t="str" cm="1">
        <f t="array" aca="1" ref="CI2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0" s="15" t="str">
        <f>IF(factorsTable[[#This Row],[factorHeader]]=0, "", factorsTable[[#This Row],[doers]]-factorsTable[[#This Row],[nondoers]])</f>
        <v/>
      </c>
      <c r="CK20" s="15" t="str">
        <f>IF(
    factorsTable[[#This Row],[factorHeader]]=0,
    "",
    _xlfn.XLOOKUP(
      _xlfn.XLOOKUP(factorsTable[[#This Row],[index]], factorsConfigTable[index], factorsConfigTable[displayConfig]),
      yesNoTable[label],
      yesNoTable[tag]
    )
  )</f>
        <v/>
      </c>
      <c r="CL20" s="15" t="b">
        <f>IF(factorsTable[[#This Row],[factorHeader]]=0, FALSE, IF(factorsTable[[#This Row],[displayConfig]]="yes", TRUE, IF(factorsTable[[#This Row],[displayConfig]]="no", FALSE, NA())))</f>
        <v>0</v>
      </c>
      <c r="CM20" s="15" t="str" cm="1">
        <f t="array" aca="1" ref="CM2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0" s="15" t="str">
        <f ca="1">IF(
    factorsTable[[#This Row],[filteredIndex]]="",
    "",
    IFERROR(
      _xlfn.XLOOKUP(factorsTable[[#This Row],[filteredIndex]], factorsTable[index], factorsTable[difference]),
      -99
    )
  )</f>
        <v/>
      </c>
      <c r="CO20" s="15" t="str">
        <f ca="1">IF(factorsTable[[#This Row],[filteredIndex]]="", "", IF(factorsTable[[#This Row],[relDiff]]=-99, -99, ABS(factorsTable[[#This Row],[relDiff]])))</f>
        <v/>
      </c>
      <c r="CP20" s="15" t="str">
        <f ca="1">IF(
    factorsTable[[#This Row],[filteredIndex]]="",
    "",
    IFERROR(
      _xlfn.XLOOKUP(
        _xlfn.XLOOKUP(factorsTable[[#This Row],[filteredIndex]], factorsConfigTable[index], factorsConfigTable[RANASBlock]),
        RANASBlocksTable[label],
        RANASBlocksTable[index]
      ),
      6
    )
  )</f>
        <v/>
      </c>
      <c r="CQ20" s="15" t="str">
        <f ca="1">IF(factorsTable[[#This Row],[filteredIndex]]="", "", _xlfn.RANK.EQ(factorsTable[[#This Row],[relDiff]], factorsTable[relDiff], 0))</f>
        <v/>
      </c>
      <c r="CR20" s="15" t="str">
        <f ca="1">IF(factorsTable[[#This Row],[filteredIndex]]="", "", _xlfn.RANK.EQ(factorsTable[[#This Row],[absDiff]], factorsTable[absDiff], 0))</f>
        <v/>
      </c>
      <c r="CS20" s="15" t="str">
        <f ca="1">IF(factorsTable[[#This Row],[filteredIndex]]="", "", _xlfn.RANK.EQ(factorsTable[[#This Row],[RANASIndex]], factorsTable[RANASIndex], 1))</f>
        <v/>
      </c>
      <c r="CT20" s="15" t="str" cm="1">
        <f t="array" aca="1" ref="CT20" ca="1">_xlfn.SWITCH(
    sortingMethodTag,
    "none", factorsTable[[#This Row],[filteredIndex]],
    "relDiff", factorsTable[[#This Row],[relDiffRank]],
    "absDiff", factorsTable[[#This Row],[absDiffRank]],
    "RANAS", factorsTable[[#This Row],[RANASRank]],
    factorsTable[[#This Row],[filteredIndex]]
  )</f>
        <v/>
      </c>
      <c r="CU20" s="15" t="str">
        <f ca="1">IF(
    factorsTable[[#This Row],[filteredIndex]]="",
    "",
    factorsTable[[#This Row],[selectedRank]]
      + COUNTIF(INDEX(factorsTable[selectedRank], 1):INDEX(factorsTable[selectedRank], factorsTable[[#This Row],[index]]), factorsTable[[#This Row],[selectedRank]])
      - 1
  )</f>
        <v/>
      </c>
      <c r="CV20" s="15" t="str">
        <f ca="1">IFERROR(
    _xlfn.XLOOKUP(factorsTable[[#This Row],[index]], factorsTable[uniqueRank], factorsTable[filteredIndex]),
    ""
  )</f>
        <v/>
      </c>
      <c r="CW20" s="15" t="str">
        <f ca="1">IF(factorsTable[[#This Row],[sortedIndex]]="", "", INDEX(factorsConfigTable[],MATCH(factorsTable[[#This Row],[sortedIndex]],factorsConfigTable[index],0),MATCH(chartLanguage,factorsConfigTable_Headers,0)))</f>
        <v/>
      </c>
      <c r="CX20" s="15" t="str" cm="1">
        <f t="array" aca="1" ref="CX2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0" s="15" t="str">
        <f ca="1">IF(
    factorsTable[[#This Row],[sortedIndex]]="",
    "",
    _xlfn.XLOOKUP(
      _xlfn.XLOOKUP(factorsTable[[#This Row],[sortedIndex]], factorsConfigTable[index], factorsConfigTable[RANASBlock]),
      RANASBlocksTable[label],
      RANASBlocksTable[tag]
    )
  )</f>
        <v/>
      </c>
      <c r="CZ20" s="15" t="str" cm="1">
        <f t="array" aca="1" ref="CZ2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0"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0" s="15" t="str">
        <f ca="1">IF(
    factorsTable[[#This Row],[sortedIndex]]="",
    "",
    _xlfn.XLOOKUP(factorsTable[[#This Row],[sortedIndex]], factorsTable[index], factorsTable[numTotal])
  )</f>
        <v/>
      </c>
      <c r="DC20" s="15" t="str">
        <f ca="1">IF(
    factorsTable[[#This Row],[sortedIndex]]="",
    "",
    _xlfn.XLOOKUP(factorsTable[[#This Row],[sortedIndex]], factorsTable[index], factorsTable[nondoers])
  )</f>
        <v/>
      </c>
      <c r="DD20" s="15" t="str">
        <f ca="1">IF(
    factorsTable[[#This Row],[sortedIndex]]="",
    "",
    _xlfn.XLOOKUP(factorsTable[[#This Row],[sortedIndex]], factorsTable[index], factorsTable[doers])
  )</f>
        <v/>
      </c>
      <c r="DE20" s="15" t="str">
        <f ca="1">IF(
    factorsTable[[#This Row],[sortedIndex]]="",
    "",
    _xlfn.XLOOKUP(factorsTable[[#This Row],[sortedIndex]], factorsTable[index], factorsTable[difference])
  )</f>
        <v/>
      </c>
    </row>
    <row r="21" spans="5:109" ht="14.4" customHeight="1" x14ac:dyDescent="0.3">
      <c r="E21" s="40" cm="1">
        <f t="array" ref="E21">ROW()-ROW(UITranslationTable[#Headers])</f>
        <v>19</v>
      </c>
      <c r="F21" s="1" t="s">
        <v>344</v>
      </c>
      <c r="G21" s="67" t="s">
        <v>322</v>
      </c>
      <c r="H21" s="59" t="s">
        <v>323</v>
      </c>
      <c r="J21" cm="1">
        <f t="array" ref="J21">ROW()-ROW(errorMessagesTable[#Headers])</f>
        <v>19</v>
      </c>
      <c r="K21" t="b" cm="1">
        <f t="array" aca="1" ref="K21" ca="1">AND(ISREF(INDIRECT(ADDRESS(1, 1, 1, 0, sheetNameData), FALSE)), OR(cutoffLevel &lt; 0, cutoffLevel &gt; 1, 100*cutoffLevel &lt;&gt; INT(100*cutoffLevel)))</f>
        <v>0</v>
      </c>
      <c r="L21" s="58" t="str" cm="1">
        <f t="array" aca="1" ref="L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M21" s="1" t="str" cm="1">
        <f t="array" aca="1" ref="M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N21" t="str" cm="1">
        <f t="array" aca="1" ref="N21"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1" s="1" t="str" cm="1">
        <f t="array" aca="1" ref="O21"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1" cm="1">
        <f t="array" ref="Q21">ROW()-ROW(generalVariablesTable[#Headers])</f>
        <v>19</v>
      </c>
      <c r="R21" t="s">
        <v>173</v>
      </c>
      <c r="S21" s="1" cm="1">
        <f t="array" aca="1" ref="S21" ca="1">IF(numFactors&lt;=numFactorsThreshold, numFactors, ROUNDUP(numFactors/2,0))</f>
        <v>0</v>
      </c>
      <c r="BU21" s="15" cm="1">
        <f t="array" ref="BU21">ROW()-ROW(factorsTable[#Headers])</f>
        <v>19</v>
      </c>
      <c r="BV21" s="15">
        <f>_xlfn.XLOOKUP(factorsTable[[#This Row],[index]],factorsConfigTable[index],factorsConfigTable[factorHeader])</f>
        <v>0</v>
      </c>
      <c r="BW21" s="15" t="str" cm="1">
        <f t="array" aca="1" ref="BW2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1" s="15" t="str" cm="1">
        <f t="array" ref="BX21">IF(factorsTable[[#This Row],[factorHeader]]=0, "", ADDRESS(2, factorsTable[[#This Row],[factorColNum]], 1, 0, sheetNameData) &amp; ":" &amp; ADDRESS(numEntries+1, factorsTable[[#This Row],[factorColNum]], 1, 0))</f>
        <v/>
      </c>
      <c r="BY21" s="15" t="str">
        <f>IF(factorsTable[[#This Row],[factorHeader]]=0, "", IF(_xlfn.XLOOKUP(factorsTable[[#This Row],[index]],factorsConfigTable[index],factorsConfigTable[minScore])="", NA(), _xlfn.XLOOKUP(factorsTable[[#This Row],[index]],factorsConfigTable[index],factorsConfigTable[minScore])))</f>
        <v/>
      </c>
      <c r="BZ21" s="15" t="str">
        <f>IF(factorsTable[[#This Row],[factorHeader]]=0, "", IF(_xlfn.XLOOKUP(factorsTable[[#This Row],[index]],factorsConfigTable[index],factorsConfigTable[maxScore])="", NA(), _xlfn.XLOOKUP(factorsTable[[#This Row],[index]],factorsConfigTable[index],factorsConfigTable[maxScore])))</f>
        <v/>
      </c>
      <c r="CA21" s="15" t="str">
        <f ca="1">IF(factorsTable[[#This Row],[factorHeader]]=0, "", IF(ISERROR(factorsTable[[#This Row],[factorColNum]]), NA(), MIN(INDIRECT(factorsTable[[#This Row],[indirectColRef]],FALSE))))</f>
        <v/>
      </c>
      <c r="CB21" s="15" t="str">
        <f ca="1">IF(factorsTable[[#This Row],[factorHeader]]=0, "", IF(ISERROR(factorsTable[[#This Row],[factorColNum]]), NA(), MAX(INDIRECT(factorsTable[[#This Row],[indirectColRef]],FALSE))))</f>
        <v/>
      </c>
      <c r="CC21" s="15" t="b" cm="1">
        <f t="array" aca="1" ref="CC21" ca="1">AND(
    ISREF(INDIRECT(ADDRESS(1, 1, 1, 0, sheetNameData), FALSE)),
    factorsTable[[#This Row],[factorHeader]]&lt;&gt;0,
    NOT(ISERROR(factorsTable[[#This Row],[factorColNum]])),
    IFERROR(factorsTable[[#This Row],[display]], FALSE),
    IFERROR(factorsTable[[#This Row],[minValue]]&lt;factorsTable[[#This Row],[minScore]], FALSE)
  )</f>
        <v>0</v>
      </c>
      <c r="CD21" s="15" t="b" cm="1">
        <f t="array" aca="1" ref="CD21" ca="1">AND(
    ISREF(INDIRECT(ADDRESS(1, 1, 1, 0, sheetNameData), FALSE)),
    factorsTable[[#This Row],[factorHeader]]&lt;&gt;0,
    NOT(ISERROR(factorsTable[[#This Row],[factorColNum]])),
    IFERROR(factorsTable[[#This Row],[display]], FALSE),
    IFERROR(factorsTable[[#This Row],[maxValue]]&gt;factorsTable[[#This Row],[maxScore]], FALSE)
  )</f>
        <v>0</v>
      </c>
      <c r="CE21" s="15" t="str" cm="1">
        <f t="array" aca="1" ref="CE21" ca="1">IF(factorsTable[[#This Row],[factorHeader]]=0, "", SUMPRODUCT(IF(isDoer="", 0, 1-isDoer),--(INDIRECT(factorsTable[[#This Row],[indirectColRef]],FALSE)&lt;&gt;"")))</f>
        <v/>
      </c>
      <c r="CF21" s="15" t="str" cm="1">
        <f t="array" aca="1" ref="CF21" ca="1">IF(factorsTable[[#This Row],[factorHeader]]=0, "", SUMPRODUCT(IF(isDoer="", 0, isDoer),--(INDIRECT(factorsTable[[#This Row],[indirectColRef]],FALSE)&lt;&gt;"")))</f>
        <v/>
      </c>
      <c r="CG21" s="15" t="str" cm="1">
        <f t="array" ref="CG2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1" s="15" t="str" cm="1">
        <f t="array" aca="1" ref="CH2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1" s="15" t="str" cm="1">
        <f t="array" aca="1" ref="CI2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1" s="15" t="str">
        <f>IF(factorsTable[[#This Row],[factorHeader]]=0, "", factorsTable[[#This Row],[doers]]-factorsTable[[#This Row],[nondoers]])</f>
        <v/>
      </c>
      <c r="CK21" s="15" t="str">
        <f>IF(
    factorsTable[[#This Row],[factorHeader]]=0,
    "",
    _xlfn.XLOOKUP(
      _xlfn.XLOOKUP(factorsTable[[#This Row],[index]], factorsConfigTable[index], factorsConfigTable[displayConfig]),
      yesNoTable[label],
      yesNoTable[tag]
    )
  )</f>
        <v/>
      </c>
      <c r="CL21" s="15" t="b">
        <f>IF(factorsTable[[#This Row],[factorHeader]]=0, FALSE, IF(factorsTable[[#This Row],[displayConfig]]="yes", TRUE, IF(factorsTable[[#This Row],[displayConfig]]="no", FALSE, NA())))</f>
        <v>0</v>
      </c>
      <c r="CM21" s="15" t="str" cm="1">
        <f t="array" aca="1" ref="CM2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1" s="15" t="str">
        <f ca="1">IF(
    factorsTable[[#This Row],[filteredIndex]]="",
    "",
    IFERROR(
      _xlfn.XLOOKUP(factorsTable[[#This Row],[filteredIndex]], factorsTable[index], factorsTable[difference]),
      -99
    )
  )</f>
        <v/>
      </c>
      <c r="CO21" s="15" t="str">
        <f ca="1">IF(factorsTable[[#This Row],[filteredIndex]]="", "", IF(factorsTable[[#This Row],[relDiff]]=-99, -99, ABS(factorsTable[[#This Row],[relDiff]])))</f>
        <v/>
      </c>
      <c r="CP21" s="15" t="str">
        <f ca="1">IF(
    factorsTable[[#This Row],[filteredIndex]]="",
    "",
    IFERROR(
      _xlfn.XLOOKUP(
        _xlfn.XLOOKUP(factorsTable[[#This Row],[filteredIndex]], factorsConfigTable[index], factorsConfigTable[RANASBlock]),
        RANASBlocksTable[label],
        RANASBlocksTable[index]
      ),
      6
    )
  )</f>
        <v/>
      </c>
      <c r="CQ21" s="15" t="str">
        <f ca="1">IF(factorsTable[[#This Row],[filteredIndex]]="", "", _xlfn.RANK.EQ(factorsTable[[#This Row],[relDiff]], factorsTable[relDiff], 0))</f>
        <v/>
      </c>
      <c r="CR21" s="15" t="str">
        <f ca="1">IF(factorsTable[[#This Row],[filteredIndex]]="", "", _xlfn.RANK.EQ(factorsTable[[#This Row],[absDiff]], factorsTable[absDiff], 0))</f>
        <v/>
      </c>
      <c r="CS21" s="15" t="str">
        <f ca="1">IF(factorsTable[[#This Row],[filteredIndex]]="", "", _xlfn.RANK.EQ(factorsTable[[#This Row],[RANASIndex]], factorsTable[RANASIndex], 1))</f>
        <v/>
      </c>
      <c r="CT21" s="15" t="str" cm="1">
        <f t="array" aca="1" ref="CT21" ca="1">_xlfn.SWITCH(
    sortingMethodTag,
    "none", factorsTable[[#This Row],[filteredIndex]],
    "relDiff", factorsTable[[#This Row],[relDiffRank]],
    "absDiff", factorsTable[[#This Row],[absDiffRank]],
    "RANAS", factorsTable[[#This Row],[RANASRank]],
    factorsTable[[#This Row],[filteredIndex]]
  )</f>
        <v/>
      </c>
      <c r="CU21" s="15" t="str">
        <f ca="1">IF(
    factorsTable[[#This Row],[filteredIndex]]="",
    "",
    factorsTable[[#This Row],[selectedRank]]
      + COUNTIF(INDEX(factorsTable[selectedRank], 1):INDEX(factorsTable[selectedRank], factorsTable[[#This Row],[index]]), factorsTable[[#This Row],[selectedRank]])
      - 1
  )</f>
        <v/>
      </c>
      <c r="CV21" s="15" t="str">
        <f ca="1">IFERROR(
    _xlfn.XLOOKUP(factorsTable[[#This Row],[index]], factorsTable[uniqueRank], factorsTable[filteredIndex]),
    ""
  )</f>
        <v/>
      </c>
      <c r="CW21" s="15" t="str">
        <f ca="1">IF(factorsTable[[#This Row],[sortedIndex]]="", "", INDEX(factorsConfigTable[],MATCH(factorsTable[[#This Row],[sortedIndex]],factorsConfigTable[index],0),MATCH(chartLanguage,factorsConfigTable_Headers,0)))</f>
        <v/>
      </c>
      <c r="CX21" s="15" t="str" cm="1">
        <f t="array" aca="1" ref="CX2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1" s="15" t="str">
        <f ca="1">IF(
    factorsTable[[#This Row],[sortedIndex]]="",
    "",
    _xlfn.XLOOKUP(
      _xlfn.XLOOKUP(factorsTable[[#This Row],[sortedIndex]], factorsConfigTable[index], factorsConfigTable[RANASBlock]),
      RANASBlocksTable[label],
      RANASBlocksTable[tag]
    )
  )</f>
        <v/>
      </c>
      <c r="CZ21" s="15" t="str" cm="1">
        <f t="array" aca="1" ref="CZ2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1"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1" s="15" t="str">
        <f ca="1">IF(
    factorsTable[[#This Row],[sortedIndex]]="",
    "",
    _xlfn.XLOOKUP(factorsTable[[#This Row],[sortedIndex]], factorsTable[index], factorsTable[numTotal])
  )</f>
        <v/>
      </c>
      <c r="DC21" s="15" t="str">
        <f ca="1">IF(
    factorsTable[[#This Row],[sortedIndex]]="",
    "",
    _xlfn.XLOOKUP(factorsTable[[#This Row],[sortedIndex]], factorsTable[index], factorsTable[nondoers])
  )</f>
        <v/>
      </c>
      <c r="DD21" s="15" t="str">
        <f ca="1">IF(
    factorsTable[[#This Row],[sortedIndex]]="",
    "",
    _xlfn.XLOOKUP(factorsTable[[#This Row],[sortedIndex]], factorsTable[index], factorsTable[doers])
  )</f>
        <v/>
      </c>
      <c r="DE21" s="15" t="str">
        <f ca="1">IF(
    factorsTable[[#This Row],[sortedIndex]]="",
    "",
    _xlfn.XLOOKUP(factorsTable[[#This Row],[sortedIndex]], factorsTable[index], factorsTable[difference])
  )</f>
        <v/>
      </c>
    </row>
    <row r="22" spans="5:109" ht="14.4" customHeight="1" x14ac:dyDescent="0.3">
      <c r="E22" s="40" cm="1">
        <f t="array" ref="E22">ROW()-ROW(UITranslationTable[#Headers])</f>
        <v>20</v>
      </c>
      <c r="F22" s="1"/>
      <c r="G22" s="62"/>
      <c r="H22" s="59"/>
      <c r="J22" cm="1">
        <f t="array" ref="J22">ROW()-ROW(errorMessagesTable[#Headers])</f>
        <v>20</v>
      </c>
      <c r="K22" t="b" cm="1">
        <f t="array" aca="1" ref="K22" ca="1">AND(ISREF(INDIRECT(ADDRESS(1, 1, 1, 0, sheetNameData), FALSE)), ISERROR(MATCH(sortingMethod,sortMenuList,0)))</f>
        <v>0</v>
      </c>
      <c r="L22" s="1" t="str" cm="1">
        <f t="array" aca="1" ref="L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M22" s="1" t="str" cm="1">
        <f t="array" aca="1" ref="M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N22" t="str" cm="1">
        <f t="array" aca="1" ref="N22"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2" s="1" t="str" cm="1">
        <f t="array" aca="1" ref="O22"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2" cm="1">
        <f t="array" ref="Q22">ROW()-ROW(generalVariablesTable[#Headers])</f>
        <v>20</v>
      </c>
      <c r="R22" t="s">
        <v>174</v>
      </c>
      <c r="S22" s="1" cm="1">
        <f t="array" aca="1" ref="S22" ca="1">IF(numFactors&lt;=numFactorsThreshold, 0, ROUNDDOWN(numFactors/2,0))</f>
        <v>0</v>
      </c>
      <c r="BU22" s="15" cm="1">
        <f t="array" ref="BU22">ROW()-ROW(factorsTable[#Headers])</f>
        <v>20</v>
      </c>
      <c r="BV22" s="15">
        <f>_xlfn.XLOOKUP(factorsTable[[#This Row],[index]],factorsConfigTable[index],factorsConfigTable[factorHeader])</f>
        <v>0</v>
      </c>
      <c r="BW22" s="15" t="str" cm="1">
        <f t="array" aca="1" ref="BW2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2" s="15" t="str" cm="1">
        <f t="array" ref="BX22">IF(factorsTable[[#This Row],[factorHeader]]=0, "", ADDRESS(2, factorsTable[[#This Row],[factorColNum]], 1, 0, sheetNameData) &amp; ":" &amp; ADDRESS(numEntries+1, factorsTable[[#This Row],[factorColNum]], 1, 0))</f>
        <v/>
      </c>
      <c r="BY22" s="15" t="str">
        <f>IF(factorsTable[[#This Row],[factorHeader]]=0, "", IF(_xlfn.XLOOKUP(factorsTable[[#This Row],[index]],factorsConfigTable[index],factorsConfigTable[minScore])="", NA(), _xlfn.XLOOKUP(factorsTable[[#This Row],[index]],factorsConfigTable[index],factorsConfigTable[minScore])))</f>
        <v/>
      </c>
      <c r="BZ22" s="15" t="str">
        <f>IF(factorsTable[[#This Row],[factorHeader]]=0, "", IF(_xlfn.XLOOKUP(factorsTable[[#This Row],[index]],factorsConfigTable[index],factorsConfigTable[maxScore])="", NA(), _xlfn.XLOOKUP(factorsTable[[#This Row],[index]],factorsConfigTable[index],factorsConfigTable[maxScore])))</f>
        <v/>
      </c>
      <c r="CA22" s="15" t="str">
        <f ca="1">IF(factorsTable[[#This Row],[factorHeader]]=0, "", IF(ISERROR(factorsTable[[#This Row],[factorColNum]]), NA(), MIN(INDIRECT(factorsTable[[#This Row],[indirectColRef]],FALSE))))</f>
        <v/>
      </c>
      <c r="CB22" s="15" t="str">
        <f ca="1">IF(factorsTable[[#This Row],[factorHeader]]=0, "", IF(ISERROR(factorsTable[[#This Row],[factorColNum]]), NA(), MAX(INDIRECT(factorsTable[[#This Row],[indirectColRef]],FALSE))))</f>
        <v/>
      </c>
      <c r="CC22" s="15" t="b" cm="1">
        <f t="array" aca="1" ref="CC22" ca="1">AND(
    ISREF(INDIRECT(ADDRESS(1, 1, 1, 0, sheetNameData), FALSE)),
    factorsTable[[#This Row],[factorHeader]]&lt;&gt;0,
    NOT(ISERROR(factorsTable[[#This Row],[factorColNum]])),
    IFERROR(factorsTable[[#This Row],[display]], FALSE),
    IFERROR(factorsTable[[#This Row],[minValue]]&lt;factorsTable[[#This Row],[minScore]], FALSE)
  )</f>
        <v>0</v>
      </c>
      <c r="CD22" s="15" t="b" cm="1">
        <f t="array" aca="1" ref="CD22" ca="1">AND(
    ISREF(INDIRECT(ADDRESS(1, 1, 1, 0, sheetNameData), FALSE)),
    factorsTable[[#This Row],[factorHeader]]&lt;&gt;0,
    NOT(ISERROR(factorsTable[[#This Row],[factorColNum]])),
    IFERROR(factorsTable[[#This Row],[display]], FALSE),
    IFERROR(factorsTable[[#This Row],[maxValue]]&gt;factorsTable[[#This Row],[maxScore]], FALSE)
  )</f>
        <v>0</v>
      </c>
      <c r="CE22" s="15" t="str" cm="1">
        <f t="array" aca="1" ref="CE22" ca="1">IF(factorsTable[[#This Row],[factorHeader]]=0, "", SUMPRODUCT(IF(isDoer="", 0, 1-isDoer),--(INDIRECT(factorsTable[[#This Row],[indirectColRef]],FALSE)&lt;&gt;"")))</f>
        <v/>
      </c>
      <c r="CF22" s="15" t="str" cm="1">
        <f t="array" aca="1" ref="CF22" ca="1">IF(factorsTable[[#This Row],[factorHeader]]=0, "", SUMPRODUCT(IF(isDoer="", 0, isDoer),--(INDIRECT(factorsTable[[#This Row],[indirectColRef]],FALSE)&lt;&gt;"")))</f>
        <v/>
      </c>
      <c r="CG22" s="15" t="str" cm="1">
        <f t="array" ref="CG22">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2" s="15" t="str" cm="1">
        <f t="array" aca="1" ref="CH2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2" s="15" t="str" cm="1">
        <f t="array" aca="1" ref="CI2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2" s="15" t="str">
        <f>IF(factorsTable[[#This Row],[factorHeader]]=0, "", factorsTable[[#This Row],[doers]]-factorsTable[[#This Row],[nondoers]])</f>
        <v/>
      </c>
      <c r="CK22" s="15" t="str">
        <f>IF(
    factorsTable[[#This Row],[factorHeader]]=0,
    "",
    _xlfn.XLOOKUP(
      _xlfn.XLOOKUP(factorsTable[[#This Row],[index]], factorsConfigTable[index], factorsConfigTable[displayConfig]),
      yesNoTable[label],
      yesNoTable[tag]
    )
  )</f>
        <v/>
      </c>
      <c r="CL22" s="15" t="b">
        <f>IF(factorsTable[[#This Row],[factorHeader]]=0, FALSE, IF(factorsTable[[#This Row],[displayConfig]]="yes", TRUE, IF(factorsTable[[#This Row],[displayConfig]]="no", FALSE, NA())))</f>
        <v>0</v>
      </c>
      <c r="CM22" s="15" t="str" cm="1">
        <f t="array" aca="1" ref="CM2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2" s="15" t="str">
        <f ca="1">IF(
    factorsTable[[#This Row],[filteredIndex]]="",
    "",
    IFERROR(
      _xlfn.XLOOKUP(factorsTable[[#This Row],[filteredIndex]], factorsTable[index], factorsTable[difference]),
      -99
    )
  )</f>
        <v/>
      </c>
      <c r="CO22" s="15" t="str">
        <f ca="1">IF(factorsTable[[#This Row],[filteredIndex]]="", "", IF(factorsTable[[#This Row],[relDiff]]=-99, -99, ABS(factorsTable[[#This Row],[relDiff]])))</f>
        <v/>
      </c>
      <c r="CP22" s="15" t="str">
        <f ca="1">IF(
    factorsTable[[#This Row],[filteredIndex]]="",
    "",
    IFERROR(
      _xlfn.XLOOKUP(
        _xlfn.XLOOKUP(factorsTable[[#This Row],[filteredIndex]], factorsConfigTable[index], factorsConfigTable[RANASBlock]),
        RANASBlocksTable[label],
        RANASBlocksTable[index]
      ),
      6
    )
  )</f>
        <v/>
      </c>
      <c r="CQ22" s="15" t="str">
        <f ca="1">IF(factorsTable[[#This Row],[filteredIndex]]="", "", _xlfn.RANK.EQ(factorsTable[[#This Row],[relDiff]], factorsTable[relDiff], 0))</f>
        <v/>
      </c>
      <c r="CR22" s="15" t="str">
        <f ca="1">IF(factorsTable[[#This Row],[filteredIndex]]="", "", _xlfn.RANK.EQ(factorsTable[[#This Row],[absDiff]], factorsTable[absDiff], 0))</f>
        <v/>
      </c>
      <c r="CS22" s="15" t="str">
        <f ca="1">IF(factorsTable[[#This Row],[filteredIndex]]="", "", _xlfn.RANK.EQ(factorsTable[[#This Row],[RANASIndex]], factorsTable[RANASIndex], 1))</f>
        <v/>
      </c>
      <c r="CT22" s="15" t="str" cm="1">
        <f t="array" aca="1" ref="CT22" ca="1">_xlfn.SWITCH(
    sortingMethodTag,
    "none", factorsTable[[#This Row],[filteredIndex]],
    "relDiff", factorsTable[[#This Row],[relDiffRank]],
    "absDiff", factorsTable[[#This Row],[absDiffRank]],
    "RANAS", factorsTable[[#This Row],[RANASRank]],
    factorsTable[[#This Row],[filteredIndex]]
  )</f>
        <v/>
      </c>
      <c r="CU22" s="15" t="str">
        <f ca="1">IF(
    factorsTable[[#This Row],[filteredIndex]]="",
    "",
    factorsTable[[#This Row],[selectedRank]]
      + COUNTIF(INDEX(factorsTable[selectedRank], 1):INDEX(factorsTable[selectedRank], factorsTable[[#This Row],[index]]), factorsTable[[#This Row],[selectedRank]])
      - 1
  )</f>
        <v/>
      </c>
      <c r="CV22" s="15" t="str">
        <f ca="1">IFERROR(
    _xlfn.XLOOKUP(factorsTable[[#This Row],[index]], factorsTable[uniqueRank], factorsTable[filteredIndex]),
    ""
  )</f>
        <v/>
      </c>
      <c r="CW22" s="15" t="str">
        <f ca="1">IF(factorsTable[[#This Row],[sortedIndex]]="", "", INDEX(factorsConfigTable[],MATCH(factorsTable[[#This Row],[sortedIndex]],factorsConfigTable[index],0),MATCH(chartLanguage,factorsConfigTable_Headers,0)))</f>
        <v/>
      </c>
      <c r="CX22" s="15" t="str" cm="1">
        <f t="array" aca="1" ref="CX2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2" s="15" t="str">
        <f ca="1">IF(
    factorsTable[[#This Row],[sortedIndex]]="",
    "",
    _xlfn.XLOOKUP(
      _xlfn.XLOOKUP(factorsTable[[#This Row],[sortedIndex]], factorsConfigTable[index], factorsConfigTable[RANASBlock]),
      RANASBlocksTable[label],
      RANASBlocksTable[tag]
    )
  )</f>
        <v/>
      </c>
      <c r="CZ22" s="15" t="str" cm="1">
        <f t="array" aca="1" ref="CZ2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2"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2" s="15" t="str">
        <f ca="1">IF(
    factorsTable[[#This Row],[sortedIndex]]="",
    "",
    _xlfn.XLOOKUP(factorsTable[[#This Row],[sortedIndex]], factorsTable[index], factorsTable[numTotal])
  )</f>
        <v/>
      </c>
      <c r="DC22" s="15" t="str">
        <f ca="1">IF(
    factorsTable[[#This Row],[sortedIndex]]="",
    "",
    _xlfn.XLOOKUP(factorsTable[[#This Row],[sortedIndex]], factorsTable[index], factorsTable[nondoers])
  )</f>
        <v/>
      </c>
      <c r="DD22" s="15" t="str">
        <f ca="1">IF(
    factorsTable[[#This Row],[sortedIndex]]="",
    "",
    _xlfn.XLOOKUP(factorsTable[[#This Row],[sortedIndex]], factorsTable[index], factorsTable[doers])
  )</f>
        <v/>
      </c>
      <c r="DE22" s="15" t="str">
        <f ca="1">IF(
    factorsTable[[#This Row],[sortedIndex]]="",
    "",
    _xlfn.XLOOKUP(factorsTable[[#This Row],[sortedIndex]], factorsTable[index], factorsTable[difference])
  )</f>
        <v/>
      </c>
    </row>
    <row r="23" spans="5:109" ht="14.4" customHeight="1" x14ac:dyDescent="0.3">
      <c r="E23" s="40" cm="1">
        <f t="array" ref="E23">ROW()-ROW(UITranslationTable[#Headers])</f>
        <v>21</v>
      </c>
      <c r="F23" s="1" t="s">
        <v>209</v>
      </c>
      <c r="G23" s="59" t="str">
        <f>"1." &amp; CHAR(160) &amp; "Data import"</f>
        <v>1. Data import</v>
      </c>
      <c r="H23" s="59" t="str">
        <f>"1." &amp; CHAR(160) &amp; "Importation des données"</f>
        <v>1. Importation des données</v>
      </c>
      <c r="J23" cm="1">
        <f t="array" ref="J23">ROW()-ROW(errorMessagesTable[#Headers])</f>
        <v>21</v>
      </c>
      <c r="L23" s="1"/>
      <c r="M23" s="1"/>
      <c r="N23" t="str" cm="1">
        <f t="array" aca="1" ref="N23"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3" s="1" t="str" cm="1">
        <f t="array" aca="1" ref="O23"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3" cm="1">
        <f t="array" ref="Q23">ROW()-ROW(generalVariablesTable[#Headers])</f>
        <v>21</v>
      </c>
      <c r="R23" t="s">
        <v>45</v>
      </c>
      <c r="S23" s="1">
        <f ca="1">COUNTA(languageTable[languageList])-COUNTBLANK(languageTable[languageList])</f>
        <v>2</v>
      </c>
      <c r="BU23" s="15" cm="1">
        <f t="array" ref="BU23">ROW()-ROW(factorsTable[#Headers])</f>
        <v>21</v>
      </c>
      <c r="BV23" s="15">
        <f>_xlfn.XLOOKUP(factorsTable[[#This Row],[index]],factorsConfigTable[index],factorsConfigTable[factorHeader])</f>
        <v>0</v>
      </c>
      <c r="BW23" s="15" t="str" cm="1">
        <f t="array" aca="1" ref="BW23"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3" s="15" t="str" cm="1">
        <f t="array" ref="BX23">IF(factorsTable[[#This Row],[factorHeader]]=0, "", ADDRESS(2, factorsTable[[#This Row],[factorColNum]], 1, 0, sheetNameData) &amp; ":" &amp; ADDRESS(numEntries+1, factorsTable[[#This Row],[factorColNum]], 1, 0))</f>
        <v/>
      </c>
      <c r="BY23" s="15" t="str">
        <f>IF(factorsTable[[#This Row],[factorHeader]]=0, "", IF(_xlfn.XLOOKUP(factorsTable[[#This Row],[index]],factorsConfigTable[index],factorsConfigTable[minScore])="", NA(), _xlfn.XLOOKUP(factorsTable[[#This Row],[index]],factorsConfigTable[index],factorsConfigTable[minScore])))</f>
        <v/>
      </c>
      <c r="BZ23" s="15" t="str">
        <f>IF(factorsTable[[#This Row],[factorHeader]]=0, "", IF(_xlfn.XLOOKUP(factorsTable[[#This Row],[index]],factorsConfigTable[index],factorsConfigTable[maxScore])="", NA(), _xlfn.XLOOKUP(factorsTable[[#This Row],[index]],factorsConfigTable[index],factorsConfigTable[maxScore])))</f>
        <v/>
      </c>
      <c r="CA23" s="15" t="str">
        <f ca="1">IF(factorsTable[[#This Row],[factorHeader]]=0, "", IF(ISERROR(factorsTable[[#This Row],[factorColNum]]), NA(), MIN(INDIRECT(factorsTable[[#This Row],[indirectColRef]],FALSE))))</f>
        <v/>
      </c>
      <c r="CB23" s="15" t="str">
        <f ca="1">IF(factorsTable[[#This Row],[factorHeader]]=0, "", IF(ISERROR(factorsTable[[#This Row],[factorColNum]]), NA(), MAX(INDIRECT(factorsTable[[#This Row],[indirectColRef]],FALSE))))</f>
        <v/>
      </c>
      <c r="CC23" s="15" t="b" cm="1">
        <f t="array" aca="1" ref="CC23" ca="1">AND(
    ISREF(INDIRECT(ADDRESS(1, 1, 1, 0, sheetNameData), FALSE)),
    factorsTable[[#This Row],[factorHeader]]&lt;&gt;0,
    NOT(ISERROR(factorsTable[[#This Row],[factorColNum]])),
    IFERROR(factorsTable[[#This Row],[display]], FALSE),
    IFERROR(factorsTable[[#This Row],[minValue]]&lt;factorsTable[[#This Row],[minScore]], FALSE)
  )</f>
        <v>0</v>
      </c>
      <c r="CD23" s="15" t="b" cm="1">
        <f t="array" aca="1" ref="CD23" ca="1">AND(
    ISREF(INDIRECT(ADDRESS(1, 1, 1, 0, sheetNameData), FALSE)),
    factorsTable[[#This Row],[factorHeader]]&lt;&gt;0,
    NOT(ISERROR(factorsTable[[#This Row],[factorColNum]])),
    IFERROR(factorsTable[[#This Row],[display]], FALSE),
    IFERROR(factorsTable[[#This Row],[maxValue]]&gt;factorsTable[[#This Row],[maxScore]], FALSE)
  )</f>
        <v>0</v>
      </c>
      <c r="CE23" s="15" t="str" cm="1">
        <f t="array" aca="1" ref="CE23" ca="1">IF(factorsTable[[#This Row],[factorHeader]]=0, "", SUMPRODUCT(IF(isDoer="", 0, 1-isDoer),--(INDIRECT(factorsTable[[#This Row],[indirectColRef]],FALSE)&lt;&gt;"")))</f>
        <v/>
      </c>
      <c r="CF23" s="15" t="str" cm="1">
        <f t="array" aca="1" ref="CF23" ca="1">IF(factorsTable[[#This Row],[factorHeader]]=0, "", SUMPRODUCT(IF(isDoer="", 0, isDoer),--(INDIRECT(factorsTable[[#This Row],[indirectColRef]],FALSE)&lt;&gt;"")))</f>
        <v/>
      </c>
      <c r="CG23" s="15" t="str" cm="1">
        <f t="array" ref="CG23">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3" s="15" t="str" cm="1">
        <f t="array" aca="1" ref="CH23"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3" s="15" t="str" cm="1">
        <f t="array" aca="1" ref="CI23"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3" s="15" t="str">
        <f>IF(factorsTable[[#This Row],[factorHeader]]=0, "", factorsTable[[#This Row],[doers]]-factorsTable[[#This Row],[nondoers]])</f>
        <v/>
      </c>
      <c r="CK23" s="15" t="str">
        <f>IF(
    factorsTable[[#This Row],[factorHeader]]=0,
    "",
    _xlfn.XLOOKUP(
      _xlfn.XLOOKUP(factorsTable[[#This Row],[index]], factorsConfigTable[index], factorsConfigTable[displayConfig]),
      yesNoTable[label],
      yesNoTable[tag]
    )
  )</f>
        <v/>
      </c>
      <c r="CL23" s="15" t="b">
        <f>IF(factorsTable[[#This Row],[factorHeader]]=0, FALSE, IF(factorsTable[[#This Row],[displayConfig]]="yes", TRUE, IF(factorsTable[[#This Row],[displayConfig]]="no", FALSE, NA())))</f>
        <v>0</v>
      </c>
      <c r="CM23" s="15" t="str" cm="1">
        <f t="array" aca="1" ref="CM23"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3" s="15" t="str">
        <f ca="1">IF(
    factorsTable[[#This Row],[filteredIndex]]="",
    "",
    IFERROR(
      _xlfn.XLOOKUP(factorsTable[[#This Row],[filteredIndex]], factorsTable[index], factorsTable[difference]),
      -99
    )
  )</f>
        <v/>
      </c>
      <c r="CO23" s="15" t="str">
        <f ca="1">IF(factorsTable[[#This Row],[filteredIndex]]="", "", IF(factorsTable[[#This Row],[relDiff]]=-99, -99, ABS(factorsTable[[#This Row],[relDiff]])))</f>
        <v/>
      </c>
      <c r="CP23" s="15" t="str">
        <f ca="1">IF(
    factorsTable[[#This Row],[filteredIndex]]="",
    "",
    IFERROR(
      _xlfn.XLOOKUP(
        _xlfn.XLOOKUP(factorsTable[[#This Row],[filteredIndex]], factorsConfigTable[index], factorsConfigTable[RANASBlock]),
        RANASBlocksTable[label],
        RANASBlocksTable[index]
      ),
      6
    )
  )</f>
        <v/>
      </c>
      <c r="CQ23" s="15" t="str">
        <f ca="1">IF(factorsTable[[#This Row],[filteredIndex]]="", "", _xlfn.RANK.EQ(factorsTable[[#This Row],[relDiff]], factorsTable[relDiff], 0))</f>
        <v/>
      </c>
      <c r="CR23" s="15" t="str">
        <f ca="1">IF(factorsTable[[#This Row],[filteredIndex]]="", "", _xlfn.RANK.EQ(factorsTable[[#This Row],[absDiff]], factorsTable[absDiff], 0))</f>
        <v/>
      </c>
      <c r="CS23" s="15" t="str">
        <f ca="1">IF(factorsTable[[#This Row],[filteredIndex]]="", "", _xlfn.RANK.EQ(factorsTable[[#This Row],[RANASIndex]], factorsTable[RANASIndex], 1))</f>
        <v/>
      </c>
      <c r="CT23" s="15" t="str" cm="1">
        <f t="array" aca="1" ref="CT23" ca="1">_xlfn.SWITCH(
    sortingMethodTag,
    "none", factorsTable[[#This Row],[filteredIndex]],
    "relDiff", factorsTable[[#This Row],[relDiffRank]],
    "absDiff", factorsTable[[#This Row],[absDiffRank]],
    "RANAS", factorsTable[[#This Row],[RANASRank]],
    factorsTable[[#This Row],[filteredIndex]]
  )</f>
        <v/>
      </c>
      <c r="CU23" s="15" t="str">
        <f ca="1">IF(
    factorsTable[[#This Row],[filteredIndex]]="",
    "",
    factorsTable[[#This Row],[selectedRank]]
      + COUNTIF(INDEX(factorsTable[selectedRank], 1):INDEX(factorsTable[selectedRank], factorsTable[[#This Row],[index]]), factorsTable[[#This Row],[selectedRank]])
      - 1
  )</f>
        <v/>
      </c>
      <c r="CV23" s="15" t="str">
        <f ca="1">IFERROR(
    _xlfn.XLOOKUP(factorsTable[[#This Row],[index]], factorsTable[uniqueRank], factorsTable[filteredIndex]),
    ""
  )</f>
        <v/>
      </c>
      <c r="CW23" s="15" t="str">
        <f ca="1">IF(factorsTable[[#This Row],[sortedIndex]]="", "", INDEX(factorsConfigTable[],MATCH(factorsTable[[#This Row],[sortedIndex]],factorsConfigTable[index],0),MATCH(chartLanguage,factorsConfigTable_Headers,0)))</f>
        <v/>
      </c>
      <c r="CX23" s="15" t="str" cm="1">
        <f t="array" aca="1" ref="CX23"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3" s="15" t="str">
        <f ca="1">IF(
    factorsTable[[#This Row],[sortedIndex]]="",
    "",
    _xlfn.XLOOKUP(
      _xlfn.XLOOKUP(factorsTable[[#This Row],[sortedIndex]], factorsConfigTable[index], factorsConfigTable[RANASBlock]),
      RANASBlocksTable[label],
      RANASBlocksTable[tag]
    )
  )</f>
        <v/>
      </c>
      <c r="CZ23" s="15" t="str" cm="1">
        <f t="array" aca="1" ref="CZ23"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3"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3" s="15" t="str">
        <f ca="1">IF(
    factorsTable[[#This Row],[sortedIndex]]="",
    "",
    _xlfn.XLOOKUP(factorsTable[[#This Row],[sortedIndex]], factorsTable[index], factorsTable[numTotal])
  )</f>
        <v/>
      </c>
      <c r="DC23" s="15" t="str">
        <f ca="1">IF(
    factorsTable[[#This Row],[sortedIndex]]="",
    "",
    _xlfn.XLOOKUP(factorsTable[[#This Row],[sortedIndex]], factorsTable[index], factorsTable[nondoers])
  )</f>
        <v/>
      </c>
      <c r="DD23" s="15" t="str">
        <f ca="1">IF(
    factorsTable[[#This Row],[sortedIndex]]="",
    "",
    _xlfn.XLOOKUP(factorsTable[[#This Row],[sortedIndex]], factorsTable[index], factorsTable[doers])
  )</f>
        <v/>
      </c>
      <c r="DE23" s="15" t="str">
        <f ca="1">IF(
    factorsTable[[#This Row],[sortedIndex]]="",
    "",
    _xlfn.XLOOKUP(factorsTable[[#This Row],[sortedIndex]], factorsTable[index], factorsTable[difference])
  )</f>
        <v/>
      </c>
    </row>
    <row r="24" spans="5:109" ht="14.4" customHeight="1" x14ac:dyDescent="0.3">
      <c r="E24" s="40" cm="1">
        <f t="array" ref="E24">ROW()-ROW(UITranslationTable[#Headers])</f>
        <v>22</v>
      </c>
      <c r="F24" s="1" t="s">
        <v>210</v>
      </c>
      <c r="G24" s="59"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59"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J24" cm="1">
        <f t="array" ref="J24">ROW()-ROW(errorMessagesTable[#Headers])</f>
        <v>22</v>
      </c>
      <c r="L24" s="1"/>
      <c r="M24" s="1"/>
      <c r="N24" t="str" cm="1">
        <f t="array" aca="1" ref="N24" ca="1">IF(IF(errorMessagesTable[[#This Row],[index]]=1, FALSE, INDEX(errorMessagesTable[filteredIndex],errorMessagesTable[[#This Row],[index]]-1)&gt;=MAX(errorMessagesTable[index])), "", IFERROR(MATCH(TRUE,OFFSET(INDEX(errorMessagesTable[condition],1),IF(errorMessagesTable[[#This Row],[index]]=1, 0, INDEX(errorMessagesTable[filteredIndex],errorMessagesTable[[#This Row],[index]]-1)),0):INDEX(errorMessagesTable[condition],MAX(errorMessagesTable[index])),0) + IF(errorMessagesTable[[#This Row],[index]]=1, 0, INDEX(errorMessagesTable[filteredIndex],errorMessagesTable[[#This Row],[index]]-1)),""))</f>
        <v/>
      </c>
      <c r="O24" s="1" t="str" cm="1">
        <f t="array" aca="1" ref="O24" ca="1">IF(errorMessagesTable[[#This Row],[filteredIndex]]="", "",
    IF(errorMessagesTable[[#This Row],[index]]=1, CHAR(10), "") &amp;
    errorMessagesTable[[#This Row],[index]] &amp; ". " &amp;
    _xlfn.XLOOKUP(errorMessagesTable[[#This Row],[filteredIndex]], errorMessagesTable[index],
      INDEX(errorMessagesTable[], 0,
        IFERROR(MATCH(UILanguage, errorMessagesTable[#Headers], 0),
          MATCH(errorMessagesTable[[#Headers],[English]], errorMessagesTable[#Headers], 0)
        )
      )
    )
  )</f>
        <v/>
      </c>
      <c r="Q24" cm="1">
        <f t="array" ref="Q24">ROW()-ROW(generalVariablesTable[#Headers])</f>
        <v>22</v>
      </c>
      <c r="R24" t="s">
        <v>46</v>
      </c>
      <c r="S24" s="1">
        <f ca="1">MAX(factorsTable[absDiff])</f>
        <v>0</v>
      </c>
      <c r="BU24" s="15" cm="1">
        <f t="array" ref="BU24">ROW()-ROW(factorsTable[#Headers])</f>
        <v>22</v>
      </c>
      <c r="BV24" s="15">
        <f>_xlfn.XLOOKUP(factorsTable[[#This Row],[index]],factorsConfigTable[index],factorsConfigTable[factorHeader])</f>
        <v>0</v>
      </c>
      <c r="BW24" s="15" t="str" cm="1">
        <f t="array" aca="1" ref="BW24"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4" s="15" t="str" cm="1">
        <f t="array" ref="BX24">IF(factorsTable[[#This Row],[factorHeader]]=0, "", ADDRESS(2, factorsTable[[#This Row],[factorColNum]], 1, 0, sheetNameData) &amp; ":" &amp; ADDRESS(numEntries+1, factorsTable[[#This Row],[factorColNum]], 1, 0))</f>
        <v/>
      </c>
      <c r="BY24" s="15" t="str">
        <f>IF(factorsTable[[#This Row],[factorHeader]]=0, "", IF(_xlfn.XLOOKUP(factorsTable[[#This Row],[index]],factorsConfigTable[index],factorsConfigTable[minScore])="", NA(), _xlfn.XLOOKUP(factorsTable[[#This Row],[index]],factorsConfigTable[index],factorsConfigTable[minScore])))</f>
        <v/>
      </c>
      <c r="BZ24" s="15" t="str">
        <f>IF(factorsTable[[#This Row],[factorHeader]]=0, "", IF(_xlfn.XLOOKUP(factorsTable[[#This Row],[index]],factorsConfigTable[index],factorsConfigTable[maxScore])="", NA(), _xlfn.XLOOKUP(factorsTable[[#This Row],[index]],factorsConfigTable[index],factorsConfigTable[maxScore])))</f>
        <v/>
      </c>
      <c r="CA24" s="15" t="str">
        <f ca="1">IF(factorsTable[[#This Row],[factorHeader]]=0, "", IF(ISERROR(factorsTable[[#This Row],[factorColNum]]), NA(), MIN(INDIRECT(factorsTable[[#This Row],[indirectColRef]],FALSE))))</f>
        <v/>
      </c>
      <c r="CB24" s="15" t="str">
        <f ca="1">IF(factorsTable[[#This Row],[factorHeader]]=0, "", IF(ISERROR(factorsTable[[#This Row],[factorColNum]]), NA(), MAX(INDIRECT(factorsTable[[#This Row],[indirectColRef]],FALSE))))</f>
        <v/>
      </c>
      <c r="CC24" s="15" t="b" cm="1">
        <f t="array" aca="1" ref="CC24" ca="1">AND(
    ISREF(INDIRECT(ADDRESS(1, 1, 1, 0, sheetNameData), FALSE)),
    factorsTable[[#This Row],[factorHeader]]&lt;&gt;0,
    NOT(ISERROR(factorsTable[[#This Row],[factorColNum]])),
    IFERROR(factorsTable[[#This Row],[display]], FALSE),
    IFERROR(factorsTable[[#This Row],[minValue]]&lt;factorsTable[[#This Row],[minScore]], FALSE)
  )</f>
        <v>0</v>
      </c>
      <c r="CD24" s="15" t="b" cm="1">
        <f t="array" aca="1" ref="CD24" ca="1">AND(
    ISREF(INDIRECT(ADDRESS(1, 1, 1, 0, sheetNameData), FALSE)),
    factorsTable[[#This Row],[factorHeader]]&lt;&gt;0,
    NOT(ISERROR(factorsTable[[#This Row],[factorColNum]])),
    IFERROR(factorsTable[[#This Row],[display]], FALSE),
    IFERROR(factorsTable[[#This Row],[maxValue]]&gt;factorsTable[[#This Row],[maxScore]], FALSE)
  )</f>
        <v>0</v>
      </c>
      <c r="CE24" s="15" t="str" cm="1">
        <f t="array" aca="1" ref="CE24" ca="1">IF(factorsTable[[#This Row],[factorHeader]]=0, "", SUMPRODUCT(IF(isDoer="", 0, 1-isDoer),--(INDIRECT(factorsTable[[#This Row],[indirectColRef]],FALSE)&lt;&gt;"")))</f>
        <v/>
      </c>
      <c r="CF24" s="15" t="str" cm="1">
        <f t="array" aca="1" ref="CF24" ca="1">IF(factorsTable[[#This Row],[factorHeader]]=0, "", SUMPRODUCT(IF(isDoer="", 0, isDoer),--(INDIRECT(factorsTable[[#This Row],[indirectColRef]],FALSE)&lt;&gt;"")))</f>
        <v/>
      </c>
      <c r="CG24" s="15" t="str" cm="1">
        <f t="array" ref="CG24">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4" s="15" t="str" cm="1">
        <f t="array" aca="1" ref="CH24"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4" s="15" t="str" cm="1">
        <f t="array" aca="1" ref="CI24"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4" s="15" t="str">
        <f>IF(factorsTable[[#This Row],[factorHeader]]=0, "", factorsTable[[#This Row],[doers]]-factorsTable[[#This Row],[nondoers]])</f>
        <v/>
      </c>
      <c r="CK24" s="15" t="str">
        <f>IF(
    factorsTable[[#This Row],[factorHeader]]=0,
    "",
    _xlfn.XLOOKUP(
      _xlfn.XLOOKUP(factorsTable[[#This Row],[index]], factorsConfigTable[index], factorsConfigTable[displayConfig]),
      yesNoTable[label],
      yesNoTable[tag]
    )
  )</f>
        <v/>
      </c>
      <c r="CL24" s="15" t="b">
        <f>IF(factorsTable[[#This Row],[factorHeader]]=0, FALSE, IF(factorsTable[[#This Row],[displayConfig]]="yes", TRUE, IF(factorsTable[[#This Row],[displayConfig]]="no", FALSE, NA())))</f>
        <v>0</v>
      </c>
      <c r="CM24" s="15" t="str" cm="1">
        <f t="array" aca="1" ref="CM24"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4" s="15" t="str">
        <f ca="1">IF(
    factorsTable[[#This Row],[filteredIndex]]="",
    "",
    IFERROR(
      _xlfn.XLOOKUP(factorsTable[[#This Row],[filteredIndex]], factorsTable[index], factorsTable[difference]),
      -99
    )
  )</f>
        <v/>
      </c>
      <c r="CO24" s="15" t="str">
        <f ca="1">IF(factorsTable[[#This Row],[filteredIndex]]="", "", IF(factorsTable[[#This Row],[relDiff]]=-99, -99, ABS(factorsTable[[#This Row],[relDiff]])))</f>
        <v/>
      </c>
      <c r="CP24" s="15" t="str">
        <f ca="1">IF(
    factorsTable[[#This Row],[filteredIndex]]="",
    "",
    IFERROR(
      _xlfn.XLOOKUP(
        _xlfn.XLOOKUP(factorsTable[[#This Row],[filteredIndex]], factorsConfigTable[index], factorsConfigTable[RANASBlock]),
        RANASBlocksTable[label],
        RANASBlocksTable[index]
      ),
      6
    )
  )</f>
        <v/>
      </c>
      <c r="CQ24" s="15" t="str">
        <f ca="1">IF(factorsTable[[#This Row],[filteredIndex]]="", "", _xlfn.RANK.EQ(factorsTable[[#This Row],[relDiff]], factorsTable[relDiff], 0))</f>
        <v/>
      </c>
      <c r="CR24" s="15" t="str">
        <f ca="1">IF(factorsTable[[#This Row],[filteredIndex]]="", "", _xlfn.RANK.EQ(factorsTable[[#This Row],[absDiff]], factorsTable[absDiff], 0))</f>
        <v/>
      </c>
      <c r="CS24" s="15" t="str">
        <f ca="1">IF(factorsTable[[#This Row],[filteredIndex]]="", "", _xlfn.RANK.EQ(factorsTable[[#This Row],[RANASIndex]], factorsTable[RANASIndex], 1))</f>
        <v/>
      </c>
      <c r="CT24" s="15" t="str" cm="1">
        <f t="array" aca="1" ref="CT24" ca="1">_xlfn.SWITCH(
    sortingMethodTag,
    "none", factorsTable[[#This Row],[filteredIndex]],
    "relDiff", factorsTable[[#This Row],[relDiffRank]],
    "absDiff", factorsTable[[#This Row],[absDiffRank]],
    "RANAS", factorsTable[[#This Row],[RANASRank]],
    factorsTable[[#This Row],[filteredIndex]]
  )</f>
        <v/>
      </c>
      <c r="CU24" s="15" t="str">
        <f ca="1">IF(
    factorsTable[[#This Row],[filteredIndex]]="",
    "",
    factorsTable[[#This Row],[selectedRank]]
      + COUNTIF(INDEX(factorsTable[selectedRank], 1):INDEX(factorsTable[selectedRank], factorsTable[[#This Row],[index]]), factorsTable[[#This Row],[selectedRank]])
      - 1
  )</f>
        <v/>
      </c>
      <c r="CV24" s="15" t="str">
        <f ca="1">IFERROR(
    _xlfn.XLOOKUP(factorsTable[[#This Row],[index]], factorsTable[uniqueRank], factorsTable[filteredIndex]),
    ""
  )</f>
        <v/>
      </c>
      <c r="CW24" s="15" t="str">
        <f ca="1">IF(factorsTable[[#This Row],[sortedIndex]]="", "", INDEX(factorsConfigTable[],MATCH(factorsTable[[#This Row],[sortedIndex]],factorsConfigTable[index],0),MATCH(chartLanguage,factorsConfigTable_Headers,0)))</f>
        <v/>
      </c>
      <c r="CX24" s="15" t="str" cm="1">
        <f t="array" aca="1" ref="CX24"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4" s="15" t="str">
        <f ca="1">IF(
    factorsTable[[#This Row],[sortedIndex]]="",
    "",
    _xlfn.XLOOKUP(
      _xlfn.XLOOKUP(factorsTable[[#This Row],[sortedIndex]], factorsConfigTable[index], factorsConfigTable[RANASBlock]),
      RANASBlocksTable[label],
      RANASBlocksTable[tag]
    )
  )</f>
        <v/>
      </c>
      <c r="CZ24" s="15" t="str" cm="1">
        <f t="array" aca="1" ref="CZ24"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4"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4" s="15" t="str">
        <f ca="1">IF(
    factorsTable[[#This Row],[sortedIndex]]="",
    "",
    _xlfn.XLOOKUP(factorsTable[[#This Row],[sortedIndex]], factorsTable[index], factorsTable[numTotal])
  )</f>
        <v/>
      </c>
      <c r="DC24" s="15" t="str">
        <f ca="1">IF(
    factorsTable[[#This Row],[sortedIndex]]="",
    "",
    _xlfn.XLOOKUP(factorsTable[[#This Row],[sortedIndex]], factorsTable[index], factorsTable[nondoers])
  )</f>
        <v/>
      </c>
      <c r="DD24" s="15" t="str">
        <f ca="1">IF(
    factorsTable[[#This Row],[sortedIndex]]="",
    "",
    _xlfn.XLOOKUP(factorsTable[[#This Row],[sortedIndex]], factorsTable[index], factorsTable[doers])
  )</f>
        <v/>
      </c>
      <c r="DE24" s="15" t="str">
        <f ca="1">IF(
    factorsTable[[#This Row],[sortedIndex]]="",
    "",
    _xlfn.XLOOKUP(factorsTable[[#This Row],[sortedIndex]], factorsTable[index], factorsTable[difference])
  )</f>
        <v/>
      </c>
    </row>
    <row r="25" spans="5:109" ht="14.4" customHeight="1" x14ac:dyDescent="0.3">
      <c r="E25" s="40" cm="1">
        <f t="array" ref="E25">ROW()-ROW(UITranslationTable[#Headers])</f>
        <v>23</v>
      </c>
      <c r="F25" s="1" t="s">
        <v>211</v>
      </c>
      <c r="G25" s="63"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63"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Q25" cm="1">
        <f t="array" ref="Q25">ROW()-ROW(generalVariablesTable[#Headers])</f>
        <v>23</v>
      </c>
      <c r="R25" t="s">
        <v>176</v>
      </c>
      <c r="S25" s="1" t="str">
        <f>_xlfn.XLOOKUP(sortingMethod,sortMenuTable[label],sortMenuTable[tag])</f>
        <v>absDiff</v>
      </c>
      <c r="BU25" s="15" cm="1">
        <f t="array" ref="BU25">ROW()-ROW(factorsTable[#Headers])</f>
        <v>23</v>
      </c>
      <c r="BV25" s="15">
        <f>_xlfn.XLOOKUP(factorsTable[[#This Row],[index]],factorsConfigTable[index],factorsConfigTable[factorHeader])</f>
        <v>0</v>
      </c>
      <c r="BW25" s="15" t="str" cm="1">
        <f t="array" aca="1" ref="BW25"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5" s="15" t="str" cm="1">
        <f t="array" ref="BX25">IF(factorsTable[[#This Row],[factorHeader]]=0, "", ADDRESS(2, factorsTable[[#This Row],[factorColNum]], 1, 0, sheetNameData) &amp; ":" &amp; ADDRESS(numEntries+1, factorsTable[[#This Row],[factorColNum]], 1, 0))</f>
        <v/>
      </c>
      <c r="BY25" s="15" t="str">
        <f>IF(factorsTable[[#This Row],[factorHeader]]=0, "", IF(_xlfn.XLOOKUP(factorsTable[[#This Row],[index]],factorsConfigTable[index],factorsConfigTable[minScore])="", NA(), _xlfn.XLOOKUP(factorsTable[[#This Row],[index]],factorsConfigTable[index],factorsConfigTable[minScore])))</f>
        <v/>
      </c>
      <c r="BZ25" s="15" t="str">
        <f>IF(factorsTable[[#This Row],[factorHeader]]=0, "", IF(_xlfn.XLOOKUP(factorsTable[[#This Row],[index]],factorsConfigTable[index],factorsConfigTable[maxScore])="", NA(), _xlfn.XLOOKUP(factorsTable[[#This Row],[index]],factorsConfigTable[index],factorsConfigTable[maxScore])))</f>
        <v/>
      </c>
      <c r="CA25" s="15" t="str">
        <f ca="1">IF(factorsTable[[#This Row],[factorHeader]]=0, "", IF(ISERROR(factorsTable[[#This Row],[factorColNum]]), NA(), MIN(INDIRECT(factorsTable[[#This Row],[indirectColRef]],FALSE))))</f>
        <v/>
      </c>
      <c r="CB25" s="15" t="str">
        <f ca="1">IF(factorsTable[[#This Row],[factorHeader]]=0, "", IF(ISERROR(factorsTable[[#This Row],[factorColNum]]), NA(), MAX(INDIRECT(factorsTable[[#This Row],[indirectColRef]],FALSE))))</f>
        <v/>
      </c>
      <c r="CC25" s="15" t="b" cm="1">
        <f t="array" aca="1" ref="CC25" ca="1">AND(
    ISREF(INDIRECT(ADDRESS(1, 1, 1, 0, sheetNameData), FALSE)),
    factorsTable[[#This Row],[factorHeader]]&lt;&gt;0,
    NOT(ISERROR(factorsTable[[#This Row],[factorColNum]])),
    IFERROR(factorsTable[[#This Row],[display]], FALSE),
    IFERROR(factorsTable[[#This Row],[minValue]]&lt;factorsTable[[#This Row],[minScore]], FALSE)
  )</f>
        <v>0</v>
      </c>
      <c r="CD25" s="15" t="b" cm="1">
        <f t="array" aca="1" ref="CD25" ca="1">AND(
    ISREF(INDIRECT(ADDRESS(1, 1, 1, 0, sheetNameData), FALSE)),
    factorsTable[[#This Row],[factorHeader]]&lt;&gt;0,
    NOT(ISERROR(factorsTable[[#This Row],[factorColNum]])),
    IFERROR(factorsTable[[#This Row],[display]], FALSE),
    IFERROR(factorsTable[[#This Row],[maxValue]]&gt;factorsTable[[#This Row],[maxScore]], FALSE)
  )</f>
        <v>0</v>
      </c>
      <c r="CE25" s="15" t="str" cm="1">
        <f t="array" aca="1" ref="CE25" ca="1">IF(factorsTable[[#This Row],[factorHeader]]=0, "", SUMPRODUCT(IF(isDoer="", 0, 1-isDoer),--(INDIRECT(factorsTable[[#This Row],[indirectColRef]],FALSE)&lt;&gt;"")))</f>
        <v/>
      </c>
      <c r="CF25" s="15" t="str" cm="1">
        <f t="array" aca="1" ref="CF25" ca="1">IF(factorsTable[[#This Row],[factorHeader]]=0, "", SUMPRODUCT(IF(isDoer="", 0, isDoer),--(INDIRECT(factorsTable[[#This Row],[indirectColRef]],FALSE)&lt;&gt;"")))</f>
        <v/>
      </c>
      <c r="CG25" s="15" t="str" cm="1">
        <f t="array" ref="CG25">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5" s="15" t="str" cm="1">
        <f t="array" aca="1" ref="CH25"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5" s="15" t="str" cm="1">
        <f t="array" aca="1" ref="CI25"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5" s="15" t="str">
        <f>IF(factorsTable[[#This Row],[factorHeader]]=0, "", factorsTable[[#This Row],[doers]]-factorsTable[[#This Row],[nondoers]])</f>
        <v/>
      </c>
      <c r="CK25" s="15" t="str">
        <f>IF(
    factorsTable[[#This Row],[factorHeader]]=0,
    "",
    _xlfn.XLOOKUP(
      _xlfn.XLOOKUP(factorsTable[[#This Row],[index]], factorsConfigTable[index], factorsConfigTable[displayConfig]),
      yesNoTable[label],
      yesNoTable[tag]
    )
  )</f>
        <v/>
      </c>
      <c r="CL25" s="15" t="b">
        <f>IF(factorsTable[[#This Row],[factorHeader]]=0, FALSE, IF(factorsTable[[#This Row],[displayConfig]]="yes", TRUE, IF(factorsTable[[#This Row],[displayConfig]]="no", FALSE, NA())))</f>
        <v>0</v>
      </c>
      <c r="CM25" s="15" t="str" cm="1">
        <f t="array" aca="1" ref="CM25"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5" s="15" t="str">
        <f ca="1">IF(
    factorsTable[[#This Row],[filteredIndex]]="",
    "",
    IFERROR(
      _xlfn.XLOOKUP(factorsTable[[#This Row],[filteredIndex]], factorsTable[index], factorsTable[difference]),
      -99
    )
  )</f>
        <v/>
      </c>
      <c r="CO25" s="15" t="str">
        <f ca="1">IF(factorsTable[[#This Row],[filteredIndex]]="", "", IF(factorsTable[[#This Row],[relDiff]]=-99, -99, ABS(factorsTable[[#This Row],[relDiff]])))</f>
        <v/>
      </c>
      <c r="CP25" s="15" t="str">
        <f ca="1">IF(
    factorsTable[[#This Row],[filteredIndex]]="",
    "",
    IFERROR(
      _xlfn.XLOOKUP(
        _xlfn.XLOOKUP(factorsTable[[#This Row],[filteredIndex]], factorsConfigTable[index], factorsConfigTable[RANASBlock]),
        RANASBlocksTable[label],
        RANASBlocksTable[index]
      ),
      6
    )
  )</f>
        <v/>
      </c>
      <c r="CQ25" s="15" t="str">
        <f ca="1">IF(factorsTable[[#This Row],[filteredIndex]]="", "", _xlfn.RANK.EQ(factorsTable[[#This Row],[relDiff]], factorsTable[relDiff], 0))</f>
        <v/>
      </c>
      <c r="CR25" s="15" t="str">
        <f ca="1">IF(factorsTable[[#This Row],[filteredIndex]]="", "", _xlfn.RANK.EQ(factorsTable[[#This Row],[absDiff]], factorsTable[absDiff], 0))</f>
        <v/>
      </c>
      <c r="CS25" s="15" t="str">
        <f ca="1">IF(factorsTable[[#This Row],[filteredIndex]]="", "", _xlfn.RANK.EQ(factorsTable[[#This Row],[RANASIndex]], factorsTable[RANASIndex], 1))</f>
        <v/>
      </c>
      <c r="CT25" s="15" t="str" cm="1">
        <f t="array" aca="1" ref="CT25" ca="1">_xlfn.SWITCH(
    sortingMethodTag,
    "none", factorsTable[[#This Row],[filteredIndex]],
    "relDiff", factorsTable[[#This Row],[relDiffRank]],
    "absDiff", factorsTable[[#This Row],[absDiffRank]],
    "RANAS", factorsTable[[#This Row],[RANASRank]],
    factorsTable[[#This Row],[filteredIndex]]
  )</f>
        <v/>
      </c>
      <c r="CU25" s="15" t="str">
        <f ca="1">IF(
    factorsTable[[#This Row],[filteredIndex]]="",
    "",
    factorsTable[[#This Row],[selectedRank]]
      + COUNTIF(INDEX(factorsTable[selectedRank], 1):INDEX(factorsTable[selectedRank], factorsTable[[#This Row],[index]]), factorsTable[[#This Row],[selectedRank]])
      - 1
  )</f>
        <v/>
      </c>
      <c r="CV25" s="15" t="str">
        <f ca="1">IFERROR(
    _xlfn.XLOOKUP(factorsTable[[#This Row],[index]], factorsTable[uniqueRank], factorsTable[filteredIndex]),
    ""
  )</f>
        <v/>
      </c>
      <c r="CW25" s="15" t="str">
        <f ca="1">IF(factorsTable[[#This Row],[sortedIndex]]="", "", INDEX(factorsConfigTable[],MATCH(factorsTable[[#This Row],[sortedIndex]],factorsConfigTable[index],0),MATCH(chartLanguage,factorsConfigTable_Headers,0)))</f>
        <v/>
      </c>
      <c r="CX25" s="15" t="str" cm="1">
        <f t="array" aca="1" ref="CX25"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5" s="15" t="str">
        <f ca="1">IF(
    factorsTable[[#This Row],[sortedIndex]]="",
    "",
    _xlfn.XLOOKUP(
      _xlfn.XLOOKUP(factorsTable[[#This Row],[sortedIndex]], factorsConfigTable[index], factorsConfigTable[RANASBlock]),
      RANASBlocksTable[label],
      RANASBlocksTable[tag]
    )
  )</f>
        <v/>
      </c>
      <c r="CZ25" s="15" t="str" cm="1">
        <f t="array" aca="1" ref="CZ25"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5"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5" s="15" t="str">
        <f ca="1">IF(
    factorsTable[[#This Row],[sortedIndex]]="",
    "",
    _xlfn.XLOOKUP(factorsTable[[#This Row],[sortedIndex]], factorsTable[index], factorsTable[numTotal])
  )</f>
        <v/>
      </c>
      <c r="DC25" s="15" t="str">
        <f ca="1">IF(
    factorsTable[[#This Row],[sortedIndex]]="",
    "",
    _xlfn.XLOOKUP(factorsTable[[#This Row],[sortedIndex]], factorsTable[index], factorsTable[nondoers])
  )</f>
        <v/>
      </c>
      <c r="DD25" s="15" t="str">
        <f ca="1">IF(
    factorsTable[[#This Row],[sortedIndex]]="",
    "",
    _xlfn.XLOOKUP(factorsTable[[#This Row],[sortedIndex]], factorsTable[index], factorsTable[doers])
  )</f>
        <v/>
      </c>
      <c r="DE25" s="15" t="str">
        <f ca="1">IF(
    factorsTable[[#This Row],[sortedIndex]]="",
    "",
    _xlfn.XLOOKUP(factorsTable[[#This Row],[sortedIndex]], factorsTable[index], factorsTable[difference])
  )</f>
        <v/>
      </c>
    </row>
    <row r="26" spans="5:109" ht="14.4" customHeight="1" x14ac:dyDescent="0.3">
      <c r="E26" s="40" cm="1">
        <f t="array" ref="E26">ROW()-ROW(UITranslationTable[#Headers])</f>
        <v>24</v>
      </c>
      <c r="F26" s="1" t="s">
        <v>212</v>
      </c>
      <c r="G26" s="59"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59"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K26" s="61"/>
      <c r="Q26" cm="1">
        <f t="array" ref="Q26">ROW()-ROW(generalVariablesTable[#Headers])</f>
        <v>24</v>
      </c>
      <c r="R26" t="s">
        <v>51</v>
      </c>
      <c r="S26" s="1" t="str">
        <f>_xlfn.XLOOKUP("cutoffLevel",chartTranslationTable[tag],chartTranslationTable[displayedText])</f>
        <v>Cutoff level</v>
      </c>
      <c r="BU26" s="15" cm="1">
        <f t="array" ref="BU26">ROW()-ROW(factorsTable[#Headers])</f>
        <v>24</v>
      </c>
      <c r="BV26" s="15">
        <f>_xlfn.XLOOKUP(factorsTable[[#This Row],[index]],factorsConfigTable[index],factorsConfigTable[factorHeader])</f>
        <v>0</v>
      </c>
      <c r="BW26" s="15" t="str" cm="1">
        <f t="array" aca="1" ref="BW26"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6" s="15" t="str" cm="1">
        <f t="array" ref="BX26">IF(factorsTable[[#This Row],[factorHeader]]=0, "", ADDRESS(2, factorsTable[[#This Row],[factorColNum]], 1, 0, sheetNameData) &amp; ":" &amp; ADDRESS(numEntries+1, factorsTable[[#This Row],[factorColNum]], 1, 0))</f>
        <v/>
      </c>
      <c r="BY26" s="15" t="str">
        <f>IF(factorsTable[[#This Row],[factorHeader]]=0, "", IF(_xlfn.XLOOKUP(factorsTable[[#This Row],[index]],factorsConfigTable[index],factorsConfigTable[minScore])="", NA(), _xlfn.XLOOKUP(factorsTable[[#This Row],[index]],factorsConfigTable[index],factorsConfigTable[minScore])))</f>
        <v/>
      </c>
      <c r="BZ26" s="15" t="str">
        <f>IF(factorsTable[[#This Row],[factorHeader]]=0, "", IF(_xlfn.XLOOKUP(factorsTable[[#This Row],[index]],factorsConfigTable[index],factorsConfigTable[maxScore])="", NA(), _xlfn.XLOOKUP(factorsTable[[#This Row],[index]],factorsConfigTable[index],factorsConfigTable[maxScore])))</f>
        <v/>
      </c>
      <c r="CA26" s="15" t="str">
        <f ca="1">IF(factorsTable[[#This Row],[factorHeader]]=0, "", IF(ISERROR(factorsTable[[#This Row],[factorColNum]]), NA(), MIN(INDIRECT(factorsTable[[#This Row],[indirectColRef]],FALSE))))</f>
        <v/>
      </c>
      <c r="CB26" s="15" t="str">
        <f ca="1">IF(factorsTable[[#This Row],[factorHeader]]=0, "", IF(ISERROR(factorsTable[[#This Row],[factorColNum]]), NA(), MAX(INDIRECT(factorsTable[[#This Row],[indirectColRef]],FALSE))))</f>
        <v/>
      </c>
      <c r="CC26" s="15" t="b" cm="1">
        <f t="array" aca="1" ref="CC26" ca="1">AND(
    ISREF(INDIRECT(ADDRESS(1, 1, 1, 0, sheetNameData), FALSE)),
    factorsTable[[#This Row],[factorHeader]]&lt;&gt;0,
    NOT(ISERROR(factorsTable[[#This Row],[factorColNum]])),
    IFERROR(factorsTable[[#This Row],[display]], FALSE),
    IFERROR(factorsTable[[#This Row],[minValue]]&lt;factorsTable[[#This Row],[minScore]], FALSE)
  )</f>
        <v>0</v>
      </c>
      <c r="CD26" s="15" t="b" cm="1">
        <f t="array" aca="1" ref="CD26" ca="1">AND(
    ISREF(INDIRECT(ADDRESS(1, 1, 1, 0, sheetNameData), FALSE)),
    factorsTable[[#This Row],[factorHeader]]&lt;&gt;0,
    NOT(ISERROR(factorsTable[[#This Row],[factorColNum]])),
    IFERROR(factorsTable[[#This Row],[display]], FALSE),
    IFERROR(factorsTable[[#This Row],[maxValue]]&gt;factorsTable[[#This Row],[maxScore]], FALSE)
  )</f>
        <v>0</v>
      </c>
      <c r="CE26" s="15" t="str" cm="1">
        <f t="array" aca="1" ref="CE26" ca="1">IF(factorsTable[[#This Row],[factorHeader]]=0, "", SUMPRODUCT(IF(isDoer="", 0, 1-isDoer),--(INDIRECT(factorsTable[[#This Row],[indirectColRef]],FALSE)&lt;&gt;"")))</f>
        <v/>
      </c>
      <c r="CF26" s="15" t="str" cm="1">
        <f t="array" aca="1" ref="CF26" ca="1">IF(factorsTable[[#This Row],[factorHeader]]=0, "", SUMPRODUCT(IF(isDoer="", 0, isDoer),--(INDIRECT(factorsTable[[#This Row],[indirectColRef]],FALSE)&lt;&gt;"")))</f>
        <v/>
      </c>
      <c r="CG26" s="15" t="str" cm="1">
        <f t="array" ref="CG26">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6" s="15" t="str" cm="1">
        <f t="array" aca="1" ref="CH26"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6" s="15" t="str" cm="1">
        <f t="array" aca="1" ref="CI26"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6" s="15" t="str">
        <f>IF(factorsTable[[#This Row],[factorHeader]]=0, "", factorsTable[[#This Row],[doers]]-factorsTable[[#This Row],[nondoers]])</f>
        <v/>
      </c>
      <c r="CK26" s="15" t="str">
        <f>IF(
    factorsTable[[#This Row],[factorHeader]]=0,
    "",
    _xlfn.XLOOKUP(
      _xlfn.XLOOKUP(factorsTable[[#This Row],[index]], factorsConfigTable[index], factorsConfigTable[displayConfig]),
      yesNoTable[label],
      yesNoTable[tag]
    )
  )</f>
        <v/>
      </c>
      <c r="CL26" s="15" t="b">
        <f>IF(factorsTable[[#This Row],[factorHeader]]=0, FALSE, IF(factorsTable[[#This Row],[displayConfig]]="yes", TRUE, IF(factorsTable[[#This Row],[displayConfig]]="no", FALSE, NA())))</f>
        <v>0</v>
      </c>
      <c r="CM26" s="15" t="str" cm="1">
        <f t="array" aca="1" ref="CM26"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6" s="15" t="str">
        <f ca="1">IF(
    factorsTable[[#This Row],[filteredIndex]]="",
    "",
    IFERROR(
      _xlfn.XLOOKUP(factorsTable[[#This Row],[filteredIndex]], factorsTable[index], factorsTable[difference]),
      -99
    )
  )</f>
        <v/>
      </c>
      <c r="CO26" s="15" t="str">
        <f ca="1">IF(factorsTable[[#This Row],[filteredIndex]]="", "", IF(factorsTable[[#This Row],[relDiff]]=-99, -99, ABS(factorsTable[[#This Row],[relDiff]])))</f>
        <v/>
      </c>
      <c r="CP26" s="15" t="str">
        <f ca="1">IF(
    factorsTable[[#This Row],[filteredIndex]]="",
    "",
    IFERROR(
      _xlfn.XLOOKUP(
        _xlfn.XLOOKUP(factorsTable[[#This Row],[filteredIndex]], factorsConfigTable[index], factorsConfigTable[RANASBlock]),
        RANASBlocksTable[label],
        RANASBlocksTable[index]
      ),
      6
    )
  )</f>
        <v/>
      </c>
      <c r="CQ26" s="15" t="str">
        <f ca="1">IF(factorsTable[[#This Row],[filteredIndex]]="", "", _xlfn.RANK.EQ(factorsTable[[#This Row],[relDiff]], factorsTable[relDiff], 0))</f>
        <v/>
      </c>
      <c r="CR26" s="15" t="str">
        <f ca="1">IF(factorsTable[[#This Row],[filteredIndex]]="", "", _xlfn.RANK.EQ(factorsTable[[#This Row],[absDiff]], factorsTable[absDiff], 0))</f>
        <v/>
      </c>
      <c r="CS26" s="15" t="str">
        <f ca="1">IF(factorsTable[[#This Row],[filteredIndex]]="", "", _xlfn.RANK.EQ(factorsTable[[#This Row],[RANASIndex]], factorsTable[RANASIndex], 1))</f>
        <v/>
      </c>
      <c r="CT26" s="15" t="str" cm="1">
        <f t="array" aca="1" ref="CT26" ca="1">_xlfn.SWITCH(
    sortingMethodTag,
    "none", factorsTable[[#This Row],[filteredIndex]],
    "relDiff", factorsTable[[#This Row],[relDiffRank]],
    "absDiff", factorsTable[[#This Row],[absDiffRank]],
    "RANAS", factorsTable[[#This Row],[RANASRank]],
    factorsTable[[#This Row],[filteredIndex]]
  )</f>
        <v/>
      </c>
      <c r="CU26" s="15" t="str">
        <f ca="1">IF(
    factorsTable[[#This Row],[filteredIndex]]="",
    "",
    factorsTable[[#This Row],[selectedRank]]
      + COUNTIF(INDEX(factorsTable[selectedRank], 1):INDEX(factorsTable[selectedRank], factorsTable[[#This Row],[index]]), factorsTable[[#This Row],[selectedRank]])
      - 1
  )</f>
        <v/>
      </c>
      <c r="CV26" s="15" t="str">
        <f ca="1">IFERROR(
    _xlfn.XLOOKUP(factorsTable[[#This Row],[index]], factorsTable[uniqueRank], factorsTable[filteredIndex]),
    ""
  )</f>
        <v/>
      </c>
      <c r="CW26" s="15" t="str">
        <f ca="1">IF(factorsTable[[#This Row],[sortedIndex]]="", "", INDEX(factorsConfigTable[],MATCH(factorsTable[[#This Row],[sortedIndex]],factorsConfigTable[index],0),MATCH(chartLanguage,factorsConfigTable_Headers,0)))</f>
        <v/>
      </c>
      <c r="CX26" s="15" t="str" cm="1">
        <f t="array" aca="1" ref="CX26"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6" s="15" t="str">
        <f ca="1">IF(
    factorsTable[[#This Row],[sortedIndex]]="",
    "",
    _xlfn.XLOOKUP(
      _xlfn.XLOOKUP(factorsTable[[#This Row],[sortedIndex]], factorsConfigTable[index], factorsConfigTable[RANASBlock]),
      RANASBlocksTable[label],
      RANASBlocksTable[tag]
    )
  )</f>
        <v/>
      </c>
      <c r="CZ26" s="15" t="str" cm="1">
        <f t="array" aca="1" ref="CZ26"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6"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6" s="15" t="str">
        <f ca="1">IF(
    factorsTable[[#This Row],[sortedIndex]]="",
    "",
    _xlfn.XLOOKUP(factorsTable[[#This Row],[sortedIndex]], factorsTable[index], factorsTable[numTotal])
  )</f>
        <v/>
      </c>
      <c r="DC26" s="15" t="str">
        <f ca="1">IF(
    factorsTable[[#This Row],[sortedIndex]]="",
    "",
    _xlfn.XLOOKUP(factorsTable[[#This Row],[sortedIndex]], factorsTable[index], factorsTable[nondoers])
  )</f>
        <v/>
      </c>
      <c r="DD26" s="15" t="str">
        <f ca="1">IF(
    factorsTable[[#This Row],[sortedIndex]]="",
    "",
    _xlfn.XLOOKUP(factorsTable[[#This Row],[sortedIndex]], factorsTable[index], factorsTable[doers])
  )</f>
        <v/>
      </c>
      <c r="DE26" s="15" t="str">
        <f ca="1">IF(
    factorsTable[[#This Row],[sortedIndex]]="",
    "",
    _xlfn.XLOOKUP(factorsTable[[#This Row],[sortedIndex]], factorsTable[index], factorsTable[difference])
  )</f>
        <v/>
      </c>
    </row>
    <row r="27" spans="5:109" ht="14.4" customHeight="1" x14ac:dyDescent="0.3">
      <c r="E27" s="40" cm="1">
        <f t="array" ref="E27">ROW()-ROW(UITranslationTable[#Headers])</f>
        <v>25</v>
      </c>
      <c r="F27" s="1" t="s">
        <v>69</v>
      </c>
      <c r="G27" s="59" t="str">
        <f>"2." &amp; CHAR(160) &amp; "Behaviour"</f>
        <v>2. Behaviour</v>
      </c>
      <c r="H27" s="59" t="str">
        <f>"2." &amp; CHAR(160) &amp; "Comportement"</f>
        <v>2. Comportement</v>
      </c>
      <c r="Q27" s="15" cm="1">
        <f t="array" ref="Q27">ROW()-ROW(generalVariablesTable[#Headers])</f>
        <v>25</v>
      </c>
      <c r="R27" t="s">
        <v>107</v>
      </c>
      <c r="S27" s="59" t="str">
        <f>_xlfn.XLOOKUP("behaviourScore",chartTranslationTable[tag],chartTranslationTable[displayedText])</f>
        <v>Behaviour score</v>
      </c>
      <c r="BU27" s="15" cm="1">
        <f t="array" ref="BU27">ROW()-ROW(factorsTable[#Headers])</f>
        <v>25</v>
      </c>
      <c r="BV27" s="15">
        <f>_xlfn.XLOOKUP(factorsTable[[#This Row],[index]],factorsConfigTable[index],factorsConfigTable[factorHeader])</f>
        <v>0</v>
      </c>
      <c r="BW27" s="15" t="str" cm="1">
        <f t="array" aca="1" ref="BW27"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7" s="15" t="str" cm="1">
        <f t="array" ref="BX27">IF(factorsTable[[#This Row],[factorHeader]]=0, "", ADDRESS(2, factorsTable[[#This Row],[factorColNum]], 1, 0, sheetNameData) &amp; ":" &amp; ADDRESS(numEntries+1, factorsTable[[#This Row],[factorColNum]], 1, 0))</f>
        <v/>
      </c>
      <c r="BY27" s="15" t="str">
        <f>IF(factorsTable[[#This Row],[factorHeader]]=0, "", IF(_xlfn.XLOOKUP(factorsTable[[#This Row],[index]],factorsConfigTable[index],factorsConfigTable[minScore])="", NA(), _xlfn.XLOOKUP(factorsTable[[#This Row],[index]],factorsConfigTable[index],factorsConfigTable[minScore])))</f>
        <v/>
      </c>
      <c r="BZ27" s="15" t="str">
        <f>IF(factorsTable[[#This Row],[factorHeader]]=0, "", IF(_xlfn.XLOOKUP(factorsTable[[#This Row],[index]],factorsConfigTable[index],factorsConfigTable[maxScore])="", NA(), _xlfn.XLOOKUP(factorsTable[[#This Row],[index]],factorsConfigTable[index],factorsConfigTable[maxScore])))</f>
        <v/>
      </c>
      <c r="CA27" s="15" t="str">
        <f ca="1">IF(factorsTable[[#This Row],[factorHeader]]=0, "", IF(ISERROR(factorsTable[[#This Row],[factorColNum]]), NA(), MIN(INDIRECT(factorsTable[[#This Row],[indirectColRef]],FALSE))))</f>
        <v/>
      </c>
      <c r="CB27" s="15" t="str">
        <f ca="1">IF(factorsTable[[#This Row],[factorHeader]]=0, "", IF(ISERROR(factorsTable[[#This Row],[factorColNum]]), NA(), MAX(INDIRECT(factorsTable[[#This Row],[indirectColRef]],FALSE))))</f>
        <v/>
      </c>
      <c r="CC27" s="15" t="b" cm="1">
        <f t="array" aca="1" ref="CC27" ca="1">AND(
    ISREF(INDIRECT(ADDRESS(1, 1, 1, 0, sheetNameData), FALSE)),
    factorsTable[[#This Row],[factorHeader]]&lt;&gt;0,
    NOT(ISERROR(factorsTable[[#This Row],[factorColNum]])),
    IFERROR(factorsTable[[#This Row],[display]], FALSE),
    IFERROR(factorsTable[[#This Row],[minValue]]&lt;factorsTable[[#This Row],[minScore]], FALSE)
  )</f>
        <v>0</v>
      </c>
      <c r="CD27" s="15" t="b" cm="1">
        <f t="array" aca="1" ref="CD27" ca="1">AND(
    ISREF(INDIRECT(ADDRESS(1, 1, 1, 0, sheetNameData), FALSE)),
    factorsTable[[#This Row],[factorHeader]]&lt;&gt;0,
    NOT(ISERROR(factorsTable[[#This Row],[factorColNum]])),
    IFERROR(factorsTable[[#This Row],[display]], FALSE),
    IFERROR(factorsTable[[#This Row],[maxValue]]&gt;factorsTable[[#This Row],[maxScore]], FALSE)
  )</f>
        <v>0</v>
      </c>
      <c r="CE27" s="15" t="str" cm="1">
        <f t="array" aca="1" ref="CE27" ca="1">IF(factorsTable[[#This Row],[factorHeader]]=0, "", SUMPRODUCT(IF(isDoer="", 0, 1-isDoer),--(INDIRECT(factorsTable[[#This Row],[indirectColRef]],FALSE)&lt;&gt;"")))</f>
        <v/>
      </c>
      <c r="CF27" s="15" t="str" cm="1">
        <f t="array" aca="1" ref="CF27" ca="1">IF(factorsTable[[#This Row],[factorHeader]]=0, "", SUMPRODUCT(IF(isDoer="", 0, isDoer),--(INDIRECT(factorsTable[[#This Row],[indirectColRef]],FALSE)&lt;&gt;"")))</f>
        <v/>
      </c>
      <c r="CG27" s="15" t="str" cm="1">
        <f t="array" ref="CG27">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7" s="15" t="str" cm="1">
        <f t="array" aca="1" ref="CH27"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7" s="15" t="str" cm="1">
        <f t="array" aca="1" ref="CI27"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7" s="15" t="str">
        <f>IF(factorsTable[[#This Row],[factorHeader]]=0, "", factorsTable[[#This Row],[doers]]-factorsTable[[#This Row],[nondoers]])</f>
        <v/>
      </c>
      <c r="CK27" s="15" t="str">
        <f>IF(
    factorsTable[[#This Row],[factorHeader]]=0,
    "",
    _xlfn.XLOOKUP(
      _xlfn.XLOOKUP(factorsTable[[#This Row],[index]], factorsConfigTable[index], factorsConfigTable[displayConfig]),
      yesNoTable[label],
      yesNoTable[tag]
    )
  )</f>
        <v/>
      </c>
      <c r="CL27" s="15" t="b">
        <f>IF(factorsTable[[#This Row],[factorHeader]]=0, FALSE, IF(factorsTable[[#This Row],[displayConfig]]="yes", TRUE, IF(factorsTable[[#This Row],[displayConfig]]="no", FALSE, NA())))</f>
        <v>0</v>
      </c>
      <c r="CM27" s="15" t="str" cm="1">
        <f t="array" aca="1" ref="CM27"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7" s="15" t="str">
        <f ca="1">IF(
    factorsTable[[#This Row],[filteredIndex]]="",
    "",
    IFERROR(
      _xlfn.XLOOKUP(factorsTable[[#This Row],[filteredIndex]], factorsTable[index], factorsTable[difference]),
      -99
    )
  )</f>
        <v/>
      </c>
      <c r="CO27" s="15" t="str">
        <f ca="1">IF(factorsTable[[#This Row],[filteredIndex]]="", "", IF(factorsTable[[#This Row],[relDiff]]=-99, -99, ABS(factorsTable[[#This Row],[relDiff]])))</f>
        <v/>
      </c>
      <c r="CP27" s="15" t="str">
        <f ca="1">IF(
    factorsTable[[#This Row],[filteredIndex]]="",
    "",
    IFERROR(
      _xlfn.XLOOKUP(
        _xlfn.XLOOKUP(factorsTable[[#This Row],[filteredIndex]], factorsConfigTable[index], factorsConfigTable[RANASBlock]),
        RANASBlocksTable[label],
        RANASBlocksTable[index]
      ),
      6
    )
  )</f>
        <v/>
      </c>
      <c r="CQ27" s="15" t="str">
        <f ca="1">IF(factorsTable[[#This Row],[filteredIndex]]="", "", _xlfn.RANK.EQ(factorsTable[[#This Row],[relDiff]], factorsTable[relDiff], 0))</f>
        <v/>
      </c>
      <c r="CR27" s="15" t="str">
        <f ca="1">IF(factorsTable[[#This Row],[filteredIndex]]="", "", _xlfn.RANK.EQ(factorsTable[[#This Row],[absDiff]], factorsTable[absDiff], 0))</f>
        <v/>
      </c>
      <c r="CS27" s="15" t="str">
        <f ca="1">IF(factorsTable[[#This Row],[filteredIndex]]="", "", _xlfn.RANK.EQ(factorsTable[[#This Row],[RANASIndex]], factorsTable[RANASIndex], 1))</f>
        <v/>
      </c>
      <c r="CT27" s="15" t="str" cm="1">
        <f t="array" aca="1" ref="CT27" ca="1">_xlfn.SWITCH(
    sortingMethodTag,
    "none", factorsTable[[#This Row],[filteredIndex]],
    "relDiff", factorsTable[[#This Row],[relDiffRank]],
    "absDiff", factorsTable[[#This Row],[absDiffRank]],
    "RANAS", factorsTable[[#This Row],[RANASRank]],
    factorsTable[[#This Row],[filteredIndex]]
  )</f>
        <v/>
      </c>
      <c r="CU27" s="15" t="str">
        <f ca="1">IF(
    factorsTable[[#This Row],[filteredIndex]]="",
    "",
    factorsTable[[#This Row],[selectedRank]]
      + COUNTIF(INDEX(factorsTable[selectedRank], 1):INDEX(factorsTable[selectedRank], factorsTable[[#This Row],[index]]), factorsTable[[#This Row],[selectedRank]])
      - 1
  )</f>
        <v/>
      </c>
      <c r="CV27" s="15" t="str">
        <f ca="1">IFERROR(
    _xlfn.XLOOKUP(factorsTable[[#This Row],[index]], factorsTable[uniqueRank], factorsTable[filteredIndex]),
    ""
  )</f>
        <v/>
      </c>
      <c r="CW27" s="15" t="str">
        <f ca="1">IF(factorsTable[[#This Row],[sortedIndex]]="", "", INDEX(factorsConfigTable[],MATCH(factorsTable[[#This Row],[sortedIndex]],factorsConfigTable[index],0),MATCH(chartLanguage,factorsConfigTable_Headers,0)))</f>
        <v/>
      </c>
      <c r="CX27" s="15" t="str" cm="1">
        <f t="array" aca="1" ref="CX27"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7" s="15" t="str">
        <f ca="1">IF(
    factorsTable[[#This Row],[sortedIndex]]="",
    "",
    _xlfn.XLOOKUP(
      _xlfn.XLOOKUP(factorsTable[[#This Row],[sortedIndex]], factorsConfigTable[index], factorsConfigTable[RANASBlock]),
      RANASBlocksTable[label],
      RANASBlocksTable[tag]
    )
  )</f>
        <v/>
      </c>
      <c r="CZ27" s="15" t="str" cm="1">
        <f t="array" aca="1" ref="CZ27"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7"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7" s="15" t="str">
        <f ca="1">IF(
    factorsTable[[#This Row],[sortedIndex]]="",
    "",
    _xlfn.XLOOKUP(factorsTable[[#This Row],[sortedIndex]], factorsTable[index], factorsTable[numTotal])
  )</f>
        <v/>
      </c>
      <c r="DC27" s="15" t="str">
        <f ca="1">IF(
    factorsTable[[#This Row],[sortedIndex]]="",
    "",
    _xlfn.XLOOKUP(factorsTable[[#This Row],[sortedIndex]], factorsTable[index], factorsTable[nondoers])
  )</f>
        <v/>
      </c>
      <c r="DD27" s="15" t="str">
        <f ca="1">IF(
    factorsTable[[#This Row],[sortedIndex]]="",
    "",
    _xlfn.XLOOKUP(factorsTable[[#This Row],[sortedIndex]], factorsTable[index], factorsTable[doers])
  )</f>
        <v/>
      </c>
      <c r="DE27" s="15" t="str">
        <f ca="1">IF(
    factorsTable[[#This Row],[sortedIndex]]="",
    "",
    _xlfn.XLOOKUP(factorsTable[[#This Row],[sortedIndex]], factorsTable[index], factorsTable[difference])
  )</f>
        <v/>
      </c>
    </row>
    <row r="28" spans="5:109" ht="14.4" customHeight="1" x14ac:dyDescent="0.3">
      <c r="E28" s="40" cm="1">
        <f t="array" ref="E28">ROW()-ROW(UITranslationTable[#Headers])</f>
        <v>26</v>
      </c>
      <c r="F28" s="1" t="s">
        <v>213</v>
      </c>
      <c r="G28" s="59" t="s">
        <v>202</v>
      </c>
      <c r="H28" s="59" t="s">
        <v>203</v>
      </c>
      <c r="Q28" s="15" cm="1">
        <f t="array" ref="Q28">ROW()-ROW(generalVariablesTable[#Headers])</f>
        <v>26</v>
      </c>
      <c r="R28" t="s">
        <v>178</v>
      </c>
      <c r="S28" s="59" t="str">
        <f>_xlfn.XLOOKUP("meanScore",chartTranslationTable[tag],chartTranslationTable[displayedText]) &amp; " (0" &amp; _xlfn.UNICHAR(8209) &amp; "100%)"</f>
        <v>Normalised mean score (0‑100%)</v>
      </c>
      <c r="BU28" s="15" cm="1">
        <f t="array" ref="BU28">ROW()-ROW(factorsTable[#Headers])</f>
        <v>26</v>
      </c>
      <c r="BV28" s="15">
        <f>_xlfn.XLOOKUP(factorsTable[[#This Row],[index]],factorsConfigTable[index],factorsConfigTable[factorHeader])</f>
        <v>0</v>
      </c>
      <c r="BW28" s="15" t="str" cm="1">
        <f t="array" aca="1" ref="BW28"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8" s="15" t="str" cm="1">
        <f t="array" ref="BX28">IF(factorsTable[[#This Row],[factorHeader]]=0, "", ADDRESS(2, factorsTable[[#This Row],[factorColNum]], 1, 0, sheetNameData) &amp; ":" &amp; ADDRESS(numEntries+1, factorsTable[[#This Row],[factorColNum]], 1, 0))</f>
        <v/>
      </c>
      <c r="BY28" s="15" t="str">
        <f>IF(factorsTable[[#This Row],[factorHeader]]=0, "", IF(_xlfn.XLOOKUP(factorsTable[[#This Row],[index]],factorsConfigTable[index],factorsConfigTable[minScore])="", NA(), _xlfn.XLOOKUP(factorsTable[[#This Row],[index]],factorsConfigTable[index],factorsConfigTable[minScore])))</f>
        <v/>
      </c>
      <c r="BZ28" s="15" t="str">
        <f>IF(factorsTable[[#This Row],[factorHeader]]=0, "", IF(_xlfn.XLOOKUP(factorsTable[[#This Row],[index]],factorsConfigTable[index],factorsConfigTable[maxScore])="", NA(), _xlfn.XLOOKUP(factorsTable[[#This Row],[index]],factorsConfigTable[index],factorsConfigTable[maxScore])))</f>
        <v/>
      </c>
      <c r="CA28" s="15" t="str">
        <f ca="1">IF(factorsTable[[#This Row],[factorHeader]]=0, "", IF(ISERROR(factorsTable[[#This Row],[factorColNum]]), NA(), MIN(INDIRECT(factorsTable[[#This Row],[indirectColRef]],FALSE))))</f>
        <v/>
      </c>
      <c r="CB28" s="15" t="str">
        <f ca="1">IF(factorsTable[[#This Row],[factorHeader]]=0, "", IF(ISERROR(factorsTable[[#This Row],[factorColNum]]), NA(), MAX(INDIRECT(factorsTable[[#This Row],[indirectColRef]],FALSE))))</f>
        <v/>
      </c>
      <c r="CC28" s="15" t="b" cm="1">
        <f t="array" aca="1" ref="CC28" ca="1">AND(
    ISREF(INDIRECT(ADDRESS(1, 1, 1, 0, sheetNameData), FALSE)),
    factorsTable[[#This Row],[factorHeader]]&lt;&gt;0,
    NOT(ISERROR(factorsTable[[#This Row],[factorColNum]])),
    IFERROR(factorsTable[[#This Row],[display]], FALSE),
    IFERROR(factorsTable[[#This Row],[minValue]]&lt;factorsTable[[#This Row],[minScore]], FALSE)
  )</f>
        <v>0</v>
      </c>
      <c r="CD28" s="15" t="b" cm="1">
        <f t="array" aca="1" ref="CD28" ca="1">AND(
    ISREF(INDIRECT(ADDRESS(1, 1, 1, 0, sheetNameData), FALSE)),
    factorsTable[[#This Row],[factorHeader]]&lt;&gt;0,
    NOT(ISERROR(factorsTable[[#This Row],[factorColNum]])),
    IFERROR(factorsTable[[#This Row],[display]], FALSE),
    IFERROR(factorsTable[[#This Row],[maxValue]]&gt;factorsTable[[#This Row],[maxScore]], FALSE)
  )</f>
        <v>0</v>
      </c>
      <c r="CE28" s="15" t="str" cm="1">
        <f t="array" aca="1" ref="CE28" ca="1">IF(factorsTable[[#This Row],[factorHeader]]=0, "", SUMPRODUCT(IF(isDoer="", 0, 1-isDoer),--(INDIRECT(factorsTable[[#This Row],[indirectColRef]],FALSE)&lt;&gt;"")))</f>
        <v/>
      </c>
      <c r="CF28" s="15" t="str" cm="1">
        <f t="array" aca="1" ref="CF28" ca="1">IF(factorsTable[[#This Row],[factorHeader]]=0, "", SUMPRODUCT(IF(isDoer="", 0, isDoer),--(INDIRECT(factorsTable[[#This Row],[indirectColRef]],FALSE)&lt;&gt;"")))</f>
        <v/>
      </c>
      <c r="CG28" s="15" t="str" cm="1">
        <f t="array" ref="CG28">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8" s="15" t="str" cm="1">
        <f t="array" aca="1" ref="CH28"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8" s="15" t="str" cm="1">
        <f t="array" aca="1" ref="CI28"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8" s="15" t="str">
        <f>IF(factorsTable[[#This Row],[factorHeader]]=0, "", factorsTable[[#This Row],[doers]]-factorsTable[[#This Row],[nondoers]])</f>
        <v/>
      </c>
      <c r="CK28" s="15" t="str">
        <f>IF(
    factorsTable[[#This Row],[factorHeader]]=0,
    "",
    _xlfn.XLOOKUP(
      _xlfn.XLOOKUP(factorsTable[[#This Row],[index]], factorsConfigTable[index], factorsConfigTable[displayConfig]),
      yesNoTable[label],
      yesNoTable[tag]
    )
  )</f>
        <v/>
      </c>
      <c r="CL28" s="15" t="b">
        <f>IF(factorsTable[[#This Row],[factorHeader]]=0, FALSE, IF(factorsTable[[#This Row],[displayConfig]]="yes", TRUE, IF(factorsTable[[#This Row],[displayConfig]]="no", FALSE, NA())))</f>
        <v>0</v>
      </c>
      <c r="CM28" s="15" t="str" cm="1">
        <f t="array" aca="1" ref="CM28"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8" s="15" t="str">
        <f ca="1">IF(
    factorsTable[[#This Row],[filteredIndex]]="",
    "",
    IFERROR(
      _xlfn.XLOOKUP(factorsTable[[#This Row],[filteredIndex]], factorsTable[index], factorsTable[difference]),
      -99
    )
  )</f>
        <v/>
      </c>
      <c r="CO28" s="15" t="str">
        <f ca="1">IF(factorsTable[[#This Row],[filteredIndex]]="", "", IF(factorsTable[[#This Row],[relDiff]]=-99, -99, ABS(factorsTable[[#This Row],[relDiff]])))</f>
        <v/>
      </c>
      <c r="CP28" s="15" t="str">
        <f ca="1">IF(
    factorsTable[[#This Row],[filteredIndex]]="",
    "",
    IFERROR(
      _xlfn.XLOOKUP(
        _xlfn.XLOOKUP(factorsTable[[#This Row],[filteredIndex]], factorsConfigTable[index], factorsConfigTable[RANASBlock]),
        RANASBlocksTable[label],
        RANASBlocksTable[index]
      ),
      6
    )
  )</f>
        <v/>
      </c>
      <c r="CQ28" s="15" t="str">
        <f ca="1">IF(factorsTable[[#This Row],[filteredIndex]]="", "", _xlfn.RANK.EQ(factorsTable[[#This Row],[relDiff]], factorsTable[relDiff], 0))</f>
        <v/>
      </c>
      <c r="CR28" s="15" t="str">
        <f ca="1">IF(factorsTable[[#This Row],[filteredIndex]]="", "", _xlfn.RANK.EQ(factorsTable[[#This Row],[absDiff]], factorsTable[absDiff], 0))</f>
        <v/>
      </c>
      <c r="CS28" s="15" t="str">
        <f ca="1">IF(factorsTable[[#This Row],[filteredIndex]]="", "", _xlfn.RANK.EQ(factorsTable[[#This Row],[RANASIndex]], factorsTable[RANASIndex], 1))</f>
        <v/>
      </c>
      <c r="CT28" s="15" t="str" cm="1">
        <f t="array" aca="1" ref="CT28" ca="1">_xlfn.SWITCH(
    sortingMethodTag,
    "none", factorsTable[[#This Row],[filteredIndex]],
    "relDiff", factorsTable[[#This Row],[relDiffRank]],
    "absDiff", factorsTable[[#This Row],[absDiffRank]],
    "RANAS", factorsTable[[#This Row],[RANASRank]],
    factorsTable[[#This Row],[filteredIndex]]
  )</f>
        <v/>
      </c>
      <c r="CU28" s="15" t="str">
        <f ca="1">IF(
    factorsTable[[#This Row],[filteredIndex]]="",
    "",
    factorsTable[[#This Row],[selectedRank]]
      + COUNTIF(INDEX(factorsTable[selectedRank], 1):INDEX(factorsTable[selectedRank], factorsTable[[#This Row],[index]]), factorsTable[[#This Row],[selectedRank]])
      - 1
  )</f>
        <v/>
      </c>
      <c r="CV28" s="15" t="str">
        <f ca="1">IFERROR(
    _xlfn.XLOOKUP(factorsTable[[#This Row],[index]], factorsTable[uniqueRank], factorsTable[filteredIndex]),
    ""
  )</f>
        <v/>
      </c>
      <c r="CW28" s="15" t="str">
        <f ca="1">IF(factorsTable[[#This Row],[sortedIndex]]="", "", INDEX(factorsConfigTable[],MATCH(factorsTable[[#This Row],[sortedIndex]],factorsConfigTable[index],0),MATCH(chartLanguage,factorsConfigTable_Headers,0)))</f>
        <v/>
      </c>
      <c r="CX28" s="15" t="str" cm="1">
        <f t="array" aca="1" ref="CX28"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8" s="15" t="str">
        <f ca="1">IF(
    factorsTable[[#This Row],[sortedIndex]]="",
    "",
    _xlfn.XLOOKUP(
      _xlfn.XLOOKUP(factorsTable[[#This Row],[sortedIndex]], factorsConfigTable[index], factorsConfigTable[RANASBlock]),
      RANASBlocksTable[label],
      RANASBlocksTable[tag]
    )
  )</f>
        <v/>
      </c>
      <c r="CZ28" s="15" t="str" cm="1">
        <f t="array" aca="1" ref="CZ28"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8"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8" s="15" t="str">
        <f ca="1">IF(
    factorsTable[[#This Row],[sortedIndex]]="",
    "",
    _xlfn.XLOOKUP(factorsTable[[#This Row],[sortedIndex]], factorsTable[index], factorsTable[numTotal])
  )</f>
        <v/>
      </c>
      <c r="DC28" s="15" t="str">
        <f ca="1">IF(
    factorsTable[[#This Row],[sortedIndex]]="",
    "",
    _xlfn.XLOOKUP(factorsTable[[#This Row],[sortedIndex]], factorsTable[index], factorsTable[nondoers])
  )</f>
        <v/>
      </c>
      <c r="DD28" s="15" t="str">
        <f ca="1">IF(
    factorsTable[[#This Row],[sortedIndex]]="",
    "",
    _xlfn.XLOOKUP(factorsTable[[#This Row],[sortedIndex]], factorsTable[index], factorsTable[doers])
  )</f>
        <v/>
      </c>
      <c r="DE28" s="15" t="str">
        <f ca="1">IF(
    factorsTable[[#This Row],[sortedIndex]]="",
    "",
    _xlfn.XLOOKUP(factorsTable[[#This Row],[sortedIndex]], factorsTable[index], factorsTable[difference])
  )</f>
        <v/>
      </c>
    </row>
    <row r="29" spans="5:109" ht="14.4" customHeight="1" x14ac:dyDescent="0.3">
      <c r="E29" s="40" cm="1">
        <f t="array" ref="E29">ROW()-ROW(UITranslationTable[#Headers])</f>
        <v>27</v>
      </c>
      <c r="F29" s="1" t="s">
        <v>214</v>
      </c>
      <c r="G29" s="59"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59" t="s">
        <v>215</v>
      </c>
      <c r="Q29" s="15" cm="1">
        <f t="array" ref="Q29">ROW()-ROW(generalVariablesTable[#Headers])</f>
        <v>27</v>
      </c>
      <c r="R29" t="s">
        <v>110</v>
      </c>
      <c r="S29" s="1" t="str">
        <f>_xlfn.XLOOKUP("numResponses",chartTranslationTable[tag],chartTranslationTable[displayedText])</f>
        <v># of responses</v>
      </c>
      <c r="BU29" s="15" cm="1">
        <f t="array" ref="BU29">ROW()-ROW(factorsTable[#Headers])</f>
        <v>27</v>
      </c>
      <c r="BV29" s="15">
        <f>_xlfn.XLOOKUP(factorsTable[[#This Row],[index]],factorsConfigTable[index],factorsConfigTable[factorHeader])</f>
        <v>0</v>
      </c>
      <c r="BW29" s="15" t="str" cm="1">
        <f t="array" aca="1" ref="BW29"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29" s="15" t="str" cm="1">
        <f t="array" ref="BX29">IF(factorsTable[[#This Row],[factorHeader]]=0, "", ADDRESS(2, factorsTable[[#This Row],[factorColNum]], 1, 0, sheetNameData) &amp; ":" &amp; ADDRESS(numEntries+1, factorsTable[[#This Row],[factorColNum]], 1, 0))</f>
        <v/>
      </c>
      <c r="BY29" s="15" t="str">
        <f>IF(factorsTable[[#This Row],[factorHeader]]=0, "", IF(_xlfn.XLOOKUP(factorsTable[[#This Row],[index]],factorsConfigTable[index],factorsConfigTable[minScore])="", NA(), _xlfn.XLOOKUP(factorsTable[[#This Row],[index]],factorsConfigTable[index],factorsConfigTable[minScore])))</f>
        <v/>
      </c>
      <c r="BZ29" s="15" t="str">
        <f>IF(factorsTable[[#This Row],[factorHeader]]=0, "", IF(_xlfn.XLOOKUP(factorsTable[[#This Row],[index]],factorsConfigTable[index],factorsConfigTable[maxScore])="", NA(), _xlfn.XLOOKUP(factorsTable[[#This Row],[index]],factorsConfigTable[index],factorsConfigTable[maxScore])))</f>
        <v/>
      </c>
      <c r="CA29" s="15" t="str">
        <f ca="1">IF(factorsTable[[#This Row],[factorHeader]]=0, "", IF(ISERROR(factorsTable[[#This Row],[factorColNum]]), NA(), MIN(INDIRECT(factorsTable[[#This Row],[indirectColRef]],FALSE))))</f>
        <v/>
      </c>
      <c r="CB29" s="15" t="str">
        <f ca="1">IF(factorsTable[[#This Row],[factorHeader]]=0, "", IF(ISERROR(factorsTable[[#This Row],[factorColNum]]), NA(), MAX(INDIRECT(factorsTable[[#This Row],[indirectColRef]],FALSE))))</f>
        <v/>
      </c>
      <c r="CC29" s="15" t="b" cm="1">
        <f t="array" aca="1" ref="CC29" ca="1">AND(
    ISREF(INDIRECT(ADDRESS(1, 1, 1, 0, sheetNameData), FALSE)),
    factorsTable[[#This Row],[factorHeader]]&lt;&gt;0,
    NOT(ISERROR(factorsTable[[#This Row],[factorColNum]])),
    IFERROR(factorsTable[[#This Row],[display]], FALSE),
    IFERROR(factorsTable[[#This Row],[minValue]]&lt;factorsTable[[#This Row],[minScore]], FALSE)
  )</f>
        <v>0</v>
      </c>
      <c r="CD29" s="15" t="b" cm="1">
        <f t="array" aca="1" ref="CD29" ca="1">AND(
    ISREF(INDIRECT(ADDRESS(1, 1, 1, 0, sheetNameData), FALSE)),
    factorsTable[[#This Row],[factorHeader]]&lt;&gt;0,
    NOT(ISERROR(factorsTable[[#This Row],[factorColNum]])),
    IFERROR(factorsTable[[#This Row],[display]], FALSE),
    IFERROR(factorsTable[[#This Row],[maxValue]]&gt;factorsTable[[#This Row],[maxScore]], FALSE)
  )</f>
        <v>0</v>
      </c>
      <c r="CE29" s="15" t="str" cm="1">
        <f t="array" aca="1" ref="CE29" ca="1">IF(factorsTable[[#This Row],[factorHeader]]=0, "", SUMPRODUCT(IF(isDoer="", 0, 1-isDoer),--(INDIRECT(factorsTable[[#This Row],[indirectColRef]],FALSE)&lt;&gt;"")))</f>
        <v/>
      </c>
      <c r="CF29" s="15" t="str" cm="1">
        <f t="array" aca="1" ref="CF29" ca="1">IF(factorsTable[[#This Row],[factorHeader]]=0, "", SUMPRODUCT(IF(isDoer="", 0, isDoer),--(INDIRECT(factorsTable[[#This Row],[indirectColRef]],FALSE)&lt;&gt;"")))</f>
        <v/>
      </c>
      <c r="CG29" s="15" t="str" cm="1">
        <f t="array" ref="CG29">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29" s="15" t="str" cm="1">
        <f t="array" aca="1" ref="CH29"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29" s="15" t="str" cm="1">
        <f t="array" aca="1" ref="CI29"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29" s="15" t="str">
        <f>IF(factorsTable[[#This Row],[factorHeader]]=0, "", factorsTable[[#This Row],[doers]]-factorsTable[[#This Row],[nondoers]])</f>
        <v/>
      </c>
      <c r="CK29" s="15" t="str">
        <f>IF(
    factorsTable[[#This Row],[factorHeader]]=0,
    "",
    _xlfn.XLOOKUP(
      _xlfn.XLOOKUP(factorsTable[[#This Row],[index]], factorsConfigTable[index], factorsConfigTable[displayConfig]),
      yesNoTable[label],
      yesNoTable[tag]
    )
  )</f>
        <v/>
      </c>
      <c r="CL29" s="15" t="b">
        <f>IF(factorsTable[[#This Row],[factorHeader]]=0, FALSE, IF(factorsTable[[#This Row],[displayConfig]]="yes", TRUE, IF(factorsTable[[#This Row],[displayConfig]]="no", FALSE, NA())))</f>
        <v>0</v>
      </c>
      <c r="CM29" s="15" t="str" cm="1">
        <f t="array" aca="1" ref="CM29"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29" s="15" t="str">
        <f ca="1">IF(
    factorsTable[[#This Row],[filteredIndex]]="",
    "",
    IFERROR(
      _xlfn.XLOOKUP(factorsTable[[#This Row],[filteredIndex]], factorsTable[index], factorsTable[difference]),
      -99
    )
  )</f>
        <v/>
      </c>
      <c r="CO29" s="15" t="str">
        <f ca="1">IF(factorsTable[[#This Row],[filteredIndex]]="", "", IF(factorsTable[[#This Row],[relDiff]]=-99, -99, ABS(factorsTable[[#This Row],[relDiff]])))</f>
        <v/>
      </c>
      <c r="CP29" s="15" t="str">
        <f ca="1">IF(
    factorsTable[[#This Row],[filteredIndex]]="",
    "",
    IFERROR(
      _xlfn.XLOOKUP(
        _xlfn.XLOOKUP(factorsTable[[#This Row],[filteredIndex]], factorsConfigTable[index], factorsConfigTable[RANASBlock]),
        RANASBlocksTable[label],
        RANASBlocksTable[index]
      ),
      6
    )
  )</f>
        <v/>
      </c>
      <c r="CQ29" s="15" t="str">
        <f ca="1">IF(factorsTable[[#This Row],[filteredIndex]]="", "", _xlfn.RANK.EQ(factorsTable[[#This Row],[relDiff]], factorsTable[relDiff], 0))</f>
        <v/>
      </c>
      <c r="CR29" s="15" t="str">
        <f ca="1">IF(factorsTable[[#This Row],[filteredIndex]]="", "", _xlfn.RANK.EQ(factorsTable[[#This Row],[absDiff]], factorsTable[absDiff], 0))</f>
        <v/>
      </c>
      <c r="CS29" s="15" t="str">
        <f ca="1">IF(factorsTable[[#This Row],[filteredIndex]]="", "", _xlfn.RANK.EQ(factorsTable[[#This Row],[RANASIndex]], factorsTable[RANASIndex], 1))</f>
        <v/>
      </c>
      <c r="CT29" s="15" t="str" cm="1">
        <f t="array" aca="1" ref="CT29" ca="1">_xlfn.SWITCH(
    sortingMethodTag,
    "none", factorsTable[[#This Row],[filteredIndex]],
    "relDiff", factorsTable[[#This Row],[relDiffRank]],
    "absDiff", factorsTable[[#This Row],[absDiffRank]],
    "RANAS", factorsTable[[#This Row],[RANASRank]],
    factorsTable[[#This Row],[filteredIndex]]
  )</f>
        <v/>
      </c>
      <c r="CU29" s="15" t="str">
        <f ca="1">IF(
    factorsTable[[#This Row],[filteredIndex]]="",
    "",
    factorsTable[[#This Row],[selectedRank]]
      + COUNTIF(INDEX(factorsTable[selectedRank], 1):INDEX(factorsTable[selectedRank], factorsTable[[#This Row],[index]]), factorsTable[[#This Row],[selectedRank]])
      - 1
  )</f>
        <v/>
      </c>
      <c r="CV29" s="15" t="str">
        <f ca="1">IFERROR(
    _xlfn.XLOOKUP(factorsTable[[#This Row],[index]], factorsTable[uniqueRank], factorsTable[filteredIndex]),
    ""
  )</f>
        <v/>
      </c>
      <c r="CW29" s="15" t="str">
        <f ca="1">IF(factorsTable[[#This Row],[sortedIndex]]="", "", INDEX(factorsConfigTable[],MATCH(factorsTable[[#This Row],[sortedIndex]],factorsConfigTable[index],0),MATCH(chartLanguage,factorsConfigTable_Headers,0)))</f>
        <v/>
      </c>
      <c r="CX29" s="15" t="str" cm="1">
        <f t="array" aca="1" ref="CX29"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29" s="15" t="str">
        <f ca="1">IF(
    factorsTable[[#This Row],[sortedIndex]]="",
    "",
    _xlfn.XLOOKUP(
      _xlfn.XLOOKUP(factorsTable[[#This Row],[sortedIndex]], factorsConfigTable[index], factorsConfigTable[RANASBlock]),
      RANASBlocksTable[label],
      RANASBlocksTable[tag]
    )
  )</f>
        <v/>
      </c>
      <c r="CZ29" s="15" t="str" cm="1">
        <f t="array" aca="1" ref="CZ29"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29"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29" s="15" t="str">
        <f ca="1">IF(
    factorsTable[[#This Row],[sortedIndex]]="",
    "",
    _xlfn.XLOOKUP(factorsTable[[#This Row],[sortedIndex]], factorsTable[index], factorsTable[numTotal])
  )</f>
        <v/>
      </c>
      <c r="DC29" s="15" t="str">
        <f ca="1">IF(
    factorsTable[[#This Row],[sortedIndex]]="",
    "",
    _xlfn.XLOOKUP(factorsTable[[#This Row],[sortedIndex]], factorsTable[index], factorsTable[nondoers])
  )</f>
        <v/>
      </c>
      <c r="DD29" s="15" t="str">
        <f ca="1">IF(
    factorsTable[[#This Row],[sortedIndex]]="",
    "",
    _xlfn.XLOOKUP(factorsTable[[#This Row],[sortedIndex]], factorsTable[index], factorsTable[doers])
  )</f>
        <v/>
      </c>
      <c r="DE29" s="15" t="str">
        <f ca="1">IF(
    factorsTable[[#This Row],[sortedIndex]]="",
    "",
    _xlfn.XLOOKUP(factorsTable[[#This Row],[sortedIndex]], factorsTable[index], factorsTable[difference])
  )</f>
        <v/>
      </c>
    </row>
    <row r="30" spans="5:109" ht="14.4" customHeight="1" x14ac:dyDescent="0.3">
      <c r="E30" s="40" cm="1">
        <f t="array" ref="E30">ROW()-ROW(UITranslationTable[#Headers])</f>
        <v>28</v>
      </c>
      <c r="F30" s="1" t="s">
        <v>250</v>
      </c>
      <c r="G30" s="59" t="s">
        <v>48</v>
      </c>
      <c r="H30" s="59" t="s">
        <v>59</v>
      </c>
      <c r="Q30" s="15" cm="1">
        <f t="array" ref="Q30">ROW()-ROW(generalVariablesTable[#Headers])</f>
        <v>28</v>
      </c>
      <c r="R30" t="s">
        <v>111</v>
      </c>
      <c r="S30" s="1" t="str">
        <f>_xlfn.XLOOKUP("percentResponses",chartTranslationTable[tag],chartTranslationTable[displayedText])</f>
        <v>% of responses</v>
      </c>
      <c r="BU30" s="15" cm="1">
        <f t="array" ref="BU30">ROW()-ROW(factorsTable[#Headers])</f>
        <v>28</v>
      </c>
      <c r="BV30" s="15">
        <f>_xlfn.XLOOKUP(factorsTable[[#This Row],[index]],factorsConfigTable[index],factorsConfigTable[factorHeader])</f>
        <v>0</v>
      </c>
      <c r="BW30" s="15" t="str" cm="1">
        <f t="array" aca="1" ref="BW30"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0" s="15" t="str" cm="1">
        <f t="array" ref="BX30">IF(factorsTable[[#This Row],[factorHeader]]=0, "", ADDRESS(2, factorsTable[[#This Row],[factorColNum]], 1, 0, sheetNameData) &amp; ":" &amp; ADDRESS(numEntries+1, factorsTable[[#This Row],[factorColNum]], 1, 0))</f>
        <v/>
      </c>
      <c r="BY30" s="15" t="str">
        <f>IF(factorsTable[[#This Row],[factorHeader]]=0, "", IF(_xlfn.XLOOKUP(factorsTable[[#This Row],[index]],factorsConfigTable[index],factorsConfigTable[minScore])="", NA(), _xlfn.XLOOKUP(factorsTable[[#This Row],[index]],factorsConfigTable[index],factorsConfigTable[minScore])))</f>
        <v/>
      </c>
      <c r="BZ30" s="15" t="str">
        <f>IF(factorsTable[[#This Row],[factorHeader]]=0, "", IF(_xlfn.XLOOKUP(factorsTable[[#This Row],[index]],factorsConfigTable[index],factorsConfigTable[maxScore])="", NA(), _xlfn.XLOOKUP(factorsTable[[#This Row],[index]],factorsConfigTable[index],factorsConfigTable[maxScore])))</f>
        <v/>
      </c>
      <c r="CA30" s="15" t="str">
        <f ca="1">IF(factorsTable[[#This Row],[factorHeader]]=0, "", IF(ISERROR(factorsTable[[#This Row],[factorColNum]]), NA(), MIN(INDIRECT(factorsTable[[#This Row],[indirectColRef]],FALSE))))</f>
        <v/>
      </c>
      <c r="CB30" s="15" t="str">
        <f ca="1">IF(factorsTable[[#This Row],[factorHeader]]=0, "", IF(ISERROR(factorsTable[[#This Row],[factorColNum]]), NA(), MAX(INDIRECT(factorsTable[[#This Row],[indirectColRef]],FALSE))))</f>
        <v/>
      </c>
      <c r="CC30" s="15" t="b" cm="1">
        <f t="array" aca="1" ref="CC30" ca="1">AND(
    ISREF(INDIRECT(ADDRESS(1, 1, 1, 0, sheetNameData), FALSE)),
    factorsTable[[#This Row],[factorHeader]]&lt;&gt;0,
    NOT(ISERROR(factorsTable[[#This Row],[factorColNum]])),
    IFERROR(factorsTable[[#This Row],[display]], FALSE),
    IFERROR(factorsTable[[#This Row],[minValue]]&lt;factorsTable[[#This Row],[minScore]], FALSE)
  )</f>
        <v>0</v>
      </c>
      <c r="CD30" s="15" t="b" cm="1">
        <f t="array" aca="1" ref="CD30" ca="1">AND(
    ISREF(INDIRECT(ADDRESS(1, 1, 1, 0, sheetNameData), FALSE)),
    factorsTable[[#This Row],[factorHeader]]&lt;&gt;0,
    NOT(ISERROR(factorsTable[[#This Row],[factorColNum]])),
    IFERROR(factorsTable[[#This Row],[display]], FALSE),
    IFERROR(factorsTable[[#This Row],[maxValue]]&gt;factorsTable[[#This Row],[maxScore]], FALSE)
  )</f>
        <v>0</v>
      </c>
      <c r="CE30" s="15" t="str" cm="1">
        <f t="array" aca="1" ref="CE30" ca="1">IF(factorsTable[[#This Row],[factorHeader]]=0, "", SUMPRODUCT(IF(isDoer="", 0, 1-isDoer),--(INDIRECT(factorsTable[[#This Row],[indirectColRef]],FALSE)&lt;&gt;"")))</f>
        <v/>
      </c>
      <c r="CF30" s="15" t="str" cm="1">
        <f t="array" aca="1" ref="CF30" ca="1">IF(factorsTable[[#This Row],[factorHeader]]=0, "", SUMPRODUCT(IF(isDoer="", 0, isDoer),--(INDIRECT(factorsTable[[#This Row],[indirectColRef]],FALSE)&lt;&gt;"")))</f>
        <v/>
      </c>
      <c r="CG30" s="15" t="str" cm="1">
        <f t="array" ref="CG30">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0" s="15" t="str" cm="1">
        <f t="array" aca="1" ref="CH30"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0" s="15" t="str" cm="1">
        <f t="array" aca="1" ref="CI30"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0" s="15" t="str">
        <f>IF(factorsTable[[#This Row],[factorHeader]]=0, "", factorsTable[[#This Row],[doers]]-factorsTable[[#This Row],[nondoers]])</f>
        <v/>
      </c>
      <c r="CK30" s="15" t="str">
        <f>IF(
    factorsTable[[#This Row],[factorHeader]]=0,
    "",
    _xlfn.XLOOKUP(
      _xlfn.XLOOKUP(factorsTable[[#This Row],[index]], factorsConfigTable[index], factorsConfigTable[displayConfig]),
      yesNoTable[label],
      yesNoTable[tag]
    )
  )</f>
        <v/>
      </c>
      <c r="CL30" s="15" t="b">
        <f>IF(factorsTable[[#This Row],[factorHeader]]=0, FALSE, IF(factorsTable[[#This Row],[displayConfig]]="yes", TRUE, IF(factorsTable[[#This Row],[displayConfig]]="no", FALSE, NA())))</f>
        <v>0</v>
      </c>
      <c r="CM30" s="15" t="str" cm="1">
        <f t="array" aca="1" ref="CM30"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0" s="15" t="str">
        <f ca="1">IF(
    factorsTable[[#This Row],[filteredIndex]]="",
    "",
    IFERROR(
      _xlfn.XLOOKUP(factorsTable[[#This Row],[filteredIndex]], factorsTable[index], factorsTable[difference]),
      -99
    )
  )</f>
        <v/>
      </c>
      <c r="CO30" s="15" t="str">
        <f ca="1">IF(factorsTable[[#This Row],[filteredIndex]]="", "", IF(factorsTable[[#This Row],[relDiff]]=-99, -99, ABS(factorsTable[[#This Row],[relDiff]])))</f>
        <v/>
      </c>
      <c r="CP30" s="15" t="str">
        <f ca="1">IF(
    factorsTable[[#This Row],[filteredIndex]]="",
    "",
    IFERROR(
      _xlfn.XLOOKUP(
        _xlfn.XLOOKUP(factorsTable[[#This Row],[filteredIndex]], factorsConfigTable[index], factorsConfigTable[RANASBlock]),
        RANASBlocksTable[label],
        RANASBlocksTable[index]
      ),
      6
    )
  )</f>
        <v/>
      </c>
      <c r="CQ30" s="15" t="str">
        <f ca="1">IF(factorsTable[[#This Row],[filteredIndex]]="", "", _xlfn.RANK.EQ(factorsTable[[#This Row],[relDiff]], factorsTable[relDiff], 0))</f>
        <v/>
      </c>
      <c r="CR30" s="15" t="str">
        <f ca="1">IF(factorsTable[[#This Row],[filteredIndex]]="", "", _xlfn.RANK.EQ(factorsTable[[#This Row],[absDiff]], factorsTable[absDiff], 0))</f>
        <v/>
      </c>
      <c r="CS30" s="15" t="str">
        <f ca="1">IF(factorsTable[[#This Row],[filteredIndex]]="", "", _xlfn.RANK.EQ(factorsTable[[#This Row],[RANASIndex]], factorsTable[RANASIndex], 1))</f>
        <v/>
      </c>
      <c r="CT30" s="15" t="str" cm="1">
        <f t="array" aca="1" ref="CT30" ca="1">_xlfn.SWITCH(
    sortingMethodTag,
    "none", factorsTable[[#This Row],[filteredIndex]],
    "relDiff", factorsTable[[#This Row],[relDiffRank]],
    "absDiff", factorsTable[[#This Row],[absDiffRank]],
    "RANAS", factorsTable[[#This Row],[RANASRank]],
    factorsTable[[#This Row],[filteredIndex]]
  )</f>
        <v/>
      </c>
      <c r="CU30" s="15" t="str">
        <f ca="1">IF(
    factorsTable[[#This Row],[filteredIndex]]="",
    "",
    factorsTable[[#This Row],[selectedRank]]
      + COUNTIF(INDEX(factorsTable[selectedRank], 1):INDEX(factorsTable[selectedRank], factorsTable[[#This Row],[index]]), factorsTable[[#This Row],[selectedRank]])
      - 1
  )</f>
        <v/>
      </c>
      <c r="CV30" s="15" t="str">
        <f ca="1">IFERROR(
    _xlfn.XLOOKUP(factorsTable[[#This Row],[index]], factorsTable[uniqueRank], factorsTable[filteredIndex]),
    ""
  )</f>
        <v/>
      </c>
      <c r="CW30" s="15" t="str">
        <f ca="1">IF(factorsTable[[#This Row],[sortedIndex]]="", "", INDEX(factorsConfigTable[],MATCH(factorsTable[[#This Row],[sortedIndex]],factorsConfigTable[index],0),MATCH(chartLanguage,factorsConfigTable_Headers,0)))</f>
        <v/>
      </c>
      <c r="CX30" s="15" t="str" cm="1">
        <f t="array" aca="1" ref="CX30"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0" s="15" t="str">
        <f ca="1">IF(
    factorsTable[[#This Row],[sortedIndex]]="",
    "",
    _xlfn.XLOOKUP(
      _xlfn.XLOOKUP(factorsTable[[#This Row],[sortedIndex]], factorsConfigTable[index], factorsConfigTable[RANASBlock]),
      RANASBlocksTable[label],
      RANASBlocksTable[tag]
    )
  )</f>
        <v/>
      </c>
      <c r="CZ30" s="15" t="str" cm="1">
        <f t="array" aca="1" ref="CZ30"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0"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0" s="15" t="str">
        <f ca="1">IF(
    factorsTable[[#This Row],[sortedIndex]]="",
    "",
    _xlfn.XLOOKUP(factorsTable[[#This Row],[sortedIndex]], factorsTable[index], factorsTable[numTotal])
  )</f>
        <v/>
      </c>
      <c r="DC30" s="15" t="str">
        <f ca="1">IF(
    factorsTable[[#This Row],[sortedIndex]]="",
    "",
    _xlfn.XLOOKUP(factorsTable[[#This Row],[sortedIndex]], factorsTable[index], factorsTable[nondoers])
  )</f>
        <v/>
      </c>
      <c r="DD30" s="15" t="str">
        <f ca="1">IF(
    factorsTable[[#This Row],[sortedIndex]]="",
    "",
    _xlfn.XLOOKUP(factorsTable[[#This Row],[sortedIndex]], factorsTable[index], factorsTable[doers])
  )</f>
        <v/>
      </c>
      <c r="DE30" s="15" t="str">
        <f ca="1">IF(
    factorsTable[[#This Row],[sortedIndex]]="",
    "",
    _xlfn.XLOOKUP(factorsTable[[#This Row],[sortedIndex]], factorsTable[index], factorsTable[difference])
  )</f>
        <v/>
      </c>
    </row>
    <row r="31" spans="5:109" ht="14.4" customHeight="1" x14ac:dyDescent="0.3">
      <c r="E31" s="40" cm="1">
        <f t="array" ref="E31">ROW()-ROW(UITranslationTable[#Headers])</f>
        <v>29</v>
      </c>
      <c r="F31" s="1" t="s">
        <v>216</v>
      </c>
      <c r="G31" s="59"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59"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Q31" s="15" cm="1">
        <f t="array" ref="Q31">ROW()-ROW(generalVariablesTable[#Headers])</f>
        <v>29</v>
      </c>
      <c r="R31" t="s">
        <v>186</v>
      </c>
      <c r="S31" s="59" t="str">
        <f ca="1">_xlfn.TEXTJOIN(CHAR(10) &amp; CHAR(10), TRUE, errorMessagesTable[langSpecError])</f>
        <v xml:space="preserve">
1. The "data" sheet cannot be found. Make sure you have imported your data file as a new spreadsheet in this Excel workbook and renamed that sheet "data" (without quotes).</v>
      </c>
      <c r="BU31" s="15" cm="1">
        <f t="array" ref="BU31">ROW()-ROW(factorsTable[#Headers])</f>
        <v>29</v>
      </c>
      <c r="BV31" s="15">
        <f>_xlfn.XLOOKUP(factorsTable[[#This Row],[index]],factorsConfigTable[index],factorsConfigTable[factorHeader])</f>
        <v>0</v>
      </c>
      <c r="BW31" s="15" t="str" cm="1">
        <f t="array" aca="1" ref="BW31"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1" s="15" t="str" cm="1">
        <f t="array" ref="BX31">IF(factorsTable[[#This Row],[factorHeader]]=0, "", ADDRESS(2, factorsTable[[#This Row],[factorColNum]], 1, 0, sheetNameData) &amp; ":" &amp; ADDRESS(numEntries+1, factorsTable[[#This Row],[factorColNum]], 1, 0))</f>
        <v/>
      </c>
      <c r="BY31" s="15" t="str">
        <f>IF(factorsTable[[#This Row],[factorHeader]]=0, "", IF(_xlfn.XLOOKUP(factorsTable[[#This Row],[index]],factorsConfigTable[index],factorsConfigTable[minScore])="", NA(), _xlfn.XLOOKUP(factorsTable[[#This Row],[index]],factorsConfigTable[index],factorsConfigTable[minScore])))</f>
        <v/>
      </c>
      <c r="BZ31" s="15" t="str">
        <f>IF(factorsTable[[#This Row],[factorHeader]]=0, "", IF(_xlfn.XLOOKUP(factorsTable[[#This Row],[index]],factorsConfigTable[index],factorsConfigTable[maxScore])="", NA(), _xlfn.XLOOKUP(factorsTable[[#This Row],[index]],factorsConfigTable[index],factorsConfigTable[maxScore])))</f>
        <v/>
      </c>
      <c r="CA31" s="15" t="str">
        <f ca="1">IF(factorsTable[[#This Row],[factorHeader]]=0, "", IF(ISERROR(factorsTable[[#This Row],[factorColNum]]), NA(), MIN(INDIRECT(factorsTable[[#This Row],[indirectColRef]],FALSE))))</f>
        <v/>
      </c>
      <c r="CB31" s="15" t="str">
        <f ca="1">IF(factorsTable[[#This Row],[factorHeader]]=0, "", IF(ISERROR(factorsTable[[#This Row],[factorColNum]]), NA(), MAX(INDIRECT(factorsTable[[#This Row],[indirectColRef]],FALSE))))</f>
        <v/>
      </c>
      <c r="CC31" s="15" t="b" cm="1">
        <f t="array" aca="1" ref="CC31" ca="1">AND(
    ISREF(INDIRECT(ADDRESS(1, 1, 1, 0, sheetNameData), FALSE)),
    factorsTable[[#This Row],[factorHeader]]&lt;&gt;0,
    NOT(ISERROR(factorsTable[[#This Row],[factorColNum]])),
    IFERROR(factorsTable[[#This Row],[display]], FALSE),
    IFERROR(factorsTable[[#This Row],[minValue]]&lt;factorsTable[[#This Row],[minScore]], FALSE)
  )</f>
        <v>0</v>
      </c>
      <c r="CD31" s="15" t="b" cm="1">
        <f t="array" aca="1" ref="CD31" ca="1">AND(
    ISREF(INDIRECT(ADDRESS(1, 1, 1, 0, sheetNameData), FALSE)),
    factorsTable[[#This Row],[factorHeader]]&lt;&gt;0,
    NOT(ISERROR(factorsTable[[#This Row],[factorColNum]])),
    IFERROR(factorsTable[[#This Row],[display]], FALSE),
    IFERROR(factorsTable[[#This Row],[maxValue]]&gt;factorsTable[[#This Row],[maxScore]], FALSE)
  )</f>
        <v>0</v>
      </c>
      <c r="CE31" s="15" t="str" cm="1">
        <f t="array" aca="1" ref="CE31" ca="1">IF(factorsTable[[#This Row],[factorHeader]]=0, "", SUMPRODUCT(IF(isDoer="", 0, 1-isDoer),--(INDIRECT(factorsTable[[#This Row],[indirectColRef]],FALSE)&lt;&gt;"")))</f>
        <v/>
      </c>
      <c r="CF31" s="15" t="str" cm="1">
        <f t="array" aca="1" ref="CF31" ca="1">IF(factorsTable[[#This Row],[factorHeader]]=0, "", SUMPRODUCT(IF(isDoer="", 0, isDoer),--(INDIRECT(factorsTable[[#This Row],[indirectColRef]],FALSE)&lt;&gt;"")))</f>
        <v/>
      </c>
      <c r="CG31" s="15" t="str" cm="1">
        <f t="array" ref="CG31">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1" s="15" t="str" cm="1">
        <f t="array" aca="1" ref="CH31"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1" s="15" t="str" cm="1">
        <f t="array" aca="1" ref="CI31"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1" s="15" t="str">
        <f>IF(factorsTable[[#This Row],[factorHeader]]=0, "", factorsTable[[#This Row],[doers]]-factorsTable[[#This Row],[nondoers]])</f>
        <v/>
      </c>
      <c r="CK31" s="15" t="str">
        <f>IF(
    factorsTable[[#This Row],[factorHeader]]=0,
    "",
    _xlfn.XLOOKUP(
      _xlfn.XLOOKUP(factorsTable[[#This Row],[index]], factorsConfigTable[index], factorsConfigTable[displayConfig]),
      yesNoTable[label],
      yesNoTable[tag]
    )
  )</f>
        <v/>
      </c>
      <c r="CL31" s="15" t="b">
        <f>IF(factorsTable[[#This Row],[factorHeader]]=0, FALSE, IF(factorsTable[[#This Row],[displayConfig]]="yes", TRUE, IF(factorsTable[[#This Row],[displayConfig]]="no", FALSE, NA())))</f>
        <v>0</v>
      </c>
      <c r="CM31" s="15" t="str" cm="1">
        <f t="array" aca="1" ref="CM31"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1" s="15" t="str">
        <f ca="1">IF(
    factorsTable[[#This Row],[filteredIndex]]="",
    "",
    IFERROR(
      _xlfn.XLOOKUP(factorsTable[[#This Row],[filteredIndex]], factorsTable[index], factorsTable[difference]),
      -99
    )
  )</f>
        <v/>
      </c>
      <c r="CO31" s="15" t="str">
        <f ca="1">IF(factorsTable[[#This Row],[filteredIndex]]="", "", IF(factorsTable[[#This Row],[relDiff]]=-99, -99, ABS(factorsTable[[#This Row],[relDiff]])))</f>
        <v/>
      </c>
      <c r="CP31" s="15" t="str">
        <f ca="1">IF(
    factorsTable[[#This Row],[filteredIndex]]="",
    "",
    IFERROR(
      _xlfn.XLOOKUP(
        _xlfn.XLOOKUP(factorsTable[[#This Row],[filteredIndex]], factorsConfigTable[index], factorsConfigTable[RANASBlock]),
        RANASBlocksTable[label],
        RANASBlocksTable[index]
      ),
      6
    )
  )</f>
        <v/>
      </c>
      <c r="CQ31" s="15" t="str">
        <f ca="1">IF(factorsTable[[#This Row],[filteredIndex]]="", "", _xlfn.RANK.EQ(factorsTable[[#This Row],[relDiff]], factorsTable[relDiff], 0))</f>
        <v/>
      </c>
      <c r="CR31" s="15" t="str">
        <f ca="1">IF(factorsTable[[#This Row],[filteredIndex]]="", "", _xlfn.RANK.EQ(factorsTable[[#This Row],[absDiff]], factorsTable[absDiff], 0))</f>
        <v/>
      </c>
      <c r="CS31" s="15" t="str">
        <f ca="1">IF(factorsTable[[#This Row],[filteredIndex]]="", "", _xlfn.RANK.EQ(factorsTable[[#This Row],[RANASIndex]], factorsTable[RANASIndex], 1))</f>
        <v/>
      </c>
      <c r="CT31" s="15" t="str" cm="1">
        <f t="array" aca="1" ref="CT31" ca="1">_xlfn.SWITCH(
    sortingMethodTag,
    "none", factorsTable[[#This Row],[filteredIndex]],
    "relDiff", factorsTable[[#This Row],[relDiffRank]],
    "absDiff", factorsTable[[#This Row],[absDiffRank]],
    "RANAS", factorsTable[[#This Row],[RANASRank]],
    factorsTable[[#This Row],[filteredIndex]]
  )</f>
        <v/>
      </c>
      <c r="CU31" s="15" t="str">
        <f ca="1">IF(
    factorsTable[[#This Row],[filteredIndex]]="",
    "",
    factorsTable[[#This Row],[selectedRank]]
      + COUNTIF(INDEX(factorsTable[selectedRank], 1):INDEX(factorsTable[selectedRank], factorsTable[[#This Row],[index]]), factorsTable[[#This Row],[selectedRank]])
      - 1
  )</f>
        <v/>
      </c>
      <c r="CV31" s="15" t="str">
        <f ca="1">IFERROR(
    _xlfn.XLOOKUP(factorsTable[[#This Row],[index]], factorsTable[uniqueRank], factorsTable[filteredIndex]),
    ""
  )</f>
        <v/>
      </c>
      <c r="CW31" s="15" t="str">
        <f ca="1">IF(factorsTable[[#This Row],[sortedIndex]]="", "", INDEX(factorsConfigTable[],MATCH(factorsTable[[#This Row],[sortedIndex]],factorsConfigTable[index],0),MATCH(chartLanguage,factorsConfigTable_Headers,0)))</f>
        <v/>
      </c>
      <c r="CX31" s="15" t="str" cm="1">
        <f t="array" aca="1" ref="CX31"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1" s="15" t="str">
        <f ca="1">IF(
    factorsTable[[#This Row],[sortedIndex]]="",
    "",
    _xlfn.XLOOKUP(
      _xlfn.XLOOKUP(factorsTable[[#This Row],[sortedIndex]], factorsConfigTable[index], factorsConfigTable[RANASBlock]),
      RANASBlocksTable[label],
      RANASBlocksTable[tag]
    )
  )</f>
        <v/>
      </c>
      <c r="CZ31" s="15" t="str" cm="1">
        <f t="array" aca="1" ref="CZ31"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1"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1" s="15" t="str">
        <f ca="1">IF(
    factorsTable[[#This Row],[sortedIndex]]="",
    "",
    _xlfn.XLOOKUP(factorsTable[[#This Row],[sortedIndex]], factorsTable[index], factorsTable[numTotal])
  )</f>
        <v/>
      </c>
      <c r="DC31" s="15" t="str">
        <f ca="1">IF(
    factorsTable[[#This Row],[sortedIndex]]="",
    "",
    _xlfn.XLOOKUP(factorsTable[[#This Row],[sortedIndex]], factorsTable[index], factorsTable[nondoers])
  )</f>
        <v/>
      </c>
      <c r="DD31" s="15" t="str">
        <f ca="1">IF(
    factorsTable[[#This Row],[sortedIndex]]="",
    "",
    _xlfn.XLOOKUP(factorsTable[[#This Row],[sortedIndex]], factorsTable[index], factorsTable[doers])
  )</f>
        <v/>
      </c>
      <c r="DE31" s="15" t="str">
        <f ca="1">IF(
    factorsTable[[#This Row],[sortedIndex]]="",
    "",
    _xlfn.XLOOKUP(factorsTable[[#This Row],[sortedIndex]], factorsTable[index], factorsTable[difference])
  )</f>
        <v/>
      </c>
    </row>
    <row r="32" spans="5:109" ht="14.4" customHeight="1" x14ac:dyDescent="0.3">
      <c r="E32" s="40" cm="1">
        <f t="array" ref="E32">ROW()-ROW(UITranslationTable[#Headers])</f>
        <v>30</v>
      </c>
      <c r="F32" s="1" t="s">
        <v>217</v>
      </c>
      <c r="G32" s="59"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59"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BU32" s="15" cm="1">
        <f t="array" ref="BU32">ROW()-ROW(factorsTable[#Headers])</f>
        <v>30</v>
      </c>
      <c r="BV32" s="15">
        <f>_xlfn.XLOOKUP(factorsTable[[#This Row],[index]],factorsConfigTable[index],factorsConfigTable[factorHeader])</f>
        <v>0</v>
      </c>
      <c r="BW32" s="15" t="str" cm="1">
        <f t="array" aca="1" ref="BW32" ca="1">IF(factorsTable[[#This Row],[factorHeader]]=0, "",
    _xlfn.IFNA(MATCH(factorsTable[[#This Row],[factorHeader]], INDIRECT(ADDRESS(1, 1, 1, 0, sheetNameData) &amp; ":" &amp; ADDRESS(1, maxColNum, 1, 0), FALSE),0),
      _xlfn.IFNA(MATCH("*/"&amp;factorsTable[[#This Row],[factorHeader]], INDIRECT(ADDRESS(1, 1, 1, 0, sheetNameData) &amp; ":" &amp; ADDRESS(1, maxColNum, 1, 0), FALSE),0),
        MATCH("*-"&amp;factorsTable[[#This Row],[factorHeader]], INDIRECT(ADDRESS(1, 1, 1, 0, sheetNameData) &amp; ":" &amp; ADDRESS(1, maxColNum, 1, 0), FALSE),0))))</f>
        <v/>
      </c>
      <c r="BX32" s="15" t="str" cm="1">
        <f t="array" ref="BX32">IF(factorsTable[[#This Row],[factorHeader]]=0, "", ADDRESS(2, factorsTable[[#This Row],[factorColNum]], 1, 0, sheetNameData) &amp; ":" &amp; ADDRESS(numEntries+1, factorsTable[[#This Row],[factorColNum]], 1, 0))</f>
        <v/>
      </c>
      <c r="BY32" s="15" t="str">
        <f>IF(factorsTable[[#This Row],[factorHeader]]=0, "", IF(_xlfn.XLOOKUP(factorsTable[[#This Row],[index]],factorsConfigTable[index],factorsConfigTable[minScore])="", NA(), _xlfn.XLOOKUP(factorsTable[[#This Row],[index]],factorsConfigTable[index],factorsConfigTable[minScore])))</f>
        <v/>
      </c>
      <c r="BZ32" s="15" t="str">
        <f>IF(factorsTable[[#This Row],[factorHeader]]=0, "", IF(_xlfn.XLOOKUP(factorsTable[[#This Row],[index]],factorsConfigTable[index],factorsConfigTable[maxScore])="", NA(), _xlfn.XLOOKUP(factorsTable[[#This Row],[index]],factorsConfigTable[index],factorsConfigTable[maxScore])))</f>
        <v/>
      </c>
      <c r="CA32" s="15" t="str">
        <f ca="1">IF(factorsTable[[#This Row],[factorHeader]]=0, "", IF(ISERROR(factorsTable[[#This Row],[factorColNum]]), NA(), MIN(INDIRECT(factorsTable[[#This Row],[indirectColRef]],FALSE))))</f>
        <v/>
      </c>
      <c r="CB32" s="15" t="str">
        <f ca="1">IF(factorsTable[[#This Row],[factorHeader]]=0, "", IF(ISERROR(factorsTable[[#This Row],[factorColNum]]), NA(), MAX(INDIRECT(factorsTable[[#This Row],[indirectColRef]],FALSE))))</f>
        <v/>
      </c>
      <c r="CC32" s="15" t="b" cm="1">
        <f t="array" aca="1" ref="CC32" ca="1">AND(
    ISREF(INDIRECT(ADDRESS(1, 1, 1, 0, sheetNameData), FALSE)),
    factorsTable[[#This Row],[factorHeader]]&lt;&gt;0,
    NOT(ISERROR(factorsTable[[#This Row],[factorColNum]])),
    IFERROR(factorsTable[[#This Row],[display]], FALSE),
    IFERROR(factorsTable[[#This Row],[minValue]]&lt;factorsTable[[#This Row],[minScore]], FALSE)
  )</f>
        <v>0</v>
      </c>
      <c r="CD32" s="15" t="b" cm="1">
        <f t="array" aca="1" ref="CD32" ca="1">AND(
    ISREF(INDIRECT(ADDRESS(1, 1, 1, 0, sheetNameData), FALSE)),
    factorsTable[[#This Row],[factorHeader]]&lt;&gt;0,
    NOT(ISERROR(factorsTable[[#This Row],[factorColNum]])),
    IFERROR(factorsTable[[#This Row],[display]], FALSE),
    IFERROR(factorsTable[[#This Row],[maxValue]]&gt;factorsTable[[#This Row],[maxScore]], FALSE)
  )</f>
        <v>0</v>
      </c>
      <c r="CE32" s="15" t="str" cm="1">
        <f t="array" aca="1" ref="CE32" ca="1">IF(factorsTable[[#This Row],[factorHeader]]=0, "", SUMPRODUCT(IF(isDoer="", 0, 1-isDoer),--(INDIRECT(factorsTable[[#This Row],[indirectColRef]],FALSE)&lt;&gt;"")))</f>
        <v/>
      </c>
      <c r="CF32" s="15" t="str" cm="1">
        <f t="array" aca="1" ref="CF32" ca="1">IF(factorsTable[[#This Row],[factorHeader]]=0, "", SUMPRODUCT(IF(isDoer="", 0, isDoer),--(INDIRECT(factorsTable[[#This Row],[indirectColRef]],FALSE)&lt;&gt;"")))</f>
        <v/>
      </c>
      <c r="CG32" s="15" t="str" cm="1">
        <f t="array" ref="CG32">IF(
    factorsTable[[#This Row],[factorHeader]]=0,
    "",
    IF(
      ISERROR(factorsTable[[#This Row],[factorColNum]]),
      _xlfn.XLOOKUP(
        "dataNotFound",
        UITranslationTable[tag],
        INDEX(
          UITranslationTable[],
          0,
          IFERROR(
            MATCH(UILanguage, UITranslationTable[#Headers], 0),
            MATCH(UITranslationTable[[#Headers],[English]], UITranslationTable[#Headers], 0)
          )
        )
      ),
      factorsTable[[#This Row],[numDoers]] + factorsTable[[#This Row],[numNondoers]]
    )
  )</f>
        <v/>
      </c>
      <c r="CH32" s="15" t="str" cm="1">
        <f t="array" aca="1" ref="CH32" ca="1">IF(factorsTable[[#This Row],[factorHeader]]=0, "", IF(factorsTable[[#This Row],[numNondoers]]=0, 0, SUMPRODUCT(IF(isDoer="", 0, 1-isDoer), --(INDIRECT(factorsTable[[#This Row],[indirectColRef]],FALSE)&lt;&gt;""), (IF(INDIRECT(factorsTable[[#This Row],[indirectColRef]],FALSE)="", 0, INDIRECT(factorsTable[[#This Row],[indirectColRef]],FALSE))-factorsTable[[#This Row],[minScore]])/(factorsTable[[#This Row],[maxScore]]-factorsTable[[#This Row],[minScore]]))/factorsTable[[#This Row],[numNondoers]]))</f>
        <v/>
      </c>
      <c r="CI32" s="15" t="str" cm="1">
        <f t="array" aca="1" ref="CI32" ca="1">IF(factorsTable[[#This Row],[factorHeader]]=0, "", IF(factorsTable[[#This Row],[numDoers]]=0, 0, SUMPRODUCT(IF(isDoer="", 0, isDoer), --(INDIRECT(factorsTable[[#This Row],[indirectColRef]],FALSE)&lt;&gt;""), (IF(INDIRECT(factorsTable[[#This Row],[indirectColRef]],FALSE)="", 0, INDIRECT(factorsTable[[#This Row],[indirectColRef]],FALSE))-factorsTable[[#This Row],[minScore]])/(factorsTable[[#This Row],[maxScore]]-factorsTable[[#This Row],[minScore]]))/factorsTable[[#This Row],[numDoers]]))</f>
        <v/>
      </c>
      <c r="CJ32" s="15" t="str">
        <f>IF(factorsTable[[#This Row],[factorHeader]]=0, "", factorsTable[[#This Row],[doers]]-factorsTable[[#This Row],[nondoers]])</f>
        <v/>
      </c>
      <c r="CK32" s="15" t="str">
        <f>IF(
    factorsTable[[#This Row],[factorHeader]]=0,
    "",
    _xlfn.XLOOKUP(
      _xlfn.XLOOKUP(factorsTable[[#This Row],[index]], factorsConfigTable[index], factorsConfigTable[displayConfig]),
      yesNoTable[label],
      yesNoTable[tag]
    )
  )</f>
        <v/>
      </c>
      <c r="CL32" s="15" t="b">
        <f>IF(factorsTable[[#This Row],[factorHeader]]=0, FALSE, IF(factorsTable[[#This Row],[displayConfig]]="yes", TRUE, IF(factorsTable[[#This Row],[displayConfig]]="no", FALSE, NA())))</f>
        <v>0</v>
      </c>
      <c r="CM32" s="15" t="str" cm="1">
        <f t="array" aca="1" ref="CM32" ca="1">IF(IF(factorsTable[[#This Row],[index]]=1, FALSE, INDEX(factorsTable[filteredIndex],factorsTable[[#This Row],[index]]-1)&gt;=MAX(factorsTable[index])), "", IFERROR(MATCH(TRUE,OFFSET(INDEX(factorsTable[display],1),IF(factorsTable[[#This Row],[index]]=1, 0, INDEX(factorsTable[filteredIndex],factorsTable[[#This Row],[index]]-1)),0):INDEX(factorsTable[display],MAX(factorsTable[index])),0) + IF(factorsTable[[#This Row],[index]]=1, 0, INDEX(factorsTable[filteredIndex],factorsTable[[#This Row],[index]]-1)),""))</f>
        <v/>
      </c>
      <c r="CN32" s="15" t="str">
        <f ca="1">IF(
    factorsTable[[#This Row],[filteredIndex]]="",
    "",
    IFERROR(
      _xlfn.XLOOKUP(factorsTable[[#This Row],[filteredIndex]], factorsTable[index], factorsTable[difference]),
      -99
    )
  )</f>
        <v/>
      </c>
      <c r="CO32" s="15" t="str">
        <f ca="1">IF(factorsTable[[#This Row],[filteredIndex]]="", "", IF(factorsTable[[#This Row],[relDiff]]=-99, -99, ABS(factorsTable[[#This Row],[relDiff]])))</f>
        <v/>
      </c>
      <c r="CP32" s="15" t="str">
        <f ca="1">IF(
    factorsTable[[#This Row],[filteredIndex]]="",
    "",
    IFERROR(
      _xlfn.XLOOKUP(
        _xlfn.XLOOKUP(factorsTable[[#This Row],[filteredIndex]], factorsConfigTable[index], factorsConfigTable[RANASBlock]),
        RANASBlocksTable[label],
        RANASBlocksTable[index]
      ),
      6
    )
  )</f>
        <v/>
      </c>
      <c r="CQ32" s="15" t="str">
        <f ca="1">IF(factorsTable[[#This Row],[filteredIndex]]="", "", _xlfn.RANK.EQ(factorsTable[[#This Row],[relDiff]], factorsTable[relDiff], 0))</f>
        <v/>
      </c>
      <c r="CR32" s="15" t="str">
        <f ca="1">IF(factorsTable[[#This Row],[filteredIndex]]="", "", _xlfn.RANK.EQ(factorsTable[[#This Row],[absDiff]], factorsTable[absDiff], 0))</f>
        <v/>
      </c>
      <c r="CS32" s="15" t="str">
        <f ca="1">IF(factorsTable[[#This Row],[filteredIndex]]="", "", _xlfn.RANK.EQ(factorsTable[[#This Row],[RANASIndex]], factorsTable[RANASIndex], 1))</f>
        <v/>
      </c>
      <c r="CT32" s="15" t="str" cm="1">
        <f t="array" aca="1" ref="CT32" ca="1">_xlfn.SWITCH(
    sortingMethodTag,
    "none", factorsTable[[#This Row],[filteredIndex]],
    "relDiff", factorsTable[[#This Row],[relDiffRank]],
    "absDiff", factorsTable[[#This Row],[absDiffRank]],
    "RANAS", factorsTable[[#This Row],[RANASRank]],
    factorsTable[[#This Row],[filteredIndex]]
  )</f>
        <v/>
      </c>
      <c r="CU32" s="15" t="str">
        <f ca="1">IF(
    factorsTable[[#This Row],[filteredIndex]]="",
    "",
    factorsTable[[#This Row],[selectedRank]]
      + COUNTIF(INDEX(factorsTable[selectedRank], 1):INDEX(factorsTable[selectedRank], factorsTable[[#This Row],[index]]), factorsTable[[#This Row],[selectedRank]])
      - 1
  )</f>
        <v/>
      </c>
      <c r="CV32" s="15" t="str">
        <f ca="1">IFERROR(
    _xlfn.XLOOKUP(factorsTable[[#This Row],[index]], factorsTable[uniqueRank], factorsTable[filteredIndex]),
    ""
  )</f>
        <v/>
      </c>
      <c r="CW32" s="15" t="str">
        <f ca="1">IF(factorsTable[[#This Row],[sortedIndex]]="", "", INDEX(factorsConfigTable[],MATCH(factorsTable[[#This Row],[sortedIndex]],factorsConfigTable[index],0),MATCH(chartLanguage,factorsConfigTable_Headers,0)))</f>
        <v/>
      </c>
      <c r="CX32" s="15" t="str" cm="1">
        <f t="array" aca="1" ref="CX32" ca="1">IF(
    factorsTable[[#This Row],[sortedIndex]]="",
    "",
    IF(
      factorsTable[[#This Row],[langSpecFactor]]=0,
      _xlfn.XLOOKUP(
        "noTranslation",
        UITranslationTable[tag],
        INDEX(
          UITranslationTable[],
          0,
          IFERROR(
            MATCH(UILanguage, UITranslationTable[#Headers], 0),
            MATCH(UITranslationTable[[#Headers],[English]], UITranslationTable[#Headers], 0)
          )
        )
      ),
      factorsTable[[#This Row],[langSpecFactor]]
    )
  )</f>
        <v/>
      </c>
      <c r="CY32" s="15" t="str">
        <f ca="1">IF(
    factorsTable[[#This Row],[sortedIndex]]="",
    "",
    _xlfn.XLOOKUP(
      _xlfn.XLOOKUP(factorsTable[[#This Row],[sortedIndex]], factorsConfigTable[index], factorsConfigTable[RANASBlock]),
      RANASBlocksTable[label],
      RANASBlocksTable[tag]
    )
  )</f>
        <v/>
      </c>
      <c r="CZ32" s="15" t="str" cm="1">
        <f t="array" aca="1" ref="CZ32" ca="1">IF(
    factorsTable[[#This Row],[sortedIndex]]="",
    "",
    IFERROR(
      _xlfn.XLOOKUP(factorsTable[[#This Row],[RANASTag]], RANASBlocksTable[tag], RANASBlocksTable[langSpecLabel]),
      _xlfn.XLOOKUP(
        "noRANASBlock",
        UITranslationTable[tag],
        INDEX(
          UITranslationTable[],
          0,
          IFERROR(
            MATCH(UILanguage, UITranslationTable[#Headers], 0),
            MATCH(UITranslationTable[[#Headers],[English]], UITranslationTable[#Headers], 0)
          )
        )
      )
    )
  )</f>
        <v/>
      </c>
      <c r="DA32" s="15" t="str">
        <f ca="1">IF(
    factorsTable[[#This Row],[sortedIndex]]="",
    "",
    factorsTable[[#This Row],[displayedFactor]] &amp; CHAR(10)
      &amp; IFERROR(
            IF(
              _xlfn.XLOOKUP(factorsTable[[#This Row],[RANASTag]], chartTranslationTable[tag], chartTranslationTable[langSpecText]) = 0,
              "",
              "["
            ),
            ""
          )
      &amp; factorsTable[[#This Row],[displayedRANASBlock]]
      &amp; IFERROR(
            IF(
              _xlfn.XLOOKUP(factorsTable[[#This Row],[RANASTag]], chartTranslationTable[tag], chartTranslationTable[langSpecText]) = 0,
              "",
              "]"
            ),
            ""
          )
  )</f>
        <v/>
      </c>
      <c r="DB32" s="15" t="str">
        <f ca="1">IF(
    factorsTable[[#This Row],[sortedIndex]]="",
    "",
    _xlfn.XLOOKUP(factorsTable[[#This Row],[sortedIndex]], factorsTable[index], factorsTable[numTotal])
  )</f>
        <v/>
      </c>
      <c r="DC32" s="15" t="str">
        <f ca="1">IF(
    factorsTable[[#This Row],[sortedIndex]]="",
    "",
    _xlfn.XLOOKUP(factorsTable[[#This Row],[sortedIndex]], factorsTable[index], factorsTable[nondoers])
  )</f>
        <v/>
      </c>
      <c r="DD32" s="15" t="str">
        <f ca="1">IF(
    factorsTable[[#This Row],[sortedIndex]]="",
    "",
    _xlfn.XLOOKUP(factorsTable[[#This Row],[sortedIndex]], factorsTable[index], factorsTable[doers])
  )</f>
        <v/>
      </c>
      <c r="DE32" s="15" t="str">
        <f ca="1">IF(
    factorsTable[[#This Row],[sortedIndex]]="",
    "",
    _xlfn.XLOOKUP(factorsTable[[#This Row],[sortedIndex]], factorsTable[index], factorsTable[difference])
  )</f>
        <v/>
      </c>
    </row>
    <row r="33" spans="5:8" ht="14.4" customHeight="1" x14ac:dyDescent="0.3">
      <c r="E33" s="40" cm="1">
        <f t="array" ref="E33">ROW()-ROW(UITranslationTable[#Headers])</f>
        <v>31</v>
      </c>
      <c r="F33" s="1" t="s">
        <v>218</v>
      </c>
      <c r="G33" s="59"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59"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row>
    <row r="34" spans="5:8" ht="14.4" customHeight="1" x14ac:dyDescent="0.3">
      <c r="E34" s="1" cm="1">
        <f t="array" ref="E34">ROW()-ROW(UITranslationTable[#Headers])</f>
        <v>32</v>
      </c>
      <c r="F34" s="1" t="s">
        <v>189</v>
      </c>
      <c r="G34" s="59" t="s">
        <v>149</v>
      </c>
      <c r="H34" s="59" t="s">
        <v>190</v>
      </c>
    </row>
    <row r="35" spans="5:8" ht="14.4" customHeight="1" x14ac:dyDescent="0.3">
      <c r="E35" s="1" cm="1">
        <f t="array" ref="E35">ROW()-ROW(UITranslationTable[#Headers])</f>
        <v>33</v>
      </c>
      <c r="F35" s="1" t="s">
        <v>70</v>
      </c>
      <c r="G35" s="59" t="s">
        <v>71</v>
      </c>
      <c r="H35" s="59" t="s">
        <v>206</v>
      </c>
    </row>
    <row r="36" spans="5:8" ht="14.4" customHeight="1" x14ac:dyDescent="0.3">
      <c r="E36" s="1" cm="1">
        <f t="array" ref="E36">ROW()-ROW(UITranslationTable[#Headers])</f>
        <v>34</v>
      </c>
      <c r="F36" s="1" t="s">
        <v>49</v>
      </c>
      <c r="G36" s="59" t="s">
        <v>11</v>
      </c>
      <c r="H36" s="59" t="s">
        <v>64</v>
      </c>
    </row>
    <row r="37" spans="5:8" ht="14.4" customHeight="1" x14ac:dyDescent="0.3">
      <c r="E37" s="1" cm="1">
        <f t="array" ref="E37">ROW()-ROW(UITranslationTable[#Headers])</f>
        <v>35</v>
      </c>
      <c r="F37" s="1" t="s">
        <v>72</v>
      </c>
      <c r="G37" s="59" t="s">
        <v>76</v>
      </c>
      <c r="H37" s="59" t="s">
        <v>75</v>
      </c>
    </row>
    <row r="38" spans="5:8" ht="14.4" customHeight="1" x14ac:dyDescent="0.3">
      <c r="E38" s="1" cm="1">
        <f t="array" ref="E38">ROW()-ROW(UITranslationTable[#Headers])</f>
        <v>36</v>
      </c>
      <c r="F38" s="1" t="s">
        <v>73</v>
      </c>
      <c r="G38" s="59" t="s">
        <v>77</v>
      </c>
      <c r="H38" s="59" t="s">
        <v>78</v>
      </c>
    </row>
    <row r="39" spans="5:8" ht="14.4" customHeight="1" x14ac:dyDescent="0.3">
      <c r="E39" s="1" cm="1">
        <f t="array" ref="E39">ROW()-ROW(UITranslationTable[#Headers])</f>
        <v>37</v>
      </c>
      <c r="F39" s="1" t="s">
        <v>74</v>
      </c>
      <c r="G39" s="59" t="s">
        <v>36</v>
      </c>
      <c r="H39" s="59" t="s">
        <v>10</v>
      </c>
    </row>
    <row r="40" spans="5:8" ht="14.4" customHeight="1" x14ac:dyDescent="0.3">
      <c r="E40" s="1" cm="1">
        <f t="array" ref="E40">ROW()-ROW(UITranslationTable[#Headers])</f>
        <v>38</v>
      </c>
      <c r="F40" s="1" t="s">
        <v>82</v>
      </c>
      <c r="G40" s="59" t="s">
        <v>83</v>
      </c>
      <c r="H40" s="59" t="s">
        <v>84</v>
      </c>
    </row>
    <row r="41" spans="5:8" ht="14.4" customHeight="1" x14ac:dyDescent="0.3">
      <c r="E41" s="1" cm="1">
        <f t="array" ref="E41">ROW()-ROW(UITranslationTable[#Headers])</f>
        <v>39</v>
      </c>
      <c r="F41" s="1" t="s">
        <v>192</v>
      </c>
      <c r="G41" s="59" t="s">
        <v>93</v>
      </c>
      <c r="H41" s="59" t="s">
        <v>193</v>
      </c>
    </row>
    <row r="42" spans="5:8" ht="14.4" customHeight="1" x14ac:dyDescent="0.3">
      <c r="E42" s="1" cm="1">
        <f t="array" ref="E42">ROW()-ROW(UITranslationTable[#Headers])</f>
        <v>40</v>
      </c>
      <c r="F42" s="1" t="s">
        <v>85</v>
      </c>
      <c r="G42" s="59" t="s">
        <v>87</v>
      </c>
      <c r="H42" s="59" t="s">
        <v>88</v>
      </c>
    </row>
    <row r="43" spans="5:8" ht="14.4" customHeight="1" x14ac:dyDescent="0.3">
      <c r="E43" s="1" cm="1">
        <f t="array" ref="E43">ROW()-ROW(UITranslationTable[#Headers])</f>
        <v>41</v>
      </c>
      <c r="F43" s="1" t="s">
        <v>86</v>
      </c>
      <c r="G43" s="59" t="s">
        <v>89</v>
      </c>
      <c r="H43" s="59" t="s">
        <v>90</v>
      </c>
    </row>
    <row r="44" spans="5:8" ht="14.4" customHeight="1" x14ac:dyDescent="0.3">
      <c r="E44" s="1" cm="1">
        <f t="array" ref="E44">ROW()-ROW(UITranslationTable[#Headers])</f>
        <v>42</v>
      </c>
      <c r="F44" s="1" t="s">
        <v>194</v>
      </c>
      <c r="G44" s="59" t="s">
        <v>276</v>
      </c>
      <c r="H44" s="59" t="s">
        <v>277</v>
      </c>
    </row>
    <row r="45" spans="5:8" ht="14.4" customHeight="1" x14ac:dyDescent="0.3">
      <c r="E45" s="1" cm="1">
        <f t="array" ref="E45">ROW()-ROW(UITranslationTable[#Headers])</f>
        <v>43</v>
      </c>
      <c r="F45" s="1" t="s">
        <v>199</v>
      </c>
      <c r="G45" s="59" t="s">
        <v>200</v>
      </c>
      <c r="H45" s="59" t="s">
        <v>201</v>
      </c>
    </row>
    <row r="46" spans="5:8" ht="14.4" customHeight="1" x14ac:dyDescent="0.3">
      <c r="E46" s="40" cm="1">
        <f t="array" ref="E46">ROW()-ROW(UITranslationTable[#Headers])</f>
        <v>44</v>
      </c>
      <c r="F46" s="1" t="s">
        <v>219</v>
      </c>
      <c r="G46" s="59" t="str">
        <f>"3." &amp; CHAR(160) &amp; "RANAS factors"</f>
        <v>3. RANAS factors</v>
      </c>
      <c r="H46" s="59" t="str">
        <f>"3." &amp; CHAR(160) &amp; "Facteurs RANAS"</f>
        <v>3. Facteurs RANAS</v>
      </c>
    </row>
    <row r="47" spans="5:8" ht="14.4" customHeight="1" x14ac:dyDescent="0.3">
      <c r="E47" s="40" cm="1">
        <f t="array" ref="E47">ROW()-ROW(UITranslationTable[#Headers])</f>
        <v>45</v>
      </c>
      <c r="F47" s="1" t="s">
        <v>220</v>
      </c>
      <c r="G47" s="59" t="s">
        <v>346</v>
      </c>
      <c r="H47" s="59" t="s">
        <v>347</v>
      </c>
    </row>
    <row r="48" spans="5:8" ht="14.4" customHeight="1" x14ac:dyDescent="0.3">
      <c r="E48" s="40" cm="1">
        <f t="array" ref="E48">ROW()-ROW(UITranslationTable[#Headers])</f>
        <v>46</v>
      </c>
      <c r="F48" s="1" t="s">
        <v>221</v>
      </c>
      <c r="G48" s="59"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59"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row>
    <row r="49" spans="5:8" ht="14.4" customHeight="1" x14ac:dyDescent="0.3">
      <c r="E49" s="40" cm="1">
        <f t="array" ref="E49">ROW()-ROW(UITranslationTable[#Headers])</f>
        <v>47</v>
      </c>
      <c r="F49" s="1" t="s">
        <v>222</v>
      </c>
      <c r="G49" s="59"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59"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row>
    <row r="50" spans="5:8" ht="14.4" customHeight="1" x14ac:dyDescent="0.3">
      <c r="E50" s="40" cm="1">
        <f t="array" ref="E50">ROW()-ROW(UITranslationTable[#Headers])</f>
        <v>48</v>
      </c>
      <c r="F50" s="1" t="s">
        <v>223</v>
      </c>
      <c r="G50" s="59" t="s">
        <v>207</v>
      </c>
      <c r="H50" s="59" t="s">
        <v>224</v>
      </c>
    </row>
    <row r="51" spans="5:8" ht="14.4" customHeight="1" x14ac:dyDescent="0.3">
      <c r="E51" s="40" cm="1">
        <f t="array" ref="E51">ROW()-ROW(UITranslationTable[#Headers])</f>
        <v>49</v>
      </c>
      <c r="F51" s="1" t="s">
        <v>225</v>
      </c>
      <c r="G51" s="59"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59"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row>
    <row r="52" spans="5:8" ht="14.4" customHeight="1" x14ac:dyDescent="0.3">
      <c r="E52" s="40" cm="1">
        <f t="array" ref="E52">ROW()-ROW(UITranslationTable[#Headers])</f>
        <v>50</v>
      </c>
      <c r="F52" s="1" t="s">
        <v>226</v>
      </c>
      <c r="G52" s="59"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59"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row>
    <row r="53" spans="5:8" ht="14.4" customHeight="1" x14ac:dyDescent="0.3">
      <c r="E53" s="40" cm="1">
        <f t="array" ref="E53">ROW()-ROW(UITranslationTable[#Headers])</f>
        <v>51</v>
      </c>
      <c r="F53" s="1" t="s">
        <v>227</v>
      </c>
      <c r="G53" s="59"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59"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row>
    <row r="54" spans="5:8" ht="14.4" customHeight="1" x14ac:dyDescent="0.3">
      <c r="E54" s="1" cm="1">
        <f t="array" ref="E54">ROW()-ROW(UITranslationTable[#Headers])</f>
        <v>52</v>
      </c>
      <c r="F54" s="59" t="s">
        <v>251</v>
      </c>
      <c r="G54" s="59" t="s">
        <v>121</v>
      </c>
      <c r="H54" s="59" t="s">
        <v>191</v>
      </c>
    </row>
    <row r="55" spans="5:8" ht="14.4" customHeight="1" x14ac:dyDescent="0.3">
      <c r="E55" s="1" cm="1">
        <f t="array" ref="E55">ROW()-ROW(UITranslationTable[#Headers])</f>
        <v>53</v>
      </c>
      <c r="F55" s="59" t="s">
        <v>252</v>
      </c>
      <c r="G55" s="59" t="s">
        <v>56</v>
      </c>
      <c r="H55" s="59" t="s">
        <v>63</v>
      </c>
    </row>
    <row r="56" spans="5:8" ht="14.4" customHeight="1" x14ac:dyDescent="0.3">
      <c r="E56" s="1" cm="1">
        <f t="array" ref="E56">ROW()-ROW(UITranslationTable[#Headers])</f>
        <v>54</v>
      </c>
      <c r="F56" s="1" t="s">
        <v>185</v>
      </c>
      <c r="G56" s="59" t="s">
        <v>162</v>
      </c>
      <c r="H56" s="59" t="s">
        <v>163</v>
      </c>
    </row>
    <row r="57" spans="5:8" ht="14.4" customHeight="1" x14ac:dyDescent="0.3">
      <c r="E57" s="40" cm="1">
        <f t="array" ref="E57">ROW()-ROW(UITranslationTable[#Headers])</f>
        <v>55</v>
      </c>
      <c r="F57" s="1" t="s">
        <v>228</v>
      </c>
      <c r="G57" s="59" t="str">
        <f>"4." &amp; CHAR(160) &amp; "Translations for charts and data tables"</f>
        <v>4. Translations for charts and data tables</v>
      </c>
      <c r="H57" s="59" t="str">
        <f>"4." &amp; CHAR(160) &amp; "Traductions pour les graphiques et les tableaux de données"</f>
        <v>4. Traductions pour les graphiques et les tableaux de données</v>
      </c>
    </row>
    <row r="58" spans="5:8" ht="14.4" customHeight="1" x14ac:dyDescent="0.3">
      <c r="E58" s="40" cm="1">
        <f t="array" ref="E58">ROW()-ROW(UITranslationTable[#Headers])</f>
        <v>56</v>
      </c>
      <c r="F58" s="1" t="s">
        <v>229</v>
      </c>
      <c r="G58" s="59" t="s">
        <v>231</v>
      </c>
      <c r="H58" s="59" t="s">
        <v>230</v>
      </c>
    </row>
    <row r="59" spans="5:8" ht="14.4" customHeight="1" x14ac:dyDescent="0.3">
      <c r="E59" s="40" cm="1">
        <f t="array" ref="E59">ROW()-ROW(UITranslationTable[#Headers])</f>
        <v>57</v>
      </c>
      <c r="F59" s="1"/>
      <c r="G59" s="59"/>
      <c r="H59" s="59"/>
    </row>
    <row r="60" spans="5:8" ht="14.4" customHeight="1" x14ac:dyDescent="0.3">
      <c r="E60" s="40" cm="1">
        <f t="array" ref="E60">ROW()-ROW(UITranslationTable[#Headers])</f>
        <v>58</v>
      </c>
      <c r="F60" s="1" t="s">
        <v>197</v>
      </c>
      <c r="G60" s="59" t="s">
        <v>232</v>
      </c>
      <c r="H60" s="59" t="s">
        <v>233</v>
      </c>
    </row>
    <row r="61" spans="5:8" ht="14.4" customHeight="1" x14ac:dyDescent="0.3">
      <c r="E61" s="40" cm="1">
        <f t="array" ref="E61">ROW()-ROW(UITranslationTable[#Headers])</f>
        <v>59</v>
      </c>
      <c r="F61" s="1" t="s">
        <v>234</v>
      </c>
      <c r="G61" s="59" t="s">
        <v>235</v>
      </c>
      <c r="H61" s="59" t="s">
        <v>236</v>
      </c>
    </row>
    <row r="62" spans="5:8" ht="14.4" customHeight="1" x14ac:dyDescent="0.3">
      <c r="E62" s="40" cm="1">
        <f t="array" ref="E62">ROW()-ROW(UITranslationTable[#Headers])</f>
        <v>60</v>
      </c>
      <c r="F62" s="1" t="s">
        <v>237</v>
      </c>
      <c r="G62" s="59" t="s">
        <v>306</v>
      </c>
      <c r="H62" s="59" t="s">
        <v>307</v>
      </c>
    </row>
    <row r="63" spans="5:8" ht="14.4" customHeight="1" x14ac:dyDescent="0.3">
      <c r="E63" s="40" cm="1">
        <f t="array" ref="E63">ROW()-ROW(UITranslationTable[#Headers])</f>
        <v>61</v>
      </c>
      <c r="F63" s="1" t="s">
        <v>238</v>
      </c>
      <c r="G63" s="59" t="s">
        <v>240</v>
      </c>
      <c r="H63" s="59" t="s">
        <v>239</v>
      </c>
    </row>
    <row r="64" spans="5:8" ht="14.4" customHeight="1" x14ac:dyDescent="0.3">
      <c r="E64" s="1" cm="1">
        <f t="array" ref="E64">ROW()-ROW(UITranslationTable[#Headers])</f>
        <v>62</v>
      </c>
      <c r="F64" s="1" t="s">
        <v>50</v>
      </c>
      <c r="G64" s="59" t="s">
        <v>360</v>
      </c>
      <c r="H64" s="59" t="s">
        <v>361</v>
      </c>
    </row>
    <row r="65" spans="5:8" ht="14.4" customHeight="1" x14ac:dyDescent="0.3">
      <c r="E65" s="1" cm="1">
        <f t="array" ref="E65">ROW()-ROW(UITranslationTable[#Headers])</f>
        <v>63</v>
      </c>
      <c r="F65" s="1" t="s">
        <v>102</v>
      </c>
      <c r="G65" s="59" t="e" cm="1">
        <f t="array" aca="1" ref="G65" ca="1">"ⓘ Recommended cutoff level: " &amp; TEXT(cutoffLevelRecommended,"0") &amp; "%"</f>
        <v>#N/A</v>
      </c>
      <c r="H65" s="59" t="e" cm="1">
        <f t="array" aca="1" ref="H65" ca="1">"ⓘ Niveau de seuil conseillé: " &amp; TEXT(cutoffLevelRecommended,"0") &amp; "%"</f>
        <v>#N/A</v>
      </c>
    </row>
    <row r="66" spans="5:8" ht="14.4" customHeight="1" x14ac:dyDescent="0.3">
      <c r="E66" s="1" cm="1">
        <f t="array" ref="E66">ROW()-ROW(UITranslationTable[#Headers])</f>
        <v>64</v>
      </c>
      <c r="F66" s="1" t="s">
        <v>205</v>
      </c>
      <c r="G66" s="59"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59"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row>
    <row r="67" spans="5:8" ht="14.4" customHeight="1" x14ac:dyDescent="0.3">
      <c r="E67" s="1" cm="1">
        <f t="array" ref="E67">ROW()-ROW(UITranslationTable[#Headers])</f>
        <v>65</v>
      </c>
      <c r="F67" s="1" t="s">
        <v>359</v>
      </c>
      <c r="G67" s="59" t="s">
        <v>288</v>
      </c>
      <c r="H67" s="59" t="s">
        <v>286</v>
      </c>
    </row>
    <row r="68" spans="5:8" ht="14.4" customHeight="1" x14ac:dyDescent="0.3">
      <c r="E68" s="1" cm="1">
        <f t="array" ref="E68">ROW()-ROW(UITranslationTable[#Headers])</f>
        <v>66</v>
      </c>
      <c r="F68" s="1" t="s">
        <v>283</v>
      </c>
      <c r="G68" s="59" t="s">
        <v>287</v>
      </c>
      <c r="H68" s="59" t="s">
        <v>289</v>
      </c>
    </row>
    <row r="69" spans="5:8" ht="14.4" customHeight="1" x14ac:dyDescent="0.3">
      <c r="E69" s="40" cm="1">
        <f t="array" ref="E69">ROW()-ROW(UITranslationTable[#Headers])</f>
        <v>67</v>
      </c>
      <c r="F69" s="1"/>
      <c r="G69" s="59"/>
      <c r="H69" s="59"/>
    </row>
    <row r="70" spans="5:8" ht="14.4" customHeight="1" x14ac:dyDescent="0.3">
      <c r="E70" s="40" cm="1">
        <f t="array" ref="E70">ROW()-ROW(UITranslationTable[#Headers])</f>
        <v>68</v>
      </c>
      <c r="F70" s="1" t="s">
        <v>198</v>
      </c>
      <c r="G70" s="59" t="s">
        <v>241</v>
      </c>
      <c r="H70" s="59" t="s">
        <v>242</v>
      </c>
    </row>
    <row r="71" spans="5:8" ht="14.4" customHeight="1" x14ac:dyDescent="0.3">
      <c r="E71" s="40" cm="1">
        <f t="array" ref="E71">ROW()-ROW(UITranslationTable[#Headers])</f>
        <v>69</v>
      </c>
      <c r="F71" s="1" t="s">
        <v>243</v>
      </c>
      <c r="G71" s="59" t="s">
        <v>349</v>
      </c>
      <c r="H71" s="59" t="s">
        <v>350</v>
      </c>
    </row>
    <row r="72" spans="5:8" ht="14.4" customHeight="1" x14ac:dyDescent="0.3">
      <c r="E72" s="40" cm="1">
        <f t="array" ref="E72">ROW()-ROW(UITranslationTable[#Headers])</f>
        <v>70</v>
      </c>
      <c r="F72" s="1" t="s">
        <v>244</v>
      </c>
      <c r="G72" s="59" t="s">
        <v>245</v>
      </c>
      <c r="H72" s="59" t="s">
        <v>246</v>
      </c>
    </row>
    <row r="73" spans="5:8" ht="14.4" customHeight="1" x14ac:dyDescent="0.3">
      <c r="E73" s="40" cm="1">
        <f t="array" ref="E73">ROW()-ROW(UITranslationTable[#Headers])</f>
        <v>71</v>
      </c>
      <c r="F73" s="1" t="s">
        <v>247</v>
      </c>
      <c r="G73" s="59" t="s">
        <v>248</v>
      </c>
      <c r="H73" s="59" t="s">
        <v>249</v>
      </c>
    </row>
    <row r="74" spans="5:8" ht="14.4" customHeight="1" x14ac:dyDescent="0.3">
      <c r="E74" s="40" cm="1">
        <f t="array" ref="E74">ROW()-ROW(UITranslationTable[#Headers])</f>
        <v>72</v>
      </c>
      <c r="F74" s="1" t="s">
        <v>259</v>
      </c>
      <c r="G74" s="59" t="s">
        <v>275</v>
      </c>
      <c r="H74" s="59" t="s">
        <v>274</v>
      </c>
    </row>
    <row r="75" spans="5:8" ht="14.4" customHeight="1" x14ac:dyDescent="0.3">
      <c r="E75" s="40" cm="1">
        <f t="array" ref="E75">ROW()-ROW(UITranslationTable[#Headers])</f>
        <v>73</v>
      </c>
      <c r="F75" s="1" t="s">
        <v>260</v>
      </c>
      <c r="G75" s="59" t="str" cm="1">
        <f t="array" aca="1" ref="G75" ca="1">"No sorting is applied. The factors are displayed in the same order as in the """ &amp; sheetNameConfiguration &amp; """ sheet."</f>
        <v>No sorting is applied. The factors are displayed in the same order as in the "Configuration" sheet.</v>
      </c>
      <c r="H75" s="59" t="str" cm="1">
        <f t="array" aca="1" ref="H75" ca="1">"Aucun tri n'est appliqué. Les facteurs sont affichés dans le même ordre que sur la feuille «" &amp; sheetNameConfiguration &amp; "»."</f>
        <v>Aucun tri n'est appliqué. Les facteurs sont affichés dans le même ordre que sur la feuille «Configuration».</v>
      </c>
    </row>
    <row r="76" spans="5:8" ht="14.4" customHeight="1" x14ac:dyDescent="0.3">
      <c r="E76" s="40" cm="1">
        <f t="array" ref="E76">ROW()-ROW(UITranslationTable[#Headers])</f>
        <v>74</v>
      </c>
      <c r="F76" s="1" t="s">
        <v>261</v>
      </c>
      <c r="G76" s="59" t="s">
        <v>264</v>
      </c>
      <c r="H76" s="59" t="s">
        <v>267</v>
      </c>
    </row>
    <row r="77" spans="5:8" ht="14.4" customHeight="1" x14ac:dyDescent="0.3">
      <c r="E77" s="40" cm="1">
        <f t="array" ref="E77">ROW()-ROW(UITranslationTable[#Headers])</f>
        <v>75</v>
      </c>
      <c r="F77" s="1" t="s">
        <v>262</v>
      </c>
      <c r="G77" s="59" t="s">
        <v>265</v>
      </c>
      <c r="H77" s="59" t="s">
        <v>268</v>
      </c>
    </row>
    <row r="78" spans="5:8" ht="14.4" customHeight="1" x14ac:dyDescent="0.3">
      <c r="E78" s="40" cm="1">
        <f t="array" ref="E78">ROW()-ROW(UITranslationTable[#Headers])</f>
        <v>76</v>
      </c>
      <c r="F78" s="1" t="s">
        <v>263</v>
      </c>
      <c r="G78" s="59" t="s">
        <v>266</v>
      </c>
      <c r="H78" s="59" t="s">
        <v>269</v>
      </c>
    </row>
    <row r="79" spans="5:8" ht="14.4" customHeight="1" x14ac:dyDescent="0.3">
      <c r="E79" s="40" cm="1">
        <f t="array" ref="E79">ROW()-ROW(UITranslationTable[#Headers])</f>
        <v>77</v>
      </c>
      <c r="F79" s="1" t="s">
        <v>195</v>
      </c>
      <c r="G79" s="59" t="s">
        <v>148</v>
      </c>
      <c r="H79" s="59" t="s">
        <v>196</v>
      </c>
    </row>
    <row r="80" spans="5:8" ht="14.4" customHeight="1" x14ac:dyDescent="0.3">
      <c r="E80" s="40" cm="1">
        <f t="array" ref="E80">ROW()-ROW(UITranslationTable[#Headers])</f>
        <v>78</v>
      </c>
      <c r="F80" s="1"/>
      <c r="G80" s="59"/>
      <c r="H80" s="59"/>
    </row>
    <row r="81" spans="5:8" ht="14.4" customHeight="1" x14ac:dyDescent="0.3">
      <c r="E81" s="40" cm="1">
        <f t="array" ref="E81">ROW()-ROW(UITranslationTable[#Headers])</f>
        <v>79</v>
      </c>
      <c r="F81" s="1" t="s">
        <v>362</v>
      </c>
      <c r="G81" s="59" t="s">
        <v>374</v>
      </c>
      <c r="H81" s="59" t="s">
        <v>375</v>
      </c>
    </row>
    <row r="82" spans="5:8" ht="14.4" customHeight="1" x14ac:dyDescent="0.3">
      <c r="E82" s="40" cm="1">
        <f t="array" ref="E82">ROW()-ROW(UITranslationTable[#Headers])</f>
        <v>80</v>
      </c>
      <c r="F82" s="1" t="s">
        <v>363</v>
      </c>
      <c r="G82" s="59"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v>
      </c>
      <c r="H82" s="59"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v>
      </c>
    </row>
    <row r="83" spans="5:8" ht="14.4" customHeight="1" x14ac:dyDescent="0.3">
      <c r="E83" s="40" cm="1">
        <f t="array" ref="E83">ROW()-ROW(UITranslationTable[#Headers])</f>
        <v>81</v>
      </c>
      <c r="F83" s="1" t="s">
        <v>364</v>
      </c>
      <c r="G83" s="59" t="str" cm="1">
        <f t="array" aca="1" ref="G83" ca="1">"Setting up the """ &amp; sheetNameConfiguration &amp; """ sheet"</f>
        <v>Setting up the "Configuration" sheet</v>
      </c>
      <c r="H83" s="59" t="str" cm="1">
        <f t="array" aca="1" ref="H83" ca="1">"Paramétrer la feuille «" &amp; sheetNameConfiguration &amp; "»"</f>
        <v>Paramétrer la feuille «Configuration»</v>
      </c>
    </row>
    <row r="84" spans="5:8" ht="14.4" customHeight="1" x14ac:dyDescent="0.3">
      <c r="E84" s="40" cm="1">
        <f t="array" ref="E84">ROW()-ROW(UITranslationTable[#Headers])</f>
        <v>82</v>
      </c>
      <c r="F84" s="1" t="s">
        <v>365</v>
      </c>
      <c r="G84" s="59"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59"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row>
    <row r="85" spans="5:8" ht="14.4" customHeight="1" x14ac:dyDescent="0.3">
      <c r="E85" s="40" cm="1">
        <f t="array" ref="E85">ROW()-ROW(UITranslationTable[#Headers])</f>
        <v>83</v>
      </c>
      <c r="F85" s="1" t="s">
        <v>366</v>
      </c>
      <c r="G85" s="59"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59"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row>
    <row r="86" spans="5:8" ht="14.4" customHeight="1" x14ac:dyDescent="0.3">
      <c r="E86" s="40" cm="1">
        <f t="array" ref="E86">ROW()-ROW(UITranslationTable[#Headers])</f>
        <v>84</v>
      </c>
      <c r="F86" s="1" t="s">
        <v>367</v>
      </c>
      <c r="G86" s="59"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59"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row>
    <row r="87" spans="5:8" ht="14.4" customHeight="1" x14ac:dyDescent="0.3">
      <c r="E87" s="40" cm="1">
        <f t="array" ref="E87">ROW()-ROW(UITranslationTable[#Headers])</f>
        <v>85</v>
      </c>
      <c r="F87" s="1" t="s">
        <v>368</v>
      </c>
      <c r="G87" s="63"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59"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row>
    <row r="88" spans="5:8" ht="14.4" customHeight="1" x14ac:dyDescent="0.3">
      <c r="E88" s="40" cm="1">
        <f t="array" ref="E88">ROW()-ROW(UITranslationTable[#Headers])</f>
        <v>86</v>
      </c>
      <c r="F88" s="1" t="s">
        <v>369</v>
      </c>
      <c r="G88" s="59"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59"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row>
    <row r="89" spans="5:8" ht="14.4" customHeight="1" x14ac:dyDescent="0.3">
      <c r="E89" s="40" cm="1">
        <f t="array" ref="E89">ROW()-ROW(UITranslationTable[#Headers])</f>
        <v>87</v>
      </c>
      <c r="F89" s="1" t="s">
        <v>370</v>
      </c>
      <c r="G89" s="59" t="s">
        <v>232</v>
      </c>
      <c r="H89" s="59" t="s">
        <v>233</v>
      </c>
    </row>
    <row r="90" spans="5:8" ht="14.4" customHeight="1" x14ac:dyDescent="0.3">
      <c r="E90" s="40" cm="1">
        <f t="array" ref="E90">ROW()-ROW(UITranslationTable[#Headers])</f>
        <v>88</v>
      </c>
      <c r="F90" s="1" t="s">
        <v>371</v>
      </c>
      <c r="G90" s="59"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59"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row>
    <row r="91" spans="5:8" ht="14.4" customHeight="1" x14ac:dyDescent="0.3">
      <c r="E91" s="40" cm="1">
        <f t="array" ref="E91">ROW()-ROW(UITranslationTable[#Headers])</f>
        <v>89</v>
      </c>
      <c r="F91" s="1" t="s">
        <v>372</v>
      </c>
      <c r="G91" s="59" t="s">
        <v>377</v>
      </c>
      <c r="H91" s="59" t="s">
        <v>378</v>
      </c>
    </row>
    <row r="92" spans="5:8" ht="14.4" customHeight="1" x14ac:dyDescent="0.3">
      <c r="E92" s="40" cm="1">
        <f t="array" ref="E92">ROW()-ROW(UITranslationTable[#Headers])</f>
        <v>90</v>
      </c>
      <c r="F92" s="1" t="s">
        <v>373</v>
      </c>
      <c r="G92" s="59"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59"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row>
    <row r="93" spans="5:8" ht="14.4" customHeight="1" x14ac:dyDescent="0.3">
      <c r="E93" s="40" cm="1">
        <f t="array" ref="E93">ROW()-ROW(UITranslationTable[#Headers])</f>
        <v>91</v>
      </c>
      <c r="F93" s="1" t="s">
        <v>376</v>
      </c>
      <c r="G93" s="59" t="s">
        <v>379</v>
      </c>
      <c r="H93" s="59" t="s">
        <v>380</v>
      </c>
    </row>
  </sheetData>
  <sheetProtection algorithmName="SHA-512" hashValue="W38Z7u3QC5dJupDRS1RXjyzRYaqomY6X2yc/kXESYHSJWZEL7zKdBjRRsxmrg3pzwSIK9iCOHbjgLQOK/l+36w==" saltValue="5xBterHdEdr9r00qNHGLow==" spinCount="100000" sheet="1" objects="1" scenarios="1"/>
  <phoneticPr fontId="5" type="noConversion"/>
  <pageMargins left="0.7" right="0.7" top="0.75" bottom="0.75" header="0.3" footer="0.3"/>
  <pageSetup paperSize="9" orientation="portrait" r:id="rId1"/>
  <drawing r:id="rId2"/>
  <legacyDrawing r:id="rId3"/>
  <tableParts count="12">
    <tablePart r:id="rId4"/>
    <tablePart r:id="rId5"/>
    <tablePart r:id="rId6"/>
    <tablePart r:id="rId7"/>
    <tablePart r:id="rId8"/>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80" zoomScaleNormal="80" workbookViewId="0">
      <selection activeCell="C5" sqref="C5"/>
    </sheetView>
  </sheetViews>
  <sheetFormatPr defaultColWidth="0" defaultRowHeight="14.4" zeroHeight="1" x14ac:dyDescent="0.3"/>
  <cols>
    <col min="1" max="1" width="3.77734375" customWidth="1"/>
    <col min="2" max="2" width="30.77734375" customWidth="1"/>
    <col min="3" max="3" width="15.77734375" customWidth="1"/>
    <col min="4" max="4" width="55.77734375" customWidth="1"/>
    <col min="5" max="6" width="3.77734375" customWidth="1"/>
    <col min="7" max="7" width="15.77734375" customWidth="1"/>
    <col min="8" max="8" width="8.77734375" customWidth="1"/>
    <col min="9" max="9" width="15.77734375" customWidth="1"/>
    <col min="10" max="10" width="63.77734375" customWidth="1"/>
    <col min="11" max="12" width="3.77734375" customWidth="1"/>
    <col min="13" max="16384" width="8.88671875" hidden="1"/>
  </cols>
  <sheetData>
    <row r="1" spans="1:12" ht="48" customHeight="1" x14ac:dyDescent="0.75">
      <c r="A1" s="88"/>
      <c r="B1" s="220" t="str" cm="1">
        <f t="array" ref="B1">"RANAS Analyser v" &amp; versionNumber</f>
        <v>RANAS Analyser v1.0.0</v>
      </c>
      <c r="C1" s="220"/>
      <c r="D1" s="220"/>
      <c r="E1" s="220"/>
      <c r="F1" s="220"/>
      <c r="G1" s="220"/>
      <c r="H1" s="220"/>
      <c r="I1" s="220"/>
      <c r="J1" s="220"/>
      <c r="K1" s="220"/>
      <c r="L1" s="88"/>
    </row>
    <row r="2" spans="1:12" ht="30" x14ac:dyDescent="0.5">
      <c r="A2" s="88"/>
      <c r="B2" s="221" t="s">
        <v>311</v>
      </c>
      <c r="C2" s="222"/>
      <c r="D2" s="222"/>
      <c r="E2" s="222"/>
      <c r="F2" s="222"/>
      <c r="G2" s="222"/>
      <c r="H2" s="222"/>
      <c r="I2" s="222"/>
      <c r="J2" s="222"/>
      <c r="K2" s="222"/>
      <c r="L2" s="88"/>
    </row>
    <row r="3" spans="1:12" ht="16.05" customHeight="1" x14ac:dyDescent="0.3">
      <c r="A3" s="88"/>
      <c r="B3" s="223" t="s">
        <v>312</v>
      </c>
      <c r="C3" s="224"/>
      <c r="D3" s="224"/>
      <c r="E3" s="224"/>
      <c r="F3" s="224"/>
      <c r="G3" s="224"/>
      <c r="H3" s="224"/>
      <c r="I3" s="224"/>
      <c r="J3" s="224"/>
      <c r="K3" s="224"/>
      <c r="L3" s="88"/>
    </row>
    <row r="4" spans="1:12" ht="16.05" customHeight="1" thickBot="1" x14ac:dyDescent="0.35">
      <c r="A4" s="88"/>
      <c r="B4" s="225" t="s">
        <v>13</v>
      </c>
      <c r="C4" s="71"/>
      <c r="D4" s="228" t="str" cm="1">
        <f t="array" ref="D4">_xlfn.XLOOKUP(
    "introUILangText",
    UITranslationTable[tag],
    INDEX(
      UITranslationTable[],
      0,
      IFERROR(
        MATCH(UILanguage, UITranslationTable[#Headers], 0),
        MATCH(UITranslationTable[[#Headers], [English]], UITranslationTable[#Headers], 0)
      )
    )
  )</f>
        <v>This menu defines which of the built-in languages is used for the user interface.</v>
      </c>
      <c r="E4" s="72"/>
      <c r="F4" s="72"/>
      <c r="G4" s="73"/>
      <c r="H4" s="73"/>
      <c r="I4" s="74"/>
      <c r="J4" s="228" t="str" cm="1">
        <f t="array" aca="1" ref="J4" ca="1">_xlfn.XLOOKUP(
    "introChartLangText",
    UITranslationTable[tag],
    INDEX(
      UITranslationTable[],
      0,
      IFERROR(
        MATCH(UILanguage, UITranslationTable[#Headers], 0),
        MATCH(UITranslationTable[[#Headers], [English]], UITranslationTable[#Headers], 0)
      )
    )
  )</f>
        <v>This menu defines which language (built-in or user-defined in the "Configuration" sheet) is used in the charts and data tables.</v>
      </c>
      <c r="K4" s="75"/>
      <c r="L4" s="76"/>
    </row>
    <row r="5" spans="1:12" ht="16.05" customHeight="1" thickBot="1" x14ac:dyDescent="0.35">
      <c r="A5" s="88"/>
      <c r="B5" s="226"/>
      <c r="C5" s="96" t="s">
        <v>3</v>
      </c>
      <c r="D5" s="229"/>
      <c r="E5" s="77"/>
      <c r="F5" s="77"/>
      <c r="G5" s="78"/>
      <c r="H5" s="78" t="str" cm="1">
        <f t="array" ref="H5">_xlfn.XLOOKUP(
    "introChartLang",
    UITranslationTable[tag],
    INDEX(
      UITranslationTable[],
      0,
      IFERROR(
        MATCH(UILanguage, UITranslationTable[#Headers], 0),
        MATCH(UITranslationTable[[#Headers],[English]], UITranslationTable[#Headers], 0)
      )
    )
  )</f>
        <v>Chart language:</v>
      </c>
      <c r="I5" s="96" t="s">
        <v>3</v>
      </c>
      <c r="J5" s="229"/>
      <c r="K5" s="79"/>
      <c r="L5" s="76"/>
    </row>
    <row r="6" spans="1:12" ht="16.05" customHeight="1" x14ac:dyDescent="0.3">
      <c r="A6" s="88"/>
      <c r="B6" s="227"/>
      <c r="C6" s="80"/>
      <c r="D6" s="230"/>
      <c r="E6" s="81"/>
      <c r="F6" s="81"/>
      <c r="G6" s="82"/>
      <c r="H6" s="82"/>
      <c r="I6" s="83"/>
      <c r="J6" s="230"/>
      <c r="K6" s="84"/>
      <c r="L6" s="76"/>
    </row>
    <row r="7" spans="1:12" x14ac:dyDescent="0.3">
      <c r="A7" s="88"/>
      <c r="B7" s="88"/>
      <c r="C7" s="88"/>
      <c r="D7" s="88"/>
      <c r="E7" s="88"/>
      <c r="F7" s="88"/>
      <c r="G7" s="88"/>
      <c r="H7" s="88"/>
      <c r="I7" s="88"/>
      <c r="J7" s="88"/>
      <c r="K7" s="88"/>
      <c r="L7" s="88"/>
    </row>
    <row r="8" spans="1:12" ht="16.05" customHeight="1" x14ac:dyDescent="0.3">
      <c r="A8" s="88"/>
      <c r="B8" s="70" t="str" cm="1">
        <f t="array" ref="B8">_xlfn.XLOOKUP(
    "introIntroTitle",
    UITranslationTable[tag],
    INDEX(
      UITranslationTable[],
      0,
      IFERROR(
        MATCH(UILanguage, UITranslationTable[#Headers], 0),
        MATCH(UITranslationTable[[#Headers], [English]], UITranslationTable[#Headers], 0)
      )
    )
  )</f>
        <v>Introduction</v>
      </c>
      <c r="C8" s="76"/>
      <c r="D8" s="85"/>
      <c r="E8" s="86"/>
      <c r="F8" s="86"/>
      <c r="G8" s="86"/>
      <c r="H8" s="87"/>
      <c r="I8" s="76"/>
      <c r="J8" s="76"/>
      <c r="K8" s="88"/>
      <c r="L8" s="88"/>
    </row>
    <row r="9" spans="1:12" ht="36" customHeight="1" x14ac:dyDescent="0.3">
      <c r="A9" s="88"/>
      <c r="B9" s="199" t="str" cm="1">
        <f t="array" ref="B9">_xlfn.XLOOKUP(
    "introIntroText1",
    UITranslationTable[tag],
    INDEX(
      UITranslationTable[],
      0,
      IFERROR(
        MATCH(UILanguage, UITranslationTable[#Headers], 0),
        MATCH(UITranslationTable[[#Headers], [English]], UITranslationTable[#Headers], 0)
      )
    )
  )</f>
        <v>RANAS Analyser is a tool used to perform a doer / non-doer analysis of a RANAS quantitative survey. It computes the difference in behavioural factors – called RANAS factors – between "doers" and "non-doers" of a predefined behaviour.</v>
      </c>
      <c r="C9" s="200"/>
      <c r="D9" s="200"/>
      <c r="E9" s="200"/>
      <c r="F9" s="200"/>
      <c r="G9" s="200"/>
      <c r="H9" s="200"/>
      <c r="I9" s="200"/>
      <c r="J9" s="200"/>
      <c r="K9" s="113"/>
      <c r="L9" s="88"/>
    </row>
    <row r="10" spans="1:12" ht="48" customHeight="1" x14ac:dyDescent="0.3">
      <c r="A10" s="88"/>
      <c r="B10" s="203" t="str" cm="1">
        <f t="array" aca="1" ref="B10" ca="1">_xlfn.XLOOKUP(
    "introIntroText2",
    UITranslationTable[tag],
    INDEX(
      UITranslationTable[],
      0,
      IFERROR(
        MATCH(UILanguage, UITranslationTable[#Headers], 0),
        MATCH(UITranslationTable[[#Headers], [English]], UITranslationTable[#Headers], 0)
      )
    )
  )</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204"/>
      <c r="D10" s="204"/>
      <c r="E10" s="204"/>
      <c r="F10" s="204"/>
      <c r="G10" s="204"/>
      <c r="H10" s="204"/>
      <c r="I10" s="204"/>
      <c r="J10" s="204"/>
      <c r="K10" s="115"/>
      <c r="L10" s="88"/>
    </row>
    <row r="11" spans="1:12" ht="24" customHeight="1" x14ac:dyDescent="0.3">
      <c r="A11" s="88"/>
      <c r="B11" s="215" t="str" cm="1">
        <f t="array" aca="1" ref="B11" ca="1">_xlfn.XLOOKUP(
    "introIntroText3",
    UITranslationTable[tag],
    INDEX(
      UITranslationTable[],
      0,
      IFERROR(
        MATCH(UILanguage, UITranslationTable[#Headers], 0),
        MATCH(UITranslationTable[[#Headers], [English]], UITranslationTable[#Headers], 0)
      )
    )
  )</f>
        <v>Errors detected by the RANAS Analyser (e.g., missing or inconsistent values) are highlighted in red and explanations are displayed in the two "Error messages" boards of the "Configuration" sheet.</v>
      </c>
      <c r="C11" s="216"/>
      <c r="D11" s="216"/>
      <c r="E11" s="216"/>
      <c r="F11" s="216"/>
      <c r="G11" s="216"/>
      <c r="H11" s="216"/>
      <c r="I11" s="216"/>
      <c r="J11" s="216"/>
      <c r="K11" s="117"/>
      <c r="L11" s="88"/>
    </row>
    <row r="12" spans="1:12" x14ac:dyDescent="0.3">
      <c r="A12" s="88"/>
      <c r="B12" s="88"/>
      <c r="C12" s="88"/>
      <c r="D12" s="88"/>
      <c r="E12" s="88"/>
      <c r="F12" s="88"/>
      <c r="G12" s="88"/>
      <c r="H12" s="88"/>
      <c r="I12" s="88"/>
      <c r="J12" s="88"/>
      <c r="K12" s="88"/>
      <c r="L12" s="88"/>
    </row>
    <row r="13" spans="1:12" ht="16.05" customHeight="1" x14ac:dyDescent="0.3">
      <c r="A13" s="88"/>
      <c r="B13" s="70" t="str" cm="1">
        <f t="array" ref="B13">_xlfn.XLOOKUP(
    "introCreditsTitle",
    UITranslationTable[tag],
    INDEX(
      UITranslationTable[],
      0,
      IFERROR(
        MATCH(UILanguage, UITranslationTable[#Headers], 0),
        MATCH(UITranslationTable[[#Headers], [English]], UITranslationTable[#Headers], 0)
      )
    )
  )</f>
        <v>Credits</v>
      </c>
      <c r="C13" s="76"/>
      <c r="D13" s="85"/>
      <c r="E13" s="86"/>
      <c r="F13" s="86"/>
      <c r="G13" s="86"/>
      <c r="H13" s="87"/>
      <c r="I13" s="76"/>
      <c r="J13" s="76"/>
      <c r="K13" s="88"/>
      <c r="L13" s="88"/>
    </row>
    <row r="14" spans="1:12" ht="12" customHeight="1" x14ac:dyDescent="0.3">
      <c r="A14" s="88"/>
      <c r="B14" s="89"/>
      <c r="C14" s="90"/>
      <c r="D14" s="90"/>
      <c r="E14" s="90"/>
      <c r="F14" s="90"/>
      <c r="G14" s="90"/>
      <c r="H14" s="90"/>
      <c r="I14" s="90"/>
      <c r="J14" s="90"/>
      <c r="K14" s="113"/>
      <c r="L14" s="88"/>
    </row>
    <row r="15" spans="1:12" ht="66" customHeight="1" x14ac:dyDescent="0.3">
      <c r="A15" s="88"/>
      <c r="B15" s="217"/>
      <c r="C15" s="218"/>
      <c r="D15" s="218"/>
      <c r="E15" s="218"/>
      <c r="F15" s="218"/>
      <c r="G15" s="218"/>
      <c r="H15" s="218"/>
      <c r="I15" s="218"/>
      <c r="J15" s="218"/>
      <c r="K15" s="219"/>
      <c r="L15" s="162"/>
    </row>
    <row r="16" spans="1:12" ht="60" customHeight="1" x14ac:dyDescent="0.3">
      <c r="A16" s="88"/>
      <c r="B16" s="215" t="str" cm="1">
        <f t="array" ref="B16">_xlfn.XLOOKUP(
    "introCreditsText1",
    UITranslationTable[tag],
    INDEX(
      UITranslationTable[],
      0,
      IFERROR(
        MATCH(UILanguage, UITranslationTable[#Headers], 0),
        MATCH(UITranslationTable[[#Headers], [English]], UITranslationTable[#Headers], 0)
      )
    )
  )</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16"/>
      <c r="D16" s="216"/>
      <c r="E16" s="216"/>
      <c r="F16" s="216"/>
      <c r="G16" s="216"/>
      <c r="H16" s="216"/>
      <c r="I16" s="216"/>
      <c r="J16" s="216"/>
      <c r="K16" s="163"/>
      <c r="L16" s="162"/>
    </row>
    <row r="17" spans="1:12" x14ac:dyDescent="0.3">
      <c r="A17" s="88"/>
      <c r="B17" s="88"/>
      <c r="C17" s="88"/>
      <c r="D17" s="88"/>
      <c r="E17" s="88"/>
      <c r="F17" s="88"/>
      <c r="G17" s="88"/>
      <c r="H17" s="88"/>
      <c r="I17" s="88"/>
      <c r="J17" s="88"/>
      <c r="K17" s="88"/>
      <c r="L17" s="88"/>
    </row>
    <row r="18" spans="1:12" ht="16.05" customHeight="1" x14ac:dyDescent="0.3">
      <c r="A18" s="88"/>
      <c r="B18" s="70" t="str" cm="1">
        <f t="array" ref="B18">_xlfn.XLOOKUP(
    "introLinksTitle",
    UITranslationTable[tag],
    INDEX(
      UITranslationTable[],
      0,
      IFERROR(
        MATCH(UILanguage, UITranslationTable[#Headers], 0),
        MATCH(UITranslationTable[[#Headers], [English]], UITranslationTable[#Headers], 0)
      )
    )
  )</f>
        <v>Links</v>
      </c>
      <c r="C18" s="76"/>
      <c r="D18" s="85"/>
      <c r="E18" s="86"/>
      <c r="F18" s="86"/>
      <c r="G18" s="70" t="str" cm="1">
        <f t="array" ref="G18">_xlfn.XLOOKUP(
    "introLicenseTitle",
    UITranslationTable[tag],
    INDEX(
      UITranslationTable[],
      0,
      IFERROR(
        MATCH(UILanguage, UITranslationTable[#Headers], 0),
        MATCH(UITranslationTable[[#Headers], [English]], UITranslationTable[#Headers], 0)
      )
    )
  )</f>
        <v>License</v>
      </c>
      <c r="H18" s="88"/>
      <c r="I18" s="76"/>
      <c r="J18" s="76"/>
      <c r="K18" s="88"/>
      <c r="L18" s="88"/>
    </row>
    <row r="19" spans="1:12" ht="24" customHeight="1" x14ac:dyDescent="0.3">
      <c r="A19" s="88"/>
      <c r="B19" s="199" t="str" cm="1">
        <f t="array" ref="B19">_xlfn.XLOOKUP(
    "introLinksText1",
    UITranslationTable[tag],
    INDEX(
      UITranslationTable[],
      0,
      IFERROR(
        MATCH(UILanguage, UITranslationTable[#Headers], 0),
        MATCH(UITranslationTable[[#Headers], [English]], UITranslationTable[#Headers], 0)
      )
    )
  )</f>
        <v>The latest version of this file and additional documentation are available at this link:</v>
      </c>
      <c r="C19" s="200"/>
      <c r="D19" s="200"/>
      <c r="E19" s="91"/>
      <c r="F19" s="92"/>
      <c r="G19" s="212"/>
      <c r="H19" s="209" t="str" cm="1">
        <f t="array" ref="H19">_xlfn.XLOOKUP(
    "introLicenseText1",
    UITranslationTable[tag],
    INDEX(
      UITranslationTable[],
      0,
      IFERROR(
        MATCH(UILanguage, UITranslationTable[#Headers], 0),
        MATCH(UITranslationTable[[#Headers], [English]], UITranslationTable[#Headers], 0)
      )
    )
  )</f>
        <v>This work is licensed under Creative Commons Attribution-NonCommercial-NoDerivatives 4.0 International (CC BY­NC­ND 4.0).
To view a copy of this license, visit:</v>
      </c>
      <c r="I19" s="210"/>
      <c r="J19" s="210"/>
      <c r="K19" s="113"/>
      <c r="L19" s="88"/>
    </row>
    <row r="20" spans="1:12" ht="24" customHeight="1" x14ac:dyDescent="0.3">
      <c r="A20" s="88"/>
      <c r="B20" s="201" t="str">
        <f>HYPERLINK(ranasAnalyserLink)</f>
        <v>https://www.ranas.ch/analyser</v>
      </c>
      <c r="C20" s="202"/>
      <c r="D20" s="202"/>
      <c r="E20" s="93"/>
      <c r="F20" s="88"/>
      <c r="G20" s="213"/>
      <c r="H20" s="211"/>
      <c r="I20" s="211"/>
      <c r="J20" s="211"/>
      <c r="K20" s="115"/>
      <c r="L20" s="88"/>
    </row>
    <row r="21" spans="1:12" ht="36" customHeight="1" x14ac:dyDescent="0.3">
      <c r="A21" s="88"/>
      <c r="B21" s="203" t="str" cm="1">
        <f t="array" ref="B21">_xlfn.XLOOKUP(
    "introLinksText2",
    UITranslationTable[tag],
    INDEX(
      UITranslationTable[],
      0,
      IFERROR(
        MATCH(UILanguage, UITranslationTable[#Headers], 0),
        MATCH(UITranslationTable[[#Headers], [English]], UITranslationTable[#Headers], 0)
      )
    )
  )</f>
        <v>For more information about the RANAS methodology, you can visit the RANAS website (in English, but some documents are available in other languages):</v>
      </c>
      <c r="C21" s="204"/>
      <c r="D21" s="204"/>
      <c r="E21" s="94"/>
      <c r="F21" s="88"/>
      <c r="G21" s="213"/>
      <c r="H21" s="211"/>
      <c r="I21" s="211"/>
      <c r="J21" s="211"/>
      <c r="K21" s="115"/>
      <c r="L21" s="88"/>
    </row>
    <row r="22" spans="1:12" ht="24" customHeight="1" x14ac:dyDescent="0.3">
      <c r="A22" s="88"/>
      <c r="B22" s="205" t="str">
        <f>HYPERLINK(ranasWebsiteLink)</f>
        <v>https://ranas.ch</v>
      </c>
      <c r="C22" s="206"/>
      <c r="D22" s="206"/>
      <c r="E22" s="95"/>
      <c r="F22" s="88"/>
      <c r="G22" s="214"/>
      <c r="H22" s="207" t="str" cm="1">
        <f t="array" ref="H22">HYPERLINK(
    _xlfn.XLOOKUP(
      "introLicenseLink",
      UITranslationTable[tag],
      INDEX(
        UITranslationTable[],
        0,
        IFERROR(
          MATCH(UILanguage, UITranslationTable[#Headers], 0),
          MATCH(UITranslationTable[[#Headers], [English]], UITranslationTable[#Headers], 0)
        )
      )
    )
  )</f>
        <v>https://creativecommons.org/licenses/by-nc-nd/4.0/</v>
      </c>
      <c r="I22" s="208"/>
      <c r="J22" s="208"/>
      <c r="K22" s="117"/>
      <c r="L22" s="88"/>
    </row>
    <row r="23" spans="1:12" x14ac:dyDescent="0.3">
      <c r="A23" s="88"/>
      <c r="B23" s="88"/>
      <c r="C23" s="88"/>
      <c r="D23" s="88"/>
      <c r="E23" s="88"/>
      <c r="F23" s="88"/>
      <c r="G23" s="88"/>
      <c r="H23" s="88"/>
      <c r="I23" s="88"/>
      <c r="J23" s="88"/>
      <c r="K23" s="88"/>
      <c r="L23" s="88"/>
    </row>
  </sheetData>
  <sheetProtection algorithmName="SHA-512" hashValue="rapPFI0bTH50XNf7Wp6pHgsRaB1/bWz5lxWL4zA4uWD/vVaX2QsmgwiXxBoDw4ZRiWDVlV4LcEi3oenVXD9AvA==" saltValue="tTaaKfKBsW4I9m6fGypRtg==" spinCount="100000" sheet="1" objects="1" scenarios="1"/>
  <mergeCells count="18">
    <mergeCell ref="B1:K1"/>
    <mergeCell ref="B2:K2"/>
    <mergeCell ref="B3:K3"/>
    <mergeCell ref="B4:B6"/>
    <mergeCell ref="D4:D6"/>
    <mergeCell ref="J4:J6"/>
    <mergeCell ref="B10:J10"/>
    <mergeCell ref="B9:J9"/>
    <mergeCell ref="B11:J11"/>
    <mergeCell ref="B16:J16"/>
    <mergeCell ref="B15:K15"/>
    <mergeCell ref="B19:D19"/>
    <mergeCell ref="B20:D20"/>
    <mergeCell ref="B21:D21"/>
    <mergeCell ref="B22:D22"/>
    <mergeCell ref="H22:J22"/>
    <mergeCell ref="H19:J21"/>
    <mergeCell ref="G19:G22"/>
  </mergeCells>
  <conditionalFormatting sqref="C5">
    <cfRule type="expression" dxfId="38" priority="2">
      <formula>ISERROR(MATCH(sortingMethod,sortMenuList,0))</formula>
    </cfRule>
  </conditionalFormatting>
  <conditionalFormatting sqref="I5">
    <cfRule type="expression" dxfId="37" priority="1">
      <formula>ISERROR(MATCH(sortingMethod,sortMenuList,0))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80" zoomScaleNormal="80" workbookViewId="0">
      <selection activeCell="E16" sqref="E16"/>
    </sheetView>
  </sheetViews>
  <sheetFormatPr defaultColWidth="0" defaultRowHeight="14.4" zeroHeight="1" x14ac:dyDescent="0.3"/>
  <cols>
    <col min="1" max="1" width="1.6640625" style="3" customWidth="1"/>
    <col min="2" max="2" width="1.6640625" style="11" customWidth="1"/>
    <col min="3" max="3" width="10.6640625" style="11" customWidth="1"/>
    <col min="4" max="4" width="16.6640625" style="12" customWidth="1"/>
    <col min="5" max="5" width="21.6640625" style="3" customWidth="1"/>
    <col min="6" max="7" width="10.6640625" style="3" customWidth="1"/>
    <col min="8" max="12" width="21.6640625" style="3" customWidth="1"/>
    <col min="13" max="13" width="21.6640625" style="14" customWidth="1"/>
    <col min="14" max="14" width="21.6640625" style="3" customWidth="1"/>
    <col min="15" max="15" width="1.6640625" style="3" customWidth="1"/>
    <col min="16" max="16" width="15.88671875" style="3" hidden="1" customWidth="1"/>
    <col min="17" max="17" width="8.6640625" style="3" hidden="1" customWidth="1"/>
    <col min="18" max="18" width="20.44140625" style="14" hidden="1" customWidth="1"/>
    <col min="19" max="19" width="21.33203125" style="14" hidden="1" customWidth="1"/>
    <col min="20" max="20" width="1.6640625" style="14" customWidth="1"/>
    <col min="21" max="16384" width="8.88671875" hidden="1"/>
  </cols>
  <sheetData>
    <row r="1" spans="1:20" ht="19.95" customHeight="1" x14ac:dyDescent="0.3">
      <c r="A1" s="88"/>
      <c r="B1" s="103"/>
      <c r="C1" s="151"/>
      <c r="D1" s="145"/>
      <c r="E1" s="88"/>
      <c r="F1" s="88"/>
      <c r="G1" s="88"/>
      <c r="H1" s="88"/>
      <c r="I1" s="88"/>
      <c r="J1" s="88"/>
      <c r="K1" s="152"/>
      <c r="L1" s="88"/>
      <c r="M1" s="153"/>
      <c r="N1" s="88"/>
      <c r="O1" s="88"/>
      <c r="P1" s="88"/>
      <c r="Q1" s="88"/>
      <c r="R1" s="88"/>
      <c r="S1" s="88"/>
      <c r="T1" s="88"/>
    </row>
    <row r="2" spans="1:20" ht="19.95" customHeight="1" x14ac:dyDescent="0.3">
      <c r="A2" s="76"/>
      <c r="B2" s="123"/>
      <c r="C2" s="141" t="str" cm="1">
        <f t="array" ref="C2">_xlfn.XLOOKUP(
    "configImportTitle",
    UITranslationTable[tag],
    INDEX(
      UITranslationTable[],
      0,
      IFERROR(
        MATCH(UILanguage, UITranslationTable[#Headers], 0),
        MATCH(UITranslationTable[[#Headers], [English]], UITranslationTable[#Headers], 0)
      )
    )
  )</f>
        <v>1. Data import</v>
      </c>
      <c r="D2" s="76"/>
      <c r="E2" s="76"/>
      <c r="F2" s="76"/>
      <c r="G2" s="76"/>
      <c r="H2" s="76"/>
      <c r="I2" s="76"/>
      <c r="J2" s="76"/>
      <c r="K2" s="76"/>
      <c r="L2" s="76"/>
      <c r="M2" s="147"/>
      <c r="N2" s="147"/>
      <c r="O2" s="147"/>
      <c r="P2" s="147"/>
      <c r="Q2" s="88"/>
      <c r="R2" s="88"/>
      <c r="S2" s="88"/>
      <c r="T2" s="88"/>
    </row>
    <row r="3" spans="1:20" ht="90" customHeight="1" x14ac:dyDescent="0.6">
      <c r="A3" s="76"/>
      <c r="B3" s="89"/>
      <c r="C3" s="209" t="str" cm="1">
        <f t="array" ref="C3">_xlfn.XLOOKUP(
    "configImportText1",
    UITranslationTable[tag],
    INDEX(
      UITranslationTable[],
      0,
      IFERROR(
        MATCH(UILanguage, UITranslationTable[#Headers], 0),
        MATCH(UITranslationTable[[#Headers], [English]], UITranslationTable[#Headers], 0)
      )
    )
  )</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10"/>
      <c r="E3" s="210"/>
      <c r="F3" s="210"/>
      <c r="G3" s="210"/>
      <c r="H3" s="210"/>
      <c r="I3" s="210"/>
      <c r="J3" s="210"/>
      <c r="K3" s="269"/>
      <c r="L3" s="273" t="str" cm="1">
        <f t="array" ref="L3">"RANAS Analyser v" &amp; versionNumber</f>
        <v>RANAS Analyser v1.0.0</v>
      </c>
      <c r="M3" s="274"/>
      <c r="N3" s="274"/>
      <c r="O3" s="274"/>
      <c r="P3" s="88"/>
      <c r="Q3" s="88"/>
      <c r="R3" s="88"/>
      <c r="S3" s="88"/>
      <c r="T3" s="88"/>
    </row>
    <row r="4" spans="1:20" ht="16.2" customHeight="1" x14ac:dyDescent="0.3">
      <c r="A4" s="76"/>
      <c r="B4" s="105"/>
      <c r="C4" s="258" t="str" cm="1">
        <f t="array" ref="C4">_xlfn.XLOOKUP(
    "configImportText2",
    UITranslationTable[tag],
    INDEX(
      UITranslationTable[],
      0,
      IFERROR(
        MATCH(UILanguage, UITranslationTable[#Headers], 0),
        MATCH(UITranslationTable[[#Headers], [English]], UITranslationTable[#Headers], 0)
      )
    )
  )</f>
        <v>Then, you must copy this data file as a new spreadsheet in this Excel workbook and rename this new sheet "data" (without the quotes).</v>
      </c>
      <c r="D4" s="211"/>
      <c r="E4" s="211"/>
      <c r="F4" s="211"/>
      <c r="G4" s="211"/>
      <c r="H4" s="211"/>
      <c r="I4" s="211"/>
      <c r="J4" s="211"/>
      <c r="K4" s="275"/>
      <c r="L4" s="276" t="s">
        <v>311</v>
      </c>
      <c r="M4" s="277"/>
      <c r="N4" s="277"/>
      <c r="O4" s="148"/>
      <c r="P4" s="88"/>
      <c r="Q4" s="88"/>
      <c r="R4" s="88"/>
      <c r="S4" s="88"/>
      <c r="T4" s="88"/>
    </row>
    <row r="5" spans="1:20" ht="36" customHeight="1" x14ac:dyDescent="0.3">
      <c r="A5" s="76"/>
      <c r="B5" s="111"/>
      <c r="C5" s="270" t="str" cm="1">
        <f t="array" ref="C5">_xlfn.XLOOKUP(
    "configImportText3",
    UITranslationTable[tag],
    INDEX(
      UITranslationTable[],
      0,
      IFERROR(
        MATCH(UILanguage, UITranslationTable[#Headers], 0),
        MATCH(UITranslationTable[[#Headers], [English]], UITranslationTable[#Headers], 0)
      )
    )
  )</f>
        <v>CAUTION: You should ALWAYS import your data as a new spreadsheet, because simply pasting new data in an existing "data" sheet could produce unexpected and undesirable results.</v>
      </c>
      <c r="D5" s="271"/>
      <c r="E5" s="271"/>
      <c r="F5" s="271"/>
      <c r="G5" s="271"/>
      <c r="H5" s="271"/>
      <c r="I5" s="271"/>
      <c r="J5" s="271"/>
      <c r="K5" s="272"/>
      <c r="L5" s="278"/>
      <c r="M5" s="277"/>
      <c r="N5" s="277"/>
      <c r="O5" s="149"/>
      <c r="P5" s="88"/>
      <c r="Q5" s="88"/>
      <c r="R5" s="88"/>
      <c r="S5" s="88"/>
      <c r="T5" s="88"/>
    </row>
    <row r="6" spans="1:20" x14ac:dyDescent="0.3">
      <c r="A6" s="88"/>
      <c r="B6" s="88"/>
      <c r="C6" s="88"/>
      <c r="D6" s="88"/>
      <c r="E6" s="88"/>
      <c r="F6" s="88"/>
      <c r="G6" s="88"/>
      <c r="H6" s="88"/>
      <c r="I6" s="88"/>
      <c r="J6" s="146"/>
      <c r="K6" s="88"/>
      <c r="L6" s="88"/>
      <c r="M6" s="147"/>
      <c r="N6" s="147"/>
      <c r="O6" s="147"/>
      <c r="P6" s="147"/>
      <c r="Q6" s="88"/>
      <c r="R6" s="88"/>
      <c r="S6" s="88"/>
      <c r="T6" s="88"/>
    </row>
    <row r="7" spans="1:20" ht="19.95" customHeight="1" thickBot="1" x14ac:dyDescent="0.35">
      <c r="A7" s="88"/>
      <c r="B7" s="88"/>
      <c r="C7" s="141" t="str" cm="1">
        <f t="array" ref="C7">_xlfn.XLOOKUP(
    "configBehaviourTitle",
    UITranslationTable[tag],
    INDEX(
      UITranslationTable[],
      0,
      IFERROR(
        MATCH(UILanguage, UITranslationTable[#Headers], 0),
        MATCH(UITranslationTable[[#Headers], [English]], UITranslationTable[#Headers], 0)
      )
    )
  )</f>
        <v>2. Behaviour</v>
      </c>
      <c r="D7" s="88"/>
      <c r="E7" s="88"/>
      <c r="F7" s="88"/>
      <c r="G7" s="88"/>
      <c r="H7" s="88"/>
      <c r="I7" s="88"/>
      <c r="J7" s="88"/>
      <c r="K7" s="88"/>
      <c r="L7" s="233" t="str" cm="1">
        <f t="array" ref="L7">_xlfn.XLOOKUP(
    "configErrorMessages",
    UITranslationTable[tag],
    INDEX(
      UITranslationTable[],
      0,
      IFERROR(
        MATCH(UILanguage, UITranslationTable[#Headers], 0),
        MATCH(UITranslationTable[[#Headers], [English]], UITranslationTable[#Headers], 0)
      )
    )
  )</f>
        <v>Error Messages</v>
      </c>
      <c r="M7" s="234"/>
      <c r="N7" s="234"/>
      <c r="O7" s="147"/>
      <c r="P7" s="147"/>
      <c r="Q7" s="88"/>
      <c r="R7" s="88"/>
      <c r="S7" s="88"/>
      <c r="T7" s="88"/>
    </row>
    <row r="8" spans="1:20" ht="46.2" customHeight="1" thickBot="1" x14ac:dyDescent="0.35">
      <c r="A8" s="88"/>
      <c r="B8" s="89"/>
      <c r="C8" s="231" t="str" cm="1">
        <f t="array" ref="C8">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D8" s="232"/>
      <c r="E8" s="232"/>
      <c r="F8" s="232"/>
      <c r="G8" s="232"/>
      <c r="H8" s="232"/>
      <c r="I8" s="232"/>
      <c r="J8" s="232"/>
      <c r="K8" s="232"/>
      <c r="L8" s="235" t="str" cm="1">
        <f t="array" aca="1" ref="L8" ca="1">errorMessages</f>
        <v xml:space="preserve">
1. The "data" sheet cannot be found. Make sure you have imported your data file as a new spreadsheet in this Excel workbook and renamed that sheet "data" (without quotes).</v>
      </c>
      <c r="M8" s="235"/>
      <c r="N8" s="235"/>
      <c r="O8" s="235"/>
      <c r="P8" s="147"/>
      <c r="Q8" s="88"/>
      <c r="R8" s="88"/>
      <c r="S8" s="88"/>
      <c r="T8" s="88"/>
    </row>
    <row r="9" spans="1:20" ht="64.2" customHeight="1" thickBot="1" x14ac:dyDescent="0.35">
      <c r="A9" s="88"/>
      <c r="B9" s="105"/>
      <c r="C9" s="258" t="str" cm="1">
        <f t="array" ref="C9">_xlfn.XLOOKUP(
    "configBehaviourText1",
    UITranslationTable[tag],
    INDEX(
      UITranslationTable[],
      0,
      IFERROR(
        MATCH(UILanguage, UITranslationTable[#Headers], 0),
        MATCH(UITranslationTable[[#Headers], [English]], UITranslationTable[#Headers], 0)
      )
    )
  )</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11"/>
      <c r="E9" s="211"/>
      <c r="F9" s="211"/>
      <c r="G9" s="211"/>
      <c r="H9" s="211"/>
      <c r="I9" s="211"/>
      <c r="J9" s="211"/>
      <c r="K9" s="211"/>
      <c r="L9" s="235"/>
      <c r="M9" s="235"/>
      <c r="N9" s="235"/>
      <c r="O9" s="235"/>
      <c r="P9" s="147"/>
      <c r="Q9" s="88"/>
      <c r="R9" s="88"/>
      <c r="S9" s="88"/>
      <c r="T9" s="88"/>
    </row>
    <row r="10" spans="1:20" ht="16.2" customHeight="1" thickBot="1" x14ac:dyDescent="0.35">
      <c r="A10" s="88"/>
      <c r="B10" s="105"/>
      <c r="C10" s="238" t="str" cm="1">
        <f t="array" ref="C10">_xlfn.XLOOKUP(
    "configInThisTable",
    UITranslationTable[tag],
    INDEX(
      UITranslationTable[],
      0,
      IFERROR(
        MATCH(UILanguage, UITranslationTable[#Headers], 0),
        MATCH(UITranslationTable[[#Headers], [English]], UITranslationTable[#Headers], 0)
      )
    )
  )</f>
        <v>In this table:</v>
      </c>
      <c r="D10" s="239"/>
      <c r="E10" s="239"/>
      <c r="F10" s="239"/>
      <c r="G10" s="239"/>
      <c r="H10" s="239"/>
      <c r="I10" s="239"/>
      <c r="J10" s="239"/>
      <c r="K10" s="240"/>
      <c r="L10" s="235"/>
      <c r="M10" s="235"/>
      <c r="N10" s="235"/>
      <c r="O10" s="235"/>
      <c r="P10" s="147"/>
      <c r="Q10" s="88"/>
      <c r="R10" s="88"/>
      <c r="S10" s="88"/>
      <c r="T10" s="88"/>
    </row>
    <row r="11" spans="1:20" ht="36" customHeight="1" thickBot="1" x14ac:dyDescent="0.35">
      <c r="A11" s="88"/>
      <c r="B11" s="105"/>
      <c r="C11" s="263" t="str" cm="1">
        <f t="array" ref="C11">_xlfn.XLOOKUP(
    "configBehaviourText2",
    UITranslationTable[tag],
    INDEX(
      UITranslationTable[],
      0,
      IFERROR(
        MATCH(UILanguage, UITranslationTable[#Headers], 0),
        MATCH(UITranslationTable[[#Headers], [English]], UITranslationTable[#Headers], 0)
      )
    )
  )</f>
        <v>a. You MUST enter the data headers for the (groups of) questions that you want to include in the behaviour score, EXACTLY as they appear in your "data" sheet.</v>
      </c>
      <c r="D11" s="229"/>
      <c r="E11" s="229"/>
      <c r="F11" s="229"/>
      <c r="G11" s="229"/>
      <c r="H11" s="229"/>
      <c r="I11" s="229"/>
      <c r="J11" s="229"/>
      <c r="K11" s="229"/>
      <c r="L11" s="235"/>
      <c r="M11" s="235"/>
      <c r="N11" s="235"/>
      <c r="O11" s="235"/>
      <c r="P11" s="147"/>
      <c r="Q11" s="88"/>
      <c r="R11" s="88"/>
      <c r="S11" s="88"/>
      <c r="T11" s="88"/>
    </row>
    <row r="12" spans="1:20" ht="55.95" customHeight="1" thickBot="1" x14ac:dyDescent="0.35">
      <c r="A12" s="88"/>
      <c r="B12" s="105"/>
      <c r="C12" s="263" t="str" cm="1">
        <f t="array" ref="C12">_xlfn.XLOOKUP(
    "configBehaviourText3",
    UITranslationTable[tag],
    INDEX(
      UITranslationTable[],
      0,
      IFERROR(
        MATCH(UILanguage, UITranslationTable[#Headers], 0),
        MATCH(UITranslationTable[[#Headers], [English]], UITranslationTable[#Headers], 0)
      )
    )
  )</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29"/>
      <c r="E12" s="229"/>
      <c r="F12" s="229"/>
      <c r="G12" s="229"/>
      <c r="H12" s="229"/>
      <c r="I12" s="229"/>
      <c r="J12" s="229"/>
      <c r="K12" s="229"/>
      <c r="L12" s="235"/>
      <c r="M12" s="235"/>
      <c r="N12" s="235"/>
      <c r="O12" s="235"/>
      <c r="P12" s="147"/>
      <c r="Q12" s="88"/>
      <c r="R12" s="88"/>
      <c r="S12" s="88"/>
      <c r="T12" s="88"/>
    </row>
    <row r="13" spans="1:20" ht="36" customHeight="1" thickBot="1" x14ac:dyDescent="0.35">
      <c r="A13" s="88"/>
      <c r="B13" s="105"/>
      <c r="C13" s="263" t="str" cm="1">
        <f t="array" ref="C13">_xlfn.XLOOKUP(
    "configBehaviourText4",
    UITranslationTable[tag],
    INDEX(
      UITranslationTable[],
      0,
      IFERROR(
        MATCH(UILanguage, UITranslationTable[#Headers], 0),
        MATCH(UITranslationTable[[#Headers], [English]], UITranslationTable[#Headers], 0)
      )
    )
  )</f>
        <v>c. You MUST use the drop-down menu in the "Include?" column to select (✔) or deselect (✘) each entry in the table. Only the selected entries will be used to compute the behaviour score. This allows you to test different combinations of questions.</v>
      </c>
      <c r="D13" s="229"/>
      <c r="E13" s="229"/>
      <c r="F13" s="229"/>
      <c r="G13" s="229"/>
      <c r="H13" s="229"/>
      <c r="I13" s="229"/>
      <c r="J13" s="229"/>
      <c r="K13" s="229"/>
      <c r="L13" s="235"/>
      <c r="M13" s="235"/>
      <c r="N13" s="235"/>
      <c r="O13" s="235"/>
      <c r="P13" s="147"/>
      <c r="Q13" s="88"/>
      <c r="R13" s="88"/>
      <c r="S13" s="88"/>
      <c r="T13" s="88"/>
    </row>
    <row r="14" spans="1:20" ht="14.4" customHeight="1" thickBot="1" x14ac:dyDescent="0.35">
      <c r="A14" s="88"/>
      <c r="B14" s="133"/>
      <c r="C14" s="98" t="str" cm="1">
        <f t="array" ref="C14">_xlfn.XLOOKUP(
    "configBehaviourInclude",
    UITranslationTable[tag],
    INDEX(
      UITranslationTable[],
      0,
      IFERROR(
        MATCH(UILanguage, UITranslationTable[#Headers], 0),
        MATCH(UITranslationTable[[#Headers], [English]], UITranslationTable[#Headers], 0)
      )
    )
  )</f>
        <v>Include?</v>
      </c>
      <c r="D14" s="98" t="str" cm="1">
        <f t="array" ref="D14">_xlfn.XLOOKUP(
    "configBehaviourNum",
    UITranslationTable[tag],
    INDEX(
      UITranslationTable[],
      0,
      IFERROR(
        MATCH(UILanguage, UITranslationTable[#Headers], 0),
        MATCH(UITranslationTable[[#Headers], [English]], UITranslationTable[#Headers], 0)
      )
    )
  )</f>
        <v>Behaviour #</v>
      </c>
      <c r="E14" s="97" t="str" cm="1">
        <f t="array" ref="E14">_xlfn.XLOOKUP(
    "configDataHeader",
    UITranslationTable[tag],
    INDEX(
      UITranslationTable[],
      0,
      IFERROR(
        MATCH(UILanguage, UITranslationTable[#Headers], 0),
        MATCH(UITranslationTable[[#Headers], [English]], UITranslationTable[#Headers], 0)
      )
    )
  )</f>
        <v>Data header</v>
      </c>
      <c r="F14" s="97" t="str" cm="1">
        <f t="array" ref="F14">_xlfn.XLOOKUP(
    "configMinScore",
    UITranslationTable[tag],
    INDEX(
      UITranslationTable[],
      0,
      IFERROR(
        MATCH(UILanguage, UITranslationTable[#Headers], 0),
        MATCH(UITranslationTable[[#Headers], [English]], UITranslationTable[#Headers], 0)
      )
    )
  )</f>
        <v>Min. score</v>
      </c>
      <c r="G14" s="97" t="str" cm="1">
        <f t="array" ref="G14">_xlfn.XLOOKUP(
    "configMaxScore",
    UITranslationTable[tag],
    INDEX(
      UITranslationTable[],
      0,
      IFERROR(
        MATCH(UILanguage, UITranslationTable[#Headers], 0),
        MATCH(UITranslationTable[[#Headers], [English]], UITranslationTable[#Headers], 0)
      )
    )
  )</f>
        <v>Max. score</v>
      </c>
      <c r="H14" s="97" t="str" cm="1">
        <f t="array" ref="H14">_xlfn.XLOOKUP(
    "configNumResponses",
    UITranslationTable[tag],
    INDEX(
      UITranslationTable[],
      0,
      IFERROR(
        MATCH(UILanguage, UITranslationTable[#Headers], 0),
        MATCH(UITranslationTable[[#Headers], [English]], UITranslationTable[#Headers], 0)
      )
    )
  )</f>
        <v># of responses</v>
      </c>
      <c r="I14" s="97" t="str" cm="1">
        <f t="array" ref="I14">_xlfn.XLOOKUP(
    "configNumBlanks",
    UITranslationTable[tag],
    INDEX(
      UITranslationTable[],
      0,
      IFERROR(
        MATCH(UILanguage, UITranslationTable[#Headers], 0),
        MATCH(UITranslationTable[[#Headers], [English]], UITranslationTable[#Headers], 0)
      )
    )
  )</f>
        <v># of blank responses</v>
      </c>
      <c r="J14" s="264" t="str" cm="1">
        <f t="array" ref="J14">_xlfn.XLOOKUP(
    "configNumRespInfo",
    UITranslationTable[tag],
    INDEX(
      UITranslationTable[],
      0,
      IFERROR(
        MATCH(UILanguage, UITranslationTable[#Headers], 0),
        MATCH(UITranslationTable[[#Headers], [English]], UITranslationTable[#Headers], 0)
      )
    )
  )</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65"/>
      <c r="L14" s="235"/>
      <c r="M14" s="235"/>
      <c r="N14" s="235"/>
      <c r="O14" s="235"/>
      <c r="P14" s="88"/>
      <c r="Q14" s="88"/>
      <c r="R14" s="88"/>
      <c r="S14" s="88"/>
      <c r="T14" s="88"/>
    </row>
    <row r="15" spans="1:20" ht="14.4" hidden="1" customHeight="1" thickBot="1" x14ac:dyDescent="0.35">
      <c r="A15" s="88"/>
      <c r="B15" s="41" t="s">
        <v>96</v>
      </c>
      <c r="C15" s="5" t="s">
        <v>151</v>
      </c>
      <c r="D15" s="4" t="s">
        <v>1</v>
      </c>
      <c r="E15" s="5" t="s">
        <v>65</v>
      </c>
      <c r="F15" s="5" t="s">
        <v>66</v>
      </c>
      <c r="G15" s="5" t="s">
        <v>67</v>
      </c>
      <c r="H15" s="4" t="s">
        <v>35</v>
      </c>
      <c r="I15" s="4" t="s">
        <v>79</v>
      </c>
      <c r="J15" s="265"/>
      <c r="K15" s="265"/>
      <c r="L15" s="235"/>
      <c r="M15" s="235"/>
      <c r="N15" s="235"/>
      <c r="O15" s="235"/>
      <c r="P15" s="88"/>
      <c r="Q15" s="88"/>
      <c r="R15" s="88"/>
      <c r="S15" s="88"/>
      <c r="T15" s="88"/>
    </row>
    <row r="16" spans="1:20" ht="14.4" customHeight="1" thickBot="1" x14ac:dyDescent="0.35">
      <c r="A16" s="88"/>
      <c r="B16" s="192" t="str">
        <f ca="1">_xlfn.XLOOKUP(behaviourConfigTable[[#This Row],[index]],behaviourTable[index],behaviourTable[behaviourColNum])</f>
        <v/>
      </c>
      <c r="C16" s="137"/>
      <c r="D16" s="189" cm="1">
        <f t="array" ref="D16">ROW()-ROW(behaviourConfigTable[#Headers])</f>
        <v>1</v>
      </c>
      <c r="E16" s="21"/>
      <c r="F16" s="32"/>
      <c r="G16" s="44"/>
      <c r="H16" s="183" t="str">
        <f ca="1">_xlfn.XLOOKUP(behaviourConfigTable[[#This Row],[index]],behaviourTable[index],behaviourTable[numResponses])</f>
        <v/>
      </c>
      <c r="I16" s="184" t="str">
        <f>_xlfn.XLOOKUP(behaviourConfigTable[[#This Row],[index]],behaviourTable[index],behaviourTable[numBlanks])</f>
        <v/>
      </c>
      <c r="J16" s="265"/>
      <c r="K16" s="265"/>
      <c r="L16" s="235"/>
      <c r="M16" s="235"/>
      <c r="N16" s="235"/>
      <c r="O16" s="235"/>
      <c r="P16" s="88"/>
      <c r="Q16" s="88"/>
      <c r="R16" s="88"/>
      <c r="S16" s="88"/>
      <c r="T16" s="88"/>
    </row>
    <row r="17" spans="1:20" ht="14.4" customHeight="1" thickBot="1" x14ac:dyDescent="0.35">
      <c r="A17" s="88"/>
      <c r="B17" s="192" t="str">
        <f ca="1">_xlfn.XLOOKUP(behaviourConfigTable[[#This Row],[index]],behaviourTable[index],behaviourTable[behaviourColNum])</f>
        <v/>
      </c>
      <c r="C17" s="138"/>
      <c r="D17" s="190" cm="1">
        <f t="array" ref="D17">ROW()-ROW(behaviourConfigTable[#Headers])</f>
        <v>2</v>
      </c>
      <c r="E17" s="24"/>
      <c r="F17" s="33"/>
      <c r="G17" s="45"/>
      <c r="H17" s="185" t="str">
        <f ca="1">_xlfn.XLOOKUP(behaviourConfigTable[[#This Row],[index]],behaviourTable[index],behaviourTable[numResponses])</f>
        <v/>
      </c>
      <c r="I17" s="186" t="str">
        <f>_xlfn.XLOOKUP(behaviourConfigTable[[#This Row],[index]],behaviourTable[index],behaviourTable[numBlanks])</f>
        <v/>
      </c>
      <c r="J17" s="265"/>
      <c r="K17" s="265"/>
      <c r="L17" s="235"/>
      <c r="M17" s="235"/>
      <c r="N17" s="235"/>
      <c r="O17" s="235"/>
      <c r="P17" s="88"/>
      <c r="Q17" s="88"/>
      <c r="R17" s="88"/>
      <c r="S17" s="88"/>
      <c r="T17" s="88"/>
    </row>
    <row r="18" spans="1:20" ht="14.4" customHeight="1" thickBot="1" x14ac:dyDescent="0.35">
      <c r="A18" s="88"/>
      <c r="B18" s="192" t="str">
        <f ca="1">_xlfn.XLOOKUP(behaviourConfigTable[[#This Row],[index]],behaviourTable[index],behaviourTable[behaviourColNum])</f>
        <v/>
      </c>
      <c r="C18" s="138"/>
      <c r="D18" s="190" cm="1">
        <f t="array" ref="D18">ROW()-ROW(behaviourConfigTable[#Headers])</f>
        <v>3</v>
      </c>
      <c r="E18" s="24"/>
      <c r="F18" s="33"/>
      <c r="G18" s="45"/>
      <c r="H18" s="185" t="str">
        <f ca="1">_xlfn.XLOOKUP(behaviourConfigTable[[#This Row],[index]],behaviourTable[index],behaviourTable[numResponses])</f>
        <v/>
      </c>
      <c r="I18" s="186" t="str">
        <f>_xlfn.XLOOKUP(behaviourConfigTable[[#This Row],[index]],behaviourTable[index],behaviourTable[numBlanks])</f>
        <v/>
      </c>
      <c r="J18" s="265"/>
      <c r="K18" s="265"/>
      <c r="L18" s="235"/>
      <c r="M18" s="235"/>
      <c r="N18" s="235"/>
      <c r="O18" s="235"/>
      <c r="P18" s="88"/>
      <c r="Q18" s="88"/>
      <c r="R18" s="88"/>
      <c r="S18" s="88"/>
      <c r="T18" s="88"/>
    </row>
    <row r="19" spans="1:20" ht="14.4" customHeight="1" thickBot="1" x14ac:dyDescent="0.35">
      <c r="A19" s="88"/>
      <c r="B19" s="192" t="str">
        <f ca="1">_xlfn.XLOOKUP(behaviourConfigTable[[#This Row],[index]],behaviourTable[index],behaviourTable[behaviourColNum])</f>
        <v/>
      </c>
      <c r="C19" s="138"/>
      <c r="D19" s="190" cm="1">
        <f t="array" ref="D19">ROW()-ROW(behaviourConfigTable[#Headers])</f>
        <v>4</v>
      </c>
      <c r="E19" s="24"/>
      <c r="F19" s="33"/>
      <c r="G19" s="45"/>
      <c r="H19" s="185" t="str">
        <f ca="1">_xlfn.XLOOKUP(behaviourConfigTable[[#This Row],[index]],behaviourTable[index],behaviourTable[numResponses])</f>
        <v/>
      </c>
      <c r="I19" s="186" t="str">
        <f>_xlfn.XLOOKUP(behaviourConfigTable[[#This Row],[index]],behaviourTable[index],behaviourTable[numBlanks])</f>
        <v/>
      </c>
      <c r="J19" s="265"/>
      <c r="K19" s="265"/>
      <c r="L19" s="235"/>
      <c r="M19" s="235"/>
      <c r="N19" s="235"/>
      <c r="O19" s="235"/>
      <c r="P19" s="88"/>
      <c r="Q19" s="88"/>
      <c r="R19" s="88"/>
      <c r="S19" s="88"/>
      <c r="T19" s="88"/>
    </row>
    <row r="20" spans="1:20" ht="14.4" customHeight="1" thickBot="1" x14ac:dyDescent="0.35">
      <c r="A20" s="88"/>
      <c r="B20" s="192" t="str">
        <f ca="1">_xlfn.XLOOKUP(behaviourConfigTable[[#This Row],[index]],behaviourTable[index],behaviourTable[behaviourColNum])</f>
        <v/>
      </c>
      <c r="C20" s="139"/>
      <c r="D20" s="191" cm="1">
        <f t="array" ref="D20">ROW()-ROW(behaviourConfigTable[#Headers])</f>
        <v>5</v>
      </c>
      <c r="E20" s="27"/>
      <c r="F20" s="46"/>
      <c r="G20" s="47"/>
      <c r="H20" s="187" t="str">
        <f ca="1">_xlfn.XLOOKUP(behaviourConfigTable[[#This Row],[index]],behaviourTable[index],behaviourTable[numResponses])</f>
        <v/>
      </c>
      <c r="I20" s="188" t="str">
        <f>_xlfn.XLOOKUP(behaviourConfigTable[[#This Row],[index]],behaviourTable[index],behaviourTable[numBlanks])</f>
        <v/>
      </c>
      <c r="J20" s="265"/>
      <c r="K20" s="265"/>
      <c r="L20" s="235"/>
      <c r="M20" s="235"/>
      <c r="N20" s="235"/>
      <c r="O20" s="235"/>
      <c r="P20" s="88"/>
      <c r="Q20" s="88"/>
      <c r="R20" s="88"/>
      <c r="S20" s="88"/>
      <c r="T20" s="88"/>
    </row>
    <row r="21" spans="1:20" ht="14.4" customHeight="1" thickBot="1" x14ac:dyDescent="0.35">
      <c r="A21" s="88"/>
      <c r="B21" s="133"/>
      <c r="C21" s="266" t="str" cm="1">
        <f t="array" ref="C21">_xlfn.XLOOKUP(
    "configNumScoresInfo",
    UITranslationTable[tag],
    INDEX(
      UITranslationTable[],
      0,
      IFERROR(
        MATCH(UILanguage, UITranslationTable[#Headers], 0),
        MATCH(UITranslationTable[[#Headers], [English]], UITranslationTable[#Headers], 0)
      )
    )
  )</f>
        <v>ⓘ The number of scores corresponds to the number of respondents who answered at least one SELECTED "behaviour" question (i.e., a score could be calculated). The number of blank scores is the number of respondents who answered none of the selected "behaviour" questions.</v>
      </c>
      <c r="D21" s="267"/>
      <c r="E21" s="267"/>
      <c r="F21" s="267"/>
      <c r="G21" s="267"/>
      <c r="H21" s="76"/>
      <c r="I21" s="76"/>
      <c r="J21" s="265"/>
      <c r="K21" s="265"/>
      <c r="L21" s="235"/>
      <c r="M21" s="235"/>
      <c r="N21" s="235"/>
      <c r="O21" s="235"/>
      <c r="P21" s="88"/>
      <c r="Q21" s="88"/>
      <c r="R21" s="88"/>
      <c r="S21" s="88"/>
      <c r="T21" s="88"/>
    </row>
    <row r="22" spans="1:20" ht="14.4" customHeight="1" thickBot="1" x14ac:dyDescent="0.35">
      <c r="A22" s="88"/>
      <c r="B22" s="133"/>
      <c r="C22" s="267"/>
      <c r="D22" s="267"/>
      <c r="E22" s="267"/>
      <c r="F22" s="267"/>
      <c r="G22" s="267"/>
      <c r="H22" s="100" t="str" cm="1">
        <f t="array" ref="H22">_xlfn.XLOOKUP(
    "configNumScores",
    UITranslationTable[tag],
    INDEX(
      UITranslationTable[],
      0,
      IFERROR(
        MATCH(UILanguage, UITranslationTable[#Headers], 0),
        MATCH(UITranslationTable[[#Headers], [English]], UITranslationTable[#Headers], 0)
      )
    )
  )</f>
        <v># of scores</v>
      </c>
      <c r="I22" s="100" t="str" cm="1">
        <f t="array" ref="I22">_xlfn.XLOOKUP(
    "configNumBlankScores",
    UITranslationTable[tag],
    INDEX(
      UITranslationTable[],
      0,
      IFERROR(
        MATCH(UILanguage, UITranslationTable[#Headers], 0),
        MATCH(UITranslationTable[[#Headers], [English]], UITranslationTable[#Headers], 0)
      )
    )
  )</f>
        <v># of blank scores</v>
      </c>
      <c r="J22" s="121"/>
      <c r="K22" s="121"/>
      <c r="L22" s="235"/>
      <c r="M22" s="235"/>
      <c r="N22" s="235"/>
      <c r="O22" s="235"/>
      <c r="P22" s="88"/>
      <c r="Q22" s="88"/>
      <c r="R22" s="88"/>
      <c r="S22" s="88"/>
      <c r="T22" s="88"/>
    </row>
    <row r="23" spans="1:20" ht="14.4" hidden="1" customHeight="1" thickBot="1" x14ac:dyDescent="0.35">
      <c r="A23" s="88"/>
      <c r="B23" s="133"/>
      <c r="C23" s="267"/>
      <c r="D23" s="267"/>
      <c r="E23" s="267"/>
      <c r="F23" s="267"/>
      <c r="G23" s="267"/>
      <c r="H23" s="9" t="s">
        <v>80</v>
      </c>
      <c r="I23" s="9" t="s">
        <v>81</v>
      </c>
      <c r="J23" s="121"/>
      <c r="K23" s="121"/>
      <c r="L23" s="235"/>
      <c r="M23" s="235"/>
      <c r="N23" s="235"/>
      <c r="O23" s="235"/>
      <c r="P23" s="88"/>
      <c r="Q23" s="88"/>
      <c r="R23" s="88"/>
      <c r="S23" s="88"/>
      <c r="T23" s="88"/>
    </row>
    <row r="24" spans="1:20" ht="14.4" customHeight="1" thickBot="1" x14ac:dyDescent="0.35">
      <c r="A24" s="88"/>
      <c r="B24" s="133"/>
      <c r="C24" s="267"/>
      <c r="D24" s="267"/>
      <c r="E24" s="267"/>
      <c r="F24" s="267"/>
      <c r="G24" s="267"/>
      <c r="H24" s="193" cm="1">
        <f t="array" ref="H24">numScores</f>
        <v>0</v>
      </c>
      <c r="I24" s="193" t="e" cm="1">
        <f t="array" aca="1" ref="I24" ca="1">numEntries-numScores</f>
        <v>#N/A</v>
      </c>
      <c r="J24" s="121"/>
      <c r="K24" s="121"/>
      <c r="L24" s="235"/>
      <c r="M24" s="235"/>
      <c r="N24" s="235"/>
      <c r="O24" s="235"/>
      <c r="P24" s="88"/>
      <c r="Q24" s="88"/>
      <c r="R24" s="88"/>
      <c r="S24" s="88"/>
      <c r="T24" s="88"/>
    </row>
    <row r="25" spans="1:20" ht="19.95" customHeight="1" thickBot="1" x14ac:dyDescent="0.35">
      <c r="A25" s="88"/>
      <c r="B25" s="134"/>
      <c r="C25" s="268"/>
      <c r="D25" s="268"/>
      <c r="E25" s="268"/>
      <c r="F25" s="268"/>
      <c r="G25" s="268"/>
      <c r="H25" s="112"/>
      <c r="I25" s="112"/>
      <c r="J25" s="112"/>
      <c r="K25" s="112"/>
      <c r="L25" s="235"/>
      <c r="M25" s="235"/>
      <c r="N25" s="235"/>
      <c r="O25" s="235"/>
      <c r="P25" s="88"/>
      <c r="Q25" s="88"/>
      <c r="R25" s="88"/>
      <c r="S25" s="88"/>
      <c r="T25" s="88"/>
    </row>
    <row r="26" spans="1:20" ht="14.4" customHeight="1" thickBot="1" x14ac:dyDescent="0.35">
      <c r="A26" s="88"/>
      <c r="B26" s="135"/>
      <c r="C26" s="140"/>
      <c r="D26" s="140"/>
      <c r="E26" s="140"/>
      <c r="F26" s="140"/>
      <c r="G26" s="140"/>
      <c r="H26" s="76"/>
      <c r="I26" s="76"/>
      <c r="J26" s="76"/>
      <c r="K26" s="76"/>
      <c r="L26" s="235"/>
      <c r="M26" s="235"/>
      <c r="N26" s="235"/>
      <c r="O26" s="235"/>
      <c r="P26" s="88"/>
      <c r="Q26" s="88"/>
      <c r="R26" s="88"/>
      <c r="S26" s="88"/>
      <c r="T26" s="88"/>
    </row>
    <row r="27" spans="1:20" ht="19.95" customHeight="1" thickBot="1" x14ac:dyDescent="0.35">
      <c r="A27" s="88"/>
      <c r="B27" s="135"/>
      <c r="C27" s="141" t="str" cm="1">
        <f t="array" ref="C27">_xlfn.XLOOKUP(
    "configFactorsTitle",
    UITranslationTable[tag],
    INDEX(
      UITranslationTable[],
      0,
      IFERROR(
        MATCH(UILanguage, UITranslationTable[#Headers], 0),
        MATCH(UITranslationTable[[#Headers], [English]], UITranslationTable[#Headers], 0)
      )
    )
  )</f>
        <v>3. RANAS factors</v>
      </c>
      <c r="D27" s="140"/>
      <c r="E27" s="140"/>
      <c r="F27" s="140"/>
      <c r="G27" s="140"/>
      <c r="H27" s="88"/>
      <c r="I27" s="88"/>
      <c r="J27" s="88"/>
      <c r="K27" s="88"/>
      <c r="L27" s="235"/>
      <c r="M27" s="235"/>
      <c r="N27" s="235"/>
      <c r="O27" s="235"/>
      <c r="P27" s="88"/>
      <c r="Q27" s="88"/>
      <c r="R27" s="88"/>
      <c r="S27" s="88"/>
      <c r="T27" s="88"/>
    </row>
    <row r="28" spans="1:20" ht="46.2" customHeight="1" thickBot="1" x14ac:dyDescent="0.35">
      <c r="A28" s="88"/>
      <c r="B28" s="136"/>
      <c r="C28" s="231" t="str" cm="1">
        <f t="array" ref="C28">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D28" s="232"/>
      <c r="E28" s="232"/>
      <c r="F28" s="232"/>
      <c r="G28" s="232"/>
      <c r="H28" s="232"/>
      <c r="I28" s="232"/>
      <c r="J28" s="232"/>
      <c r="K28" s="232"/>
      <c r="L28" s="235"/>
      <c r="M28" s="235"/>
      <c r="N28" s="235"/>
      <c r="O28" s="235"/>
      <c r="P28" s="88"/>
      <c r="Q28" s="88"/>
      <c r="R28" s="88"/>
      <c r="S28" s="88"/>
      <c r="T28" s="88"/>
    </row>
    <row r="29" spans="1:20" ht="36" customHeight="1" thickBot="1" x14ac:dyDescent="0.35">
      <c r="A29" s="88"/>
      <c r="B29" s="133"/>
      <c r="C29" s="259" t="str" cm="1">
        <f t="array" ref="C29">_xlfn.XLOOKUP(
    "configFactorsText1",
    UITranslationTable[tag],
    INDEX(
      UITranslationTable[],
      0,
      IFERROR(
        MATCH(UILanguage, UITranslationTable[#Headers], 0),
        MATCH(UITranslationTable[[#Headers], [English]], UITranslationTable[#Headers], 0)
      )
    )
  )</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60"/>
      <c r="E29" s="260"/>
      <c r="F29" s="260"/>
      <c r="G29" s="260"/>
      <c r="H29" s="260"/>
      <c r="I29" s="260"/>
      <c r="J29" s="260"/>
      <c r="K29" s="260"/>
      <c r="L29" s="235"/>
      <c r="M29" s="235"/>
      <c r="N29" s="235"/>
      <c r="O29" s="235"/>
      <c r="P29" s="88"/>
      <c r="Q29" s="88"/>
      <c r="R29" s="88"/>
      <c r="S29" s="88"/>
      <c r="T29" s="88"/>
    </row>
    <row r="30" spans="1:20" ht="16.2" customHeight="1" thickBot="1" x14ac:dyDescent="0.35">
      <c r="A30" s="88"/>
      <c r="B30" s="133"/>
      <c r="C30" s="261" t="str" cm="1">
        <f t="array" ref="C30">_xlfn.XLOOKUP(
    "configInThisTable",
    UITranslationTable[tag],
    INDEX(
      UITranslationTable[],
      0,
      IFERROR(
        MATCH(UILanguage, UITranslationTable[#Headers], 0),
        MATCH(UITranslationTable[[#Headers], [English]], UITranslationTable[#Headers], 0)
      )
    )
  )</f>
        <v>In this table:</v>
      </c>
      <c r="D30" s="262"/>
      <c r="E30" s="262"/>
      <c r="F30" s="262"/>
      <c r="G30" s="262"/>
      <c r="H30" s="262"/>
      <c r="I30" s="262"/>
      <c r="J30" s="262"/>
      <c r="K30" s="262"/>
      <c r="L30" s="235"/>
      <c r="M30" s="235"/>
      <c r="N30" s="235"/>
      <c r="O30" s="235"/>
      <c r="P30" s="88"/>
      <c r="Q30" s="88"/>
      <c r="R30" s="88"/>
      <c r="S30" s="88"/>
      <c r="T30" s="88"/>
    </row>
    <row r="31" spans="1:20" ht="24" customHeight="1" thickBot="1" x14ac:dyDescent="0.35">
      <c r="A31" s="88"/>
      <c r="B31" s="133"/>
      <c r="C31" s="241" t="str" cm="1">
        <f t="array" ref="C31">_xlfn.XLOOKUP(
    "configFactorsText2",
    UITranslationTable[tag],
    INDEX(
      UITranslationTable[],
      0,
      IFERROR(
        MATCH(UILanguage, UITranslationTable[#Headers], 0),
        MATCH(UITranslationTable[[#Headers], [English]], UITranslationTable[#Headers], 0)
      )
    )
  )</f>
        <v>a. You MUST enter the data headers for the factors that you want to analyse, EXACTLY as they appear in your "data" sheet.</v>
      </c>
      <c r="D31" s="242"/>
      <c r="E31" s="242"/>
      <c r="F31" s="242"/>
      <c r="G31" s="242"/>
      <c r="H31" s="242"/>
      <c r="I31" s="242"/>
      <c r="J31" s="242"/>
      <c r="K31" s="242"/>
      <c r="L31" s="235"/>
      <c r="M31" s="235"/>
      <c r="N31" s="235"/>
      <c r="O31" s="235"/>
      <c r="P31" s="88"/>
      <c r="Q31" s="88"/>
      <c r="R31" s="88"/>
      <c r="S31" s="88"/>
      <c r="T31" s="88"/>
    </row>
    <row r="32" spans="1:20" ht="36" customHeight="1" thickBot="1" x14ac:dyDescent="0.35">
      <c r="A32" s="88"/>
      <c r="B32" s="133"/>
      <c r="C32" s="241" t="str" cm="1">
        <f t="array" ref="C32">_xlfn.XLOOKUP(
    "configFactorsText3",
    UITranslationTable[tag],
    INDEX(
      UITranslationTable[],
      0,
      IFERROR(
        MATCH(UILanguage, UITranslationTable[#Headers], 0),
        MATCH(UITranslationTable[[#Headers], [English]], UITranslationTable[#Headers], 0)
      )
    )
  )</f>
        <v>b. You MUST enter, for each one, the minimum and maximum possible scores. Be careful to enter the appropriate values. (See the examples given above in 2. Behaviour &gt; b.")</v>
      </c>
      <c r="D32" s="242"/>
      <c r="E32" s="242"/>
      <c r="F32" s="242"/>
      <c r="G32" s="242"/>
      <c r="H32" s="242"/>
      <c r="I32" s="242"/>
      <c r="J32" s="242"/>
      <c r="K32" s="242"/>
      <c r="L32" s="235"/>
      <c r="M32" s="235"/>
      <c r="N32" s="235"/>
      <c r="O32" s="235"/>
      <c r="P32" s="88"/>
      <c r="Q32" s="88"/>
      <c r="R32" s="88"/>
      <c r="S32" s="88"/>
      <c r="T32" s="88"/>
    </row>
    <row r="33" spans="1:20" ht="24" customHeight="1" thickBot="1" x14ac:dyDescent="0.35">
      <c r="A33" s="88"/>
      <c r="B33" s="133"/>
      <c r="C33" s="241" t="str" cm="1">
        <f t="array" ref="C33">_xlfn.XLOOKUP(
    "configFactorsText4",
    UITranslationTable[tag],
    INDEX(
      UITranslationTable[],
      0,
      IFERROR(
        MATCH(UILanguage, UITranslationTable[#Headers], 0),
        MATCH(UITranslationTable[[#Headers], [English]], UITranslationTable[#Headers], 0)
      )
    )
  )</f>
        <v>c. You MUST define, for each factor, the RANAS block to which it belongs by selecting it from the drop-down menu in the corresponding column.</v>
      </c>
      <c r="D33" s="242"/>
      <c r="E33" s="242"/>
      <c r="F33" s="242"/>
      <c r="G33" s="242"/>
      <c r="H33" s="242"/>
      <c r="I33" s="242"/>
      <c r="J33" s="242"/>
      <c r="K33" s="242"/>
      <c r="L33" s="235"/>
      <c r="M33" s="235"/>
      <c r="N33" s="235"/>
      <c r="O33" s="235"/>
      <c r="P33" s="88"/>
      <c r="Q33" s="88"/>
      <c r="R33" s="88"/>
      <c r="S33" s="88"/>
      <c r="T33" s="88"/>
    </row>
    <row r="34" spans="1:20" ht="36" customHeight="1" thickBot="1" x14ac:dyDescent="0.35">
      <c r="A34" s="88"/>
      <c r="B34" s="133"/>
      <c r="C34" s="241" t="str" cm="1">
        <f t="array" ref="C34">_xlfn.XLOOKUP(
    "configFactorsText5",
    UITranslationTable[tag],
    INDEX(
      UITranslationTable[],
      0,
      IFERROR(
        MATCH(UILanguage, UITranslationTable[#Headers], 0),
        MATCH(UITranslationTable[[#Headers], [English]], UITranslationTable[#Headers], 0)
      )
    )
  )</f>
        <v>d. You MUST use the drop-down menus in the "Display?" column to select (✔) or deselect (✘) each factor in the table. Only the selected factors will be displayed in the analysis charts and table. This allows you to customise your charts.</v>
      </c>
      <c r="D34" s="242"/>
      <c r="E34" s="242"/>
      <c r="F34" s="242"/>
      <c r="G34" s="242"/>
      <c r="H34" s="242"/>
      <c r="I34" s="242"/>
      <c r="J34" s="242"/>
      <c r="K34" s="242"/>
      <c r="L34" s="235"/>
      <c r="M34" s="235"/>
      <c r="N34" s="235"/>
      <c r="O34" s="235"/>
      <c r="P34" s="88"/>
      <c r="Q34" s="88"/>
      <c r="R34" s="88"/>
      <c r="S34" s="88"/>
      <c r="T34" s="88"/>
    </row>
    <row r="35" spans="1:20" ht="36" customHeight="1" thickBot="1" x14ac:dyDescent="0.35">
      <c r="A35" s="88"/>
      <c r="B35" s="133"/>
      <c r="C35" s="241" t="str" cm="1">
        <f t="array" aca="1" ref="C35" ca="1">_xlfn.XLOOKUP(
    "configFactorsText6",
    UITranslationTable[tag],
    INDEX(
      UITranslationTable[],
      0,
      IFERROR(
        MATCH(UILanguage, UITranslationTable[#Headers], 0),
        MATCH(UITranslationTable[[#Headers], [English]], UITranslationTable[#Headers], 0)
      )
    )
  )</f>
        <v>e. You CAN define, in the yellow cells of the top row, additional languages that you want to use to display results in the charts and tables. They will then be available for selection in the "Chart language" menu of the "Introduction" sheet.</v>
      </c>
      <c r="D35" s="242"/>
      <c r="E35" s="242"/>
      <c r="F35" s="242"/>
      <c r="G35" s="242"/>
      <c r="H35" s="242"/>
      <c r="I35" s="242"/>
      <c r="J35" s="242"/>
      <c r="K35" s="242"/>
      <c r="L35" s="235"/>
      <c r="M35" s="235"/>
      <c r="N35" s="235"/>
      <c r="O35" s="235"/>
      <c r="P35" s="88"/>
      <c r="Q35" s="88"/>
      <c r="R35" s="88"/>
      <c r="S35" s="88"/>
      <c r="T35" s="88"/>
    </row>
    <row r="36" spans="1:20" ht="36" customHeight="1" thickBot="1" x14ac:dyDescent="0.35">
      <c r="A36" s="88"/>
      <c r="B36" s="133"/>
      <c r="C36" s="241" t="str" cm="1">
        <f t="array" aca="1" ref="C36" ca="1">_xlfn.XLOOKUP(
    "configFactorsText7",
    UITranslationTable[tag],
    INDEX(
      UITranslationTable[],
      0,
      IFERROR(
        MATCH(UILanguage, UITranslationTable[#Headers], 0),
        MATCH(UITranslationTable[[#Headers], [English]], UITranslationTable[#Headers], 0)
      )
    )
  )</f>
        <v>f. You MUST provide translations for all factors defined in the "Data header" column, at least for the "Chart language" selected in the "Introduction" sheet.</v>
      </c>
      <c r="D36" s="242"/>
      <c r="E36" s="242"/>
      <c r="F36" s="242"/>
      <c r="G36" s="242"/>
      <c r="H36" s="242"/>
      <c r="I36" s="242"/>
      <c r="J36" s="242"/>
      <c r="K36" s="242"/>
      <c r="L36" s="88"/>
      <c r="M36" s="88"/>
      <c r="N36" s="88"/>
      <c r="O36" s="115"/>
      <c r="P36" s="88"/>
      <c r="Q36" s="88"/>
      <c r="R36" s="88"/>
      <c r="S36" s="88"/>
      <c r="T36" s="88"/>
    </row>
    <row r="37" spans="1:20" ht="15" thickBot="1" x14ac:dyDescent="0.35">
      <c r="A37" s="88"/>
      <c r="B37" s="104"/>
      <c r="C37" s="98" t="str" cm="1">
        <f t="array" ref="C37">_xlfn.XLOOKUP(
    "configFactorsDisplay",
    UITranslationTable[tag],
    INDEX(
      UITranslationTable[],
      0,
      IFERROR(
        MATCH(UILanguage, UITranslationTable[#Headers], 0),
        MATCH(UITranslationTable[[#Headers], [English]], UITranslationTable[#Headers], 0)
      )
    )
  )</f>
        <v>Display?</v>
      </c>
      <c r="D37" s="98" t="str" cm="1">
        <f t="array" ref="D37">_xlfn.XLOOKUP(
    "configFactorsNum",
    UITranslationTable[tag],
    INDEX(
      UITranslationTable[],
      0,
      IFERROR(
        MATCH(UILanguage, UITranslationTable[#Headers], 0),
        MATCH(UITranslationTable[[#Headers], [English]], UITranslationTable[#Headers], 0)
      )
    )
  )</f>
        <v>Factor #</v>
      </c>
      <c r="E37" s="97" t="str" cm="1">
        <f t="array" ref="E37">_xlfn.XLOOKUP(
    "configDataHeader",
    UITranslationTable[tag],
    INDEX(
      UITranslationTable[],
      0,
      IFERROR(
        MATCH(UILanguage, UITranslationTable[#Headers], 0),
        MATCH(UITranslationTable[[#Headers], [English]], UITranslationTable[#Headers], 0)
      )
    )
  )</f>
        <v>Data header</v>
      </c>
      <c r="F37" s="97" t="str" cm="1">
        <f t="array" ref="F37">_xlfn.XLOOKUP(
    "configMinScore",
    UITranslationTable[tag],
    INDEX(
      UITranslationTable[],
      0,
      IFERROR(
        MATCH(UILanguage, UITranslationTable[#Headers], 0),
        MATCH(UITranslationTable[[#Headers], [English]], UITranslationTable[#Headers], 0)
      )
    )
  )</f>
        <v>Min. score</v>
      </c>
      <c r="G37" s="97" t="str" cm="1">
        <f t="array" ref="G37">_xlfn.XLOOKUP(
    "configMaxScore",
    UITranslationTable[tag],
    INDEX(
      UITranslationTable[],
      0,
      IFERROR(
        MATCH(UILanguage, UITranslationTable[#Headers], 0),
        MATCH(UITranslationTable[[#Headers], [English]], UITranslationTable[#Headers], 0)
      )
    )
  )</f>
        <v>Max. score</v>
      </c>
      <c r="H37" s="97" t="str" cm="1">
        <f t="array" ref="H37">_xlfn.XLOOKUP(
    "configNumResponses",
    UITranslationTable[tag],
    INDEX(
      UITranslationTable[],
      0,
      IFERROR(
        MATCH(UILanguage, UITranslationTable[#Headers], 0),
        MATCH(UITranslationTable[[#Headers], [English]], UITranslationTable[#Headers], 0)
      )
    )
  )</f>
        <v># of responses</v>
      </c>
      <c r="I37" s="97" t="str" cm="1">
        <f t="array" ref="I37">_xlfn.XLOOKUP(
    "configRANASBlock",
    UITranslationTable[tag],
    INDEX(
      UITranslationTable[],
      0,
      IFERROR(
        MATCH(UILanguage, UITranslationTable[#Headers], 0),
        MATCH(UITranslationTable[[#Headers], [English]], UITranslationTable[#Headers], 0)
      )
    )
  )</f>
        <v>RANAS block</v>
      </c>
      <c r="J37" s="97" t="str">
        <f>INDEX(UITranslationTable[#Headers],3)</f>
        <v>English</v>
      </c>
      <c r="K37" s="99" t="str">
        <f>INDEX(UITranslationTable[#Headers],4)</f>
        <v>Français</v>
      </c>
      <c r="L37" s="57"/>
      <c r="M37" s="181"/>
      <c r="N37" s="182"/>
      <c r="O37" s="115"/>
      <c r="P37" s="88"/>
      <c r="Q37" s="88"/>
      <c r="R37" s="88"/>
      <c r="S37" s="88"/>
      <c r="T37" s="88"/>
    </row>
    <row r="38" spans="1:20" ht="15" hidden="1" thickBot="1" x14ac:dyDescent="0.35">
      <c r="A38" s="88"/>
      <c r="B38" s="41" t="s">
        <v>57</v>
      </c>
      <c r="C38" s="5" t="s">
        <v>187</v>
      </c>
      <c r="D38" s="4" t="s">
        <v>1</v>
      </c>
      <c r="E38" s="5" t="s">
        <v>55</v>
      </c>
      <c r="F38" s="5" t="s">
        <v>66</v>
      </c>
      <c r="G38" s="5" t="s">
        <v>67</v>
      </c>
      <c r="H38" s="4" t="s">
        <v>35</v>
      </c>
      <c r="I38" s="4" t="s">
        <v>68</v>
      </c>
      <c r="J38" s="4" t="s">
        <v>14</v>
      </c>
      <c r="K38" s="4" t="s">
        <v>15</v>
      </c>
      <c r="L38" s="4" t="s">
        <v>16</v>
      </c>
      <c r="M38" s="4" t="s">
        <v>17</v>
      </c>
      <c r="N38" s="51" t="s">
        <v>18</v>
      </c>
      <c r="O38" s="115"/>
      <c r="P38" s="88"/>
      <c r="Q38" s="88"/>
      <c r="R38" s="88"/>
      <c r="S38" s="88"/>
      <c r="T38" s="88"/>
    </row>
    <row r="39" spans="1:20" x14ac:dyDescent="0.3">
      <c r="A39" s="88"/>
      <c r="B39" s="192" t="str">
        <f ca="1">_xlfn.XLOOKUP(factorsConfigTable[[#This Row],[index]],factorsTable[index],factorsTable[factorColNum])</f>
        <v/>
      </c>
      <c r="C39" s="137"/>
      <c r="D39" s="189" cm="1">
        <f t="array" ref="D39">ROW()-ROW(factorsConfigTable[#Headers])</f>
        <v>1</v>
      </c>
      <c r="E39" s="21"/>
      <c r="F39" s="32"/>
      <c r="G39" s="44"/>
      <c r="H39" s="196" t="str">
        <f>_xlfn.XLOOKUP(factorsConfigTable[[#This Row],[index]],factorsTable[index],factorsTable[numTotal])</f>
        <v/>
      </c>
      <c r="I39" s="48"/>
      <c r="J39" s="22"/>
      <c r="K39" s="22"/>
      <c r="L39" s="23"/>
      <c r="M39" s="23"/>
      <c r="N39" s="52"/>
      <c r="O39" s="115"/>
      <c r="P39" s="88"/>
      <c r="Q39" s="88"/>
      <c r="R39" s="88"/>
      <c r="S39" s="88"/>
      <c r="T39" s="88"/>
    </row>
    <row r="40" spans="1:20" x14ac:dyDescent="0.3">
      <c r="A40" s="88"/>
      <c r="B40" s="192" t="str">
        <f ca="1">_xlfn.XLOOKUP(factorsConfigTable[[#This Row],[index]],factorsTable[index],factorsTable[factorColNum])</f>
        <v/>
      </c>
      <c r="C40" s="138"/>
      <c r="D40" s="190" cm="1">
        <f t="array" ref="D40">ROW()-ROW(factorsConfigTable[#Headers])</f>
        <v>2</v>
      </c>
      <c r="E40" s="24"/>
      <c r="F40" s="33"/>
      <c r="G40" s="45"/>
      <c r="H40" s="197" t="str">
        <f>_xlfn.XLOOKUP(factorsConfigTable[[#This Row],[index]],factorsTable[index],factorsTable[numTotal])</f>
        <v/>
      </c>
      <c r="I40" s="49"/>
      <c r="J40" s="25"/>
      <c r="K40" s="25"/>
      <c r="L40" s="25"/>
      <c r="M40" s="25"/>
      <c r="N40" s="53"/>
      <c r="O40" s="115"/>
      <c r="P40" s="88"/>
      <c r="Q40" s="88"/>
      <c r="R40" s="88"/>
      <c r="S40" s="88"/>
      <c r="T40" s="88"/>
    </row>
    <row r="41" spans="1:20" x14ac:dyDescent="0.3">
      <c r="A41" s="88"/>
      <c r="B41" s="192" t="str">
        <f ca="1">_xlfn.XLOOKUP(factorsConfigTable[[#This Row],[index]],factorsTable[index],factorsTable[factorColNum])</f>
        <v/>
      </c>
      <c r="C41" s="138"/>
      <c r="D41" s="190" cm="1">
        <f t="array" ref="D41">ROW()-ROW(factorsConfigTable[#Headers])</f>
        <v>3</v>
      </c>
      <c r="E41" s="24"/>
      <c r="F41" s="33"/>
      <c r="G41" s="45"/>
      <c r="H41" s="197" t="str">
        <f>_xlfn.XLOOKUP(factorsConfigTable[[#This Row],[index]],factorsTable[index],factorsTable[numTotal])</f>
        <v/>
      </c>
      <c r="I41" s="49"/>
      <c r="J41" s="25"/>
      <c r="K41" s="25"/>
      <c r="L41" s="25"/>
      <c r="M41" s="25"/>
      <c r="N41" s="53"/>
      <c r="O41" s="115"/>
      <c r="P41" s="88"/>
      <c r="Q41" s="88"/>
      <c r="R41" s="88"/>
      <c r="S41" s="88"/>
      <c r="T41" s="88"/>
    </row>
    <row r="42" spans="1:20" ht="14.4" customHeight="1" x14ac:dyDescent="0.3">
      <c r="A42" s="88"/>
      <c r="B42" s="192" t="str">
        <f ca="1">_xlfn.XLOOKUP(factorsConfigTable[[#This Row],[index]],factorsTable[index],factorsTable[factorColNum])</f>
        <v/>
      </c>
      <c r="C42" s="138"/>
      <c r="D42" s="190" cm="1">
        <f t="array" ref="D42">ROW()-ROW(factorsConfigTable[#Headers])</f>
        <v>4</v>
      </c>
      <c r="E42" s="24"/>
      <c r="F42" s="33"/>
      <c r="G42" s="45"/>
      <c r="H42" s="197" t="str">
        <f>_xlfn.XLOOKUP(factorsConfigTable[[#This Row],[index]],factorsTable[index],factorsTable[numTotal])</f>
        <v/>
      </c>
      <c r="I42" s="49"/>
      <c r="J42" s="25"/>
      <c r="K42" s="25"/>
      <c r="L42" s="25"/>
      <c r="M42" s="25"/>
      <c r="N42" s="53"/>
      <c r="O42" s="115"/>
      <c r="P42" s="88"/>
      <c r="Q42" s="88"/>
      <c r="R42" s="88"/>
      <c r="S42" s="88"/>
      <c r="T42" s="88"/>
    </row>
    <row r="43" spans="1:20" ht="14.4" customHeight="1" x14ac:dyDescent="0.3">
      <c r="A43" s="88"/>
      <c r="B43" s="192" t="str">
        <f ca="1">_xlfn.XLOOKUP(factorsConfigTable[[#This Row],[index]],factorsTable[index],factorsTable[factorColNum])</f>
        <v/>
      </c>
      <c r="C43" s="138"/>
      <c r="D43" s="190" cm="1">
        <f t="array" ref="D43">ROW()-ROW(factorsConfigTable[#Headers])</f>
        <v>5</v>
      </c>
      <c r="E43" s="24"/>
      <c r="F43" s="33"/>
      <c r="G43" s="45"/>
      <c r="H43" s="197" t="str">
        <f>_xlfn.XLOOKUP(factorsConfigTable[[#This Row],[index]],factorsTable[index],factorsTable[numTotal])</f>
        <v/>
      </c>
      <c r="I43" s="49"/>
      <c r="J43" s="25"/>
      <c r="K43" s="25"/>
      <c r="L43" s="25"/>
      <c r="M43" s="25"/>
      <c r="N43" s="53"/>
      <c r="O43" s="115"/>
      <c r="P43" s="88"/>
      <c r="Q43" s="88"/>
      <c r="R43" s="88"/>
      <c r="S43" s="88"/>
      <c r="T43" s="76"/>
    </row>
    <row r="44" spans="1:20" ht="14.4" customHeight="1" x14ac:dyDescent="0.3">
      <c r="A44" s="88"/>
      <c r="B44" s="192" t="str">
        <f ca="1">_xlfn.XLOOKUP(factorsConfigTable[[#This Row],[index]],factorsTable[index],factorsTable[factorColNum])</f>
        <v/>
      </c>
      <c r="C44" s="138"/>
      <c r="D44" s="190" cm="1">
        <f t="array" ref="D44">ROW()-ROW(factorsConfigTable[#Headers])</f>
        <v>6</v>
      </c>
      <c r="E44" s="24"/>
      <c r="F44" s="33"/>
      <c r="G44" s="45"/>
      <c r="H44" s="197" t="str">
        <f>_xlfn.XLOOKUP(factorsConfigTable[[#This Row],[index]],factorsTable[index],factorsTable[numTotal])</f>
        <v/>
      </c>
      <c r="I44" s="49"/>
      <c r="J44" s="25"/>
      <c r="K44" s="25"/>
      <c r="L44" s="25"/>
      <c r="M44" s="25"/>
      <c r="N44" s="53"/>
      <c r="O44" s="115"/>
      <c r="P44" s="88"/>
      <c r="Q44" s="88"/>
      <c r="R44" s="88"/>
      <c r="S44" s="76"/>
      <c r="T44" s="76"/>
    </row>
    <row r="45" spans="1:20" ht="14.4" customHeight="1" x14ac:dyDescent="0.3">
      <c r="A45" s="88"/>
      <c r="B45" s="192" t="str">
        <f ca="1">_xlfn.XLOOKUP(factorsConfigTable[[#This Row],[index]],factorsTable[index],factorsTable[factorColNum])</f>
        <v/>
      </c>
      <c r="C45" s="138"/>
      <c r="D45" s="190" cm="1">
        <f t="array" ref="D45">ROW()-ROW(factorsConfigTable[#Headers])</f>
        <v>7</v>
      </c>
      <c r="E45" s="24"/>
      <c r="F45" s="33"/>
      <c r="G45" s="45"/>
      <c r="H45" s="197" t="str">
        <f>_xlfn.XLOOKUP(factorsConfigTable[[#This Row],[index]],factorsTable[index],factorsTable[numTotal])</f>
        <v/>
      </c>
      <c r="I45" s="49"/>
      <c r="J45" s="25"/>
      <c r="K45" s="25"/>
      <c r="L45" s="25"/>
      <c r="M45" s="25"/>
      <c r="N45" s="53"/>
      <c r="O45" s="115"/>
      <c r="P45" s="88"/>
      <c r="Q45" s="88"/>
      <c r="R45" s="88"/>
      <c r="S45" s="76"/>
      <c r="T45" s="76"/>
    </row>
    <row r="46" spans="1:20" ht="14.4" customHeight="1" x14ac:dyDescent="0.3">
      <c r="A46" s="88"/>
      <c r="B46" s="192" t="str">
        <f ca="1">_xlfn.XLOOKUP(factorsConfigTable[[#This Row],[index]],factorsTable[index],factorsTable[factorColNum])</f>
        <v/>
      </c>
      <c r="C46" s="138"/>
      <c r="D46" s="190" cm="1">
        <f t="array" ref="D46">ROW()-ROW(factorsConfigTable[#Headers])</f>
        <v>8</v>
      </c>
      <c r="E46" s="24"/>
      <c r="F46" s="33"/>
      <c r="G46" s="45"/>
      <c r="H46" s="197" t="str">
        <f>_xlfn.XLOOKUP(factorsConfigTable[[#This Row],[index]],factorsTable[index],factorsTable[numTotal])</f>
        <v/>
      </c>
      <c r="I46" s="49"/>
      <c r="J46" s="25"/>
      <c r="K46" s="25"/>
      <c r="L46" s="25"/>
      <c r="M46" s="25"/>
      <c r="N46" s="53"/>
      <c r="O46" s="115"/>
      <c r="P46" s="88"/>
      <c r="Q46" s="88"/>
      <c r="R46" s="88"/>
      <c r="S46" s="76"/>
      <c r="T46" s="76"/>
    </row>
    <row r="47" spans="1:20" ht="14.4" customHeight="1" x14ac:dyDescent="0.3">
      <c r="A47" s="88"/>
      <c r="B47" s="192" t="str">
        <f ca="1">_xlfn.XLOOKUP(factorsConfigTable[[#This Row],[index]],factorsTable[index],factorsTable[factorColNum])</f>
        <v/>
      </c>
      <c r="C47" s="138"/>
      <c r="D47" s="190" cm="1">
        <f t="array" ref="D47">ROW()-ROW(factorsConfigTable[#Headers])</f>
        <v>9</v>
      </c>
      <c r="E47" s="24"/>
      <c r="F47" s="33"/>
      <c r="G47" s="45"/>
      <c r="H47" s="197" t="str">
        <f>_xlfn.XLOOKUP(factorsConfigTable[[#This Row],[index]],factorsTable[index],factorsTable[numTotal])</f>
        <v/>
      </c>
      <c r="I47" s="49"/>
      <c r="J47" s="25"/>
      <c r="K47" s="25"/>
      <c r="L47" s="25"/>
      <c r="M47" s="25"/>
      <c r="N47" s="53"/>
      <c r="O47" s="115"/>
      <c r="P47" s="88"/>
      <c r="Q47" s="88"/>
      <c r="R47" s="88"/>
      <c r="S47" s="76"/>
      <c r="T47" s="76"/>
    </row>
    <row r="48" spans="1:20" ht="14.4" customHeight="1" x14ac:dyDescent="0.3">
      <c r="A48" s="88"/>
      <c r="B48" s="192" t="str">
        <f ca="1">_xlfn.XLOOKUP(factorsConfigTable[[#This Row],[index]],factorsTable[index],factorsTable[factorColNum])</f>
        <v/>
      </c>
      <c r="C48" s="138"/>
      <c r="D48" s="190" cm="1">
        <f t="array" ref="D48">ROW()-ROW(factorsConfigTable[#Headers])</f>
        <v>10</v>
      </c>
      <c r="E48" s="24"/>
      <c r="F48" s="33"/>
      <c r="G48" s="45"/>
      <c r="H48" s="197" t="str">
        <f>_xlfn.XLOOKUP(factorsConfigTable[[#This Row],[index]],factorsTable[index],factorsTable[numTotal])</f>
        <v/>
      </c>
      <c r="I48" s="49"/>
      <c r="J48" s="25"/>
      <c r="K48" s="25"/>
      <c r="L48" s="25"/>
      <c r="M48" s="25"/>
      <c r="N48" s="53"/>
      <c r="O48" s="115"/>
      <c r="P48" s="88"/>
      <c r="Q48" s="88"/>
      <c r="R48" s="88"/>
      <c r="S48" s="76"/>
      <c r="T48" s="76"/>
    </row>
    <row r="49" spans="1:20" ht="14.4" customHeight="1" x14ac:dyDescent="0.3">
      <c r="A49" s="88"/>
      <c r="B49" s="192" t="str">
        <f ca="1">_xlfn.XLOOKUP(factorsConfigTable[[#This Row],[index]],factorsTable[index],factorsTable[factorColNum])</f>
        <v/>
      </c>
      <c r="C49" s="138"/>
      <c r="D49" s="194" cm="1">
        <f t="array" ref="D49">ROW()-ROW(factorsConfigTable[#Headers])</f>
        <v>11</v>
      </c>
      <c r="E49" s="24"/>
      <c r="F49" s="33"/>
      <c r="G49" s="45"/>
      <c r="H49" s="197" t="str">
        <f>_xlfn.XLOOKUP(factorsConfigTable[[#This Row],[index]],factorsTable[index],factorsTable[numTotal])</f>
        <v/>
      </c>
      <c r="I49" s="49"/>
      <c r="J49" s="25"/>
      <c r="K49" s="25"/>
      <c r="L49" s="30"/>
      <c r="M49" s="30"/>
      <c r="N49" s="54"/>
      <c r="O49" s="115"/>
      <c r="P49" s="88"/>
      <c r="Q49" s="88"/>
      <c r="R49" s="88"/>
      <c r="S49" s="76"/>
      <c r="T49" s="76"/>
    </row>
    <row r="50" spans="1:20" ht="14.4" customHeight="1" x14ac:dyDescent="0.3">
      <c r="A50" s="88"/>
      <c r="B50" s="192" t="str">
        <f ca="1">_xlfn.XLOOKUP(factorsConfigTable[[#This Row],[index]],factorsTable[index],factorsTable[factorColNum])</f>
        <v/>
      </c>
      <c r="C50" s="138"/>
      <c r="D50" s="194" cm="1">
        <f t="array" ref="D50">ROW()-ROW(factorsConfigTable[#Headers])</f>
        <v>12</v>
      </c>
      <c r="E50" s="24"/>
      <c r="F50" s="33"/>
      <c r="G50" s="45"/>
      <c r="H50" s="197" t="str">
        <f>_xlfn.XLOOKUP(factorsConfigTable[[#This Row],[index]],factorsTable[index],factorsTable[numTotal])</f>
        <v/>
      </c>
      <c r="I50" s="49"/>
      <c r="J50" s="25"/>
      <c r="K50" s="25"/>
      <c r="L50" s="30"/>
      <c r="M50" s="30"/>
      <c r="N50" s="54"/>
      <c r="O50" s="115"/>
      <c r="P50" s="88"/>
      <c r="Q50" s="88"/>
      <c r="R50" s="88"/>
      <c r="S50" s="76"/>
      <c r="T50" s="88"/>
    </row>
    <row r="51" spans="1:20" ht="14.4" customHeight="1" x14ac:dyDescent="0.3">
      <c r="A51" s="88"/>
      <c r="B51" s="192" t="str">
        <f ca="1">_xlfn.XLOOKUP(factorsConfigTable[[#This Row],[index]],factorsTable[index],factorsTable[factorColNum])</f>
        <v/>
      </c>
      <c r="C51" s="138"/>
      <c r="D51" s="194" cm="1">
        <f t="array" ref="D51">ROW()-ROW(factorsConfigTable[#Headers])</f>
        <v>13</v>
      </c>
      <c r="E51" s="24"/>
      <c r="F51" s="33"/>
      <c r="G51" s="45"/>
      <c r="H51" s="197" t="str">
        <f>_xlfn.XLOOKUP(factorsConfigTable[[#This Row],[index]],factorsTable[index],factorsTable[numTotal])</f>
        <v/>
      </c>
      <c r="I51" s="49"/>
      <c r="J51" s="25"/>
      <c r="K51" s="25"/>
      <c r="L51" s="30"/>
      <c r="M51" s="30"/>
      <c r="N51" s="54"/>
      <c r="O51" s="115"/>
      <c r="P51" s="88"/>
      <c r="Q51" s="88"/>
      <c r="R51" s="88"/>
      <c r="S51" s="76"/>
      <c r="T51" s="88"/>
    </row>
    <row r="52" spans="1:20" ht="14.4" customHeight="1" x14ac:dyDescent="0.3">
      <c r="A52" s="88"/>
      <c r="B52" s="192" t="str">
        <f ca="1">_xlfn.XLOOKUP(factorsConfigTable[[#This Row],[index]],factorsTable[index],factorsTable[factorColNum])</f>
        <v/>
      </c>
      <c r="C52" s="138"/>
      <c r="D52" s="194" cm="1">
        <f t="array" ref="D52">ROW()-ROW(factorsConfigTable[#Headers])</f>
        <v>14</v>
      </c>
      <c r="E52" s="24"/>
      <c r="F52" s="33"/>
      <c r="G52" s="45"/>
      <c r="H52" s="197" t="str">
        <f>_xlfn.XLOOKUP(factorsConfigTable[[#This Row],[index]],factorsTable[index],factorsTable[numTotal])</f>
        <v/>
      </c>
      <c r="I52" s="49"/>
      <c r="J52" s="25"/>
      <c r="K52" s="25"/>
      <c r="L52" s="30"/>
      <c r="M52" s="30"/>
      <c r="N52" s="54"/>
      <c r="O52" s="115"/>
      <c r="P52" s="88"/>
      <c r="Q52" s="88"/>
      <c r="R52" s="88"/>
      <c r="S52" s="76"/>
      <c r="T52" s="88"/>
    </row>
    <row r="53" spans="1:20" ht="14.4" customHeight="1" x14ac:dyDescent="0.3">
      <c r="A53" s="88"/>
      <c r="B53" s="192" t="str">
        <f ca="1">_xlfn.XLOOKUP(factorsConfigTable[[#This Row],[index]],factorsTable[index],factorsTable[factorColNum])</f>
        <v/>
      </c>
      <c r="C53" s="138"/>
      <c r="D53" s="194" cm="1">
        <f t="array" ref="D53">ROW()-ROW(factorsConfigTable[#Headers])</f>
        <v>15</v>
      </c>
      <c r="E53" s="24"/>
      <c r="F53" s="33"/>
      <c r="G53" s="45"/>
      <c r="H53" s="197" t="str">
        <f>_xlfn.XLOOKUP(factorsConfigTable[[#This Row],[index]],factorsTable[index],factorsTable[numTotal])</f>
        <v/>
      </c>
      <c r="I53" s="49"/>
      <c r="J53" s="25"/>
      <c r="K53" s="25"/>
      <c r="L53" s="30"/>
      <c r="M53" s="30"/>
      <c r="N53" s="54"/>
      <c r="O53" s="115"/>
      <c r="P53" s="88"/>
      <c r="Q53" s="88"/>
      <c r="R53" s="88"/>
      <c r="S53" s="76"/>
      <c r="T53" s="88"/>
    </row>
    <row r="54" spans="1:20" ht="14.4" customHeight="1" x14ac:dyDescent="0.3">
      <c r="A54" s="88"/>
      <c r="B54" s="192" t="str">
        <f ca="1">_xlfn.XLOOKUP(factorsConfigTable[[#This Row],[index]],factorsTable[index],factorsTable[factorColNum])</f>
        <v/>
      </c>
      <c r="C54" s="138"/>
      <c r="D54" s="194" cm="1">
        <f t="array" ref="D54">ROW()-ROW(factorsConfigTable[#Headers])</f>
        <v>16</v>
      </c>
      <c r="E54" s="24"/>
      <c r="F54" s="33"/>
      <c r="G54" s="45"/>
      <c r="H54" s="197" t="str">
        <f>_xlfn.XLOOKUP(factorsConfigTable[[#This Row],[index]],factorsTable[index],factorsTable[numTotal])</f>
        <v/>
      </c>
      <c r="I54" s="49"/>
      <c r="J54" s="25"/>
      <c r="K54" s="25"/>
      <c r="L54" s="30"/>
      <c r="M54" s="30"/>
      <c r="N54" s="54"/>
      <c r="O54" s="115"/>
      <c r="P54" s="88"/>
      <c r="Q54" s="88"/>
      <c r="R54" s="88"/>
      <c r="S54" s="76"/>
      <c r="T54" s="88"/>
    </row>
    <row r="55" spans="1:20" ht="14.4" customHeight="1" x14ac:dyDescent="0.3">
      <c r="A55" s="88"/>
      <c r="B55" s="192" t="str">
        <f ca="1">_xlfn.XLOOKUP(factorsConfigTable[[#This Row],[index]],factorsTable[index],factorsTable[factorColNum])</f>
        <v/>
      </c>
      <c r="C55" s="138"/>
      <c r="D55" s="194" cm="1">
        <f t="array" ref="D55">ROW()-ROW(factorsConfigTable[#Headers])</f>
        <v>17</v>
      </c>
      <c r="E55" s="24"/>
      <c r="F55" s="33"/>
      <c r="G55" s="45"/>
      <c r="H55" s="197" t="str">
        <f>_xlfn.XLOOKUP(factorsConfigTable[[#This Row],[index]],factorsTable[index],factorsTable[numTotal])</f>
        <v/>
      </c>
      <c r="I55" s="49"/>
      <c r="J55" s="25"/>
      <c r="K55" s="25"/>
      <c r="L55" s="30"/>
      <c r="M55" s="30"/>
      <c r="N55" s="54"/>
      <c r="O55" s="115"/>
      <c r="P55" s="88"/>
      <c r="Q55" s="88"/>
      <c r="R55" s="88"/>
      <c r="S55" s="76"/>
      <c r="T55" s="88"/>
    </row>
    <row r="56" spans="1:20" ht="14.4" customHeight="1" x14ac:dyDescent="0.3">
      <c r="A56" s="88"/>
      <c r="B56" s="192" t="str">
        <f ca="1">_xlfn.XLOOKUP(factorsConfigTable[[#This Row],[index]],factorsTable[index],factorsTable[factorColNum])</f>
        <v/>
      </c>
      <c r="C56" s="138"/>
      <c r="D56" s="194" cm="1">
        <f t="array" ref="D56">ROW()-ROW(factorsConfigTable[#Headers])</f>
        <v>18</v>
      </c>
      <c r="E56" s="24"/>
      <c r="F56" s="33"/>
      <c r="G56" s="45"/>
      <c r="H56" s="197" t="str">
        <f>_xlfn.XLOOKUP(factorsConfigTable[[#This Row],[index]],factorsTable[index],factorsTable[numTotal])</f>
        <v/>
      </c>
      <c r="I56" s="49"/>
      <c r="J56" s="25"/>
      <c r="K56" s="25"/>
      <c r="L56" s="30"/>
      <c r="M56" s="30"/>
      <c r="N56" s="54"/>
      <c r="O56" s="115"/>
      <c r="P56" s="88"/>
      <c r="Q56" s="88"/>
      <c r="R56" s="88"/>
      <c r="S56" s="76"/>
      <c r="T56" s="88"/>
    </row>
    <row r="57" spans="1:20" ht="14.4" customHeight="1" x14ac:dyDescent="0.3">
      <c r="A57" s="88"/>
      <c r="B57" s="192" t="str">
        <f ca="1">_xlfn.XLOOKUP(factorsConfigTable[[#This Row],[index]],factorsTable[index],factorsTable[factorColNum])</f>
        <v/>
      </c>
      <c r="C57" s="138"/>
      <c r="D57" s="194" cm="1">
        <f t="array" ref="D57">ROW()-ROW(factorsConfigTable[#Headers])</f>
        <v>19</v>
      </c>
      <c r="E57" s="24"/>
      <c r="F57" s="33"/>
      <c r="G57" s="45"/>
      <c r="H57" s="197" t="str">
        <f>_xlfn.XLOOKUP(factorsConfigTable[[#This Row],[index]],factorsTable[index],factorsTable[numTotal])</f>
        <v/>
      </c>
      <c r="I57" s="49"/>
      <c r="J57" s="25"/>
      <c r="K57" s="25"/>
      <c r="L57" s="30"/>
      <c r="M57" s="30"/>
      <c r="N57" s="54"/>
      <c r="O57" s="115"/>
      <c r="P57" s="88"/>
      <c r="Q57" s="88"/>
      <c r="R57" s="88"/>
      <c r="S57" s="76"/>
      <c r="T57" s="88"/>
    </row>
    <row r="58" spans="1:20" ht="14.4" customHeight="1" x14ac:dyDescent="0.3">
      <c r="A58" s="88"/>
      <c r="B58" s="192" t="str">
        <f ca="1">_xlfn.XLOOKUP(factorsConfigTable[[#This Row],[index]],factorsTable[index],factorsTable[factorColNum])</f>
        <v/>
      </c>
      <c r="C58" s="138"/>
      <c r="D58" s="194" cm="1">
        <f t="array" ref="D58">ROW()-ROW(factorsConfigTable[#Headers])</f>
        <v>20</v>
      </c>
      <c r="E58" s="24"/>
      <c r="F58" s="33"/>
      <c r="G58" s="45"/>
      <c r="H58" s="197" t="str">
        <f>_xlfn.XLOOKUP(factorsConfigTable[[#This Row],[index]],factorsTable[index],factorsTable[numTotal])</f>
        <v/>
      </c>
      <c r="I58" s="49"/>
      <c r="J58" s="25"/>
      <c r="K58" s="25"/>
      <c r="L58" s="30"/>
      <c r="M58" s="30"/>
      <c r="N58" s="54"/>
      <c r="O58" s="115"/>
      <c r="P58" s="88"/>
      <c r="Q58" s="88"/>
      <c r="R58" s="88"/>
      <c r="S58" s="76"/>
      <c r="T58" s="88"/>
    </row>
    <row r="59" spans="1:20" ht="14.4" customHeight="1" x14ac:dyDescent="0.3">
      <c r="A59" s="88"/>
      <c r="B59" s="192" t="str">
        <f ca="1">_xlfn.XLOOKUP(factorsConfigTable[[#This Row],[index]],factorsTable[index],factorsTable[factorColNum])</f>
        <v/>
      </c>
      <c r="C59" s="138"/>
      <c r="D59" s="194" cm="1">
        <f t="array" ref="D59">ROW()-ROW(factorsConfigTable[#Headers])</f>
        <v>21</v>
      </c>
      <c r="E59" s="24"/>
      <c r="F59" s="33"/>
      <c r="G59" s="45"/>
      <c r="H59" s="197" t="str">
        <f>_xlfn.XLOOKUP(factorsConfigTable[[#This Row],[index]],factorsTable[index],factorsTable[numTotal])</f>
        <v/>
      </c>
      <c r="I59" s="49"/>
      <c r="J59" s="25"/>
      <c r="K59" s="25"/>
      <c r="L59" s="30"/>
      <c r="M59" s="30"/>
      <c r="N59" s="54"/>
      <c r="O59" s="115"/>
      <c r="P59" s="88"/>
      <c r="Q59" s="88"/>
      <c r="R59" s="88"/>
      <c r="S59" s="76"/>
      <c r="T59" s="88"/>
    </row>
    <row r="60" spans="1:20" ht="14.4" customHeight="1" x14ac:dyDescent="0.3">
      <c r="A60" s="88"/>
      <c r="B60" s="192" t="str">
        <f ca="1">_xlfn.XLOOKUP(factorsConfigTable[[#This Row],[index]],factorsTable[index],factorsTable[factorColNum])</f>
        <v/>
      </c>
      <c r="C60" s="138"/>
      <c r="D60" s="194" cm="1">
        <f t="array" ref="D60">ROW()-ROW(factorsConfigTable[#Headers])</f>
        <v>22</v>
      </c>
      <c r="E60" s="24"/>
      <c r="F60" s="33"/>
      <c r="G60" s="45"/>
      <c r="H60" s="197" t="str">
        <f>_xlfn.XLOOKUP(factorsConfigTable[[#This Row],[index]],factorsTable[index],factorsTable[numTotal])</f>
        <v/>
      </c>
      <c r="I60" s="49"/>
      <c r="J60" s="25"/>
      <c r="K60" s="25"/>
      <c r="L60" s="30"/>
      <c r="M60" s="30"/>
      <c r="N60" s="54"/>
      <c r="O60" s="115"/>
      <c r="P60" s="88"/>
      <c r="Q60" s="88"/>
      <c r="R60" s="88"/>
      <c r="S60" s="76"/>
      <c r="T60" s="88"/>
    </row>
    <row r="61" spans="1:20" ht="14.4" customHeight="1" x14ac:dyDescent="0.3">
      <c r="A61" s="88"/>
      <c r="B61" s="192" t="str">
        <f ca="1">_xlfn.XLOOKUP(factorsConfigTable[[#This Row],[index]],factorsTable[index],factorsTable[factorColNum])</f>
        <v/>
      </c>
      <c r="C61" s="138"/>
      <c r="D61" s="194" cm="1">
        <f t="array" ref="D61">ROW()-ROW(factorsConfigTable[#Headers])</f>
        <v>23</v>
      </c>
      <c r="E61" s="24"/>
      <c r="F61" s="33"/>
      <c r="G61" s="45"/>
      <c r="H61" s="197" t="str">
        <f>_xlfn.XLOOKUP(factorsConfigTable[[#This Row],[index]],factorsTable[index],factorsTable[numTotal])</f>
        <v/>
      </c>
      <c r="I61" s="49"/>
      <c r="J61" s="25"/>
      <c r="K61" s="25"/>
      <c r="L61" s="30"/>
      <c r="M61" s="30"/>
      <c r="N61" s="54"/>
      <c r="O61" s="115"/>
      <c r="P61" s="88"/>
      <c r="Q61" s="88"/>
      <c r="R61" s="88"/>
      <c r="S61" s="76"/>
      <c r="T61" s="88"/>
    </row>
    <row r="62" spans="1:20" ht="14.4" customHeight="1" x14ac:dyDescent="0.3">
      <c r="A62" s="88"/>
      <c r="B62" s="192" t="str">
        <f ca="1">_xlfn.XLOOKUP(factorsConfigTable[[#This Row],[index]],factorsTable[index],factorsTable[factorColNum])</f>
        <v/>
      </c>
      <c r="C62" s="138"/>
      <c r="D62" s="194" cm="1">
        <f t="array" ref="D62">ROW()-ROW(factorsConfigTable[#Headers])</f>
        <v>24</v>
      </c>
      <c r="E62" s="24"/>
      <c r="F62" s="33"/>
      <c r="G62" s="45"/>
      <c r="H62" s="197" t="str">
        <f>_xlfn.XLOOKUP(factorsConfigTable[[#This Row],[index]],factorsTable[index],factorsTable[numTotal])</f>
        <v/>
      </c>
      <c r="I62" s="49"/>
      <c r="J62" s="25"/>
      <c r="K62" s="25"/>
      <c r="L62" s="30"/>
      <c r="M62" s="30"/>
      <c r="N62" s="54"/>
      <c r="O62" s="115"/>
      <c r="P62" s="88"/>
      <c r="Q62" s="88"/>
      <c r="R62" s="88"/>
      <c r="S62" s="76"/>
      <c r="T62" s="88"/>
    </row>
    <row r="63" spans="1:20" ht="14.4" customHeight="1" x14ac:dyDescent="0.3">
      <c r="A63" s="88"/>
      <c r="B63" s="192" t="str">
        <f ca="1">_xlfn.XLOOKUP(factorsConfigTable[[#This Row],[index]],factorsTable[index],factorsTable[factorColNum])</f>
        <v/>
      </c>
      <c r="C63" s="138"/>
      <c r="D63" s="194" cm="1">
        <f t="array" ref="D63">ROW()-ROW(factorsConfigTable[#Headers])</f>
        <v>25</v>
      </c>
      <c r="E63" s="24"/>
      <c r="F63" s="33"/>
      <c r="G63" s="45"/>
      <c r="H63" s="197" t="str">
        <f>_xlfn.XLOOKUP(factorsConfigTable[[#This Row],[index]],factorsTable[index],factorsTable[numTotal])</f>
        <v/>
      </c>
      <c r="I63" s="49"/>
      <c r="J63" s="25"/>
      <c r="K63" s="25"/>
      <c r="L63" s="30"/>
      <c r="M63" s="30"/>
      <c r="N63" s="54"/>
      <c r="O63" s="115"/>
      <c r="P63" s="88"/>
      <c r="Q63" s="88"/>
      <c r="R63" s="88"/>
      <c r="S63" s="76"/>
      <c r="T63" s="88"/>
    </row>
    <row r="64" spans="1:20" ht="14.4" customHeight="1" x14ac:dyDescent="0.3">
      <c r="A64" s="88"/>
      <c r="B64" s="192" t="str">
        <f ca="1">_xlfn.XLOOKUP(factorsConfigTable[[#This Row],[index]],factorsTable[index],factorsTable[factorColNum])</f>
        <v/>
      </c>
      <c r="C64" s="138"/>
      <c r="D64" s="194" cm="1">
        <f t="array" ref="D64">ROW()-ROW(factorsConfigTable[#Headers])</f>
        <v>26</v>
      </c>
      <c r="E64" s="24"/>
      <c r="F64" s="33"/>
      <c r="G64" s="45"/>
      <c r="H64" s="197" t="str">
        <f>_xlfn.XLOOKUP(factorsConfigTable[[#This Row],[index]],factorsTable[index],factorsTable[numTotal])</f>
        <v/>
      </c>
      <c r="I64" s="49"/>
      <c r="J64" s="25"/>
      <c r="K64" s="25"/>
      <c r="L64" s="30"/>
      <c r="M64" s="30"/>
      <c r="N64" s="54"/>
      <c r="O64" s="115"/>
      <c r="P64" s="88"/>
      <c r="Q64" s="88"/>
      <c r="R64" s="88"/>
      <c r="S64" s="76"/>
      <c r="T64" s="88"/>
    </row>
    <row r="65" spans="1:20" ht="14.4" customHeight="1" x14ac:dyDescent="0.3">
      <c r="A65" s="88"/>
      <c r="B65" s="192" t="str">
        <f ca="1">_xlfn.XLOOKUP(factorsConfigTable[[#This Row],[index]],factorsTable[index],factorsTable[factorColNum])</f>
        <v/>
      </c>
      <c r="C65" s="138"/>
      <c r="D65" s="194" cm="1">
        <f t="array" ref="D65">ROW()-ROW(factorsConfigTable[#Headers])</f>
        <v>27</v>
      </c>
      <c r="E65" s="24"/>
      <c r="F65" s="33"/>
      <c r="G65" s="45"/>
      <c r="H65" s="197" t="str">
        <f>_xlfn.XLOOKUP(factorsConfigTable[[#This Row],[index]],factorsTable[index],factorsTable[numTotal])</f>
        <v/>
      </c>
      <c r="I65" s="49"/>
      <c r="J65" s="25"/>
      <c r="K65" s="25"/>
      <c r="L65" s="30"/>
      <c r="M65" s="30"/>
      <c r="N65" s="54"/>
      <c r="O65" s="115"/>
      <c r="P65" s="88"/>
      <c r="Q65" s="88"/>
      <c r="R65" s="88"/>
      <c r="S65" s="76"/>
      <c r="T65" s="88"/>
    </row>
    <row r="66" spans="1:20" ht="14.4" customHeight="1" x14ac:dyDescent="0.3">
      <c r="A66" s="88"/>
      <c r="B66" s="192" t="str">
        <f ca="1">_xlfn.XLOOKUP(factorsConfigTable[[#This Row],[index]],factorsTable[index],factorsTable[factorColNum])</f>
        <v/>
      </c>
      <c r="C66" s="138"/>
      <c r="D66" s="194" cm="1">
        <f t="array" ref="D66">ROW()-ROW(factorsConfigTable[#Headers])</f>
        <v>28</v>
      </c>
      <c r="E66" s="24"/>
      <c r="F66" s="33"/>
      <c r="G66" s="45"/>
      <c r="H66" s="197" t="str">
        <f>_xlfn.XLOOKUP(factorsConfigTable[[#This Row],[index]],factorsTable[index],factorsTable[numTotal])</f>
        <v/>
      </c>
      <c r="I66" s="49"/>
      <c r="J66" s="25"/>
      <c r="K66" s="25"/>
      <c r="L66" s="30"/>
      <c r="M66" s="30"/>
      <c r="N66" s="54"/>
      <c r="O66" s="115"/>
      <c r="P66" s="88"/>
      <c r="Q66" s="88"/>
      <c r="R66" s="88"/>
      <c r="S66" s="76"/>
      <c r="T66" s="88"/>
    </row>
    <row r="67" spans="1:20" ht="14.4" customHeight="1" x14ac:dyDescent="0.3">
      <c r="A67" s="88"/>
      <c r="B67" s="192" t="str">
        <f ca="1">_xlfn.XLOOKUP(factorsConfigTable[[#This Row],[index]],factorsTable[index],factorsTable[factorColNum])</f>
        <v/>
      </c>
      <c r="C67" s="138"/>
      <c r="D67" s="194" cm="1">
        <f t="array" ref="D67">ROW()-ROW(factorsConfigTable[#Headers])</f>
        <v>29</v>
      </c>
      <c r="E67" s="24"/>
      <c r="F67" s="33"/>
      <c r="G67" s="45"/>
      <c r="H67" s="197" t="str">
        <f>_xlfn.XLOOKUP(factorsConfigTable[[#This Row],[index]],factorsTable[index],factorsTable[numTotal])</f>
        <v/>
      </c>
      <c r="I67" s="49"/>
      <c r="J67" s="25"/>
      <c r="K67" s="25"/>
      <c r="L67" s="30"/>
      <c r="M67" s="30"/>
      <c r="N67" s="54"/>
      <c r="O67" s="115"/>
      <c r="P67" s="88"/>
      <c r="Q67" s="88"/>
      <c r="R67" s="88"/>
      <c r="S67" s="76"/>
      <c r="T67" s="88"/>
    </row>
    <row r="68" spans="1:20" ht="14.4" customHeight="1" thickBot="1" x14ac:dyDescent="0.35">
      <c r="A68" s="88"/>
      <c r="B68" s="192" t="str">
        <f ca="1">_xlfn.XLOOKUP(factorsConfigTable[[#This Row],[index]],factorsTable[index],factorsTable[factorColNum])</f>
        <v/>
      </c>
      <c r="C68" s="139"/>
      <c r="D68" s="195" cm="1">
        <f t="array" ref="D68">ROW()-ROW(factorsConfigTable[#Headers])</f>
        <v>30</v>
      </c>
      <c r="E68" s="27"/>
      <c r="F68" s="46"/>
      <c r="G68" s="47"/>
      <c r="H68" s="198" t="str">
        <f>_xlfn.XLOOKUP(factorsConfigTable[[#This Row],[index]],factorsTable[index],factorsTable[numTotal])</f>
        <v/>
      </c>
      <c r="I68" s="50"/>
      <c r="J68" s="28"/>
      <c r="K68" s="28"/>
      <c r="L68" s="55"/>
      <c r="M68" s="55"/>
      <c r="N68" s="56"/>
      <c r="O68" s="115"/>
      <c r="P68" s="88"/>
      <c r="Q68" s="88"/>
      <c r="R68" s="88"/>
      <c r="S68" s="76"/>
      <c r="T68" s="88"/>
    </row>
    <row r="69" spans="1:20" ht="14.4" customHeight="1" x14ac:dyDescent="0.3">
      <c r="A69" s="88"/>
      <c r="B69" s="132"/>
      <c r="C69" s="142"/>
      <c r="D69" s="143"/>
      <c r="E69" s="112"/>
      <c r="F69" s="112"/>
      <c r="G69" s="112"/>
      <c r="H69" s="112"/>
      <c r="I69" s="112"/>
      <c r="J69" s="112"/>
      <c r="K69" s="112"/>
      <c r="L69" s="112"/>
      <c r="M69" s="112"/>
      <c r="N69" s="112"/>
      <c r="O69" s="117"/>
      <c r="P69" s="88"/>
      <c r="Q69" s="88"/>
      <c r="R69" s="88"/>
      <c r="S69" s="88"/>
      <c r="T69" s="88"/>
    </row>
    <row r="70" spans="1:20" ht="14.4" customHeight="1" x14ac:dyDescent="0.3">
      <c r="A70" s="88"/>
      <c r="B70" s="103"/>
      <c r="C70" s="123"/>
      <c r="D70" s="144"/>
      <c r="E70" s="76"/>
      <c r="F70" s="76"/>
      <c r="G70" s="76"/>
      <c r="H70" s="76"/>
      <c r="I70" s="76"/>
      <c r="J70" s="76"/>
      <c r="K70" s="76"/>
      <c r="L70" s="88"/>
      <c r="M70" s="88"/>
      <c r="N70" s="88"/>
      <c r="O70" s="88"/>
      <c r="P70" s="88"/>
      <c r="Q70" s="88"/>
      <c r="R70" s="88"/>
      <c r="S70" s="88"/>
      <c r="T70" s="88"/>
    </row>
    <row r="71" spans="1:20" ht="19.95" customHeight="1" thickBot="1" x14ac:dyDescent="0.35">
      <c r="A71" s="88"/>
      <c r="B71" s="103"/>
      <c r="C71" s="236" t="str" cm="1">
        <f t="array" ref="C71">_xlfn.XLOOKUP(
    "configErrorMessages",
    UITranslationTable[tag],
    INDEX(
      UITranslationTable[],
      0,
      IFERROR(
        MATCH(UILanguage, UITranslationTable[#Headers], 0),
        MATCH(UITranslationTable[[#Headers], [English]], UITranslationTable[#Headers], 0)
      )
    )
  )</f>
        <v>Error Messages</v>
      </c>
      <c r="D71" s="237"/>
      <c r="E71" s="237"/>
      <c r="F71" s="237"/>
      <c r="G71" s="237"/>
      <c r="H71" s="237"/>
      <c r="I71" s="69" t="str" cm="1">
        <f t="array" ref="I71">_xlfn.XLOOKUP(
    "configChartsTitle",
    UITranslationTable[tag],
    INDEX(
      UITranslationTable[],
      0,
      IFERROR(
        MATCH(UILanguage, UITranslationTable[#Headers], 0),
        MATCH(UITranslationTable[[#Headers], [English]], UITranslationTable[#Headers], 0)
      )
    )
  )</f>
        <v>4. Translations for charts and data tables</v>
      </c>
      <c r="J71" s="76"/>
      <c r="K71" s="76"/>
      <c r="L71" s="76"/>
      <c r="M71" s="76"/>
      <c r="N71" s="76"/>
      <c r="O71" s="76"/>
      <c r="P71" s="76"/>
      <c r="Q71" s="76"/>
      <c r="R71" s="88"/>
      <c r="S71" s="88"/>
      <c r="T71" s="88"/>
    </row>
    <row r="72" spans="1:20" ht="37.950000000000003" customHeight="1" x14ac:dyDescent="0.3">
      <c r="A72" s="88"/>
      <c r="B72" s="103"/>
      <c r="C72" s="247" t="str" cm="1">
        <f t="array" aca="1" ref="C72" ca="1">errorMessages</f>
        <v xml:space="preserve">
1. The "data" sheet cannot be found. Make sure you have imported your data file as a new spreadsheet in this Excel workbook and renamed that sheet "data" (without quotes).</v>
      </c>
      <c r="D72" s="248"/>
      <c r="E72" s="248"/>
      <c r="F72" s="248"/>
      <c r="G72" s="248"/>
      <c r="H72" s="249"/>
      <c r="I72" s="256" t="str" cm="1">
        <f t="array" ref="I72">_xlfn.XLOOKUP(
    "configPasteWarning",
    UITranslationTable[tag],
    INDEX(
      UITranslationTable[],
      0,
      IFERROR(
        MATCH(UILanguage, UITranslationTable[#Headers], 0),
        MATCH(UITranslationTable[[#Headers], [English]], UITranslationTable[#Headers], 0)
      )
    )
  )</f>
        <v>CAUTION: If you paste data in these tables, please make sure that you PASTE VALUES ONLY (e.g., with a right-click). Otherwise, you might erase the special formatting used to highlight errors.</v>
      </c>
      <c r="J72" s="257"/>
      <c r="K72" s="257"/>
      <c r="L72" s="257"/>
      <c r="M72" s="257"/>
      <c r="N72" s="257"/>
      <c r="O72" s="113"/>
      <c r="P72" s="88"/>
      <c r="Q72" s="88"/>
      <c r="R72" s="88"/>
      <c r="S72" s="88"/>
      <c r="T72" s="88"/>
    </row>
    <row r="73" spans="1:20" ht="16.2" customHeight="1" x14ac:dyDescent="0.3">
      <c r="A73" s="88"/>
      <c r="B73" s="103"/>
      <c r="C73" s="250"/>
      <c r="D73" s="251"/>
      <c r="E73" s="251"/>
      <c r="F73" s="251"/>
      <c r="G73" s="251"/>
      <c r="H73" s="252"/>
      <c r="I73" s="243" t="str" cm="1">
        <f t="array" ref="I73">_xlfn.XLOOKUP(
    "configInThisTable",
    UITranslationTable[tag],
    INDEX(
      UITranslationTable[],
      0,
      IFERROR(
        MATCH(UILanguage, UITranslationTable[#Headers], 0),
        MATCH(UITranslationTable[[#Headers], [English]], UITranslationTable[#Headers], 0)
      )
    )
  )</f>
        <v>In this table:</v>
      </c>
      <c r="J73" s="244"/>
      <c r="K73" s="244"/>
      <c r="L73" s="244"/>
      <c r="M73" s="244"/>
      <c r="N73" s="244"/>
      <c r="O73" s="115"/>
      <c r="P73" s="88"/>
      <c r="Q73" s="88"/>
      <c r="R73" s="88"/>
      <c r="S73" s="88"/>
      <c r="T73" s="88"/>
    </row>
    <row r="74" spans="1:20" ht="55.95" customHeight="1" x14ac:dyDescent="0.3">
      <c r="A74" s="88"/>
      <c r="B74" s="103"/>
      <c r="C74" s="250"/>
      <c r="D74" s="251"/>
      <c r="E74" s="251"/>
      <c r="F74" s="251"/>
      <c r="G74" s="251"/>
      <c r="H74" s="252"/>
      <c r="I74" s="245" t="str" cm="1">
        <f t="array" ref="I74">_xlfn.XLOOKUP(
    "configChartsText1",
    UITranslationTable[tag],
    INDEX(
      UITranslationTable[],
      0,
      IFERROR(
        MATCH(UILanguage, UITranslationTable[#Headers], 0),
        MATCH(UITranslationTable[[#Headers], [English]], UITranslationTable[#Headers], 0)
      )
    )
  )</f>
        <v>You MUST provide translations for the text elements of charts and data tables, but only if you have selected a user-defined language in the "Chart language" menu. Cells with missing translations appear in red.</v>
      </c>
      <c r="J74" s="246"/>
      <c r="K74" s="246"/>
      <c r="L74" s="246"/>
      <c r="M74" s="246"/>
      <c r="N74" s="246"/>
      <c r="O74" s="115"/>
      <c r="P74" s="88"/>
      <c r="Q74" s="88"/>
      <c r="R74" s="88"/>
      <c r="S74" s="88"/>
      <c r="T74" s="88"/>
    </row>
    <row r="75" spans="1:20" ht="15" thickBot="1" x14ac:dyDescent="0.35">
      <c r="A75" s="88"/>
      <c r="B75" s="103"/>
      <c r="C75" s="250"/>
      <c r="D75" s="251"/>
      <c r="E75" s="251"/>
      <c r="F75" s="251"/>
      <c r="G75" s="251"/>
      <c r="H75" s="252"/>
      <c r="I75" s="76"/>
      <c r="J75" s="97" t="str">
        <f>INDEX(languageTable[languageHeaders],1)</f>
        <v>English</v>
      </c>
      <c r="K75" s="97" t="str">
        <f>INDEX(languageTable[languageHeaders],2)</f>
        <v>Français</v>
      </c>
      <c r="L75" s="97" t="str">
        <f>INDEX(languageTable[languageHeaders],3)</f>
        <v/>
      </c>
      <c r="M75" s="97" t="str">
        <f>INDEX(languageTable[languageHeaders],4)</f>
        <v/>
      </c>
      <c r="N75" s="97" t="str">
        <f>INDEX(languageTable[languageHeaders],5)</f>
        <v/>
      </c>
      <c r="O75" s="115"/>
      <c r="P75" s="88"/>
      <c r="Q75" s="88"/>
      <c r="R75" s="88"/>
      <c r="S75" s="88"/>
      <c r="T75" s="88"/>
    </row>
    <row r="76" spans="1:20" ht="15" hidden="1" customHeight="1" thickBot="1" x14ac:dyDescent="0.35">
      <c r="A76" s="88"/>
      <c r="B76" s="103"/>
      <c r="C76" s="250"/>
      <c r="D76" s="251"/>
      <c r="E76" s="251"/>
      <c r="F76" s="251"/>
      <c r="G76" s="251"/>
      <c r="H76" s="252"/>
      <c r="I76" s="76"/>
      <c r="J76" s="9" t="s">
        <v>14</v>
      </c>
      <c r="K76" s="9" t="s">
        <v>15</v>
      </c>
      <c r="L76" s="7" t="s">
        <v>16</v>
      </c>
      <c r="M76" s="7" t="s">
        <v>17</v>
      </c>
      <c r="N76" s="7" t="s">
        <v>18</v>
      </c>
      <c r="O76" s="43" t="s">
        <v>208</v>
      </c>
      <c r="P76" s="42" t="s">
        <v>12</v>
      </c>
      <c r="Q76" s="4" t="s">
        <v>1</v>
      </c>
      <c r="R76" s="4" t="s">
        <v>41</v>
      </c>
      <c r="S76" s="4" t="s">
        <v>42</v>
      </c>
      <c r="T76" s="88"/>
    </row>
    <row r="77" spans="1:20" x14ac:dyDescent="0.3">
      <c r="A77" s="88"/>
      <c r="B77" s="103"/>
      <c r="C77" s="250"/>
      <c r="D77" s="251"/>
      <c r="E77" s="251"/>
      <c r="F77" s="251"/>
      <c r="G77" s="251"/>
      <c r="H77" s="252"/>
      <c r="I77" s="76"/>
      <c r="J77" s="5" t="s">
        <v>53</v>
      </c>
      <c r="K77" s="6" t="s">
        <v>54</v>
      </c>
      <c r="L77" s="21"/>
      <c r="M77" s="22"/>
      <c r="N77" s="31"/>
      <c r="O77" s="150"/>
      <c r="P77" s="154" t="s">
        <v>52</v>
      </c>
      <c r="Q77" s="155" cm="1">
        <f t="array" ref="Q77">ROW()-ROW(chartTranslationTable[#Headers])</f>
        <v>1</v>
      </c>
      <c r="R77" s="156" t="str" cm="1">
        <f t="array" ref="R77">IF(
    chartTranslationTable[[#This Row],[tag]]="",
    "",
    _xlfn.XLOOKUP(
      chartTranslationTable[[#This Row],[tag]],
      chartTranslationTable[tag],
      INDEX(
        chartTranslationTable[],
        0,
        MATCH(chartLanguage, languageHeadersList, 0)
          + MATCH(chartTranslationTable[[#Headers],[lang1]], chartTranslationTable[#Headers], 0)
          - 1
      )
    )
  )</f>
        <v>Factor</v>
      </c>
      <c r="S77" s="157" t="str" cm="1">
        <f t="array" ref="S77">IF(
    chartTranslationTable[[#This Row],[langSpecText]]="",
    "",
    IF(
      chartTranslationTable[[#This Row],[langSpecText]]=0,
      _xlfn.XLOOKUP(
        "noTranslation",
        UITranslationTable[tag],
        INDEX(
          UITranslationTable[],
          0,
          MATCH(UILanguage, UITranslationTable[#Headers], 0)
        )
      ),
      chartTranslationTable[[#This Row],[langSpecText]]
    )
  )</f>
        <v>Factor</v>
      </c>
      <c r="T77" s="88"/>
    </row>
    <row r="78" spans="1:20" x14ac:dyDescent="0.3">
      <c r="A78" s="88"/>
      <c r="B78" s="103"/>
      <c r="C78" s="250"/>
      <c r="D78" s="251"/>
      <c r="E78" s="251"/>
      <c r="F78" s="251"/>
      <c r="G78" s="251"/>
      <c r="H78" s="252"/>
      <c r="I78" s="76"/>
      <c r="J78" s="7" t="s">
        <v>4</v>
      </c>
      <c r="K78" s="8" t="s">
        <v>6</v>
      </c>
      <c r="L78" s="24"/>
      <c r="M78" s="25"/>
      <c r="N78" s="26"/>
      <c r="O78" s="150"/>
      <c r="P78" s="154" t="s">
        <v>24</v>
      </c>
      <c r="Q78" s="155" cm="1">
        <f t="array" ref="Q78">ROW()-ROW(chartTranslationTable[#Headers])</f>
        <v>2</v>
      </c>
      <c r="R78" s="156" t="str" cm="1">
        <f t="array" ref="R78">IF(
    chartTranslationTable[[#This Row],[tag]]="",
    "",
    _xlfn.XLOOKUP(
      chartTranslationTable[[#This Row],[tag]],
      chartTranslationTable[tag],
      INDEX(
        chartTranslationTable[],
        0,
        MATCH(chartLanguage, languageHeadersList, 0)
          + MATCH(chartTranslationTable[[#Headers],[lang1]], chartTranslationTable[#Headers], 0)
          - 1
      )
    )
  )</f>
        <v>Doers</v>
      </c>
      <c r="S78" s="157" t="str" cm="1">
        <f t="array" ref="S78">IF(
    chartTranslationTable[[#This Row],[langSpecText]]="",
    "",
    IF(
      chartTranslationTable[[#This Row],[langSpecText]]=0,
      _xlfn.XLOOKUP(
        "noTranslation",
        UITranslationTable[tag],
        INDEX(
          UITranslationTable[],
          0,
          MATCH(UILanguage, UITranslationTable[#Headers], 0)
        )
      ),
      chartTranslationTable[[#This Row],[langSpecText]]
    )
  )</f>
        <v>Doers</v>
      </c>
      <c r="T78" s="88"/>
    </row>
    <row r="79" spans="1:20" x14ac:dyDescent="0.3">
      <c r="A79" s="88"/>
      <c r="B79" s="103"/>
      <c r="C79" s="250"/>
      <c r="D79" s="251"/>
      <c r="E79" s="251"/>
      <c r="F79" s="251"/>
      <c r="G79" s="251"/>
      <c r="H79" s="252"/>
      <c r="I79" s="76"/>
      <c r="J79" s="7" t="s">
        <v>7</v>
      </c>
      <c r="K79" s="8" t="s">
        <v>8</v>
      </c>
      <c r="L79" s="24"/>
      <c r="M79" s="25"/>
      <c r="N79" s="26"/>
      <c r="O79" s="150"/>
      <c r="P79" s="154" t="s">
        <v>25</v>
      </c>
      <c r="Q79" s="155" cm="1">
        <f t="array" ref="Q79">ROW()-ROW(chartTranslationTable[#Headers])</f>
        <v>3</v>
      </c>
      <c r="R79" s="156" t="str" cm="1">
        <f t="array" ref="R79">IF(
    chartTranslationTable[[#This Row],[tag]]="",
    "",
    _xlfn.XLOOKUP(
      chartTranslationTable[[#This Row],[tag]],
      chartTranslationTable[tag],
      INDEX(
        chartTranslationTable[],
        0,
        MATCH(chartLanguage, languageHeadersList, 0)
          + MATCH(chartTranslationTable[[#Headers],[lang1]], chartTranslationTable[#Headers], 0)
          - 1
      )
    )
  )</f>
        <v>Non-doers</v>
      </c>
      <c r="S79" s="157" t="str" cm="1">
        <f t="array" ref="S79">IF(
    chartTranslationTable[[#This Row],[langSpecText]]="",
    "",
    IF(
      chartTranslationTable[[#This Row],[langSpecText]]=0,
      _xlfn.XLOOKUP(
        "noTranslation",
        UITranslationTable[tag],
        INDEX(
          UITranslationTable[],
          0,
          MATCH(UILanguage, UITranslationTable[#Headers], 0)
        )
      ),
      chartTranslationTable[[#This Row],[langSpecText]]
    )
  )</f>
        <v>Non-doers</v>
      </c>
      <c r="T79" s="88"/>
    </row>
    <row r="80" spans="1:20" x14ac:dyDescent="0.3">
      <c r="A80" s="88"/>
      <c r="B80" s="103"/>
      <c r="C80" s="250"/>
      <c r="D80" s="251"/>
      <c r="E80" s="251"/>
      <c r="F80" s="251"/>
      <c r="G80" s="251"/>
      <c r="H80" s="252"/>
      <c r="I80" s="76"/>
      <c r="J80" s="7" t="s">
        <v>2</v>
      </c>
      <c r="K80" s="8" t="s">
        <v>9</v>
      </c>
      <c r="L80" s="24"/>
      <c r="M80" s="25"/>
      <c r="N80" s="26"/>
      <c r="O80" s="150"/>
      <c r="P80" s="154" t="s">
        <v>26</v>
      </c>
      <c r="Q80" s="155" cm="1">
        <f t="array" ref="Q80">ROW()-ROW(chartTranslationTable[#Headers])</f>
        <v>4</v>
      </c>
      <c r="R80" s="156" t="str" cm="1">
        <f t="array" ref="R80">IF(
    chartTranslationTable[[#This Row],[tag]]="",
    "",
    _xlfn.XLOOKUP(
      chartTranslationTable[[#This Row],[tag]],
      chartTranslationTable[tag],
      INDEX(
        chartTranslationTable[],
        0,
        MATCH(chartLanguage, languageHeadersList, 0)
          + MATCH(chartTranslationTable[[#Headers],[lang1]], chartTranslationTable[#Headers], 0)
          - 1
      )
    )
  )</f>
        <v>Difference</v>
      </c>
      <c r="S80" s="157" t="str" cm="1">
        <f t="array" ref="S80">IF(
    chartTranslationTable[[#This Row],[langSpecText]]="",
    "",
    IF(
      chartTranslationTable[[#This Row],[langSpecText]]=0,
      _xlfn.XLOOKUP(
        "noTranslation",
        UITranslationTable[tag],
        INDEX(
          UITranslationTable[],
          0,
          MATCH(UILanguage, UITranslationTable[#Headers], 0)
        )
      ),
      chartTranslationTable[[#This Row],[langSpecText]]
    )
  )</f>
        <v>Difference</v>
      </c>
      <c r="T80" s="88"/>
    </row>
    <row r="81" spans="1:20" x14ac:dyDescent="0.3">
      <c r="A81" s="88"/>
      <c r="B81" s="103"/>
      <c r="C81" s="250"/>
      <c r="D81" s="251"/>
      <c r="E81" s="251"/>
      <c r="F81" s="251"/>
      <c r="G81" s="251"/>
      <c r="H81" s="252"/>
      <c r="I81" s="76"/>
      <c r="J81" s="7" t="s">
        <v>36</v>
      </c>
      <c r="K81" s="8" t="s">
        <v>10</v>
      </c>
      <c r="L81" s="24"/>
      <c r="M81" s="25"/>
      <c r="N81" s="26"/>
      <c r="O81" s="150"/>
      <c r="P81" s="154" t="s">
        <v>35</v>
      </c>
      <c r="Q81" s="155" cm="1">
        <f t="array" ref="Q81">ROW()-ROW(chartTranslationTable[#Headers])</f>
        <v>5</v>
      </c>
      <c r="R81" s="156" t="str" cm="1">
        <f t="array" ref="R81">IF(
    chartTranslationTable[[#This Row],[tag]]="",
    "",
    _xlfn.XLOOKUP(
      chartTranslationTable[[#This Row],[tag]],
      chartTranslationTable[tag],
      INDEX(
        chartTranslationTable[],
        0,
        MATCH(chartLanguage, languageHeadersList, 0)
          + MATCH(chartTranslationTable[[#Headers],[lang1]], chartTranslationTable[#Headers], 0)
          - 1
      )
    )
  )</f>
        <v># of responses</v>
      </c>
      <c r="S81" s="157" t="str" cm="1">
        <f t="array" ref="S81">IF(
    chartTranslationTable[[#This Row],[langSpecText]]="",
    "",
    IF(
      chartTranslationTable[[#This Row],[langSpecText]]=0,
      _xlfn.XLOOKUP(
        "noTranslation",
        UITranslationTable[tag],
        INDEX(
          UITranslationTable[],
          0,
          MATCH(UILanguage, UITranslationTable[#Headers], 0)
        )
      ),
      chartTranslationTable[[#This Row],[langSpecText]]
    )
  )</f>
        <v># of responses</v>
      </c>
      <c r="T81" s="88"/>
    </row>
    <row r="82" spans="1:20" x14ac:dyDescent="0.3">
      <c r="A82" s="88"/>
      <c r="B82" s="103"/>
      <c r="C82" s="250"/>
      <c r="D82" s="251"/>
      <c r="E82" s="251"/>
      <c r="F82" s="251"/>
      <c r="G82" s="251"/>
      <c r="H82" s="252"/>
      <c r="I82" s="76"/>
      <c r="J82" s="7" t="s">
        <v>122</v>
      </c>
      <c r="K82" s="8" t="s">
        <v>109</v>
      </c>
      <c r="L82" s="24"/>
      <c r="M82" s="25"/>
      <c r="N82" s="26"/>
      <c r="O82" s="150"/>
      <c r="P82" s="154" t="s">
        <v>108</v>
      </c>
      <c r="Q82" s="155" cm="1">
        <f t="array" ref="Q82">ROW()-ROW(chartTranslationTable[#Headers])</f>
        <v>6</v>
      </c>
      <c r="R82" s="156" t="str" cm="1">
        <f t="array" ref="R82">IF(
    chartTranslationTable[[#This Row],[tag]]="",
    "",
    _xlfn.XLOOKUP(
      chartTranslationTable[[#This Row],[tag]],
      chartTranslationTable[tag],
      INDEX(
        chartTranslationTable[],
        0,
        MATCH(chartLanguage, languageHeadersList, 0)
          + MATCH(chartTranslationTable[[#Headers],[lang1]], chartTranslationTable[#Headers], 0)
          - 1
      )
    )
  )</f>
        <v>% of responses</v>
      </c>
      <c r="S82" s="157" t="str" cm="1">
        <f t="array" ref="S82">IF(
    chartTranslationTable[[#This Row],[langSpecText]]="",
    "",
    IF(
      chartTranslationTable[[#This Row],[langSpecText]]=0,
      _xlfn.XLOOKUP(
        "noTranslation",
        UITranslationTable[tag],
        INDEX(
          UITranslationTable[],
          0,
          MATCH(UILanguage, UITranslationTable[#Headers], 0)
        )
      ),
      chartTranslationTable[[#This Row],[langSpecText]]
    )
  )</f>
        <v>% of responses</v>
      </c>
      <c r="T82" s="88"/>
    </row>
    <row r="83" spans="1:20" x14ac:dyDescent="0.3">
      <c r="A83" s="88"/>
      <c r="B83" s="103"/>
      <c r="C83" s="250"/>
      <c r="D83" s="251"/>
      <c r="E83" s="251"/>
      <c r="F83" s="251"/>
      <c r="G83" s="251"/>
      <c r="H83" s="252"/>
      <c r="I83" s="76"/>
      <c r="J83" s="7" t="s">
        <v>38</v>
      </c>
      <c r="K83" s="8" t="s">
        <v>40</v>
      </c>
      <c r="L83" s="24"/>
      <c r="M83" s="25"/>
      <c r="N83" s="26"/>
      <c r="O83" s="150"/>
      <c r="P83" s="154" t="s">
        <v>39</v>
      </c>
      <c r="Q83" s="155" cm="1">
        <f t="array" ref="Q83">ROW()-ROW(chartTranslationTable[#Headers])</f>
        <v>7</v>
      </c>
      <c r="R83" s="156" t="str" cm="1">
        <f t="array" ref="R83">IF(
    chartTranslationTable[[#This Row],[tag]]="",
    "",
    _xlfn.XLOOKUP(
      chartTranslationTable[[#This Row],[tag]],
      chartTranslationTable[tag],
      INDEX(
        chartTranslationTable[],
        0,
        MATCH(chartLanguage, languageHeadersList, 0)
          + MATCH(chartTranslationTable[[#Headers],[lang1]], chartTranslationTable[#Headers], 0)
          - 1
      )
    )
  )</f>
        <v>Cutoff level</v>
      </c>
      <c r="S83" s="157" t="str" cm="1">
        <f t="array" ref="S83">IF(
    chartTranslationTable[[#This Row],[langSpecText]]="",
    "",
    IF(
      chartTranslationTable[[#This Row],[langSpecText]]=0,
      _xlfn.XLOOKUP(
        "noTranslation",
        UITranslationTable[tag],
        INDEX(
          UITranslationTable[],
          0,
          MATCH(UILanguage, UITranslationTable[#Headers], 0)
        )
      ),
      chartTranslationTable[[#This Row],[langSpecText]]
    )
  )</f>
        <v>Cutoff level</v>
      </c>
      <c r="T83" s="88"/>
    </row>
    <row r="84" spans="1:20" x14ac:dyDescent="0.3">
      <c r="A84" s="88"/>
      <c r="B84" s="103"/>
      <c r="C84" s="250"/>
      <c r="D84" s="251"/>
      <c r="E84" s="251"/>
      <c r="F84" s="251"/>
      <c r="G84" s="251"/>
      <c r="H84" s="252"/>
      <c r="I84" s="76"/>
      <c r="J84" s="7" t="s">
        <v>104</v>
      </c>
      <c r="K84" s="8" t="s">
        <v>105</v>
      </c>
      <c r="L84" s="24"/>
      <c r="M84" s="25"/>
      <c r="N84" s="26"/>
      <c r="O84" s="150"/>
      <c r="P84" s="154" t="s">
        <v>106</v>
      </c>
      <c r="Q84" s="155" cm="1">
        <f t="array" ref="Q84">ROW()-ROW(chartTranslationTable[#Headers])</f>
        <v>8</v>
      </c>
      <c r="R84" s="156" t="str" cm="1">
        <f t="array" ref="R84">IF(
    chartTranslationTable[[#This Row],[tag]]="",
    "",
    _xlfn.XLOOKUP(
      chartTranslationTable[[#This Row],[tag]],
      chartTranslationTable[tag],
      INDEX(
        chartTranslationTable[],
        0,
        MATCH(chartLanguage, languageHeadersList, 0)
          + MATCH(chartTranslationTable[[#Headers],[lang1]], chartTranslationTable[#Headers], 0)
          - 1
      )
    )
  )</f>
        <v>Behaviour score</v>
      </c>
      <c r="S84" s="157" t="str" cm="1">
        <f t="array" ref="S84">IF(
    chartTranslationTable[[#This Row],[langSpecText]]="",
    "",
    IF(
      chartTranslationTable[[#This Row],[langSpecText]]=0,
      _xlfn.XLOOKUP(
        "noTranslation",
        UITranslationTable[tag],
        INDEX(
          UITranslationTable[],
          0,
          MATCH(UILanguage, UITranslationTable[#Headers], 0)
        )
      ),
      chartTranslationTable[[#This Row],[langSpecText]]
    )
  )</f>
        <v>Behaviour score</v>
      </c>
      <c r="T84" s="88"/>
    </row>
    <row r="85" spans="1:20" x14ac:dyDescent="0.3">
      <c r="A85" s="88"/>
      <c r="B85" s="103"/>
      <c r="C85" s="250"/>
      <c r="D85" s="251"/>
      <c r="E85" s="251"/>
      <c r="F85" s="251"/>
      <c r="G85" s="251"/>
      <c r="H85" s="252"/>
      <c r="I85" s="76"/>
      <c r="J85" s="7" t="s">
        <v>204</v>
      </c>
      <c r="K85" s="8" t="s">
        <v>133</v>
      </c>
      <c r="L85" s="24"/>
      <c r="M85" s="25"/>
      <c r="N85" s="26"/>
      <c r="O85" s="150"/>
      <c r="P85" s="154" t="s">
        <v>132</v>
      </c>
      <c r="Q85" s="155" cm="1">
        <f t="array" ref="Q85">ROW()-ROW(chartTranslationTable[#Headers])</f>
        <v>9</v>
      </c>
      <c r="R85" s="156" t="str" cm="1">
        <f t="array" ref="R85">IF(
    chartTranslationTable[[#This Row],[tag]]="",
    "",
    _xlfn.XLOOKUP(
      chartTranslationTable[[#This Row],[tag]],
      chartTranslationTable[tag],
      INDEX(
        chartTranslationTable[],
        0,
        MATCH(chartLanguage, languageHeadersList, 0)
          + MATCH(chartTranslationTable[[#Headers],[lang1]], chartTranslationTable[#Headers], 0)
          - 1
      )
    )
  )</f>
        <v>Normalised mean score</v>
      </c>
      <c r="S85" s="157" t="str" cm="1">
        <f t="array" ref="S85">IF(
    chartTranslationTable[[#This Row],[langSpecText]]="",
    "",
    IF(
      chartTranslationTable[[#This Row],[langSpecText]]=0,
      _xlfn.XLOOKUP(
        "noTranslation",
        UITranslationTable[tag],
        INDEX(
          UITranslationTable[],
          0,
          MATCH(UILanguage, UITranslationTable[#Headers], 0)
        )
      ),
      chartTranslationTable[[#This Row],[langSpecText]]
    )
  )</f>
        <v>Normalised mean score</v>
      </c>
      <c r="T85" s="88"/>
    </row>
    <row r="86" spans="1:20" x14ac:dyDescent="0.3">
      <c r="A86" s="88"/>
      <c r="B86" s="103"/>
      <c r="C86" s="250"/>
      <c r="D86" s="251"/>
      <c r="E86" s="251"/>
      <c r="F86" s="251"/>
      <c r="G86" s="251"/>
      <c r="H86" s="252"/>
      <c r="I86" s="76"/>
      <c r="J86" s="7" t="s">
        <v>162</v>
      </c>
      <c r="K86" s="8" t="s">
        <v>163</v>
      </c>
      <c r="L86" s="24"/>
      <c r="M86" s="25"/>
      <c r="N86" s="26"/>
      <c r="O86" s="150"/>
      <c r="P86" s="154" t="s">
        <v>68</v>
      </c>
      <c r="Q86" s="155" cm="1">
        <f t="array" ref="Q86">ROW()-ROW(chartTranslationTable[#Headers])</f>
        <v>10</v>
      </c>
      <c r="R86" s="156" t="str" cm="1">
        <f t="array" ref="R86">IF(
    chartTranslationTable[[#This Row],[tag]]="",
    "",
    _xlfn.XLOOKUP(
      chartTranslationTable[[#This Row],[tag]],
      chartTranslationTable[tag],
      INDEX(
        chartTranslationTable[],
        0,
        MATCH(chartLanguage, languageHeadersList, 0)
          + MATCH(chartTranslationTable[[#Headers],[lang1]], chartTranslationTable[#Headers], 0)
          - 1
      )
    )
  )</f>
        <v>RANAS block</v>
      </c>
      <c r="S86" s="157" t="str" cm="1">
        <f t="array" ref="S86">IF(
    chartTranslationTable[[#This Row],[langSpecText]]="",
    "",
    IF(
      chartTranslationTable[[#This Row],[langSpecText]]=0,
      _xlfn.XLOOKUP(
        "noTranslation",
        UITranslationTable[tag],
        INDEX(
          UITranslationTable[],
          0,
          MATCH(UILanguage, UITranslationTable[#Headers], 0)
        )
      ),
      chartTranslationTable[[#This Row],[langSpecText]]
    )
  )</f>
        <v>RANAS block</v>
      </c>
      <c r="T86" s="88"/>
    </row>
    <row r="87" spans="1:20" x14ac:dyDescent="0.3">
      <c r="A87" s="88"/>
      <c r="B87" s="103"/>
      <c r="C87" s="250"/>
      <c r="D87" s="251"/>
      <c r="E87" s="251"/>
      <c r="F87" s="251"/>
      <c r="G87" s="251"/>
      <c r="H87" s="252"/>
      <c r="I87" s="76"/>
      <c r="J87" s="7" t="s">
        <v>116</v>
      </c>
      <c r="K87" s="8" t="s">
        <v>135</v>
      </c>
      <c r="L87" s="24"/>
      <c r="M87" s="25"/>
      <c r="N87" s="26"/>
      <c r="O87" s="150"/>
      <c r="P87" s="154" t="s">
        <v>134</v>
      </c>
      <c r="Q87" s="155" cm="1">
        <f t="array" ref="Q87">ROW()-ROW(chartTranslationTable[#Headers])</f>
        <v>11</v>
      </c>
      <c r="R87" s="156" t="str" cm="1">
        <f t="array" ref="R87">IF(
    chartTranslationTable[[#This Row],[tag]]="",
    "",
    _xlfn.XLOOKUP(
      chartTranslationTable[[#This Row],[tag]],
      chartTranslationTable[tag],
      INDEX(
        chartTranslationTable[],
        0,
        MATCH(chartLanguage, languageHeadersList, 0)
          + MATCH(chartTranslationTable[[#Headers],[lang1]], chartTranslationTable[#Headers], 0)
          - 1
      )
    )
  )</f>
        <v>Risks</v>
      </c>
      <c r="S87" s="157" t="str" cm="1">
        <f t="array" ref="S87">IF(
    chartTranslationTable[[#This Row],[langSpecText]]="",
    "",
    IF(
      chartTranslationTable[[#This Row],[langSpecText]]=0,
      _xlfn.XLOOKUP(
        "noTranslation",
        UITranslationTable[tag],
        INDEX(
          UITranslationTable[],
          0,
          MATCH(UILanguage, UITranslationTable[#Headers], 0)
        )
      ),
      chartTranslationTable[[#This Row],[langSpecText]]
    )
  )</f>
        <v>Risks</v>
      </c>
      <c r="T87" s="88"/>
    </row>
    <row r="88" spans="1:20" x14ac:dyDescent="0.3">
      <c r="A88" s="88"/>
      <c r="B88" s="103"/>
      <c r="C88" s="250"/>
      <c r="D88" s="251"/>
      <c r="E88" s="251"/>
      <c r="F88" s="251"/>
      <c r="G88" s="251"/>
      <c r="H88" s="252"/>
      <c r="I88" s="76"/>
      <c r="J88" s="7" t="s">
        <v>117</v>
      </c>
      <c r="K88" s="8" t="s">
        <v>117</v>
      </c>
      <c r="L88" s="24"/>
      <c r="M88" s="25"/>
      <c r="N88" s="26"/>
      <c r="O88" s="150"/>
      <c r="P88" s="154" t="s">
        <v>136</v>
      </c>
      <c r="Q88" s="155" cm="1">
        <f t="array" ref="Q88">ROW()-ROW(chartTranslationTable[#Headers])</f>
        <v>12</v>
      </c>
      <c r="R88" s="156" t="str" cm="1">
        <f t="array" ref="R88">IF(
    chartTranslationTable[[#This Row],[tag]]="",
    "",
    _xlfn.XLOOKUP(
      chartTranslationTable[[#This Row],[tag]],
      chartTranslationTable[tag],
      INDEX(
        chartTranslationTable[],
        0,
        MATCH(chartLanguage, languageHeadersList, 0)
          + MATCH(chartTranslationTable[[#Headers],[lang1]], chartTranslationTable[#Headers], 0)
          - 1
      )
    )
  )</f>
        <v>Attitudes</v>
      </c>
      <c r="S88" s="157" t="str" cm="1">
        <f t="array" ref="S88">IF(
    chartTranslationTable[[#This Row],[langSpecText]]="",
    "",
    IF(
      chartTranslationTable[[#This Row],[langSpecText]]=0,
      _xlfn.XLOOKUP(
        "noTranslation",
        UITranslationTable[tag],
        INDEX(
          UITranslationTable[],
          0,
          MATCH(UILanguage, UITranslationTable[#Headers], 0)
        )
      ),
      chartTranslationTable[[#This Row],[langSpecText]]
    )
  )</f>
        <v>Attitudes</v>
      </c>
      <c r="T88" s="88"/>
    </row>
    <row r="89" spans="1:20" x14ac:dyDescent="0.3">
      <c r="A89" s="88"/>
      <c r="B89" s="103"/>
      <c r="C89" s="250"/>
      <c r="D89" s="251"/>
      <c r="E89" s="251"/>
      <c r="F89" s="251"/>
      <c r="G89" s="251"/>
      <c r="H89" s="252"/>
      <c r="I89" s="76"/>
      <c r="J89" s="7" t="s">
        <v>115</v>
      </c>
      <c r="K89" s="8" t="s">
        <v>138</v>
      </c>
      <c r="L89" s="24"/>
      <c r="M89" s="25"/>
      <c r="N89" s="26"/>
      <c r="O89" s="150"/>
      <c r="P89" s="154" t="s">
        <v>137</v>
      </c>
      <c r="Q89" s="155" cm="1">
        <f t="array" ref="Q89">ROW()-ROW(chartTranslationTable[#Headers])</f>
        <v>13</v>
      </c>
      <c r="R89" s="156" t="str" cm="1">
        <f t="array" ref="R89">IF(
    chartTranslationTable[[#This Row],[tag]]="",
    "",
    _xlfn.XLOOKUP(
      chartTranslationTable[[#This Row],[tag]],
      chartTranslationTable[tag],
      INDEX(
        chartTranslationTable[],
        0,
        MATCH(chartLanguage, languageHeadersList, 0)
          + MATCH(chartTranslationTable[[#Headers],[lang1]], chartTranslationTable[#Headers], 0)
          - 1
      )
    )
  )</f>
        <v>Norms</v>
      </c>
      <c r="S89" s="157" t="str" cm="1">
        <f t="array" ref="S89">IF(
    chartTranslationTable[[#This Row],[langSpecText]]="",
    "",
    IF(
      chartTranslationTable[[#This Row],[langSpecText]]=0,
      _xlfn.XLOOKUP(
        "noTranslation",
        UITranslationTable[tag],
        INDEX(
          UITranslationTable[],
          0,
          MATCH(UILanguage, UITranslationTable[#Headers], 0)
        )
      ),
      chartTranslationTable[[#This Row],[langSpecText]]
    )
  )</f>
        <v>Norms</v>
      </c>
      <c r="T89" s="88"/>
    </row>
    <row r="90" spans="1:20" x14ac:dyDescent="0.3">
      <c r="A90" s="88"/>
      <c r="B90" s="103"/>
      <c r="C90" s="250"/>
      <c r="D90" s="251"/>
      <c r="E90" s="251"/>
      <c r="F90" s="251"/>
      <c r="G90" s="251"/>
      <c r="H90" s="252"/>
      <c r="I90" s="76"/>
      <c r="J90" s="7" t="s">
        <v>118</v>
      </c>
      <c r="K90" s="8" t="s">
        <v>140</v>
      </c>
      <c r="L90" s="24"/>
      <c r="M90" s="25"/>
      <c r="N90" s="26"/>
      <c r="O90" s="150"/>
      <c r="P90" s="154" t="s">
        <v>139</v>
      </c>
      <c r="Q90" s="155" cm="1">
        <f t="array" ref="Q90">ROW()-ROW(chartTranslationTable[#Headers])</f>
        <v>14</v>
      </c>
      <c r="R90" s="156" t="str" cm="1">
        <f t="array" ref="R90">IF(
    chartTranslationTable[[#This Row],[tag]]="",
    "",
    _xlfn.XLOOKUP(
      chartTranslationTable[[#This Row],[tag]],
      chartTranslationTable[tag],
      INDEX(
        chartTranslationTable[],
        0,
        MATCH(chartLanguage, languageHeadersList, 0)
          + MATCH(chartTranslationTable[[#Headers],[lang1]], chartTranslationTable[#Headers], 0)
          - 1
      )
    )
  )</f>
        <v>Abilities</v>
      </c>
      <c r="S90" s="157" t="str" cm="1">
        <f t="array" ref="S90">IF(
    chartTranslationTable[[#This Row],[langSpecText]]="",
    "",
    IF(
      chartTranslationTable[[#This Row],[langSpecText]]=0,
      _xlfn.XLOOKUP(
        "noTranslation",
        UITranslationTable[tag],
        INDEX(
          UITranslationTable[],
          0,
          MATCH(UILanguage, UITranslationTable[#Headers], 0)
        )
      ),
      chartTranslationTable[[#This Row],[langSpecText]]
    )
  )</f>
        <v>Abilities</v>
      </c>
      <c r="T90" s="88"/>
    </row>
    <row r="91" spans="1:20" ht="15" thickBot="1" x14ac:dyDescent="0.35">
      <c r="A91" s="88"/>
      <c r="B91" s="103"/>
      <c r="C91" s="250"/>
      <c r="D91" s="251"/>
      <c r="E91" s="251"/>
      <c r="F91" s="251"/>
      <c r="G91" s="251"/>
      <c r="H91" s="252"/>
      <c r="I91" s="76"/>
      <c r="J91" s="9" t="s">
        <v>119</v>
      </c>
      <c r="K91" s="10" t="s">
        <v>142</v>
      </c>
      <c r="L91" s="27"/>
      <c r="M91" s="28"/>
      <c r="N91" s="29"/>
      <c r="O91" s="150"/>
      <c r="P91" s="154" t="s">
        <v>141</v>
      </c>
      <c r="Q91" s="155" cm="1">
        <f t="array" ref="Q91">ROW()-ROW(chartTranslationTable[#Headers])</f>
        <v>15</v>
      </c>
      <c r="R91" s="156" t="str" cm="1">
        <f t="array" ref="R91">IF(
    chartTranslationTable[[#This Row],[tag]]="",
    "",
    _xlfn.XLOOKUP(
      chartTranslationTable[[#This Row],[tag]],
      chartTranslationTable[tag],
      INDEX(
        chartTranslationTable[],
        0,
        MATCH(chartLanguage, languageHeadersList, 0)
          + MATCH(chartTranslationTable[[#Headers],[lang1]], chartTranslationTable[#Headers], 0)
          - 1
      )
    )
  )</f>
        <v>Self-regulation</v>
      </c>
      <c r="S91" s="157" t="str" cm="1">
        <f t="array" ref="S91">IF(
    chartTranslationTable[[#This Row],[langSpecText]]="",
    "",
    IF(
      chartTranslationTable[[#This Row],[langSpecText]]=0,
      _xlfn.XLOOKUP(
        "noTranslation",
        UITranslationTable[tag],
        INDEX(
          UITranslationTable[],
          0,
          MATCH(UILanguage, UITranslationTable[#Headers], 0)
        )
      ),
      chartTranslationTable[[#This Row],[langSpecText]]
    )
  )</f>
        <v>Self-regulation</v>
      </c>
      <c r="T91" s="88"/>
    </row>
    <row r="92" spans="1:20" ht="15" thickBot="1" x14ac:dyDescent="0.35">
      <c r="A92" s="88"/>
      <c r="B92" s="103"/>
      <c r="C92" s="253"/>
      <c r="D92" s="254"/>
      <c r="E92" s="254"/>
      <c r="F92" s="254"/>
      <c r="G92" s="254"/>
      <c r="H92" s="255"/>
      <c r="I92" s="112"/>
      <c r="J92" s="112"/>
      <c r="K92" s="112"/>
      <c r="L92" s="112"/>
      <c r="M92" s="112"/>
      <c r="N92" s="112"/>
      <c r="O92" s="117"/>
      <c r="P92" s="88"/>
      <c r="Q92" s="88"/>
      <c r="R92" s="88"/>
      <c r="S92" s="88"/>
      <c r="T92" s="88"/>
    </row>
    <row r="93" spans="1:20" x14ac:dyDescent="0.3">
      <c r="A93" s="88"/>
      <c r="B93" s="103"/>
      <c r="C93" s="103"/>
      <c r="D93" s="145"/>
      <c r="E93" s="88"/>
      <c r="F93" s="88"/>
      <c r="G93" s="88"/>
      <c r="H93" s="88"/>
      <c r="I93" s="88"/>
      <c r="J93" s="88"/>
      <c r="K93" s="88"/>
      <c r="L93" s="88"/>
      <c r="M93" s="88"/>
      <c r="N93" s="88"/>
      <c r="O93" s="88"/>
      <c r="P93" s="88"/>
      <c r="Q93" s="88"/>
      <c r="R93" s="88"/>
      <c r="S93" s="88"/>
      <c r="T93" s="88"/>
    </row>
  </sheetData>
  <sheetProtection algorithmName="SHA-512" hashValue="96PRlJwGZtnbzKTuOQ2w5Xro9O5kYuU1JbkZJQ8WUaL9IYvNLJvO7FQZGxroPHbZZ5it44iEGBwIIFnuF4FG0g==" saltValue="UQ7Sy1D5hFzoJA/F0ZwZKQ==" spinCount="100000" sheet="1" objects="1" scenarios="1"/>
  <mergeCells count="29">
    <mergeCell ref="C3:K3"/>
    <mergeCell ref="C5:K5"/>
    <mergeCell ref="L3:O3"/>
    <mergeCell ref="C4:K4"/>
    <mergeCell ref="L4:N5"/>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8:K8"/>
    <mergeCell ref="L7:N7"/>
    <mergeCell ref="L8:O35"/>
    <mergeCell ref="C71:H71"/>
    <mergeCell ref="C10:K10"/>
    <mergeCell ref="C33:K33"/>
    <mergeCell ref="C34:K34"/>
    <mergeCell ref="C35:K35"/>
    <mergeCell ref="C36:K36"/>
    <mergeCell ref="C28:K28"/>
  </mergeCells>
  <phoneticPr fontId="5" type="noConversion"/>
  <conditionalFormatting sqref="C16:C20 E16:G20 C39:C68 E39:G68 I39:N68 L77:N91 L37:N37">
    <cfRule type="expression" dxfId="36" priority="33">
      <formula>TRUE</formula>
    </cfRule>
  </conditionalFormatting>
  <conditionalFormatting sqref="C16:C20 E16:G20">
    <cfRule type="expression" dxfId="35" priority="32">
      <formula>MOD(ROW()-ROW(behaviourHeader),2)=1</formula>
    </cfRule>
  </conditionalFormatting>
  <conditionalFormatting sqref="C16:C20">
    <cfRule type="expression" dxfId="34" priority="22">
      <formula>ISREF(INDIRECT(ADDRESS(1, 1, 1, 0, sheetNameData), FALSE)) * (INDIRECT(ADDRESS(0, 0, 4, 0), FALSE)&lt;&gt;yesLabel) * ISNUMBER(INDIRECT(ADDRESS(0, COLUMN(behaviourColNumHeader), 3, 0), FALSE)) * noValidBehaviourSelected</formula>
    </cfRule>
    <cfRule type="expression" dxfId="33" priority="23">
      <formula>ISREF(INDIRECT(ADDRESS(1, 1, 1, 0, sheetNameData), FALSE)) * NOT((INDIRECT(ADDRESS(0, 0, 4, 0), FALSE)=yesLabel) + (INDIRECT(ADDRESS(0, 0, 4, 0), FALSE)=noLabel)) * (INDIRECT(ADDRESS(0, COLUMN(behaviourHeader), 3, 0), FALSE)&lt;&gt;"")</formula>
    </cfRule>
  </conditionalFormatting>
  <conditionalFormatting sqref="C39:C68 E39:G68 I39:N68">
    <cfRule type="expression" dxfId="32" priority="28">
      <formula>MOD(ROW()-ROW(factorHeader),2)=1</formula>
    </cfRule>
  </conditionalFormatting>
  <conditionalFormatting sqref="C39:C68">
    <cfRule type="expression" dxfId="31" priority="12">
      <formula>ISREF(INDIRECT(ADDRESS(1, 1, 1, 0, sheetNameData), FALSE)) * (INDIRECT(ADDRESS(0, 0, 4, 0), FALSE)&lt;&gt;yesLabel) * ISNUMBER(INDIRECT(ADDRESS(0, COLUMN(factorColNumHeader), 3, 0), FALSE)) * noValidFactorSelected</formula>
    </cfRule>
    <cfRule type="expression" dxfId="30" priority="13">
      <formula>ISREF(INDIRECT(ADDRESS(1, 1, 1, 0, sheetNameData), FALSE)) * NOT((INDIRECT(ADDRESS(0, 0, 4, 0), FALSE)=yesLabel) + (INDIRECT(ADDRESS(0, 0, 4, 0), FALSE)=noLabel)) * (INDIRECT(ADDRESS(0, COLUMN(factorHeader), 3, 0), FALSE)&lt;&gt;"")</formula>
    </cfRule>
  </conditionalFormatting>
  <conditionalFormatting sqref="D16:D20 H16:I20 D39:D68 H39:H68 J77:K91">
    <cfRule type="expression" dxfId="29" priority="35">
      <formula>TRUE</formula>
    </cfRule>
  </conditionalFormatting>
  <conditionalFormatting sqref="D16:D20 H16:I20">
    <cfRule type="expression" dxfId="28" priority="34">
      <formula>MOD(ROW()-ROW(behaviourHeader),2)=1</formula>
    </cfRule>
  </conditionalFormatting>
  <conditionalFormatting sqref="D39:D68 H39:H68">
    <cfRule type="expression" dxfId="27" priority="30">
      <formula>MOD(ROW()-ROW(factorHeader),2)=1</formula>
    </cfRule>
  </conditionalFormatting>
  <conditionalFormatting sqref="E16:E20">
    <cfRule type="expression" dxfId="26" priority="21">
      <formula>ISREF(INDIRECT(ADDRESS(1, 1, 1, 0, sheetNameData), FALSE)) * (INDIRECT(ADDRESS(0, COLUMN(includeConfigHeader), 3, 0), FALSE)=yesLabel) * (INDIRECT(ADDRESS(0, 0, 4, 0), FALSE)&lt;&gt;"") * ISNA(INDIRECT(ADDRESS(0, COLUMN(behaviourColNumHeader), 3, 0), FALSE))</formula>
    </cfRule>
  </conditionalFormatting>
  <conditionalFormatting sqref="E39:E68">
    <cfRule type="expression" dxfId="25" priority="11">
      <formula>ISREF(INDIRECT(ADDRESS(1, 1, 1, 0, sheetNameData), FALSE)) * (INDIRECT(ADDRESS(0, COLUMN(displayConfigHeader), 3, 0), FALSE)=yesLabel) * (INDIRECT(ADDRESS(0, 0, 4, 0), FALSE)&lt;&gt;"") * ISNA(INDIRECT(ADDRESS(0, COLUMN(factorColNumHeader), 3, 0), FALSE))</formula>
    </cfRule>
  </conditionalFormatting>
  <conditionalFormatting sqref="F16:F20">
    <cfRule type="expression" dxfId="24" priority="16">
      <formula>_xlfn.XLOOKUP(INDIRECT(ADDRESS(0, COLUMN(behaviourIndexHeader), 3, 0), FALSE), behaviourTableIndex, behaviourTableMinError)</formula>
    </cfRule>
    <cfRule type="expression" dxfId="23" priority="18">
      <formula>ISREF(INDIRECT(ADDRESS(1, 1, 1, 0, sheetNameData), FALSE)) * (INDIRECT(ADDRESS(0, COLUMN(includeConfigHeader), 3, 0), FALSE)=yesLabel) * (INDIRECT(ADDRESS(0, COLUMN(behaviourHeader), 3, 0), FALSE)&lt;&gt;"") * (NOT(ISNUMBER(INDIRECT(ADDRESS(0, 0, 4, 0), FALSE))) + ((INDIRECT(ADDRESS(0, 0, 4, 0), FALSE)&gt;=INDIRECT(ADDRESS(0, COLUMN(behaviourMaxScoreHeader), 3, 0), FALSE)) * ISNUMBER(INDIRECT(ADDRESS(0, COLUMN(behaviourMaxScoreHeader), 3, 0), FALSE))))</formula>
    </cfRule>
  </conditionalFormatting>
  <conditionalFormatting sqref="F39:F68">
    <cfRule type="expression" dxfId="22" priority="9">
      <formula>_xlfn.XLOOKUP(INDIRECT(ADDRESS(0, COLUMN(factorsIndexHeader), 3, 0), FALSE), factorsTableIndex, factorsTableMinError)</formula>
    </cfRule>
    <cfRule type="expression" dxfId="21" priority="10">
      <formula>ISREF(INDIRECT(ADDRESS(1, 1, 1, 0, sheetNameData), FALSE)) * (INDIRECT(ADDRESS(0, COLUMN(displayConfigHeader), 3, 0), FALSE)=yesLabel) * (INDIRECT(ADDRESS(0, COLUMN(factorHeader), 3, 0), FALSE)&lt;&gt;"") * (NOT(ISNUMBER(INDIRECT(ADDRESS(0, 0, 4, 0), FALSE))) + ((INDIRECT(ADDRESS(0, 0, 4, 0), FALSE)&gt;=INDIRECT(ADDRESS(0, COLUMN(factorsMaxScoreHeader), 3, 0), FALSE)) * ISNUMBER(INDIRECT(ADDRESS(0, COLUMN(factorsMaxScoreHeader), 3, 0), FALSE))))</formula>
    </cfRule>
  </conditionalFormatting>
  <conditionalFormatting sqref="G16:G20">
    <cfRule type="expression" dxfId="20" priority="14">
      <formula>_xlfn.XLOOKUP(INDIRECT(ADDRESS(0, COLUMN(behaviourIndexHeader), 3, 0), FALSE), behaviourTableIndex, behaviourTableMaxError)</formula>
    </cfRule>
    <cfRule type="expression" dxfId="19" priority="15">
      <formula>ISREF(INDIRECT(ADDRESS(1, 1, 1, 0, sheetNameData), FALSE)) * (INDIRECT(ADDRESS(0, COLUMN(includeConfigHeader), 3, 0), FALSE)=yesLabel) * (INDIRECT(ADDRESS(0, COLUMN(behaviourHeader), 3, 0), FALSE)&lt;&gt;"") * (NOT(ISNUMBER(INDIRECT(ADDRESS(0, 0, 4, 0), FALSE))) + ((INDIRECT(ADDRESS(0, 0, 4, 0), FALSE)&lt;=INDIRECT(ADDRESS(0, COLUMN(behaviourMinScoreHeader), 3, 0), FALSE)) * ISNUMBER(INDIRECT(ADDRESS(0, COLUMN(behaviourMinScoreHeader), 3, 0), FALSE))))</formula>
    </cfRule>
  </conditionalFormatting>
  <conditionalFormatting sqref="G39:G68">
    <cfRule type="expression" dxfId="18" priority="4">
      <formula>_xlfn.XLOOKUP(INDIRECT(ADDRESS(0, COLUMN(factorsIndexHeader), 3, 0), FALSE), factorsTableIndex, factorsTableMaxError)</formula>
    </cfRule>
    <cfRule type="expression" dxfId="17" priority="8">
      <formula>ISREF(INDIRECT(ADDRESS(1, 1, 1, 0, sheetNameData), FALSE)) * (INDIRECT(ADDRESS(0, COLUMN(displayConfigHeader), 3, 0), FALSE)=yesLabel) * (INDIRECT(ADDRESS(0, COLUMN(factorHeader), 3, 0), FALSE)&lt;&gt;"") * (NOT(ISNUMBER(INDIRECT(ADDRESS(0, 0, 4, 0), FALSE))) + ((INDIRECT(ADDRESS(0, 0, 4, 0), FALSE)&lt;=INDIRECT(ADDRESS(0, COLUMN(factorsMinScoreHeader), 3, 0), FALSE)) * ISNUMBER(INDIRECT(ADDRESS(0, COLUMN(factorsMinScoreHeader), 3, 0), FALSE))))</formula>
    </cfRule>
  </conditionalFormatting>
  <conditionalFormatting sqref="I39:I68">
    <cfRule type="expression" dxfId="16" priority="3">
      <formula>ISREF(INDIRECT(ADDRESS(1, 1, 1, 0, sheetNameData), FALSE)) * (INDIRECT(ADDRESS(0, COLUMN(displayConfigHeader), 3, 0), FALSE)=yesLabel) * (INDIRECT(ADDRESS(0, COLUMN(factorHeader), 3, 0), FALSE)&lt;&gt;"") * ISERROR(MATCH(INDIRECT(ADDRESS(0, 0, 4, 0), FALSE), RANASList, 0))</formula>
    </cfRule>
  </conditionalFormatting>
  <conditionalFormatting sqref="J77:K91">
    <cfRule type="expression" dxfId="15" priority="29">
      <formula>MOD(ROW()-ROW(chartTranslationTagHeader),2)=1</formula>
    </cfRule>
  </conditionalFormatting>
  <conditionalFormatting sqref="J39:N68">
    <cfRule type="expression" dxfId="14" priority="2">
      <formula>ISREF(INDIRECT(ADDRESS(1, 1, 1, 0, sheetNameData), FALSE)) * (INDIRECT(ADDRESS(0, COLUMN(displayConfigHeader), 3, 0), FALSE)=yesLabel) * (INDIRECT(ADDRESS(0, COLUMN(factorHeader), 3, 0), FALSE)&lt;&gt;"") * (INDIRECT(ADDRESS(ROW(languageHeadersList), 0, 2, 0), FALSE)=chartLanguage) * (INDIRECT(ADDRESS(0, 0, 4, 0), FALSE)="")</formula>
    </cfRule>
  </conditionalFormatting>
  <conditionalFormatting sqref="J77:N91">
    <cfRule type="expression" dxfId="13" priority="1">
      <formula>(INDIRECT(ADDRESS(0, COLUMN(chartTranslationTagHeader), 3, 0), FALSE)&lt;&gt;"") * (INDIRECT(ADDRESS(ROW(languageHeadersList), 0, 2, 0), FALSE)=chartLanguage) * (INDIRECT(ADDRESS(0, 0, 4, 0), FALSE)="")</formula>
    </cfRule>
  </conditionalFormatting>
  <conditionalFormatting sqref="L77:N91">
    <cfRule type="expression" dxfId="12" priority="26">
      <formula>MOD(ROW()-ROW(chartTranslationTagHeader),2)=1</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ISNUMBER(INDIRECT(ADDRESS(0, 0, 4, 0), FALSE))</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80" zoomScaleNormal="80" workbookViewId="0">
      <selection activeCell="H6" sqref="H6"/>
    </sheetView>
  </sheetViews>
  <sheetFormatPr defaultColWidth="0" defaultRowHeight="14.4" zeroHeight="1" x14ac:dyDescent="0.3"/>
  <cols>
    <col min="1" max="1" width="3.77734375" style="3" customWidth="1"/>
    <col min="2" max="2" width="65.77734375" style="13" customWidth="1"/>
    <col min="3" max="3" width="3.77734375" style="3" customWidth="1"/>
    <col min="4" max="5" width="23.77734375" style="3" customWidth="1"/>
    <col min="6" max="7" width="1.77734375" style="3" customWidth="1"/>
    <col min="8" max="8" width="8.77734375" style="3" customWidth="1"/>
    <col min="9" max="9" width="4.77734375" style="3" customWidth="1"/>
    <col min="10" max="10" width="12.77734375" style="3" customWidth="1"/>
    <col min="11" max="13" width="20.77734375" style="3" customWidth="1"/>
    <col min="14" max="14" width="7.77734375" style="3" customWidth="1"/>
    <col min="15" max="15" width="3.77734375" style="13" customWidth="1"/>
    <col min="16" max="16" width="3.77734375" style="3" customWidth="1"/>
    <col min="17" max="16384" width="8.88671875" style="3" hidden="1"/>
  </cols>
  <sheetData>
    <row r="1" spans="1:16" ht="19.95" customHeight="1" x14ac:dyDescent="0.3">
      <c r="A1" s="88"/>
      <c r="B1" s="76"/>
      <c r="C1" s="88"/>
      <c r="D1" s="88"/>
      <c r="E1" s="88"/>
      <c r="F1" s="88"/>
      <c r="G1" s="88"/>
      <c r="H1" s="88"/>
      <c r="I1" s="88"/>
      <c r="J1" s="88"/>
      <c r="K1" s="88"/>
      <c r="L1" s="88"/>
      <c r="M1" s="88"/>
      <c r="N1" s="88"/>
      <c r="O1" s="88"/>
      <c r="P1" s="88"/>
    </row>
    <row r="2" spans="1:16" ht="19.95" customHeight="1" x14ac:dyDescent="0.3">
      <c r="A2" s="88"/>
      <c r="B2" s="158" t="str" cm="1">
        <f t="array" ref="B2">_xlfn.XLOOKUP(
    "cutoffTitle",
    UITranslationTable[tag],
    INDEX(
      UITranslationTable[],
      0,
      IFERROR(
        MATCH(UILanguage, UITranslationTable[#Headers], 0),
        MATCH(UITranslationTable[[#Headers], [English]], UITranslationTable[#Headers], 0)
      )
    )
  )</f>
        <v>Selecting the doer / non-doer cutoff level</v>
      </c>
      <c r="C2" s="88"/>
      <c r="D2" s="88"/>
      <c r="E2" s="88"/>
      <c r="F2" s="88"/>
      <c r="G2" s="88"/>
      <c r="H2" s="88"/>
      <c r="I2" s="88"/>
      <c r="J2" s="88"/>
      <c r="K2" s="112"/>
      <c r="L2" s="112"/>
      <c r="M2" s="112"/>
      <c r="N2" s="112"/>
      <c r="O2" s="112"/>
      <c r="P2" s="88"/>
    </row>
    <row r="3" spans="1:16" ht="58.2" customHeight="1" x14ac:dyDescent="0.3">
      <c r="A3" s="88"/>
      <c r="B3" s="199" t="str" cm="1">
        <f t="array" ref="B3">_xlfn.XLOOKUP(
    "cutoffText1",
    UITranslationTable[tag],
    INDEX(
      UITranslationTable[],
      0,
      IFERROR(
        MATCH(UILanguage, UITranslationTable[#Headers], 0),
        MATCH(UITranslationTable[[#Headers], [English]], UITranslationTable[#Headers], 0)
      )
    )
  )</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200"/>
      <c r="D3" s="200"/>
      <c r="E3" s="200"/>
      <c r="F3" s="200"/>
      <c r="G3" s="200"/>
      <c r="H3" s="200"/>
      <c r="I3" s="159"/>
      <c r="J3" s="127"/>
      <c r="K3" s="279" t="str" cm="1">
        <f t="array" aca="1" ref="K3" ca="1">IF(errorMessages="", "", _xlfn.XLOOKUP("errorMessageNotice",UITranslationTable[tag],INDEX(UITranslationTable[],0,IFERROR(MATCH(UILanguage,UITranslationTable[#Headers],0),MATCH(UITranslationTable[[#Headers],[English]],UITranslationTable[#Headers],0)))))</f>
        <v>Some error has been detected. Please refer to one of the "Error messages" boards in the "Configuration" sheet for detailed explanations.</v>
      </c>
      <c r="L3" s="280"/>
      <c r="M3" s="280"/>
      <c r="N3" s="90"/>
      <c r="O3" s="113"/>
      <c r="P3" s="88"/>
    </row>
    <row r="4" spans="1:16" ht="64.2" customHeight="1" x14ac:dyDescent="0.3">
      <c r="A4" s="88"/>
      <c r="B4" s="203" t="str" cm="1">
        <f t="array" ref="B4">_xlfn.XLOOKUP(
    "cutoffText2",
    UITranslationTable[tag],
    INDEX(
      UITranslationTable[],
      0,
      IFERROR(
        MATCH(UILanguage, UITranslationTable[#Headers], 0),
        MATCH(UITranslationTable[[#Headers], [English]], UITranslationTable[#Headers], 0)
      )
    )
  )</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204"/>
      <c r="D4" s="204"/>
      <c r="E4" s="204"/>
      <c r="F4" s="204"/>
      <c r="G4" s="204"/>
      <c r="H4" s="204"/>
      <c r="I4" s="160"/>
      <c r="J4" s="128"/>
      <c r="K4" s="128"/>
      <c r="L4" s="128"/>
      <c r="M4" s="128"/>
      <c r="N4" s="76"/>
      <c r="O4" s="115"/>
      <c r="P4" s="88"/>
    </row>
    <row r="5" spans="1:16" ht="24" customHeight="1" thickBot="1" x14ac:dyDescent="0.35">
      <c r="A5" s="88"/>
      <c r="B5" s="281" t="str" cm="1">
        <f t="array" ref="B5">_xlfn.XLOOKUP(
    "cutoffText3",
    UITranslationTable[tag],
    INDEX(
      UITranslationTable[],
      0,
      IFERROR(
        MATCH(UILanguage, UITranslationTable[#Headers], 0),
        MATCH(UITranslationTable[[#Headers], [English]], UITranslationTable[#Headers], 0)
      )
    )
  )</f>
        <v>The chart on the right displays the resulting split between non-doers and doers as a percentage of the total number of respondents for whom a score could be computed, as well as the difference between both groups.</v>
      </c>
      <c r="C5" s="282"/>
      <c r="D5" s="282"/>
      <c r="E5" s="120"/>
      <c r="F5" s="124"/>
      <c r="G5" s="76"/>
      <c r="H5" s="125" t="e" cm="1">
        <f t="array" aca="1" ref="H5" ca="1">_xlfn.XLOOKUP(
    "cutoffLevelRecomText",
    UITranslationTable[tag],
    INDEX(
      UITranslationTable[],
      0,
      IFERROR(
        MATCH(UILanguage, UITranslationTable[#Headers], 0),
        MATCH(UITranslationTable[[#Headers], [English]], UITranslationTable[#Headers], 0)
      )
    )
  )</f>
        <v>#N/A</v>
      </c>
      <c r="I5" s="124"/>
      <c r="J5" s="128"/>
      <c r="K5" s="128"/>
      <c r="L5" s="128"/>
      <c r="M5" s="128"/>
      <c r="N5" s="76"/>
      <c r="O5" s="115"/>
      <c r="P5" s="88"/>
    </row>
    <row r="6" spans="1:16" ht="19.95" customHeight="1" thickBot="1" x14ac:dyDescent="0.35">
      <c r="A6" s="88"/>
      <c r="B6" s="283"/>
      <c r="C6" s="282"/>
      <c r="D6" s="282"/>
      <c r="E6" s="120"/>
      <c r="F6" s="121"/>
      <c r="G6" s="122" t="str" cm="1">
        <f t="array" ref="G6">_xlfn.XLOOKUP(
    "cutoffLevelText",
    UITranslationTable[tag],
    INDEX(
      UITranslationTable[],
      0,
      IFERROR(
        MATCH(UILanguage, UITranslationTable[#Headers], 0),
        MATCH(UITranslationTable[[#Headers], [English]], UITranslationTable[#Headers], 0)
      )
    )
  )</f>
        <v>Cutoff level:</v>
      </c>
      <c r="H6" s="64">
        <v>57</v>
      </c>
      <c r="I6" s="126"/>
      <c r="J6" s="126"/>
      <c r="K6" s="126"/>
      <c r="L6" s="126"/>
      <c r="M6" s="126"/>
      <c r="N6" s="76"/>
      <c r="O6" s="115"/>
      <c r="P6" s="88"/>
    </row>
    <row r="7" spans="1:16" ht="10.95" customHeight="1" x14ac:dyDescent="0.3">
      <c r="A7" s="88"/>
      <c r="B7" s="283"/>
      <c r="C7" s="282"/>
      <c r="D7" s="282"/>
      <c r="E7" s="120"/>
      <c r="F7" s="76"/>
      <c r="G7" s="123"/>
      <c r="H7" s="123"/>
      <c r="I7" s="123"/>
      <c r="J7" s="123"/>
      <c r="K7" s="123"/>
      <c r="L7" s="123"/>
      <c r="M7" s="123"/>
      <c r="N7" s="76"/>
      <c r="O7" s="115"/>
      <c r="P7" s="88"/>
    </row>
    <row r="8" spans="1:16" ht="14.4" customHeight="1" x14ac:dyDescent="0.3">
      <c r="A8" s="88"/>
      <c r="B8" s="161"/>
      <c r="C8" s="76"/>
      <c r="D8" s="76"/>
      <c r="E8" s="76"/>
      <c r="F8" s="76"/>
      <c r="G8" s="76"/>
      <c r="H8" s="76"/>
      <c r="I8" s="76"/>
      <c r="J8" s="76"/>
      <c r="K8" s="76"/>
      <c r="L8" s="76"/>
      <c r="M8" s="76"/>
      <c r="N8" s="76"/>
      <c r="O8" s="115"/>
      <c r="P8" s="88"/>
    </row>
    <row r="9" spans="1:16" ht="14.4" customHeight="1" x14ac:dyDescent="0.3">
      <c r="A9" s="88"/>
      <c r="B9" s="161"/>
      <c r="C9" s="76"/>
      <c r="D9" s="76"/>
      <c r="E9" s="76"/>
      <c r="F9" s="76"/>
      <c r="G9" s="76"/>
      <c r="H9" s="76"/>
      <c r="I9" s="76"/>
      <c r="J9" s="76"/>
      <c r="K9" s="76"/>
      <c r="L9" s="76"/>
      <c r="M9" s="76"/>
      <c r="N9" s="76"/>
      <c r="O9" s="115"/>
      <c r="P9" s="88"/>
    </row>
    <row r="10" spans="1:16" ht="14.4" customHeight="1" x14ac:dyDescent="0.3">
      <c r="A10" s="88"/>
      <c r="B10" s="161"/>
      <c r="C10" s="76"/>
      <c r="D10" s="76"/>
      <c r="E10" s="76"/>
      <c r="F10" s="76"/>
      <c r="G10" s="76"/>
      <c r="H10" s="76"/>
      <c r="I10" s="76"/>
      <c r="J10" s="76"/>
      <c r="K10" s="76"/>
      <c r="L10" s="76"/>
      <c r="M10" s="76"/>
      <c r="N10" s="76"/>
      <c r="O10" s="115"/>
      <c r="P10" s="88"/>
    </row>
    <row r="11" spans="1:16" ht="14.4" customHeight="1" x14ac:dyDescent="0.3">
      <c r="A11" s="88"/>
      <c r="B11" s="161"/>
      <c r="C11" s="76"/>
      <c r="D11" s="76"/>
      <c r="E11" s="76"/>
      <c r="F11" s="76"/>
      <c r="G11" s="76"/>
      <c r="H11" s="76"/>
      <c r="I11" s="76"/>
      <c r="J11" s="76"/>
      <c r="K11" s="76"/>
      <c r="L11" s="76"/>
      <c r="M11" s="76"/>
      <c r="N11" s="76"/>
      <c r="O11" s="115"/>
      <c r="P11" s="88"/>
    </row>
    <row r="12" spans="1:16" ht="14.4" customHeight="1" x14ac:dyDescent="0.3">
      <c r="A12" s="88"/>
      <c r="B12" s="161"/>
      <c r="C12" s="76"/>
      <c r="D12" s="76"/>
      <c r="E12" s="76"/>
      <c r="F12" s="76"/>
      <c r="G12" s="76"/>
      <c r="H12" s="76"/>
      <c r="I12" s="76"/>
      <c r="J12" s="76"/>
      <c r="K12" s="76"/>
      <c r="L12" s="76"/>
      <c r="M12" s="76"/>
      <c r="N12" s="76"/>
      <c r="O12" s="115"/>
      <c r="P12" s="88"/>
    </row>
    <row r="13" spans="1:16" ht="14.4" customHeight="1" x14ac:dyDescent="0.3">
      <c r="A13" s="88"/>
      <c r="B13" s="161"/>
      <c r="C13" s="76"/>
      <c r="D13" s="76"/>
      <c r="E13" s="76"/>
      <c r="F13" s="76"/>
      <c r="G13" s="76"/>
      <c r="H13" s="76"/>
      <c r="I13" s="76"/>
      <c r="J13" s="76"/>
      <c r="K13" s="76"/>
      <c r="L13" s="76"/>
      <c r="M13" s="76"/>
      <c r="N13" s="76"/>
      <c r="O13" s="115"/>
      <c r="P13" s="88"/>
    </row>
    <row r="14" spans="1:16" ht="14.4" customHeight="1" x14ac:dyDescent="0.3">
      <c r="A14" s="88"/>
      <c r="B14" s="161"/>
      <c r="C14" s="76"/>
      <c r="D14" s="76"/>
      <c r="E14" s="76"/>
      <c r="F14" s="76"/>
      <c r="G14" s="76"/>
      <c r="H14" s="76"/>
      <c r="I14" s="76"/>
      <c r="J14" s="76"/>
      <c r="K14" s="76"/>
      <c r="L14" s="76"/>
      <c r="M14" s="76"/>
      <c r="N14" s="76"/>
      <c r="O14" s="115"/>
      <c r="P14" s="88"/>
    </row>
    <row r="15" spans="1:16" ht="14.4" customHeight="1" x14ac:dyDescent="0.3">
      <c r="A15" s="88"/>
      <c r="B15" s="161"/>
      <c r="C15" s="76"/>
      <c r="D15" s="76"/>
      <c r="E15" s="76"/>
      <c r="F15" s="76"/>
      <c r="G15" s="76"/>
      <c r="H15" s="76"/>
      <c r="I15" s="76"/>
      <c r="J15" s="76"/>
      <c r="K15" s="76"/>
      <c r="L15" s="76"/>
      <c r="M15" s="76"/>
      <c r="N15" s="76"/>
      <c r="O15" s="115"/>
      <c r="P15" s="88"/>
    </row>
    <row r="16" spans="1:16" ht="14.4" customHeight="1" x14ac:dyDescent="0.3">
      <c r="A16" s="88"/>
      <c r="B16" s="161"/>
      <c r="C16" s="76"/>
      <c r="D16" s="76"/>
      <c r="E16" s="76"/>
      <c r="F16" s="76"/>
      <c r="G16" s="76"/>
      <c r="H16" s="76"/>
      <c r="I16" s="76"/>
      <c r="J16" s="76"/>
      <c r="K16" s="76"/>
      <c r="L16" s="76"/>
      <c r="M16" s="76"/>
      <c r="N16" s="76"/>
      <c r="O16" s="115"/>
      <c r="P16" s="88"/>
    </row>
    <row r="17" spans="1:16" ht="14.4" customHeight="1" x14ac:dyDescent="0.3">
      <c r="A17" s="88"/>
      <c r="B17" s="161"/>
      <c r="C17" s="76"/>
      <c r="D17" s="76"/>
      <c r="E17" s="76"/>
      <c r="F17" s="76"/>
      <c r="G17" s="76"/>
      <c r="H17" s="76"/>
      <c r="I17" s="76"/>
      <c r="J17" s="76"/>
      <c r="K17" s="76"/>
      <c r="L17" s="76"/>
      <c r="M17" s="76"/>
      <c r="N17" s="76"/>
      <c r="O17" s="115"/>
      <c r="P17" s="88"/>
    </row>
    <row r="18" spans="1:16" ht="14.4" customHeight="1" x14ac:dyDescent="0.3">
      <c r="A18" s="88"/>
      <c r="B18" s="161"/>
      <c r="C18" s="76"/>
      <c r="D18" s="76"/>
      <c r="E18" s="76"/>
      <c r="F18" s="76"/>
      <c r="G18" s="76"/>
      <c r="H18" s="76"/>
      <c r="I18" s="76"/>
      <c r="J18" s="76"/>
      <c r="K18" s="76"/>
      <c r="L18" s="76"/>
      <c r="M18" s="76"/>
      <c r="N18" s="76"/>
      <c r="O18" s="115"/>
      <c r="P18" s="88"/>
    </row>
    <row r="19" spans="1:16" ht="14.4" customHeight="1" x14ac:dyDescent="0.3">
      <c r="A19" s="88"/>
      <c r="B19" s="161"/>
      <c r="C19" s="76"/>
      <c r="D19" s="76"/>
      <c r="E19" s="76"/>
      <c r="F19" s="76"/>
      <c r="G19" s="76"/>
      <c r="H19" s="76"/>
      <c r="I19" s="76"/>
      <c r="J19" s="76"/>
      <c r="K19" s="76"/>
      <c r="L19" s="76"/>
      <c r="M19" s="76"/>
      <c r="N19" s="76"/>
      <c r="O19" s="115"/>
      <c r="P19" s="88"/>
    </row>
    <row r="20" spans="1:16" ht="14.4" customHeight="1" x14ac:dyDescent="0.3">
      <c r="A20" s="88"/>
      <c r="B20" s="161"/>
      <c r="C20" s="76"/>
      <c r="D20" s="76"/>
      <c r="E20" s="76"/>
      <c r="F20" s="76"/>
      <c r="G20" s="76"/>
      <c r="H20" s="76"/>
      <c r="I20" s="76"/>
      <c r="J20" s="76"/>
      <c r="K20" s="76"/>
      <c r="L20" s="76"/>
      <c r="M20" s="76"/>
      <c r="N20" s="76"/>
      <c r="O20" s="115"/>
      <c r="P20" s="88"/>
    </row>
    <row r="21" spans="1:16" ht="14.4" customHeight="1" x14ac:dyDescent="0.3">
      <c r="A21" s="88"/>
      <c r="B21" s="161"/>
      <c r="C21" s="76"/>
      <c r="D21" s="76"/>
      <c r="E21" s="76"/>
      <c r="F21" s="76"/>
      <c r="G21" s="76"/>
      <c r="H21" s="76"/>
      <c r="I21" s="76"/>
      <c r="J21" s="76"/>
      <c r="K21" s="76"/>
      <c r="L21" s="76"/>
      <c r="M21" s="76"/>
      <c r="N21" s="76"/>
      <c r="O21" s="115"/>
      <c r="P21" s="88"/>
    </row>
    <row r="22" spans="1:16" x14ac:dyDescent="0.3">
      <c r="A22" s="88"/>
      <c r="B22" s="161"/>
      <c r="C22" s="76"/>
      <c r="D22" s="76"/>
      <c r="E22" s="76"/>
      <c r="F22" s="76"/>
      <c r="G22" s="76"/>
      <c r="H22" s="76"/>
      <c r="I22" s="76"/>
      <c r="J22" s="76"/>
      <c r="K22" s="76"/>
      <c r="L22" s="76"/>
      <c r="M22" s="76"/>
      <c r="N22" s="76"/>
      <c r="O22" s="115"/>
      <c r="P22" s="88"/>
    </row>
    <row r="23" spans="1:16" x14ac:dyDescent="0.3">
      <c r="A23" s="88"/>
      <c r="B23" s="161"/>
      <c r="C23" s="76"/>
      <c r="D23" s="76"/>
      <c r="E23" s="76"/>
      <c r="F23" s="76"/>
      <c r="G23" s="76"/>
      <c r="H23" s="76"/>
      <c r="I23" s="76"/>
      <c r="J23" s="76"/>
      <c r="K23" s="76"/>
      <c r="L23" s="76"/>
      <c r="M23" s="76"/>
      <c r="N23" s="76"/>
      <c r="O23" s="115"/>
      <c r="P23" s="88"/>
    </row>
    <row r="24" spans="1:16" ht="14.4" customHeight="1" x14ac:dyDescent="0.3">
      <c r="A24" s="88"/>
      <c r="B24" s="284" t="str" cm="1">
        <f t="array" ref="B24">_xlfn.XLOOKUP(
    "copyTableInfo",
    UITranslationTable[tag],
    INDEX(
      UITranslationTable[],
      0,
      IFERROR(
        MATCH(UILanguage, UITranslationTable[#Headers], 0),
        MATCH(UITranslationTable[[#Headers], [English]], UITranslationTable[#Headers], 0)
      )
    )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76"/>
      <c r="D24" s="98" t="str">
        <f>_xlfn.XLOOKUP("behaviourScore",chartTranslationTable[tag],chartTranslationTable[displayedText])</f>
        <v>Behaviour score</v>
      </c>
      <c r="E24" s="98" t="str">
        <f>_xlfn.XLOOKUP("numResponses",chartTranslationTable[tag],chartTranslationTable[displayedText])</f>
        <v># of responses</v>
      </c>
      <c r="F24" s="129" t="str">
        <f>_xlfn.XLOOKUP("nondoers",chartTranslationTable[tag],chartTranslationTable[displayedText])</f>
        <v>Non-doers</v>
      </c>
      <c r="G24" s="129" t="str">
        <f>_xlfn.XLOOKUP("doers",chartTranslationTable[tag],chartTranslationTable[displayedText])</f>
        <v>Doers</v>
      </c>
      <c r="H24" s="76"/>
      <c r="I24" s="76"/>
      <c r="J24" s="76"/>
      <c r="K24" s="98" t="str">
        <f>_xlfn.XLOOKUP("nondoers",chartTranslationTable[tag],chartTranslationTable[displayedText])</f>
        <v>Non-doers</v>
      </c>
      <c r="L24" s="98" t="str">
        <f>_xlfn.XLOOKUP("doers",chartTranslationTable[tag],chartTranslationTable[displayedText])</f>
        <v>Doers</v>
      </c>
      <c r="M24" s="98" t="str">
        <f>_xlfn.XLOOKUP("difference",chartTranslationTable[tag],chartTranslationTable[displayedText])</f>
        <v>Difference</v>
      </c>
      <c r="N24" s="76"/>
      <c r="O24" s="115"/>
      <c r="P24" s="88"/>
    </row>
    <row r="25" spans="1:16" ht="14.4" hidden="1" customHeight="1" x14ac:dyDescent="0.3">
      <c r="A25" s="88"/>
      <c r="B25" s="285"/>
      <c r="C25" s="37" t="s">
        <v>1</v>
      </c>
      <c r="D25" s="164" t="s">
        <v>99</v>
      </c>
      <c r="E25" s="164" t="s">
        <v>35</v>
      </c>
      <c r="F25" s="37" t="s">
        <v>304</v>
      </c>
      <c r="G25" s="37" t="s">
        <v>305</v>
      </c>
      <c r="H25" s="76"/>
      <c r="I25" s="76"/>
      <c r="J25" s="4" t="s">
        <v>1</v>
      </c>
      <c r="K25" s="5" t="s">
        <v>112</v>
      </c>
      <c r="L25" s="5" t="s">
        <v>113</v>
      </c>
      <c r="M25" s="5" t="s">
        <v>26</v>
      </c>
      <c r="N25" s="76"/>
      <c r="O25" s="115"/>
      <c r="P25" s="88"/>
    </row>
    <row r="26" spans="1:16" x14ac:dyDescent="0.3">
      <c r="A26" s="88"/>
      <c r="B26" s="285"/>
      <c r="C26" s="118" cm="1">
        <f t="array" ref="C26">ROW()-ROW(cutoffChartTable[#Headers])</f>
        <v>1</v>
      </c>
      <c r="D26" s="165" t="str">
        <f>_xlfn.XLOOKUP(cutoffChartTable[[#This Row],[index]],cutoffTable[index],cutoffTable[label])</f>
        <v>0-9%</v>
      </c>
      <c r="E26" s="165" t="e">
        <f ca="1">_xlfn.XLOOKUP(cutoffChartTable[[#This Row],[index]],cutoffTable[index],cutoffTable[numResponses])</f>
        <v>#N/A</v>
      </c>
      <c r="F26" s="118" t="e">
        <f ca="1">_xlfn.XLOOKUP(cutoffChartTable[[#This Row],[index]],cutoffTable[index],cutoffTable[numNondoersBin])</f>
        <v>#N/A</v>
      </c>
      <c r="G26" s="118" t="e">
        <f ca="1">_xlfn.XLOOKUP(cutoffChartTable[[#This Row],[index]],cutoffTable[index],cutoffTable[numDoersBin])</f>
        <v>#N/A</v>
      </c>
      <c r="H26" s="76"/>
      <c r="I26" s="76"/>
      <c r="J26" s="131">
        <v>1</v>
      </c>
      <c r="K26" s="169" t="e">
        <f ca="1">_xlfn.XLOOKUP(doersNondoersChartTable[[#This Row],[index]],doersNondoersTable[index],doersNondoersTable[percentNondoers])</f>
        <v>#N/A</v>
      </c>
      <c r="L26" s="170" t="e">
        <f ca="1">_xlfn.XLOOKUP(doersNondoersChartTable[[#This Row],[index]],doersNondoersTable[index],doersNondoersTable[percentDoers])</f>
        <v>#N/A</v>
      </c>
      <c r="M26" s="171" t="e">
        <f ca="1">_xlfn.XLOOKUP(doersNondoersChartTable[[#This Row],[index]],doersNondoersTable[index],doersNondoersTable[difference])</f>
        <v>#N/A</v>
      </c>
      <c r="N26" s="76"/>
      <c r="O26" s="115"/>
      <c r="P26" s="88"/>
    </row>
    <row r="27" spans="1:16" x14ac:dyDescent="0.3">
      <c r="A27" s="88"/>
      <c r="B27" s="285"/>
      <c r="C27" s="118" cm="1">
        <f t="array" ref="C27">ROW()-ROW(cutoffChartTable[#Headers])</f>
        <v>2</v>
      </c>
      <c r="D27" s="166" t="str">
        <f>_xlfn.XLOOKUP(cutoffChartTable[[#This Row],[index]],cutoffTable[index],cutoffTable[label])</f>
        <v>10-19%</v>
      </c>
      <c r="E27" s="166" t="e">
        <f ca="1">_xlfn.XLOOKUP(cutoffChartTable[[#This Row],[index]],cutoffTable[index],cutoffTable[numResponses])</f>
        <v>#N/A</v>
      </c>
      <c r="F27" s="118" t="e">
        <f ca="1">_xlfn.XLOOKUP(cutoffChartTable[[#This Row],[index]],cutoffTable[index],cutoffTable[numNondoersBin])</f>
        <v>#N/A</v>
      </c>
      <c r="G27" s="118" t="e">
        <f ca="1">_xlfn.XLOOKUP(cutoffChartTable[[#This Row],[index]],cutoffTable[index],cutoffTable[numDoersBin])</f>
        <v>#N/A</v>
      </c>
      <c r="H27" s="76"/>
      <c r="I27" s="76"/>
      <c r="J27" s="76"/>
      <c r="K27" s="76"/>
      <c r="L27" s="76"/>
      <c r="M27" s="76"/>
      <c r="N27" s="76"/>
      <c r="O27" s="115"/>
      <c r="P27" s="88"/>
    </row>
    <row r="28" spans="1:16" ht="14.4" customHeight="1" x14ac:dyDescent="0.3">
      <c r="A28" s="88"/>
      <c r="B28" s="285"/>
      <c r="C28" s="118" cm="1">
        <f t="array" ref="C28">ROW()-ROW(cutoffChartTable[#Headers])</f>
        <v>3</v>
      </c>
      <c r="D28" s="166" t="str">
        <f>_xlfn.XLOOKUP(cutoffChartTable[[#This Row],[index]],cutoffTable[index],cutoffTable[label])</f>
        <v>20-29%</v>
      </c>
      <c r="E28" s="166" t="e">
        <f ca="1">_xlfn.XLOOKUP(cutoffChartTable[[#This Row],[index]],cutoffTable[index],cutoffTable[numResponses])</f>
        <v>#N/A</v>
      </c>
      <c r="F28" s="118" t="e">
        <f ca="1">_xlfn.XLOOKUP(cutoffChartTable[[#This Row],[index]],cutoffTable[index],cutoffTable[numNondoersBin])</f>
        <v>#N/A</v>
      </c>
      <c r="G28" s="118" t="e">
        <f ca="1">_xlfn.XLOOKUP(cutoffChartTable[[#This Row],[index]],cutoffTable[index],cutoffTable[numDoersBin])</f>
        <v>#N/A</v>
      </c>
      <c r="H28" s="287" t="str" cm="1">
        <f t="array" ref="H28">_xlfn.XLOOKUP(
    "copyChartInfo",
    UITranslationTable[tag],
    INDEX(
      UITranslationTable[],
      0,
      IFERROR(
        MATCH(UILanguage, UITranslationTable[#Headers], 0),
        MATCH(UITranslationTable[[#Headers], [English]], UITranslationTable[#Headers], 0)
      )
    )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288"/>
      <c r="J28" s="288"/>
      <c r="K28" s="288"/>
      <c r="L28" s="288"/>
      <c r="M28" s="288"/>
      <c r="N28" s="288"/>
      <c r="O28" s="115"/>
      <c r="P28" s="88"/>
    </row>
    <row r="29" spans="1:16" x14ac:dyDescent="0.3">
      <c r="A29" s="88"/>
      <c r="B29" s="285"/>
      <c r="C29" s="119" cm="1">
        <f t="array" ref="C29">ROW()-ROW(cutoffChartTable[#Headers])</f>
        <v>4</v>
      </c>
      <c r="D29" s="167" t="str">
        <f>_xlfn.XLOOKUP(cutoffChartTable[[#This Row],[index]],cutoffTable[index],cutoffTable[label])</f>
        <v>30-39%</v>
      </c>
      <c r="E29" s="167" t="e">
        <f ca="1">_xlfn.XLOOKUP(cutoffChartTable[[#This Row],[index]],cutoffTable[index],cutoffTable[numResponses])</f>
        <v>#N/A</v>
      </c>
      <c r="F29" s="119" t="e">
        <f ca="1">_xlfn.XLOOKUP(cutoffChartTable[[#This Row],[index]],cutoffTable[index],cutoffTable[numNondoersBin])</f>
        <v>#N/A</v>
      </c>
      <c r="G29" s="119" t="e">
        <f ca="1">_xlfn.XLOOKUP(cutoffChartTable[[#This Row],[index]],cutoffTable[index],cutoffTable[numDoersBin])</f>
        <v>#N/A</v>
      </c>
      <c r="H29" s="288"/>
      <c r="I29" s="288"/>
      <c r="J29" s="288"/>
      <c r="K29" s="288"/>
      <c r="L29" s="288"/>
      <c r="M29" s="288"/>
      <c r="N29" s="288"/>
      <c r="O29" s="115"/>
      <c r="P29" s="88"/>
    </row>
    <row r="30" spans="1:16" x14ac:dyDescent="0.3">
      <c r="A30" s="88"/>
      <c r="B30" s="285"/>
      <c r="C30" s="119" cm="1">
        <f t="array" ref="C30">ROW()-ROW(cutoffChartTable[#Headers])</f>
        <v>5</v>
      </c>
      <c r="D30" s="167" t="str">
        <f>_xlfn.XLOOKUP(cutoffChartTable[[#This Row],[index]],cutoffTable[index],cutoffTable[label])</f>
        <v>40-49%</v>
      </c>
      <c r="E30" s="167" t="e">
        <f ca="1">_xlfn.XLOOKUP(cutoffChartTable[[#This Row],[index]],cutoffTable[index],cutoffTable[numResponses])</f>
        <v>#N/A</v>
      </c>
      <c r="F30" s="119" t="e">
        <f ca="1">_xlfn.XLOOKUP(cutoffChartTable[[#This Row],[index]],cutoffTable[index],cutoffTable[numNondoersBin])</f>
        <v>#N/A</v>
      </c>
      <c r="G30" s="119" t="e">
        <f ca="1">_xlfn.XLOOKUP(cutoffChartTable[[#This Row],[index]],cutoffTable[index],cutoffTable[numDoersBin])</f>
        <v>#N/A</v>
      </c>
      <c r="H30" s="288"/>
      <c r="I30" s="288"/>
      <c r="J30" s="288"/>
      <c r="K30" s="288"/>
      <c r="L30" s="288"/>
      <c r="M30" s="288"/>
      <c r="N30" s="288"/>
      <c r="O30" s="115"/>
      <c r="P30" s="88"/>
    </row>
    <row r="31" spans="1:16" x14ac:dyDescent="0.3">
      <c r="A31" s="88"/>
      <c r="B31" s="285"/>
      <c r="C31" s="119" cm="1">
        <f t="array" ref="C31">ROW()-ROW(cutoffChartTable[#Headers])</f>
        <v>6</v>
      </c>
      <c r="D31" s="167" t="str">
        <f>_xlfn.XLOOKUP(cutoffChartTable[[#This Row],[index]],cutoffTable[index],cutoffTable[label])</f>
        <v>50-59%</v>
      </c>
      <c r="E31" s="167" t="e">
        <f ca="1">_xlfn.XLOOKUP(cutoffChartTable[[#This Row],[index]],cutoffTable[index],cutoffTable[numResponses])</f>
        <v>#N/A</v>
      </c>
      <c r="F31" s="130" t="e">
        <f ca="1">_xlfn.XLOOKUP(cutoffChartTable[[#This Row],[index]],cutoffTable[index],cutoffTable[numNondoersBin])</f>
        <v>#N/A</v>
      </c>
      <c r="G31" s="130" t="e">
        <f ca="1">_xlfn.XLOOKUP(cutoffChartTable[[#This Row],[index]],cutoffTable[index],cutoffTable[numDoersBin])</f>
        <v>#N/A</v>
      </c>
      <c r="H31" s="288"/>
      <c r="I31" s="288"/>
      <c r="J31" s="288"/>
      <c r="K31" s="288"/>
      <c r="L31" s="288"/>
      <c r="M31" s="288"/>
      <c r="N31" s="288"/>
      <c r="O31" s="115"/>
      <c r="P31" s="88"/>
    </row>
    <row r="32" spans="1:16" x14ac:dyDescent="0.3">
      <c r="A32" s="88"/>
      <c r="B32" s="285"/>
      <c r="C32" s="119" cm="1">
        <f t="array" ref="C32">ROW()-ROW(cutoffChartTable[#Headers])</f>
        <v>7</v>
      </c>
      <c r="D32" s="167" t="str">
        <f>_xlfn.XLOOKUP(cutoffChartTable[[#This Row],[index]],cutoffTable[index],cutoffTable[label])</f>
        <v>60-69%</v>
      </c>
      <c r="E32" s="167" t="e">
        <f ca="1">_xlfn.XLOOKUP(cutoffChartTable[[#This Row],[index]],cutoffTable[index],cutoffTable[numResponses])</f>
        <v>#N/A</v>
      </c>
      <c r="F32" s="130" t="e">
        <f ca="1">_xlfn.XLOOKUP(cutoffChartTable[[#This Row],[index]],cutoffTable[index],cutoffTable[numNondoersBin])</f>
        <v>#N/A</v>
      </c>
      <c r="G32" s="130" t="e">
        <f ca="1">_xlfn.XLOOKUP(cutoffChartTable[[#This Row],[index]],cutoffTable[index],cutoffTable[numDoersBin])</f>
        <v>#N/A</v>
      </c>
      <c r="H32" s="288"/>
      <c r="I32" s="288"/>
      <c r="J32" s="288"/>
      <c r="K32" s="288"/>
      <c r="L32" s="288"/>
      <c r="M32" s="288"/>
      <c r="N32" s="288"/>
      <c r="O32" s="115"/>
      <c r="P32" s="88"/>
    </row>
    <row r="33" spans="1:16" x14ac:dyDescent="0.3">
      <c r="A33" s="88"/>
      <c r="B33" s="285"/>
      <c r="C33" s="119" cm="1">
        <f t="array" ref="C33">ROW()-ROW(cutoffChartTable[#Headers])</f>
        <v>8</v>
      </c>
      <c r="D33" s="167" t="str">
        <f>_xlfn.XLOOKUP(cutoffChartTable[[#This Row],[index]],cutoffTable[index],cutoffTable[label])</f>
        <v>70-79%</v>
      </c>
      <c r="E33" s="167" t="e">
        <f ca="1">_xlfn.XLOOKUP(cutoffChartTable[[#This Row],[index]],cutoffTable[index],cutoffTable[numResponses])</f>
        <v>#N/A</v>
      </c>
      <c r="F33" s="130" t="e">
        <f ca="1">_xlfn.XLOOKUP(cutoffChartTable[[#This Row],[index]],cutoffTable[index],cutoffTable[numNondoersBin])</f>
        <v>#N/A</v>
      </c>
      <c r="G33" s="130" t="e">
        <f ca="1">_xlfn.XLOOKUP(cutoffChartTable[[#This Row],[index]],cutoffTable[index],cutoffTable[numDoersBin])</f>
        <v>#N/A</v>
      </c>
      <c r="H33" s="288"/>
      <c r="I33" s="288"/>
      <c r="J33" s="288"/>
      <c r="K33" s="288"/>
      <c r="L33" s="288"/>
      <c r="M33" s="288"/>
      <c r="N33" s="288"/>
      <c r="O33" s="115"/>
      <c r="P33" s="88"/>
    </row>
    <row r="34" spans="1:16" x14ac:dyDescent="0.3">
      <c r="A34" s="88"/>
      <c r="B34" s="285"/>
      <c r="C34" s="119" cm="1">
        <f t="array" ref="C34">ROW()-ROW(cutoffChartTable[#Headers])</f>
        <v>9</v>
      </c>
      <c r="D34" s="167" t="str">
        <f>_xlfn.XLOOKUP(cutoffChartTable[[#This Row],[index]],cutoffTable[index],cutoffTable[label])</f>
        <v>80-89%</v>
      </c>
      <c r="E34" s="167" t="e">
        <f ca="1">_xlfn.XLOOKUP(cutoffChartTable[[#This Row],[index]],cutoffTable[index],cutoffTable[numResponses])</f>
        <v>#N/A</v>
      </c>
      <c r="F34" s="130" t="e">
        <f ca="1">_xlfn.XLOOKUP(cutoffChartTable[[#This Row],[index]],cutoffTable[index],cutoffTable[numNondoersBin])</f>
        <v>#N/A</v>
      </c>
      <c r="G34" s="130" t="e">
        <f ca="1">_xlfn.XLOOKUP(cutoffChartTable[[#This Row],[index]],cutoffTable[index],cutoffTable[numDoersBin])</f>
        <v>#N/A</v>
      </c>
      <c r="H34" s="288"/>
      <c r="I34" s="288"/>
      <c r="J34" s="288"/>
      <c r="K34" s="288"/>
      <c r="L34" s="288"/>
      <c r="M34" s="288"/>
      <c r="N34" s="288"/>
      <c r="O34" s="115"/>
      <c r="P34" s="88"/>
    </row>
    <row r="35" spans="1:16" x14ac:dyDescent="0.3">
      <c r="A35" s="88"/>
      <c r="B35" s="285"/>
      <c r="C35" s="119" cm="1">
        <f t="array" ref="C35">ROW()-ROW(cutoffChartTable[#Headers])</f>
        <v>10</v>
      </c>
      <c r="D35" s="168" t="str">
        <f>_xlfn.XLOOKUP(cutoffChartTable[[#This Row],[index]],cutoffTable[index],cutoffTable[label])</f>
        <v>90-100%</v>
      </c>
      <c r="E35" s="168" t="e">
        <f ca="1">_xlfn.XLOOKUP(cutoffChartTable[[#This Row],[index]],cutoffTable[index],cutoffTable[numResponses])</f>
        <v>#N/A</v>
      </c>
      <c r="F35" s="130" t="e">
        <f ca="1">_xlfn.XLOOKUP(cutoffChartTable[[#This Row],[index]],cutoffTable[index],cutoffTable[numNondoersBin])</f>
        <v>#N/A</v>
      </c>
      <c r="G35" s="130" t="e">
        <f ca="1">_xlfn.XLOOKUP(cutoffChartTable[[#This Row],[index]],cutoffTable[index],cutoffTable[numDoersBin])</f>
        <v>#N/A</v>
      </c>
      <c r="H35" s="288"/>
      <c r="I35" s="288"/>
      <c r="J35" s="288"/>
      <c r="K35" s="288"/>
      <c r="L35" s="288"/>
      <c r="M35" s="288"/>
      <c r="N35" s="288"/>
      <c r="O35" s="115"/>
      <c r="P35" s="88"/>
    </row>
    <row r="36" spans="1:16" x14ac:dyDescent="0.3">
      <c r="A36" s="88"/>
      <c r="B36" s="285"/>
      <c r="C36" s="76"/>
      <c r="D36" s="76"/>
      <c r="E36" s="76"/>
      <c r="F36" s="76"/>
      <c r="G36" s="76"/>
      <c r="H36" s="288"/>
      <c r="I36" s="288"/>
      <c r="J36" s="288"/>
      <c r="K36" s="288"/>
      <c r="L36" s="288"/>
      <c r="M36" s="288"/>
      <c r="N36" s="288"/>
      <c r="O36" s="115"/>
      <c r="P36" s="88"/>
    </row>
    <row r="37" spans="1:16" x14ac:dyDescent="0.3">
      <c r="A37" s="88"/>
      <c r="B37" s="285"/>
      <c r="C37" s="76"/>
      <c r="D37" s="76"/>
      <c r="E37" s="76"/>
      <c r="F37" s="76"/>
      <c r="G37" s="76"/>
      <c r="H37" s="288"/>
      <c r="I37" s="288"/>
      <c r="J37" s="288"/>
      <c r="K37" s="288"/>
      <c r="L37" s="288"/>
      <c r="M37" s="288"/>
      <c r="N37" s="288"/>
      <c r="O37" s="115"/>
      <c r="P37" s="88"/>
    </row>
    <row r="38" spans="1:16" customFormat="1" x14ac:dyDescent="0.3">
      <c r="A38" s="88"/>
      <c r="B38" s="286"/>
      <c r="C38" s="112"/>
      <c r="D38" s="112"/>
      <c r="E38" s="112"/>
      <c r="F38" s="112"/>
      <c r="G38" s="112"/>
      <c r="H38" s="289"/>
      <c r="I38" s="289"/>
      <c r="J38" s="289"/>
      <c r="K38" s="289"/>
      <c r="L38" s="289"/>
      <c r="M38" s="289"/>
      <c r="N38" s="289"/>
      <c r="O38" s="117"/>
      <c r="P38" s="88"/>
    </row>
    <row r="39" spans="1:16" customFormat="1" ht="14.4" customHeight="1" x14ac:dyDescent="0.3">
      <c r="A39" s="88"/>
      <c r="B39" s="88"/>
      <c r="C39" s="88"/>
      <c r="D39" s="88"/>
      <c r="E39" s="88"/>
      <c r="F39" s="88"/>
      <c r="G39" s="88"/>
      <c r="H39" s="88"/>
      <c r="I39" s="88"/>
      <c r="J39" s="88"/>
      <c r="K39" s="88"/>
      <c r="L39" s="88"/>
      <c r="M39" s="88"/>
      <c r="N39" s="88"/>
      <c r="O39" s="88"/>
      <c r="P39" s="88"/>
    </row>
  </sheetData>
  <sheetProtection algorithmName="SHA-512" hashValue="44bDr9D4eWS+jOFFtio6ecrh8W1h2kHH+4d5Iiw7kywwr/c5VKCjWKvawurAiovpCTN3HKpe+5Rdxwk+EbXfyw==" saltValue="BchX4cKtujDQm53Obt1M7g==" spinCount="100000" sheet="1" objects="1" scenarios="1"/>
  <mergeCells count="6">
    <mergeCell ref="K3:M3"/>
    <mergeCell ref="B3:H3"/>
    <mergeCell ref="B4:H4"/>
    <mergeCell ref="B5:D7"/>
    <mergeCell ref="B24:B38"/>
    <mergeCell ref="H28:N38"/>
  </mergeCells>
  <conditionalFormatting sqref="D26:E35">
    <cfRule type="expression" dxfId="11" priority="1">
      <formula>(IF(_xlfn.IFNA(MATCH(INDIRECT(ADDRESS(0, 0, 4, 0), FALSE), cutoffLabelColumn, 0), MATCH(INDIRECT(ADDRESS(0, -1, 4, 0), FALSE), cutoffLabelColumn, 0)) = 1, -1, INDEX(cutoffLevelColumn, _xlfn.IFNA(MATCH(INDIRECT(ADDRESS(0, 0, 4, 0), FALSE), cutoffLabelColumn, 0), MATCH(INDIRECT(ADDRESS(0, -1, 4, 0), FALSE), cutoffLabelColumn, 0)) - 1, 1)) &lt; cutoffLevel) * (IF(_xlfn.IFNA(_xlfn.XLOOKUP(INDIRECT(ADDRESS(0, 0, 4, 0), FALSE), cutoffLabelColumn, cutoffLevelColumn), _xlfn.XLOOKUP(INDIRECT(ADDRESS(0, -1, 4, 0), FALSE), cutoffLabelColumn, cutoffLevelColumn)) = 1, 2, _xlfn.IFNA(_xlfn.XLOOKUP(INDIRECT(ADDRESS(0, 0, 4, 0), FALSE), cutoffLabelColumn, cutoffLevelColumn), _xlfn.XLOOKUP(INDIRECT(ADDRESS(0, -1, 4, 0), FALSE), cutoffLabelColumn, cutoffLevelColumn))) &gt; cutoffLevel)</formula>
    </cfRule>
    <cfRule type="expression" dxfId="10" priority="5">
      <formula>(_xlfn.IFNA(_xlfn.XLOOKUP(INDIRECT(ADDRESS(0, 0, 4, 0), FALSE), cutoffLabelColumn, cutoffLevelColumn), _xlfn.XLOOKUP(INDIRECT(ADDRESS(0, -1, 4, 0), FALSE), cutoffLabelColumn, cutoffLevelColumn)) &gt; cutoffLevel)</formula>
    </cfRule>
    <cfRule type="expression" dxfId="9" priority="7">
      <formula>(_xlfn.IFNA(_xlfn.XLOOKUP(INDIRECT(ADDRESS(0, 0, 4, 0), FALSE), cutoffLabelColumn, cutoffLevelColumn), _xlfn.XLOOKUP(INDIRECT(ADDRESS(0, -1, 4, 0), FALSE), cutoffLabelColumn, cutoffLevelColumn)) &lt;= cutoffLevel)</formula>
    </cfRule>
  </conditionalFormatting>
  <conditionalFormatting sqref="H6">
    <cfRule type="cellIs" dxfId="8" priority="9" operator="notBetween">
      <formula>0</formula>
      <formula>100</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80" zoomScaleNormal="80" workbookViewId="0">
      <selection activeCell="E8" sqref="E8"/>
    </sheetView>
  </sheetViews>
  <sheetFormatPr defaultColWidth="0" defaultRowHeight="14.4" zeroHeight="1" x14ac:dyDescent="0.3"/>
  <cols>
    <col min="1" max="1" width="3.77734375" style="3" customWidth="1"/>
    <col min="2" max="2" width="5.77734375" style="3" customWidth="1"/>
    <col min="3" max="4" width="7.77734375" style="3" customWidth="1"/>
    <col min="5" max="5" width="10.77734375" style="3" customWidth="1"/>
    <col min="6" max="6" width="35.77734375" style="3" customWidth="1"/>
    <col min="7" max="11" width="19.77734375" style="3" customWidth="1"/>
    <col min="12" max="13" width="12.77734375" style="3" customWidth="1"/>
    <col min="14" max="15" width="12.77734375" style="14" customWidth="1"/>
    <col min="16" max="16" width="3.77734375" style="14" customWidth="1"/>
    <col min="17" max="17" width="3.77734375" style="3" customWidth="1"/>
    <col min="18" max="16384" width="8.88671875" style="3" hidden="1"/>
  </cols>
  <sheetData>
    <row r="1" spans="1:17" ht="19.95" customHeight="1" x14ac:dyDescent="0.3">
      <c r="A1" s="88"/>
      <c r="B1" s="88"/>
      <c r="C1" s="88"/>
      <c r="D1" s="88"/>
      <c r="E1" s="88"/>
      <c r="F1" s="88"/>
      <c r="G1" s="88"/>
      <c r="H1" s="88"/>
      <c r="I1" s="88"/>
      <c r="J1" s="88"/>
      <c r="K1" s="88"/>
      <c r="L1" s="88"/>
      <c r="M1" s="88"/>
      <c r="N1" s="88"/>
      <c r="O1" s="88"/>
      <c r="P1" s="88"/>
      <c r="Q1" s="88"/>
    </row>
    <row r="2" spans="1:17" ht="19.95" customHeight="1" x14ac:dyDescent="0.3">
      <c r="A2" s="88"/>
      <c r="B2" s="158" t="str" cm="1">
        <f t="array" ref="B2">_xlfn.XLOOKUP(
    "analysisTitle",
    UITranslationTable[tag],
    INDEX(
      UITranslationTable[],
      0,
      IFERROR(
        MATCH(UILanguage, UITranslationTable[#Headers], 0),
        MATCH(UITranslationTable[[#Headers], [English]], UITranslationTable[#Headers], 0)
      )
    )
  )</f>
        <v>Doer / Non-doer analysis</v>
      </c>
      <c r="C2" s="88"/>
      <c r="D2" s="88"/>
      <c r="E2" s="88"/>
      <c r="F2" s="88"/>
      <c r="G2" s="88"/>
      <c r="H2" s="88"/>
      <c r="I2" s="88"/>
      <c r="J2" s="88"/>
      <c r="K2" s="88"/>
      <c r="L2" s="88"/>
      <c r="M2" s="88"/>
      <c r="N2" s="88"/>
      <c r="O2" s="88"/>
      <c r="P2" s="88"/>
      <c r="Q2" s="88"/>
    </row>
    <row r="3" spans="1:17" ht="49.95" customHeight="1" x14ac:dyDescent="0.3">
      <c r="A3" s="88"/>
      <c r="B3" s="199" t="str" cm="1">
        <f t="array" ref="B3">_xlfn.XLOOKUP(
    "analysisText1",
    UITranslationTable[tag],
    INDEX(
      UITranslationTable[],
      0,
      IFERROR(
        MATCH(UILanguage, UITranslationTable[#Headers], 0),
        MATCH(UITranslationTable[[#Headers], [English]], UITranslationTable[#Headers], 0)
      )
    )
  )</f>
        <v>The charts below display the mean scores of non-doers and doers for each selected RANAS factor, as well as the difference between them.</v>
      </c>
      <c r="C3" s="200"/>
      <c r="D3" s="200"/>
      <c r="E3" s="200"/>
      <c r="F3" s="200"/>
      <c r="G3" s="200"/>
      <c r="H3" s="159"/>
      <c r="I3" s="297" t="str" cm="1">
        <f t="array" aca="1" ref="I3" ca="1">IF(errorMessages="", "", _xlfn.XLOOKUP("errorMessageNotice",UITranslationTable[tag],INDEX(UITranslationTable[],0,IFERROR(MATCH(UILanguage,UITranslationTable[#Headers],0),MATCH(UITranslationTable[[#Headers],[English]],UITranslationTable[#Headers],0)))))</f>
        <v>Some error has been detected. Please refer to one of the "Error messages" boards in the "Configuration" sheet for detailed explanations.</v>
      </c>
      <c r="J3" s="298"/>
      <c r="K3" s="298"/>
      <c r="L3" s="298"/>
      <c r="M3" s="298"/>
      <c r="N3" s="298"/>
      <c r="O3" s="298"/>
      <c r="P3" s="113"/>
      <c r="Q3" s="88"/>
    </row>
    <row r="4" spans="1:17" ht="24" customHeight="1" x14ac:dyDescent="0.3">
      <c r="A4" s="101"/>
      <c r="B4" s="281" t="str" cm="1">
        <f t="array" ref="B4">_xlfn.XLOOKUP(
    "analysisText2",
    UITranslationTable[tag],
    INDEX(
      UITranslationTable[],
      0,
      IFERROR(
        MATCH(UILanguage, UITranslationTable[#Headers], 0),
        MATCH(UITranslationTable[[#Headers], [English]], UITranslationTable[#Headers], 0)
      )
    )
  )</f>
        <v>The factors for which the difference between non-doers and doers is the largest (in absolute value) are the most important ones. They are the critical factors that should be targeted through behaviour change techniques (BCTs).</v>
      </c>
      <c r="C4" s="282"/>
      <c r="D4" s="282"/>
      <c r="E4" s="282"/>
      <c r="F4" s="282"/>
      <c r="G4" s="282"/>
      <c r="H4" s="109"/>
      <c r="I4" s="295" t="str" cm="1">
        <f t="array" ref="I4">_xlfn.XLOOKUP(
    "analysisSortIntro",
    UITranslationTable[tag],
    INDEX(
      UITranslationTable[],
      0,
      IFERROR(
        MATCH(UILanguage, UITranslationTable[#Headers], 0),
        MATCH(UITranslationTable[[#Headers], [English]], UITranslationTable[#Headers], 0)
      )
    )
  )</f>
        <v>The "Data sorting" drop-down menu above the chart offers various options for sorting the factors:</v>
      </c>
      <c r="J4" s="296"/>
      <c r="K4" s="296"/>
      <c r="L4" s="296"/>
      <c r="M4" s="296"/>
      <c r="N4" s="296"/>
      <c r="O4" s="296"/>
      <c r="P4" s="114"/>
      <c r="Q4" s="88"/>
    </row>
    <row r="5" spans="1:17" ht="24" customHeight="1" x14ac:dyDescent="0.3">
      <c r="A5" s="102"/>
      <c r="B5" s="283"/>
      <c r="C5" s="282"/>
      <c r="D5" s="282"/>
      <c r="E5" s="282"/>
      <c r="F5" s="282"/>
      <c r="G5" s="282"/>
      <c r="H5" s="110" t="s">
        <v>270</v>
      </c>
      <c r="I5" s="295" t="str" cm="1">
        <f t="array" aca="1" ref="I5" ca="1">_xlfn.XLOOKUP(
    "analysisSort1",
    UITranslationTable[tag],
    INDEX(
      UITranslationTable[],
      0,
      IFERROR(
        MATCH(UILanguage, UITranslationTable[#Headers], 0),
        MATCH(UITranslationTable[[#Headers], [English]], UITranslationTable[#Headers], 0)
      )
    )
  )</f>
        <v>No sorting is applied. The factors are displayed in the same order as in the "Configuration" sheet.</v>
      </c>
      <c r="J5" s="296"/>
      <c r="K5" s="296"/>
      <c r="L5" s="296"/>
      <c r="M5" s="296"/>
      <c r="N5" s="296"/>
      <c r="O5" s="296"/>
      <c r="P5" s="115"/>
      <c r="Q5" s="88"/>
    </row>
    <row r="6" spans="1:17" ht="36" customHeight="1" x14ac:dyDescent="0.3">
      <c r="A6" s="102"/>
      <c r="B6" s="281" t="str" cm="1">
        <f t="array" ref="B6">_xlfn.XLOOKUP(
    "analysisText3",
    UITranslationTable[tag],
    INDEX(
      UITranslationTable[],
      0,
      IFERROR(
        MATCH(UILanguage, UITranslationTable[#Headers], 0),
        MATCH(UITranslationTable[[#Headers], [English]], UITranslationTable[#Headers], 0)
      )
    )
  )</f>
        <v>The table below the charts contains the displayed values. As a visual aid, the cells in the "Difference" column are coloured with a more intense hue for larger (absolute) values.</v>
      </c>
      <c r="C6" s="282"/>
      <c r="D6" s="282"/>
      <c r="E6" s="282"/>
      <c r="F6" s="282"/>
      <c r="G6" s="282"/>
      <c r="H6" s="110" t="s">
        <v>271</v>
      </c>
      <c r="I6" s="295" t="str" cm="1">
        <f t="array" ref="I6">_xlfn.XLOOKUP(
    "analysisSort2",
    UITranslationTable[tag],
    INDEX(
      UITranslationTable[],
      0,
      IFERROR(
        MATCH(UILanguage, UITranslationTable[#Headers], 0),
        MATCH(UITranslationTable[[#Headers], [English]], UITranslationTable[#Headers], 0)
      )
    )
  )</f>
        <v>The factors are sorted in descending order of the RELATIVE value of "Difference", i.e., from the most positive difference to the most negative difference.</v>
      </c>
      <c r="J6" s="296"/>
      <c r="K6" s="296"/>
      <c r="L6" s="296"/>
      <c r="M6" s="296"/>
      <c r="N6" s="296"/>
      <c r="O6" s="296"/>
      <c r="P6" s="115"/>
      <c r="Q6" s="88"/>
    </row>
    <row r="7" spans="1:17" ht="36" customHeight="1" thickBot="1" x14ac:dyDescent="0.35">
      <c r="A7" s="103"/>
      <c r="B7" s="283"/>
      <c r="C7" s="282"/>
      <c r="D7" s="282"/>
      <c r="E7" s="282"/>
      <c r="F7" s="282"/>
      <c r="G7" s="282"/>
      <c r="H7" s="110" t="s">
        <v>272</v>
      </c>
      <c r="I7" s="295" t="str" cm="1">
        <f t="array" ref="I7">_xlfn.XLOOKUP(
    "analysisSort3",
    UITranslationTable[tag],
    INDEX(
      UITranslationTable[],
      0,
      IFERROR(
        MATCH(UILanguage, UITranslationTable[#Headers], 0),
        MATCH(UITranslationTable[[#Headers], [English]], UITranslationTable[#Headers], 0)
      )
    )
  )</f>
        <v>The factors are sorted in descending order of the ABSOLUTE value of "Difference", i.e., the largest differences come first, regardless of their sign, and the smallest come last.</v>
      </c>
      <c r="J7" s="296"/>
      <c r="K7" s="296"/>
      <c r="L7" s="296"/>
      <c r="M7" s="296"/>
      <c r="N7" s="296"/>
      <c r="O7" s="296"/>
      <c r="P7" s="115"/>
      <c r="Q7" s="88"/>
    </row>
    <row r="8" spans="1:17" ht="18" customHeight="1" thickBot="1" x14ac:dyDescent="0.35">
      <c r="A8" s="103"/>
      <c r="B8" s="104"/>
      <c r="C8" s="106"/>
      <c r="D8" s="107" t="str" cm="1">
        <f t="array" ref="D8">_xlfn.XLOOKUP(
    "analysisDataSorting",
    UITranslationTable[tag],
    INDEX(
      UITranslationTable[],
      0,
      IFERROR(
        MATCH(UILanguage, UITranslationTable[#Headers], 0),
        MATCH(UITranslationTable[[#Headers], [English]], UITranslationTable[#Headers], 0)
      )
    )
  )</f>
        <v>Data sorting:</v>
      </c>
      <c r="E8" s="60" t="s">
        <v>130</v>
      </c>
      <c r="F8" s="106"/>
      <c r="G8" s="106"/>
      <c r="H8" s="110" t="s">
        <v>273</v>
      </c>
      <c r="I8" s="295" t="str" cm="1">
        <f t="array" ref="I8">_xlfn.XLOOKUP(
    "analysisSort4",
    UITranslationTable[tag],
    INDEX(
      UITranslationTable[],
      0,
      IFERROR(
        MATCH(UILanguage, UITranslationTable[#Headers], 0),
        MATCH(UITranslationTable[[#Headers], [English]], UITranslationTable[#Headers], 0)
      )
    )
  )</f>
        <v>The factors are grouped by RANAS block.</v>
      </c>
      <c r="J8" s="296"/>
      <c r="K8" s="296"/>
      <c r="L8" s="296"/>
      <c r="M8" s="296"/>
      <c r="N8" s="296"/>
      <c r="O8" s="296"/>
      <c r="P8" s="115"/>
      <c r="Q8" s="88"/>
    </row>
    <row r="9" spans="1:17" x14ac:dyDescent="0.3">
      <c r="A9" s="103"/>
      <c r="B9" s="104"/>
      <c r="C9" s="88"/>
      <c r="D9" s="88"/>
      <c r="E9" s="88"/>
      <c r="F9" s="76"/>
      <c r="G9" s="76"/>
      <c r="H9" s="106"/>
      <c r="I9" s="106"/>
      <c r="J9" s="88"/>
      <c r="K9" s="88"/>
      <c r="L9" s="106"/>
      <c r="M9" s="76"/>
      <c r="N9" s="76"/>
      <c r="O9" s="76"/>
      <c r="P9" s="115"/>
      <c r="Q9" s="88"/>
    </row>
    <row r="10" spans="1:17" x14ac:dyDescent="0.3">
      <c r="A10" s="103"/>
      <c r="B10" s="104"/>
      <c r="C10" s="106"/>
      <c r="D10" s="106"/>
      <c r="E10" s="106"/>
      <c r="F10" s="106"/>
      <c r="G10" s="106"/>
      <c r="H10" s="106"/>
      <c r="I10" s="106"/>
      <c r="J10" s="106"/>
      <c r="K10" s="106"/>
      <c r="L10" s="106"/>
      <c r="M10" s="76"/>
      <c r="N10" s="76"/>
      <c r="O10" s="76"/>
      <c r="P10" s="115"/>
      <c r="Q10" s="88"/>
    </row>
    <row r="11" spans="1:17" x14ac:dyDescent="0.3">
      <c r="A11" s="103"/>
      <c r="B11" s="104"/>
      <c r="C11" s="106"/>
      <c r="D11" s="106"/>
      <c r="E11" s="106"/>
      <c r="F11" s="106"/>
      <c r="G11" s="106"/>
      <c r="H11" s="106"/>
      <c r="I11" s="106"/>
      <c r="J11" s="106"/>
      <c r="K11" s="106"/>
      <c r="L11" s="106"/>
      <c r="M11" s="76"/>
      <c r="N11" s="76"/>
      <c r="O11" s="76"/>
      <c r="P11" s="115"/>
      <c r="Q11" s="88"/>
    </row>
    <row r="12" spans="1:17" x14ac:dyDescent="0.3">
      <c r="A12" s="103"/>
      <c r="B12" s="104"/>
      <c r="C12" s="106"/>
      <c r="D12" s="106"/>
      <c r="E12" s="106"/>
      <c r="F12" s="106"/>
      <c r="G12" s="106"/>
      <c r="H12" s="106"/>
      <c r="I12" s="106"/>
      <c r="J12" s="106"/>
      <c r="K12" s="106"/>
      <c r="L12" s="106"/>
      <c r="M12" s="76"/>
      <c r="N12" s="76"/>
      <c r="O12" s="76"/>
      <c r="P12" s="115"/>
      <c r="Q12" s="88"/>
    </row>
    <row r="13" spans="1:17" x14ac:dyDescent="0.3">
      <c r="A13" s="103"/>
      <c r="B13" s="104"/>
      <c r="C13" s="106"/>
      <c r="D13" s="106"/>
      <c r="E13" s="106"/>
      <c r="F13" s="106"/>
      <c r="G13" s="106"/>
      <c r="H13" s="106"/>
      <c r="I13" s="106"/>
      <c r="J13" s="106"/>
      <c r="K13" s="106"/>
      <c r="L13" s="106"/>
      <c r="M13" s="76"/>
      <c r="N13" s="76"/>
      <c r="O13" s="76"/>
      <c r="P13" s="115"/>
      <c r="Q13" s="88"/>
    </row>
    <row r="14" spans="1:17" x14ac:dyDescent="0.3">
      <c r="A14" s="103"/>
      <c r="B14" s="104"/>
      <c r="C14" s="106"/>
      <c r="D14" s="106"/>
      <c r="E14" s="106"/>
      <c r="F14" s="106"/>
      <c r="G14" s="106"/>
      <c r="H14" s="106"/>
      <c r="I14" s="106"/>
      <c r="J14" s="106"/>
      <c r="K14" s="106"/>
      <c r="L14" s="106"/>
      <c r="M14" s="76"/>
      <c r="N14" s="76"/>
      <c r="O14" s="76"/>
      <c r="P14" s="115"/>
      <c r="Q14" s="88"/>
    </row>
    <row r="15" spans="1:17" x14ac:dyDescent="0.3">
      <c r="A15" s="103"/>
      <c r="B15" s="104"/>
      <c r="C15" s="76"/>
      <c r="D15" s="76"/>
      <c r="E15" s="76"/>
      <c r="F15" s="108"/>
      <c r="G15" s="108"/>
      <c r="H15" s="108"/>
      <c r="I15" s="108"/>
      <c r="J15" s="108"/>
      <c r="K15" s="108"/>
      <c r="L15" s="108"/>
      <c r="M15" s="76"/>
      <c r="N15" s="76"/>
      <c r="O15" s="76"/>
      <c r="P15" s="115"/>
      <c r="Q15" s="88"/>
    </row>
    <row r="16" spans="1:17" x14ac:dyDescent="0.3">
      <c r="A16" s="88"/>
      <c r="B16" s="161"/>
      <c r="C16" s="76"/>
      <c r="D16" s="76"/>
      <c r="E16" s="76"/>
      <c r="F16" s="76"/>
      <c r="G16" s="76"/>
      <c r="H16" s="76"/>
      <c r="I16" s="76"/>
      <c r="J16" s="76"/>
      <c r="K16" s="76"/>
      <c r="L16" s="76"/>
      <c r="M16" s="76"/>
      <c r="N16" s="76"/>
      <c r="O16" s="76"/>
      <c r="P16" s="115"/>
      <c r="Q16" s="88"/>
    </row>
    <row r="17" spans="1:17" x14ac:dyDescent="0.3">
      <c r="A17" s="88"/>
      <c r="B17" s="161"/>
      <c r="C17" s="76"/>
      <c r="D17" s="76"/>
      <c r="E17" s="76"/>
      <c r="F17" s="76"/>
      <c r="G17" s="76"/>
      <c r="H17" s="76"/>
      <c r="I17" s="76"/>
      <c r="J17" s="76"/>
      <c r="K17" s="76"/>
      <c r="L17" s="76"/>
      <c r="M17" s="76"/>
      <c r="N17" s="76"/>
      <c r="O17" s="76"/>
      <c r="P17" s="115"/>
      <c r="Q17" s="88"/>
    </row>
    <row r="18" spans="1:17" x14ac:dyDescent="0.3">
      <c r="A18" s="88"/>
      <c r="B18" s="161"/>
      <c r="C18" s="76"/>
      <c r="D18" s="76"/>
      <c r="E18" s="76"/>
      <c r="F18" s="76"/>
      <c r="G18" s="76"/>
      <c r="H18" s="76"/>
      <c r="I18" s="76"/>
      <c r="J18" s="76"/>
      <c r="K18" s="76"/>
      <c r="L18" s="76"/>
      <c r="M18" s="76"/>
      <c r="N18" s="76"/>
      <c r="O18" s="76"/>
      <c r="P18" s="115"/>
      <c r="Q18" s="88"/>
    </row>
    <row r="19" spans="1:17" x14ac:dyDescent="0.3">
      <c r="A19" s="88"/>
      <c r="B19" s="161"/>
      <c r="C19" s="76"/>
      <c r="D19" s="76"/>
      <c r="E19" s="76"/>
      <c r="F19" s="76"/>
      <c r="G19" s="76"/>
      <c r="H19" s="76"/>
      <c r="I19" s="76"/>
      <c r="J19" s="76"/>
      <c r="K19" s="76"/>
      <c r="L19" s="76"/>
      <c r="M19" s="76"/>
      <c r="N19" s="76"/>
      <c r="O19" s="76"/>
      <c r="P19" s="115"/>
      <c r="Q19" s="88"/>
    </row>
    <row r="20" spans="1:17" x14ac:dyDescent="0.3">
      <c r="A20" s="88"/>
      <c r="B20" s="161"/>
      <c r="C20" s="76"/>
      <c r="D20" s="76"/>
      <c r="E20" s="76"/>
      <c r="F20" s="76"/>
      <c r="G20" s="76"/>
      <c r="H20" s="76"/>
      <c r="I20" s="76"/>
      <c r="J20" s="76"/>
      <c r="K20" s="76"/>
      <c r="L20" s="76"/>
      <c r="M20" s="76"/>
      <c r="N20" s="76"/>
      <c r="O20" s="76"/>
      <c r="P20" s="115"/>
      <c r="Q20" s="88"/>
    </row>
    <row r="21" spans="1:17" x14ac:dyDescent="0.3">
      <c r="A21" s="88"/>
      <c r="B21" s="161"/>
      <c r="C21" s="76"/>
      <c r="D21" s="76"/>
      <c r="E21" s="76"/>
      <c r="F21" s="76"/>
      <c r="G21" s="76"/>
      <c r="H21" s="76"/>
      <c r="I21" s="76"/>
      <c r="J21" s="76"/>
      <c r="K21" s="76"/>
      <c r="L21" s="76"/>
      <c r="M21" s="76"/>
      <c r="N21" s="76"/>
      <c r="O21" s="76"/>
      <c r="P21" s="115"/>
      <c r="Q21" s="88"/>
    </row>
    <row r="22" spans="1:17" x14ac:dyDescent="0.3">
      <c r="A22" s="88"/>
      <c r="B22" s="161"/>
      <c r="C22" s="76"/>
      <c r="D22" s="76"/>
      <c r="E22" s="76"/>
      <c r="F22" s="76"/>
      <c r="G22" s="76"/>
      <c r="H22" s="76"/>
      <c r="I22" s="76"/>
      <c r="J22" s="76"/>
      <c r="K22" s="76"/>
      <c r="L22" s="76"/>
      <c r="M22" s="76"/>
      <c r="N22" s="76"/>
      <c r="O22" s="76"/>
      <c r="P22" s="115"/>
      <c r="Q22" s="88"/>
    </row>
    <row r="23" spans="1:17" x14ac:dyDescent="0.3">
      <c r="A23" s="88"/>
      <c r="B23" s="161"/>
      <c r="C23" s="76"/>
      <c r="D23" s="76"/>
      <c r="E23" s="76"/>
      <c r="F23" s="76"/>
      <c r="G23" s="76"/>
      <c r="H23" s="76"/>
      <c r="I23" s="76"/>
      <c r="J23" s="76"/>
      <c r="K23" s="76"/>
      <c r="L23" s="76"/>
      <c r="M23" s="76"/>
      <c r="N23" s="76"/>
      <c r="O23" s="76"/>
      <c r="P23" s="115"/>
      <c r="Q23" s="88"/>
    </row>
    <row r="24" spans="1:17" x14ac:dyDescent="0.3">
      <c r="A24" s="88"/>
      <c r="B24" s="161"/>
      <c r="C24" s="76"/>
      <c r="D24" s="76"/>
      <c r="E24" s="76"/>
      <c r="F24" s="76"/>
      <c r="G24" s="76"/>
      <c r="H24" s="76"/>
      <c r="I24" s="76"/>
      <c r="J24" s="76"/>
      <c r="K24" s="76"/>
      <c r="L24" s="76"/>
      <c r="M24" s="76"/>
      <c r="N24" s="76"/>
      <c r="O24" s="76"/>
      <c r="P24" s="115"/>
      <c r="Q24" s="88"/>
    </row>
    <row r="25" spans="1:17" x14ac:dyDescent="0.3">
      <c r="A25" s="88"/>
      <c r="B25" s="161"/>
      <c r="C25" s="76"/>
      <c r="D25" s="76"/>
      <c r="E25" s="76"/>
      <c r="F25" s="76"/>
      <c r="G25" s="76"/>
      <c r="H25" s="76"/>
      <c r="I25" s="76"/>
      <c r="J25" s="76"/>
      <c r="K25" s="76"/>
      <c r="L25" s="76"/>
      <c r="M25" s="76"/>
      <c r="N25" s="76"/>
      <c r="O25" s="76"/>
      <c r="P25" s="115"/>
      <c r="Q25" s="88"/>
    </row>
    <row r="26" spans="1:17" x14ac:dyDescent="0.3">
      <c r="A26" s="88"/>
      <c r="B26" s="161"/>
      <c r="C26" s="76"/>
      <c r="D26" s="76"/>
      <c r="E26" s="76"/>
      <c r="F26" s="76"/>
      <c r="G26" s="76"/>
      <c r="H26" s="76"/>
      <c r="I26" s="76"/>
      <c r="J26" s="76"/>
      <c r="K26" s="76"/>
      <c r="L26" s="76"/>
      <c r="M26" s="76"/>
      <c r="N26" s="76"/>
      <c r="O26" s="76"/>
      <c r="P26" s="115"/>
      <c r="Q26" s="88"/>
    </row>
    <row r="27" spans="1:17" x14ac:dyDescent="0.3">
      <c r="A27" s="88"/>
      <c r="B27" s="161"/>
      <c r="C27" s="76"/>
      <c r="D27" s="76"/>
      <c r="E27" s="76"/>
      <c r="F27" s="76"/>
      <c r="G27" s="76"/>
      <c r="H27" s="76"/>
      <c r="I27" s="76"/>
      <c r="J27" s="76"/>
      <c r="K27" s="76"/>
      <c r="L27" s="76"/>
      <c r="M27" s="76"/>
      <c r="N27" s="76"/>
      <c r="O27" s="76"/>
      <c r="P27" s="115"/>
      <c r="Q27" s="88"/>
    </row>
    <row r="28" spans="1:17" x14ac:dyDescent="0.3">
      <c r="A28" s="88"/>
      <c r="B28" s="161"/>
      <c r="C28" s="76"/>
      <c r="D28" s="76"/>
      <c r="E28" s="76"/>
      <c r="F28" s="76"/>
      <c r="G28" s="76"/>
      <c r="H28" s="76"/>
      <c r="I28" s="76"/>
      <c r="J28" s="76"/>
      <c r="K28" s="76"/>
      <c r="L28" s="76"/>
      <c r="M28" s="76"/>
      <c r="N28" s="76"/>
      <c r="O28" s="76"/>
      <c r="P28" s="115"/>
      <c r="Q28" s="88"/>
    </row>
    <row r="29" spans="1:17" x14ac:dyDescent="0.3">
      <c r="A29" s="88"/>
      <c r="B29" s="161"/>
      <c r="C29" s="76"/>
      <c r="D29" s="76"/>
      <c r="E29" s="76"/>
      <c r="F29" s="76"/>
      <c r="G29" s="76"/>
      <c r="H29" s="76"/>
      <c r="I29" s="76"/>
      <c r="J29" s="76"/>
      <c r="K29" s="76"/>
      <c r="L29" s="76"/>
      <c r="M29" s="76"/>
      <c r="N29" s="76"/>
      <c r="O29" s="76"/>
      <c r="P29" s="115"/>
      <c r="Q29" s="88"/>
    </row>
    <row r="30" spans="1:17" x14ac:dyDescent="0.3">
      <c r="A30" s="88"/>
      <c r="B30" s="161"/>
      <c r="C30" s="76"/>
      <c r="D30" s="76"/>
      <c r="E30" s="76"/>
      <c r="F30" s="76"/>
      <c r="G30" s="76"/>
      <c r="H30" s="76"/>
      <c r="I30" s="76"/>
      <c r="J30" s="76"/>
      <c r="K30" s="76"/>
      <c r="L30" s="76"/>
      <c r="M30" s="76"/>
      <c r="N30" s="76"/>
      <c r="O30" s="76"/>
      <c r="P30" s="115"/>
      <c r="Q30" s="88"/>
    </row>
    <row r="31" spans="1:17" x14ac:dyDescent="0.3">
      <c r="A31" s="88"/>
      <c r="B31" s="161"/>
      <c r="C31" s="76"/>
      <c r="D31" s="76"/>
      <c r="E31" s="76"/>
      <c r="F31" s="76"/>
      <c r="G31" s="76"/>
      <c r="H31" s="76"/>
      <c r="I31" s="76"/>
      <c r="J31" s="76"/>
      <c r="K31" s="76"/>
      <c r="L31" s="76"/>
      <c r="M31" s="76"/>
      <c r="N31" s="76"/>
      <c r="O31" s="76"/>
      <c r="P31" s="115"/>
      <c r="Q31" s="88"/>
    </row>
    <row r="32" spans="1:17" x14ac:dyDescent="0.3">
      <c r="A32" s="88"/>
      <c r="B32" s="161"/>
      <c r="C32" s="76"/>
      <c r="D32" s="76"/>
      <c r="E32" s="76"/>
      <c r="F32" s="76"/>
      <c r="G32" s="76"/>
      <c r="H32" s="76"/>
      <c r="I32" s="76"/>
      <c r="J32" s="76"/>
      <c r="K32" s="76"/>
      <c r="L32" s="76"/>
      <c r="M32" s="76"/>
      <c r="N32" s="76"/>
      <c r="O32" s="76"/>
      <c r="P32" s="115"/>
      <c r="Q32" s="88"/>
    </row>
    <row r="33" spans="1:17" x14ac:dyDescent="0.3">
      <c r="A33" s="88"/>
      <c r="B33" s="161"/>
      <c r="C33" s="76"/>
      <c r="D33" s="76"/>
      <c r="E33" s="76"/>
      <c r="F33" s="76"/>
      <c r="G33" s="76"/>
      <c r="H33" s="76"/>
      <c r="I33" s="76"/>
      <c r="J33" s="76"/>
      <c r="K33" s="76"/>
      <c r="L33" s="76"/>
      <c r="M33" s="76"/>
      <c r="N33" s="76"/>
      <c r="O33" s="76"/>
      <c r="P33" s="115"/>
      <c r="Q33" s="88"/>
    </row>
    <row r="34" spans="1:17" x14ac:dyDescent="0.3">
      <c r="A34" s="88"/>
      <c r="B34" s="161"/>
      <c r="C34" s="76"/>
      <c r="D34" s="76"/>
      <c r="E34" s="76"/>
      <c r="F34" s="76"/>
      <c r="G34" s="76"/>
      <c r="H34" s="76"/>
      <c r="I34" s="76"/>
      <c r="J34" s="76"/>
      <c r="K34" s="76"/>
      <c r="L34" s="76"/>
      <c r="M34" s="76"/>
      <c r="N34" s="76"/>
      <c r="O34" s="76"/>
      <c r="P34" s="115"/>
      <c r="Q34" s="88"/>
    </row>
    <row r="35" spans="1:17" x14ac:dyDescent="0.3">
      <c r="A35" s="88"/>
      <c r="B35" s="161"/>
      <c r="C35" s="76"/>
      <c r="D35" s="76"/>
      <c r="E35" s="76"/>
      <c r="F35" s="76"/>
      <c r="G35" s="76"/>
      <c r="H35" s="76"/>
      <c r="I35" s="76"/>
      <c r="J35" s="76"/>
      <c r="K35" s="76"/>
      <c r="L35" s="76"/>
      <c r="M35" s="76"/>
      <c r="N35" s="76"/>
      <c r="O35" s="76"/>
      <c r="P35" s="115"/>
      <c r="Q35" s="88"/>
    </row>
    <row r="36" spans="1:17" x14ac:dyDescent="0.3">
      <c r="A36" s="88"/>
      <c r="B36" s="161"/>
      <c r="C36" s="76"/>
      <c r="D36" s="76"/>
      <c r="E36" s="76"/>
      <c r="F36" s="76"/>
      <c r="G36" s="76"/>
      <c r="H36" s="76"/>
      <c r="I36" s="76"/>
      <c r="J36" s="76"/>
      <c r="K36" s="76"/>
      <c r="L36" s="76"/>
      <c r="M36" s="76"/>
      <c r="N36" s="76"/>
      <c r="O36" s="76"/>
      <c r="P36" s="115"/>
      <c r="Q36" s="88"/>
    </row>
    <row r="37" spans="1:17" x14ac:dyDescent="0.3">
      <c r="A37" s="88"/>
      <c r="B37" s="161"/>
      <c r="C37" s="76"/>
      <c r="D37" s="76"/>
      <c r="E37" s="76"/>
      <c r="F37" s="76"/>
      <c r="G37" s="76"/>
      <c r="H37" s="76"/>
      <c r="I37" s="76"/>
      <c r="J37" s="76"/>
      <c r="K37" s="76"/>
      <c r="L37" s="76"/>
      <c r="M37" s="76"/>
      <c r="N37" s="76"/>
      <c r="O37" s="76"/>
      <c r="P37" s="115"/>
      <c r="Q37" s="88"/>
    </row>
    <row r="38" spans="1:17" x14ac:dyDescent="0.3">
      <c r="A38" s="88"/>
      <c r="B38" s="161"/>
      <c r="C38" s="76"/>
      <c r="D38" s="76"/>
      <c r="E38" s="76"/>
      <c r="F38" s="76"/>
      <c r="G38" s="76"/>
      <c r="H38" s="76"/>
      <c r="I38" s="76"/>
      <c r="J38" s="76"/>
      <c r="K38" s="76"/>
      <c r="L38" s="76"/>
      <c r="M38" s="76"/>
      <c r="N38" s="76"/>
      <c r="O38" s="76"/>
      <c r="P38" s="115"/>
      <c r="Q38" s="88"/>
    </row>
    <row r="39" spans="1:17" x14ac:dyDescent="0.3">
      <c r="A39" s="88"/>
      <c r="B39" s="161"/>
      <c r="C39" s="76"/>
      <c r="D39" s="76"/>
      <c r="E39" s="76"/>
      <c r="F39" s="76"/>
      <c r="G39" s="76"/>
      <c r="H39" s="76"/>
      <c r="I39" s="76"/>
      <c r="J39" s="76"/>
      <c r="K39" s="76"/>
      <c r="L39" s="76"/>
      <c r="M39" s="76"/>
      <c r="N39" s="76"/>
      <c r="O39" s="76"/>
      <c r="P39" s="115"/>
      <c r="Q39" s="88"/>
    </row>
    <row r="40" spans="1:17" x14ac:dyDescent="0.3">
      <c r="A40" s="88"/>
      <c r="B40" s="161"/>
      <c r="C40" s="76"/>
      <c r="D40" s="76"/>
      <c r="E40" s="76"/>
      <c r="F40" s="76"/>
      <c r="G40" s="76"/>
      <c r="H40" s="76"/>
      <c r="I40" s="76"/>
      <c r="J40" s="76"/>
      <c r="K40" s="76"/>
      <c r="L40" s="76"/>
      <c r="M40" s="76"/>
      <c r="N40" s="76"/>
      <c r="O40" s="76"/>
      <c r="P40" s="115"/>
      <c r="Q40" s="88"/>
    </row>
    <row r="41" spans="1:17" x14ac:dyDescent="0.3">
      <c r="A41" s="88"/>
      <c r="B41" s="161"/>
      <c r="C41" s="76"/>
      <c r="D41" s="76"/>
      <c r="E41" s="76"/>
      <c r="F41" s="76"/>
      <c r="G41" s="76"/>
      <c r="H41" s="76"/>
      <c r="I41" s="76"/>
      <c r="J41" s="76"/>
      <c r="K41" s="76"/>
      <c r="L41" s="76"/>
      <c r="M41" s="76"/>
      <c r="N41" s="76"/>
      <c r="O41" s="76"/>
      <c r="P41" s="115"/>
      <c r="Q41" s="88"/>
    </row>
    <row r="42" spans="1:17" x14ac:dyDescent="0.3">
      <c r="A42" s="88"/>
      <c r="B42" s="161"/>
      <c r="C42" s="76"/>
      <c r="D42" s="76"/>
      <c r="E42" s="76"/>
      <c r="F42" s="76"/>
      <c r="G42" s="76"/>
      <c r="H42" s="76"/>
      <c r="I42" s="76"/>
      <c r="J42" s="76"/>
      <c r="K42" s="76"/>
      <c r="L42" s="76"/>
      <c r="M42" s="76"/>
      <c r="N42" s="76"/>
      <c r="O42" s="76"/>
      <c r="P42" s="115"/>
      <c r="Q42" s="88"/>
    </row>
    <row r="43" spans="1:17" x14ac:dyDescent="0.3">
      <c r="A43" s="88"/>
      <c r="B43" s="161"/>
      <c r="C43" s="76"/>
      <c r="D43" s="76"/>
      <c r="E43" s="76"/>
      <c r="F43" s="76"/>
      <c r="G43" s="76"/>
      <c r="H43" s="76"/>
      <c r="I43" s="76"/>
      <c r="J43" s="76"/>
      <c r="K43" s="76"/>
      <c r="L43" s="76"/>
      <c r="M43" s="76"/>
      <c r="N43" s="76"/>
      <c r="O43" s="76"/>
      <c r="P43" s="115"/>
      <c r="Q43" s="88"/>
    </row>
    <row r="44" spans="1:17" x14ac:dyDescent="0.3">
      <c r="A44" s="88"/>
      <c r="B44" s="161"/>
      <c r="C44" s="76"/>
      <c r="D44" s="76"/>
      <c r="E44" s="76"/>
      <c r="F44" s="76"/>
      <c r="G44" s="76"/>
      <c r="H44" s="76"/>
      <c r="I44" s="76"/>
      <c r="J44" s="76"/>
      <c r="K44" s="76"/>
      <c r="L44" s="76"/>
      <c r="M44" s="76"/>
      <c r="N44" s="76"/>
      <c r="O44" s="76"/>
      <c r="P44" s="115"/>
      <c r="Q44" s="88"/>
    </row>
    <row r="45" spans="1:17" x14ac:dyDescent="0.3">
      <c r="A45" s="88"/>
      <c r="B45" s="161"/>
      <c r="C45" s="76"/>
      <c r="D45" s="76"/>
      <c r="E45" s="76"/>
      <c r="F45" s="76"/>
      <c r="G45" s="76"/>
      <c r="H45" s="76"/>
      <c r="I45" s="76"/>
      <c r="J45" s="76"/>
      <c r="K45" s="76"/>
      <c r="L45" s="76"/>
      <c r="M45" s="76"/>
      <c r="N45" s="76"/>
      <c r="O45" s="76"/>
      <c r="P45" s="115"/>
      <c r="Q45" s="88"/>
    </row>
    <row r="46" spans="1:17" x14ac:dyDescent="0.3">
      <c r="A46" s="88"/>
      <c r="B46" s="161"/>
      <c r="C46" s="76"/>
      <c r="D46" s="76"/>
      <c r="E46" s="76"/>
      <c r="F46" s="76"/>
      <c r="G46" s="76"/>
      <c r="H46" s="76"/>
      <c r="I46" s="76"/>
      <c r="J46" s="76"/>
      <c r="K46" s="76"/>
      <c r="L46" s="76"/>
      <c r="M46" s="76"/>
      <c r="N46" s="76"/>
      <c r="O46" s="76"/>
      <c r="P46" s="115"/>
      <c r="Q46" s="88"/>
    </row>
    <row r="47" spans="1:17" x14ac:dyDescent="0.3">
      <c r="A47" s="88"/>
      <c r="B47" s="161"/>
      <c r="C47" s="76"/>
      <c r="D47" s="76"/>
      <c r="E47" s="76"/>
      <c r="F47" s="76"/>
      <c r="G47" s="76"/>
      <c r="H47" s="76"/>
      <c r="I47" s="76"/>
      <c r="J47" s="76"/>
      <c r="K47" s="76"/>
      <c r="L47" s="76"/>
      <c r="M47" s="76"/>
      <c r="N47" s="76"/>
      <c r="O47" s="76"/>
      <c r="P47" s="115"/>
      <c r="Q47" s="88"/>
    </row>
    <row r="48" spans="1:17" x14ac:dyDescent="0.3">
      <c r="A48" s="88"/>
      <c r="B48" s="161"/>
      <c r="C48" s="76"/>
      <c r="D48" s="76"/>
      <c r="E48" s="76"/>
      <c r="F48" s="76"/>
      <c r="G48" s="76"/>
      <c r="H48" s="76"/>
      <c r="I48" s="76"/>
      <c r="J48" s="76"/>
      <c r="K48" s="76"/>
      <c r="L48" s="76"/>
      <c r="M48" s="76"/>
      <c r="N48" s="76"/>
      <c r="O48" s="76"/>
      <c r="P48" s="115"/>
      <c r="Q48" s="88"/>
    </row>
    <row r="49" spans="1:17" ht="14.4" customHeight="1" x14ac:dyDescent="0.3">
      <c r="A49" s="88"/>
      <c r="B49" s="161"/>
      <c r="C49" s="76"/>
      <c r="D49" s="76"/>
      <c r="E49" s="76"/>
      <c r="F49" s="97" t="str">
        <f>_xlfn.XLOOKUP("factor",chartTranslationTable[tag],chartTranslationTable[displayedText])</f>
        <v>Factor</v>
      </c>
      <c r="G49" s="97" t="str">
        <f>_xlfn.XLOOKUP("RANASBlock",chartTranslationTable[tag],chartTranslationTable[displayedText])</f>
        <v>RANAS block</v>
      </c>
      <c r="H49" s="97" t="str">
        <f>_xlfn.XLOOKUP("nondoers",chartTranslationTable[tag],chartTranslationTable[displayedText])</f>
        <v>Non-doers</v>
      </c>
      <c r="I49" s="97" t="str">
        <f>_xlfn.XLOOKUP("doers",chartTranslationTable[tag],chartTranslationTable[displayedText])</f>
        <v>Doers</v>
      </c>
      <c r="J49" s="97" t="str">
        <f>_xlfn.XLOOKUP("difference",chartTranslationTable[tag],chartTranslationTable[displayedText])</f>
        <v>Difference</v>
      </c>
      <c r="K49" s="97" t="str">
        <f>_xlfn.XLOOKUP("numResponses",chartTranslationTable[tag],chartTranslationTable[displayedText])</f>
        <v># of responses</v>
      </c>
      <c r="L49" s="293" t="str" cm="1">
        <f t="array" ref="L49">_xlfn.XLOOKUP(
    "copyTableInfo",
    UITranslationTable[tag],
    INDEX(
      UITranslationTable[],
      0,
      IFERROR(
        MATCH(UILanguage, UITranslationTable[#Headers], 0),
        MATCH(UITranslationTable[[#Headers], [English]], UITranslationTable[#Headers], 0)
      )
    )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294"/>
      <c r="N49" s="294"/>
      <c r="O49" s="294"/>
      <c r="P49" s="116"/>
      <c r="Q49" s="88"/>
    </row>
    <row r="50" spans="1:17" ht="14.4" hidden="1" customHeight="1" x14ac:dyDescent="0.3">
      <c r="A50" s="88"/>
      <c r="B50" s="161"/>
      <c r="C50" s="37" t="s">
        <v>1</v>
      </c>
      <c r="D50" s="37" t="s">
        <v>19</v>
      </c>
      <c r="E50" s="37" t="s">
        <v>168</v>
      </c>
      <c r="F50" s="37" t="s">
        <v>157</v>
      </c>
      <c r="G50" s="37" t="s">
        <v>161</v>
      </c>
      <c r="H50" s="37" t="s">
        <v>165</v>
      </c>
      <c r="I50" s="37" t="s">
        <v>166</v>
      </c>
      <c r="J50" s="37" t="s">
        <v>167</v>
      </c>
      <c r="K50" s="37" t="s">
        <v>164</v>
      </c>
      <c r="L50" s="294"/>
      <c r="M50" s="294"/>
      <c r="N50" s="294"/>
      <c r="O50" s="294"/>
      <c r="P50" s="116"/>
      <c r="Q50" s="88"/>
    </row>
    <row r="51" spans="1:17" x14ac:dyDescent="0.3">
      <c r="A51" s="88"/>
      <c r="B51" s="161"/>
      <c r="C51" s="118" cm="1">
        <f t="array" ref="C51">ROW()-ROW(analysisChartTable[#Headers])</f>
        <v>1</v>
      </c>
      <c r="D51" s="118" t="str">
        <f ca="1">_xlfn.XLOOKUP(analysisChartTable[[#This Row],[index]],factorsTable[index],factorsTable[chartLabel])</f>
        <v/>
      </c>
      <c r="E51" s="118" t="str">
        <f ca="1">_xlfn.XLOOKUP(analysisChartTable[[#This Row],[index]],factorsTable[index],factorsTable[RANASTag])</f>
        <v/>
      </c>
      <c r="F51" s="172" t="str">
        <f ca="1">_xlfn.XLOOKUP(analysisChartTable[[#This Row],[index]],factorsTable[index],factorsTable[displayedFactor])</f>
        <v/>
      </c>
      <c r="G51" s="172" t="str">
        <f ca="1">_xlfn.XLOOKUP(analysisChartTable[[#This Row],[index]],factorsTable[index],factorsTable[displayedRANASBlock])</f>
        <v/>
      </c>
      <c r="H51" s="173" t="str">
        <f ca="1">_xlfn.XLOOKUP(analysisChartTable[[#This Row],[index]],factorsTable[index],factorsTable[sortedNondoers])</f>
        <v/>
      </c>
      <c r="I51" s="173" t="str">
        <f ca="1">_xlfn.XLOOKUP(analysisChartTable[[#This Row],[index]],factorsTable[index],factorsTable[sortedDoers])</f>
        <v/>
      </c>
      <c r="J51" s="173" t="str">
        <f ca="1">_xlfn.XLOOKUP(analysisChartTable[[#This Row],[index]],factorsTable[index],factorsTable[sortedDifference])</f>
        <v/>
      </c>
      <c r="K51" s="174" t="str">
        <f ca="1">_xlfn.XLOOKUP(analysisChartTable[[#This Row],[index]],factorsTable[index],factorsTable[sortedNumTotal])</f>
        <v/>
      </c>
      <c r="L51" s="294"/>
      <c r="M51" s="294"/>
      <c r="N51" s="294"/>
      <c r="O51" s="294"/>
      <c r="P51" s="116"/>
      <c r="Q51" s="88"/>
    </row>
    <row r="52" spans="1:17" x14ac:dyDescent="0.3">
      <c r="A52" s="88"/>
      <c r="B52" s="161"/>
      <c r="C52" s="118" cm="1">
        <f t="array" ref="C52">ROW()-ROW(analysisChartTable[#Headers])</f>
        <v>2</v>
      </c>
      <c r="D52" s="118" t="str">
        <f ca="1">_xlfn.XLOOKUP(analysisChartTable[[#This Row],[index]],factorsTable[index],factorsTable[chartLabel])</f>
        <v/>
      </c>
      <c r="E52" s="118" t="str">
        <f ca="1">_xlfn.XLOOKUP(analysisChartTable[[#This Row],[index]],factorsTable[index],factorsTable[RANASTag])</f>
        <v/>
      </c>
      <c r="F52" s="175" t="str">
        <f ca="1">_xlfn.XLOOKUP(analysisChartTable[[#This Row],[index]],factorsTable[index],factorsTable[displayedFactor])</f>
        <v/>
      </c>
      <c r="G52" s="175" t="str">
        <f ca="1">_xlfn.XLOOKUP(analysisChartTable[[#This Row],[index]],factorsTable[index],factorsTable[displayedRANASBlock])</f>
        <v/>
      </c>
      <c r="H52" s="176" t="str">
        <f ca="1">_xlfn.XLOOKUP(analysisChartTable[[#This Row],[index]],factorsTable[index],factorsTable[sortedNondoers])</f>
        <v/>
      </c>
      <c r="I52" s="176" t="str">
        <f ca="1">_xlfn.XLOOKUP(analysisChartTable[[#This Row],[index]],factorsTable[index],factorsTable[sortedDoers])</f>
        <v/>
      </c>
      <c r="J52" s="176" t="str">
        <f ca="1">_xlfn.XLOOKUP(analysisChartTable[[#This Row],[index]],factorsTable[index],factorsTable[sortedDifference])</f>
        <v/>
      </c>
      <c r="K52" s="177" t="str">
        <f ca="1">_xlfn.XLOOKUP(analysisChartTable[[#This Row],[index]],factorsTable[index],factorsTable[sortedNumTotal])</f>
        <v/>
      </c>
      <c r="L52" s="294"/>
      <c r="M52" s="294"/>
      <c r="N52" s="294"/>
      <c r="O52" s="294"/>
      <c r="P52" s="116"/>
      <c r="Q52" s="88"/>
    </row>
    <row r="53" spans="1:17" x14ac:dyDescent="0.3">
      <c r="A53" s="88"/>
      <c r="B53" s="161"/>
      <c r="C53" s="118" cm="1">
        <f t="array" ref="C53">ROW()-ROW(analysisChartTable[#Headers])</f>
        <v>3</v>
      </c>
      <c r="D53" s="118" t="str">
        <f ca="1">_xlfn.XLOOKUP(analysisChartTable[[#This Row],[index]],factorsTable[index],factorsTable[chartLabel])</f>
        <v/>
      </c>
      <c r="E53" s="118" t="str">
        <f ca="1">_xlfn.XLOOKUP(analysisChartTable[[#This Row],[index]],factorsTable[index],factorsTable[RANASTag])</f>
        <v/>
      </c>
      <c r="F53" s="175" t="str">
        <f ca="1">_xlfn.XLOOKUP(analysisChartTable[[#This Row],[index]],factorsTable[index],factorsTable[displayedFactor])</f>
        <v/>
      </c>
      <c r="G53" s="175" t="str">
        <f ca="1">_xlfn.XLOOKUP(analysisChartTable[[#This Row],[index]],factorsTable[index],factorsTable[displayedRANASBlock])</f>
        <v/>
      </c>
      <c r="H53" s="176" t="str">
        <f ca="1">_xlfn.XLOOKUP(analysisChartTable[[#This Row],[index]],factorsTable[index],factorsTable[sortedNondoers])</f>
        <v/>
      </c>
      <c r="I53" s="176" t="str">
        <f ca="1">_xlfn.XLOOKUP(analysisChartTable[[#This Row],[index]],factorsTable[index],factorsTable[sortedDoers])</f>
        <v/>
      </c>
      <c r="J53" s="176" t="str">
        <f ca="1">_xlfn.XLOOKUP(analysisChartTable[[#This Row],[index]],factorsTable[index],factorsTable[sortedDifference])</f>
        <v/>
      </c>
      <c r="K53" s="177" t="str">
        <f ca="1">_xlfn.XLOOKUP(analysisChartTable[[#This Row],[index]],factorsTable[index],factorsTable[sortedNumTotal])</f>
        <v/>
      </c>
      <c r="L53" s="294"/>
      <c r="M53" s="294"/>
      <c r="N53" s="294"/>
      <c r="O53" s="294"/>
      <c r="P53" s="116"/>
      <c r="Q53" s="88"/>
    </row>
    <row r="54" spans="1:17" x14ac:dyDescent="0.3">
      <c r="A54" s="88"/>
      <c r="B54" s="161"/>
      <c r="C54" s="118" cm="1">
        <f t="array" ref="C54">ROW()-ROW(analysisChartTable[#Headers])</f>
        <v>4</v>
      </c>
      <c r="D54" s="118" t="str">
        <f ca="1">_xlfn.XLOOKUP(analysisChartTable[[#This Row],[index]],factorsTable[index],factorsTable[chartLabel])</f>
        <v/>
      </c>
      <c r="E54" s="118" t="str">
        <f ca="1">_xlfn.XLOOKUP(analysisChartTable[[#This Row],[index]],factorsTable[index],factorsTable[RANASTag])</f>
        <v/>
      </c>
      <c r="F54" s="175" t="str">
        <f ca="1">_xlfn.XLOOKUP(analysisChartTable[[#This Row],[index]],factorsTable[index],factorsTable[displayedFactor])</f>
        <v/>
      </c>
      <c r="G54" s="175" t="str">
        <f ca="1">_xlfn.XLOOKUP(analysisChartTable[[#This Row],[index]],factorsTable[index],factorsTable[displayedRANASBlock])</f>
        <v/>
      </c>
      <c r="H54" s="176" t="str">
        <f ca="1">_xlfn.XLOOKUP(analysisChartTable[[#This Row],[index]],factorsTable[index],factorsTable[sortedNondoers])</f>
        <v/>
      </c>
      <c r="I54" s="176" t="str">
        <f ca="1">_xlfn.XLOOKUP(analysisChartTable[[#This Row],[index]],factorsTable[index],factorsTable[sortedDoers])</f>
        <v/>
      </c>
      <c r="J54" s="176" t="str">
        <f ca="1">_xlfn.XLOOKUP(analysisChartTable[[#This Row],[index]],factorsTable[index],factorsTable[sortedDifference])</f>
        <v/>
      </c>
      <c r="K54" s="177" t="str">
        <f ca="1">_xlfn.XLOOKUP(analysisChartTable[[#This Row],[index]],factorsTable[index],factorsTable[sortedNumTotal])</f>
        <v/>
      </c>
      <c r="L54" s="294"/>
      <c r="M54" s="294"/>
      <c r="N54" s="294"/>
      <c r="O54" s="294"/>
      <c r="P54" s="116"/>
      <c r="Q54" s="88"/>
    </row>
    <row r="55" spans="1:17" x14ac:dyDescent="0.3">
      <c r="A55" s="88"/>
      <c r="B55" s="161"/>
      <c r="C55" s="118" cm="1">
        <f t="array" ref="C55">ROW()-ROW(analysisChartTable[#Headers])</f>
        <v>5</v>
      </c>
      <c r="D55" s="118" t="str">
        <f ca="1">_xlfn.XLOOKUP(analysisChartTable[[#This Row],[index]],factorsTable[index],factorsTable[chartLabel])</f>
        <v/>
      </c>
      <c r="E55" s="118" t="str">
        <f ca="1">_xlfn.XLOOKUP(analysisChartTable[[#This Row],[index]],factorsTable[index],factorsTable[RANASTag])</f>
        <v/>
      </c>
      <c r="F55" s="175" t="str">
        <f ca="1">_xlfn.XLOOKUP(analysisChartTable[[#This Row],[index]],factorsTable[index],factorsTable[displayedFactor])</f>
        <v/>
      </c>
      <c r="G55" s="175" t="str">
        <f ca="1">_xlfn.XLOOKUP(analysisChartTable[[#This Row],[index]],factorsTable[index],factorsTable[displayedRANASBlock])</f>
        <v/>
      </c>
      <c r="H55" s="176" t="str">
        <f ca="1">_xlfn.XLOOKUP(analysisChartTable[[#This Row],[index]],factorsTable[index],factorsTable[sortedNondoers])</f>
        <v/>
      </c>
      <c r="I55" s="176" t="str">
        <f ca="1">_xlfn.XLOOKUP(analysisChartTable[[#This Row],[index]],factorsTable[index],factorsTable[sortedDoers])</f>
        <v/>
      </c>
      <c r="J55" s="176" t="str">
        <f ca="1">_xlfn.XLOOKUP(analysisChartTable[[#This Row],[index]],factorsTable[index],factorsTable[sortedDifference])</f>
        <v/>
      </c>
      <c r="K55" s="177" t="str">
        <f ca="1">_xlfn.XLOOKUP(analysisChartTable[[#This Row],[index]],factorsTable[index],factorsTable[sortedNumTotal])</f>
        <v/>
      </c>
      <c r="L55" s="294"/>
      <c r="M55" s="294"/>
      <c r="N55" s="294"/>
      <c r="O55" s="294"/>
      <c r="P55" s="116"/>
      <c r="Q55" s="88"/>
    </row>
    <row r="56" spans="1:17" x14ac:dyDescent="0.3">
      <c r="A56" s="88"/>
      <c r="B56" s="161"/>
      <c r="C56" s="118" cm="1">
        <f t="array" ref="C56">ROW()-ROW(analysisChartTable[#Headers])</f>
        <v>6</v>
      </c>
      <c r="D56" s="118" t="str">
        <f ca="1">_xlfn.XLOOKUP(analysisChartTable[[#This Row],[index]],factorsTable[index],factorsTable[chartLabel])</f>
        <v/>
      </c>
      <c r="E56" s="118" t="str">
        <f ca="1">_xlfn.XLOOKUP(analysisChartTable[[#This Row],[index]],factorsTable[index],factorsTable[RANASTag])</f>
        <v/>
      </c>
      <c r="F56" s="175" t="str">
        <f ca="1">_xlfn.XLOOKUP(analysisChartTable[[#This Row],[index]],factorsTable[index],factorsTable[displayedFactor])</f>
        <v/>
      </c>
      <c r="G56" s="175" t="str">
        <f ca="1">_xlfn.XLOOKUP(analysisChartTable[[#This Row],[index]],factorsTable[index],factorsTable[displayedRANASBlock])</f>
        <v/>
      </c>
      <c r="H56" s="176" t="str">
        <f ca="1">_xlfn.XLOOKUP(analysisChartTable[[#This Row],[index]],factorsTable[index],factorsTable[sortedNondoers])</f>
        <v/>
      </c>
      <c r="I56" s="176" t="str">
        <f ca="1">_xlfn.XLOOKUP(analysisChartTable[[#This Row],[index]],factorsTable[index],factorsTable[sortedDoers])</f>
        <v/>
      </c>
      <c r="J56" s="176" t="str">
        <f ca="1">_xlfn.XLOOKUP(analysisChartTable[[#This Row],[index]],factorsTable[index],factorsTable[sortedDifference])</f>
        <v/>
      </c>
      <c r="K56" s="177" t="str">
        <f ca="1">_xlfn.XLOOKUP(analysisChartTable[[#This Row],[index]],factorsTable[index],factorsTable[sortedNumTotal])</f>
        <v/>
      </c>
      <c r="L56" s="294"/>
      <c r="M56" s="294"/>
      <c r="N56" s="294"/>
      <c r="O56" s="294"/>
      <c r="P56" s="116"/>
      <c r="Q56" s="88"/>
    </row>
    <row r="57" spans="1:17" x14ac:dyDescent="0.3">
      <c r="A57" s="88"/>
      <c r="B57" s="161"/>
      <c r="C57" s="118" cm="1">
        <f t="array" ref="C57">ROW()-ROW(analysisChartTable[#Headers])</f>
        <v>7</v>
      </c>
      <c r="D57" s="118" t="str">
        <f ca="1">_xlfn.XLOOKUP(analysisChartTable[[#This Row],[index]],factorsTable[index],factorsTable[chartLabel])</f>
        <v/>
      </c>
      <c r="E57" s="118" t="str">
        <f ca="1">_xlfn.XLOOKUP(analysisChartTable[[#This Row],[index]],factorsTable[index],factorsTable[RANASTag])</f>
        <v/>
      </c>
      <c r="F57" s="175" t="str">
        <f ca="1">_xlfn.XLOOKUP(analysisChartTable[[#This Row],[index]],factorsTable[index],factorsTable[displayedFactor])</f>
        <v/>
      </c>
      <c r="G57" s="175" t="str">
        <f ca="1">_xlfn.XLOOKUP(analysisChartTable[[#This Row],[index]],factorsTable[index],factorsTable[displayedRANASBlock])</f>
        <v/>
      </c>
      <c r="H57" s="176" t="str">
        <f ca="1">_xlfn.XLOOKUP(analysisChartTable[[#This Row],[index]],factorsTable[index],factorsTable[sortedNondoers])</f>
        <v/>
      </c>
      <c r="I57" s="176" t="str">
        <f ca="1">_xlfn.XLOOKUP(analysisChartTable[[#This Row],[index]],factorsTable[index],factorsTable[sortedDoers])</f>
        <v/>
      </c>
      <c r="J57" s="176" t="str">
        <f ca="1">_xlfn.XLOOKUP(analysisChartTable[[#This Row],[index]],factorsTable[index],factorsTable[sortedDifference])</f>
        <v/>
      </c>
      <c r="K57" s="177" t="str">
        <f ca="1">_xlfn.XLOOKUP(analysisChartTable[[#This Row],[index]],factorsTable[index],factorsTable[sortedNumTotal])</f>
        <v/>
      </c>
      <c r="L57" s="294"/>
      <c r="M57" s="294"/>
      <c r="N57" s="294"/>
      <c r="O57" s="294"/>
      <c r="P57" s="116"/>
      <c r="Q57" s="88"/>
    </row>
    <row r="58" spans="1:17" x14ac:dyDescent="0.3">
      <c r="A58" s="88"/>
      <c r="B58" s="161"/>
      <c r="C58" s="118" cm="1">
        <f t="array" ref="C58">ROW()-ROW(analysisChartTable[#Headers])</f>
        <v>8</v>
      </c>
      <c r="D58" s="118" t="str">
        <f ca="1">_xlfn.XLOOKUP(analysisChartTable[[#This Row],[index]],factorsTable[index],factorsTable[chartLabel])</f>
        <v/>
      </c>
      <c r="E58" s="118" t="str">
        <f ca="1">_xlfn.XLOOKUP(analysisChartTable[[#This Row],[index]],factorsTable[index],factorsTable[RANASTag])</f>
        <v/>
      </c>
      <c r="F58" s="175" t="str">
        <f ca="1">_xlfn.XLOOKUP(analysisChartTable[[#This Row],[index]],factorsTable[index],factorsTable[displayedFactor])</f>
        <v/>
      </c>
      <c r="G58" s="175" t="str">
        <f ca="1">_xlfn.XLOOKUP(analysisChartTable[[#This Row],[index]],factorsTable[index],factorsTable[displayedRANASBlock])</f>
        <v/>
      </c>
      <c r="H58" s="176" t="str">
        <f ca="1">_xlfn.XLOOKUP(analysisChartTable[[#This Row],[index]],factorsTable[index],factorsTable[sortedNondoers])</f>
        <v/>
      </c>
      <c r="I58" s="176" t="str">
        <f ca="1">_xlfn.XLOOKUP(analysisChartTable[[#This Row],[index]],factorsTable[index],factorsTable[sortedDoers])</f>
        <v/>
      </c>
      <c r="J58" s="176" t="str">
        <f ca="1">_xlfn.XLOOKUP(analysisChartTable[[#This Row],[index]],factorsTable[index],factorsTable[sortedDifference])</f>
        <v/>
      </c>
      <c r="K58" s="177" t="str">
        <f ca="1">_xlfn.XLOOKUP(analysisChartTable[[#This Row],[index]],factorsTable[index],factorsTable[sortedNumTotal])</f>
        <v/>
      </c>
      <c r="L58" s="294"/>
      <c r="M58" s="294"/>
      <c r="N58" s="294"/>
      <c r="O58" s="294"/>
      <c r="P58" s="116"/>
      <c r="Q58" s="88"/>
    </row>
    <row r="59" spans="1:17" x14ac:dyDescent="0.3">
      <c r="A59" s="88"/>
      <c r="B59" s="161"/>
      <c r="C59" s="118" cm="1">
        <f t="array" ref="C59">ROW()-ROW(analysisChartTable[#Headers])</f>
        <v>9</v>
      </c>
      <c r="D59" s="118" t="str">
        <f ca="1">_xlfn.XLOOKUP(analysisChartTable[[#This Row],[index]],factorsTable[index],factorsTable[chartLabel])</f>
        <v/>
      </c>
      <c r="E59" s="118" t="str">
        <f ca="1">_xlfn.XLOOKUP(analysisChartTable[[#This Row],[index]],factorsTable[index],factorsTable[RANASTag])</f>
        <v/>
      </c>
      <c r="F59" s="175" t="str">
        <f ca="1">_xlfn.XLOOKUP(analysisChartTable[[#This Row],[index]],factorsTable[index],factorsTable[displayedFactor])</f>
        <v/>
      </c>
      <c r="G59" s="175" t="str">
        <f ca="1">_xlfn.XLOOKUP(analysisChartTable[[#This Row],[index]],factorsTable[index],factorsTable[displayedRANASBlock])</f>
        <v/>
      </c>
      <c r="H59" s="176" t="str">
        <f ca="1">_xlfn.XLOOKUP(analysisChartTable[[#This Row],[index]],factorsTable[index],factorsTable[sortedNondoers])</f>
        <v/>
      </c>
      <c r="I59" s="176" t="str">
        <f ca="1">_xlfn.XLOOKUP(analysisChartTable[[#This Row],[index]],factorsTable[index],factorsTable[sortedDoers])</f>
        <v/>
      </c>
      <c r="J59" s="176" t="str">
        <f ca="1">_xlfn.XLOOKUP(analysisChartTable[[#This Row],[index]],factorsTable[index],factorsTable[sortedDifference])</f>
        <v/>
      </c>
      <c r="K59" s="177" t="str">
        <f ca="1">_xlfn.XLOOKUP(analysisChartTable[[#This Row],[index]],factorsTable[index],factorsTable[sortedNumTotal])</f>
        <v/>
      </c>
      <c r="L59" s="294"/>
      <c r="M59" s="294"/>
      <c r="N59" s="294"/>
      <c r="O59" s="294"/>
      <c r="P59" s="116"/>
      <c r="Q59" s="88"/>
    </row>
    <row r="60" spans="1:17" x14ac:dyDescent="0.3">
      <c r="A60" s="88"/>
      <c r="B60" s="161"/>
      <c r="C60" s="118" cm="1">
        <f t="array" ref="C60">ROW()-ROW(analysisChartTable[#Headers])</f>
        <v>10</v>
      </c>
      <c r="D60" s="118" t="str">
        <f ca="1">_xlfn.XLOOKUP(analysisChartTable[[#This Row],[index]],factorsTable[index],factorsTable[chartLabel])</f>
        <v/>
      </c>
      <c r="E60" s="118" t="str">
        <f ca="1">_xlfn.XLOOKUP(analysisChartTable[[#This Row],[index]],factorsTable[index],factorsTable[RANASTag])</f>
        <v/>
      </c>
      <c r="F60" s="175" t="str">
        <f ca="1">_xlfn.XLOOKUP(analysisChartTable[[#This Row],[index]],factorsTable[index],factorsTable[displayedFactor])</f>
        <v/>
      </c>
      <c r="G60" s="175" t="str">
        <f ca="1">_xlfn.XLOOKUP(analysisChartTable[[#This Row],[index]],factorsTable[index],factorsTable[displayedRANASBlock])</f>
        <v/>
      </c>
      <c r="H60" s="176" t="str">
        <f ca="1">_xlfn.XLOOKUP(analysisChartTable[[#This Row],[index]],factorsTable[index],factorsTable[sortedNondoers])</f>
        <v/>
      </c>
      <c r="I60" s="176" t="str">
        <f ca="1">_xlfn.XLOOKUP(analysisChartTable[[#This Row],[index]],factorsTable[index],factorsTable[sortedDoers])</f>
        <v/>
      </c>
      <c r="J60" s="176" t="str">
        <f ca="1">_xlfn.XLOOKUP(analysisChartTable[[#This Row],[index]],factorsTable[index],factorsTable[sortedDifference])</f>
        <v/>
      </c>
      <c r="K60" s="177" t="str">
        <f ca="1">_xlfn.XLOOKUP(analysisChartTable[[#This Row],[index]],factorsTable[index],factorsTable[sortedNumTotal])</f>
        <v/>
      </c>
      <c r="L60" s="294"/>
      <c r="M60" s="294"/>
      <c r="N60" s="294"/>
      <c r="O60" s="294"/>
      <c r="P60" s="116"/>
      <c r="Q60" s="88"/>
    </row>
    <row r="61" spans="1:17" x14ac:dyDescent="0.3">
      <c r="A61" s="88"/>
      <c r="B61" s="161"/>
      <c r="C61" s="119" cm="1">
        <f t="array" ref="C61">ROW()-ROW(analysisChartTable[#Headers])</f>
        <v>11</v>
      </c>
      <c r="D61" s="119" t="str">
        <f ca="1">_xlfn.XLOOKUP(analysisChartTable[[#This Row],[index]],factorsTable[index],factorsTable[chartLabel])</f>
        <v/>
      </c>
      <c r="E61" s="119" t="str">
        <f ca="1">_xlfn.XLOOKUP(analysisChartTable[[#This Row],[index]],factorsTable[index],factorsTable[RANASTag])</f>
        <v/>
      </c>
      <c r="F61" s="175" t="str">
        <f ca="1">_xlfn.XLOOKUP(analysisChartTable[[#This Row],[index]],factorsTable[index],factorsTable[displayedFactor])</f>
        <v/>
      </c>
      <c r="G61" s="175" t="str">
        <f ca="1">_xlfn.XLOOKUP(analysisChartTable[[#This Row],[index]],factorsTable[index],factorsTable[displayedRANASBlock])</f>
        <v/>
      </c>
      <c r="H61" s="176" t="str">
        <f ca="1">_xlfn.XLOOKUP(analysisChartTable[[#This Row],[index]],factorsTable[index],factorsTable[sortedNondoers])</f>
        <v/>
      </c>
      <c r="I61" s="176" t="str">
        <f ca="1">_xlfn.XLOOKUP(analysisChartTable[[#This Row],[index]],factorsTable[index],factorsTable[sortedDoers])</f>
        <v/>
      </c>
      <c r="J61" s="176" t="str">
        <f ca="1">_xlfn.XLOOKUP(analysisChartTable[[#This Row],[index]],factorsTable[index],factorsTable[sortedDifference])</f>
        <v/>
      </c>
      <c r="K61" s="177" t="str">
        <f ca="1">_xlfn.XLOOKUP(analysisChartTable[[#This Row],[index]],factorsTable[index],factorsTable[sortedNumTotal])</f>
        <v/>
      </c>
      <c r="L61" s="294"/>
      <c r="M61" s="294"/>
      <c r="N61" s="294"/>
      <c r="O61" s="294"/>
      <c r="P61" s="116"/>
      <c r="Q61" s="88"/>
    </row>
    <row r="62" spans="1:17" x14ac:dyDescent="0.3">
      <c r="A62" s="88"/>
      <c r="B62" s="161"/>
      <c r="C62" s="119" cm="1">
        <f t="array" ref="C62">ROW()-ROW(analysisChartTable[#Headers])</f>
        <v>12</v>
      </c>
      <c r="D62" s="119" t="str">
        <f ca="1">_xlfn.XLOOKUP(analysisChartTable[[#This Row],[index]],factorsTable[index],factorsTable[chartLabel])</f>
        <v/>
      </c>
      <c r="E62" s="119" t="str">
        <f ca="1">_xlfn.XLOOKUP(analysisChartTable[[#This Row],[index]],factorsTable[index],factorsTable[RANASTag])</f>
        <v/>
      </c>
      <c r="F62" s="175" t="str">
        <f ca="1">_xlfn.XLOOKUP(analysisChartTable[[#This Row],[index]],factorsTable[index],factorsTable[displayedFactor])</f>
        <v/>
      </c>
      <c r="G62" s="175" t="str">
        <f ca="1">_xlfn.XLOOKUP(analysisChartTable[[#This Row],[index]],factorsTable[index],factorsTable[displayedRANASBlock])</f>
        <v/>
      </c>
      <c r="H62" s="176" t="str">
        <f ca="1">_xlfn.XLOOKUP(analysisChartTable[[#This Row],[index]],factorsTable[index],factorsTable[sortedNondoers])</f>
        <v/>
      </c>
      <c r="I62" s="176" t="str">
        <f ca="1">_xlfn.XLOOKUP(analysisChartTable[[#This Row],[index]],factorsTable[index],factorsTable[sortedDoers])</f>
        <v/>
      </c>
      <c r="J62" s="176" t="str">
        <f ca="1">_xlfn.XLOOKUP(analysisChartTable[[#This Row],[index]],factorsTable[index],factorsTable[sortedDifference])</f>
        <v/>
      </c>
      <c r="K62" s="177" t="str">
        <f ca="1">_xlfn.XLOOKUP(analysisChartTable[[#This Row],[index]],factorsTable[index],factorsTable[sortedNumTotal])</f>
        <v/>
      </c>
      <c r="L62" s="294"/>
      <c r="M62" s="294"/>
      <c r="N62" s="294"/>
      <c r="O62" s="294"/>
      <c r="P62" s="116"/>
      <c r="Q62" s="88"/>
    </row>
    <row r="63" spans="1:17" x14ac:dyDescent="0.3">
      <c r="A63" s="88"/>
      <c r="B63" s="161"/>
      <c r="C63" s="119" cm="1">
        <f t="array" ref="C63">ROW()-ROW(analysisChartTable[#Headers])</f>
        <v>13</v>
      </c>
      <c r="D63" s="119" t="str">
        <f ca="1">_xlfn.XLOOKUP(analysisChartTable[[#This Row],[index]],factorsTable[index],factorsTable[chartLabel])</f>
        <v/>
      </c>
      <c r="E63" s="119" t="str">
        <f ca="1">_xlfn.XLOOKUP(analysisChartTable[[#This Row],[index]],factorsTable[index],factorsTable[RANASTag])</f>
        <v/>
      </c>
      <c r="F63" s="175" t="str">
        <f ca="1">_xlfn.XLOOKUP(analysisChartTable[[#This Row],[index]],factorsTable[index],factorsTable[displayedFactor])</f>
        <v/>
      </c>
      <c r="G63" s="175" t="str">
        <f ca="1">_xlfn.XLOOKUP(analysisChartTable[[#This Row],[index]],factorsTable[index],factorsTable[displayedRANASBlock])</f>
        <v/>
      </c>
      <c r="H63" s="176" t="str">
        <f ca="1">_xlfn.XLOOKUP(analysisChartTable[[#This Row],[index]],factorsTable[index],factorsTable[sortedNondoers])</f>
        <v/>
      </c>
      <c r="I63" s="176" t="str">
        <f ca="1">_xlfn.XLOOKUP(analysisChartTable[[#This Row],[index]],factorsTable[index],factorsTable[sortedDoers])</f>
        <v/>
      </c>
      <c r="J63" s="176" t="str">
        <f ca="1">_xlfn.XLOOKUP(analysisChartTable[[#This Row],[index]],factorsTable[index],factorsTable[sortedDifference])</f>
        <v/>
      </c>
      <c r="K63" s="177" t="str">
        <f ca="1">_xlfn.XLOOKUP(analysisChartTable[[#This Row],[index]],factorsTable[index],factorsTable[sortedNumTotal])</f>
        <v/>
      </c>
      <c r="L63" s="294"/>
      <c r="M63" s="294"/>
      <c r="N63" s="294"/>
      <c r="O63" s="294"/>
      <c r="P63" s="116"/>
      <c r="Q63" s="88"/>
    </row>
    <row r="64" spans="1:17" x14ac:dyDescent="0.3">
      <c r="A64" s="88"/>
      <c r="B64" s="161"/>
      <c r="C64" s="119" cm="1">
        <f t="array" ref="C64">ROW()-ROW(analysisChartTable[#Headers])</f>
        <v>14</v>
      </c>
      <c r="D64" s="119" t="str">
        <f ca="1">_xlfn.XLOOKUP(analysisChartTable[[#This Row],[index]],factorsTable[index],factorsTable[chartLabel])</f>
        <v/>
      </c>
      <c r="E64" s="119" t="str">
        <f ca="1">_xlfn.XLOOKUP(analysisChartTable[[#This Row],[index]],factorsTable[index],factorsTable[RANASTag])</f>
        <v/>
      </c>
      <c r="F64" s="175" t="str">
        <f ca="1">_xlfn.XLOOKUP(analysisChartTable[[#This Row],[index]],factorsTable[index],factorsTable[displayedFactor])</f>
        <v/>
      </c>
      <c r="G64" s="175" t="str">
        <f ca="1">_xlfn.XLOOKUP(analysisChartTable[[#This Row],[index]],factorsTable[index],factorsTable[displayedRANASBlock])</f>
        <v/>
      </c>
      <c r="H64" s="176" t="str">
        <f ca="1">_xlfn.XLOOKUP(analysisChartTable[[#This Row],[index]],factorsTable[index],factorsTable[sortedNondoers])</f>
        <v/>
      </c>
      <c r="I64" s="176" t="str">
        <f ca="1">_xlfn.XLOOKUP(analysisChartTable[[#This Row],[index]],factorsTable[index],factorsTable[sortedDoers])</f>
        <v/>
      </c>
      <c r="J64" s="176" t="str">
        <f ca="1">_xlfn.XLOOKUP(analysisChartTable[[#This Row],[index]],factorsTable[index],factorsTable[sortedDifference])</f>
        <v/>
      </c>
      <c r="K64" s="177" t="str">
        <f ca="1">_xlfn.XLOOKUP(analysisChartTable[[#This Row],[index]],factorsTable[index],factorsTable[sortedNumTotal])</f>
        <v/>
      </c>
      <c r="L64" s="294"/>
      <c r="M64" s="294"/>
      <c r="N64" s="294"/>
      <c r="O64" s="294"/>
      <c r="P64" s="116"/>
      <c r="Q64" s="88"/>
    </row>
    <row r="65" spans="1:17" x14ac:dyDescent="0.3">
      <c r="A65" s="88"/>
      <c r="B65" s="161"/>
      <c r="C65" s="119" cm="1">
        <f t="array" ref="C65">ROW()-ROW(analysisChartTable[#Headers])</f>
        <v>15</v>
      </c>
      <c r="D65" s="119" t="str">
        <f ca="1">_xlfn.XLOOKUP(analysisChartTable[[#This Row],[index]],factorsTable[index],factorsTable[chartLabel])</f>
        <v/>
      </c>
      <c r="E65" s="119" t="str">
        <f ca="1">_xlfn.XLOOKUP(analysisChartTable[[#This Row],[index]],factorsTable[index],factorsTable[RANASTag])</f>
        <v/>
      </c>
      <c r="F65" s="175" t="str">
        <f ca="1">_xlfn.XLOOKUP(analysisChartTable[[#This Row],[index]],factorsTable[index],factorsTable[displayedFactor])</f>
        <v/>
      </c>
      <c r="G65" s="175" t="str">
        <f ca="1">_xlfn.XLOOKUP(analysisChartTable[[#This Row],[index]],factorsTable[index],factorsTable[displayedRANASBlock])</f>
        <v/>
      </c>
      <c r="H65" s="176" t="str">
        <f ca="1">_xlfn.XLOOKUP(analysisChartTable[[#This Row],[index]],factorsTable[index],factorsTable[sortedNondoers])</f>
        <v/>
      </c>
      <c r="I65" s="176" t="str">
        <f ca="1">_xlfn.XLOOKUP(analysisChartTable[[#This Row],[index]],factorsTable[index],factorsTable[sortedDoers])</f>
        <v/>
      </c>
      <c r="J65" s="176" t="str">
        <f ca="1">_xlfn.XLOOKUP(analysisChartTable[[#This Row],[index]],factorsTable[index],factorsTable[sortedDifference])</f>
        <v/>
      </c>
      <c r="K65" s="177" t="str">
        <f ca="1">_xlfn.XLOOKUP(analysisChartTable[[#This Row],[index]],factorsTable[index],factorsTable[sortedNumTotal])</f>
        <v/>
      </c>
      <c r="L65" s="294"/>
      <c r="M65" s="294"/>
      <c r="N65" s="294"/>
      <c r="O65" s="294"/>
      <c r="P65" s="115"/>
      <c r="Q65" s="88"/>
    </row>
    <row r="66" spans="1:17" x14ac:dyDescent="0.3">
      <c r="A66" s="88"/>
      <c r="B66" s="161"/>
      <c r="C66" s="119" cm="1">
        <f t="array" ref="C66">ROW()-ROW(analysisChartTable[#Headers])</f>
        <v>16</v>
      </c>
      <c r="D66" s="119" t="str">
        <f ca="1">_xlfn.XLOOKUP(analysisChartTable[[#This Row],[index]],factorsTable[index],factorsTable[chartLabel])</f>
        <v/>
      </c>
      <c r="E66" s="119" t="str">
        <f ca="1">_xlfn.XLOOKUP(analysisChartTable[[#This Row],[index]],factorsTable[index],factorsTable[RANASTag])</f>
        <v/>
      </c>
      <c r="F66" s="175" t="str">
        <f ca="1">_xlfn.XLOOKUP(analysisChartTable[[#This Row],[index]],factorsTable[index],factorsTable[displayedFactor])</f>
        <v/>
      </c>
      <c r="G66" s="175" t="str">
        <f ca="1">_xlfn.XLOOKUP(analysisChartTable[[#This Row],[index]],factorsTable[index],factorsTable[displayedRANASBlock])</f>
        <v/>
      </c>
      <c r="H66" s="176" t="str">
        <f ca="1">_xlfn.XLOOKUP(analysisChartTable[[#This Row],[index]],factorsTable[index],factorsTable[sortedNondoers])</f>
        <v/>
      </c>
      <c r="I66" s="176" t="str">
        <f ca="1">_xlfn.XLOOKUP(analysisChartTable[[#This Row],[index]],factorsTable[index],factorsTable[sortedDoers])</f>
        <v/>
      </c>
      <c r="J66" s="176" t="str">
        <f ca="1">_xlfn.XLOOKUP(analysisChartTable[[#This Row],[index]],factorsTable[index],factorsTable[sortedDifference])</f>
        <v/>
      </c>
      <c r="K66" s="177" t="str">
        <f ca="1">_xlfn.XLOOKUP(analysisChartTable[[#This Row],[index]],factorsTable[index],factorsTable[sortedNumTotal])</f>
        <v/>
      </c>
      <c r="L66" s="290" t="str" cm="1">
        <f t="array" ref="L66">_xlfn.XLOOKUP(
    "copyChartInfo",
    UITranslationTable[tag],
    INDEX(
      UITranslationTable[],
      0,
      IFERROR(
        MATCH(UILanguage, UITranslationTable[#Headers], 0),
        MATCH(UITranslationTable[[#Headers], [English]], UITranslationTable[#Headers], 0)
      )
    )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291"/>
      <c r="N66" s="291"/>
      <c r="O66" s="291"/>
      <c r="P66" s="115"/>
      <c r="Q66" s="88"/>
    </row>
    <row r="67" spans="1:17" ht="14.4" customHeight="1" x14ac:dyDescent="0.3">
      <c r="A67" s="88"/>
      <c r="B67" s="161"/>
      <c r="C67" s="119" cm="1">
        <f t="array" ref="C67">ROW()-ROW(analysisChartTable[#Headers])</f>
        <v>17</v>
      </c>
      <c r="D67" s="119" t="str">
        <f ca="1">_xlfn.XLOOKUP(analysisChartTable[[#This Row],[index]],factorsTable[index],factorsTable[chartLabel])</f>
        <v/>
      </c>
      <c r="E67" s="119" t="str">
        <f ca="1">_xlfn.XLOOKUP(analysisChartTable[[#This Row],[index]],factorsTable[index],factorsTable[RANASTag])</f>
        <v/>
      </c>
      <c r="F67" s="175" t="str">
        <f ca="1">_xlfn.XLOOKUP(analysisChartTable[[#This Row],[index]],factorsTable[index],factorsTable[displayedFactor])</f>
        <v/>
      </c>
      <c r="G67" s="175" t="str">
        <f ca="1">_xlfn.XLOOKUP(analysisChartTable[[#This Row],[index]],factorsTable[index],factorsTable[displayedRANASBlock])</f>
        <v/>
      </c>
      <c r="H67" s="176" t="str">
        <f ca="1">_xlfn.XLOOKUP(analysisChartTable[[#This Row],[index]],factorsTable[index],factorsTable[sortedNondoers])</f>
        <v/>
      </c>
      <c r="I67" s="176" t="str">
        <f ca="1">_xlfn.XLOOKUP(analysisChartTable[[#This Row],[index]],factorsTable[index],factorsTable[sortedDoers])</f>
        <v/>
      </c>
      <c r="J67" s="176" t="str">
        <f ca="1">_xlfn.XLOOKUP(analysisChartTable[[#This Row],[index]],factorsTable[index],factorsTable[sortedDifference])</f>
        <v/>
      </c>
      <c r="K67" s="177" t="str">
        <f ca="1">_xlfn.XLOOKUP(analysisChartTable[[#This Row],[index]],factorsTable[index],factorsTable[sortedNumTotal])</f>
        <v/>
      </c>
      <c r="L67" s="291"/>
      <c r="M67" s="291"/>
      <c r="N67" s="291"/>
      <c r="O67" s="291"/>
      <c r="P67" s="115"/>
      <c r="Q67" s="88"/>
    </row>
    <row r="68" spans="1:17" x14ac:dyDescent="0.3">
      <c r="A68" s="88"/>
      <c r="B68" s="161"/>
      <c r="C68" s="119" cm="1">
        <f t="array" ref="C68">ROW()-ROW(analysisChartTable[#Headers])</f>
        <v>18</v>
      </c>
      <c r="D68" s="119" t="str">
        <f ca="1">_xlfn.XLOOKUP(analysisChartTable[[#This Row],[index]],factorsTable[index],factorsTable[chartLabel])</f>
        <v/>
      </c>
      <c r="E68" s="119" t="str">
        <f ca="1">_xlfn.XLOOKUP(analysisChartTable[[#This Row],[index]],factorsTable[index],factorsTable[RANASTag])</f>
        <v/>
      </c>
      <c r="F68" s="175" t="str">
        <f ca="1">_xlfn.XLOOKUP(analysisChartTable[[#This Row],[index]],factorsTable[index],factorsTable[displayedFactor])</f>
        <v/>
      </c>
      <c r="G68" s="175" t="str">
        <f ca="1">_xlfn.XLOOKUP(analysisChartTable[[#This Row],[index]],factorsTable[index],factorsTable[displayedRANASBlock])</f>
        <v/>
      </c>
      <c r="H68" s="176" t="str">
        <f ca="1">_xlfn.XLOOKUP(analysisChartTable[[#This Row],[index]],factorsTable[index],factorsTable[sortedNondoers])</f>
        <v/>
      </c>
      <c r="I68" s="176" t="str">
        <f ca="1">_xlfn.XLOOKUP(analysisChartTable[[#This Row],[index]],factorsTable[index],factorsTable[sortedDoers])</f>
        <v/>
      </c>
      <c r="J68" s="176" t="str">
        <f ca="1">_xlfn.XLOOKUP(analysisChartTable[[#This Row],[index]],factorsTable[index],factorsTable[sortedDifference])</f>
        <v/>
      </c>
      <c r="K68" s="177" t="str">
        <f ca="1">_xlfn.XLOOKUP(analysisChartTable[[#This Row],[index]],factorsTable[index],factorsTable[sortedNumTotal])</f>
        <v/>
      </c>
      <c r="L68" s="291"/>
      <c r="M68" s="291"/>
      <c r="N68" s="291"/>
      <c r="O68" s="291"/>
      <c r="P68" s="115"/>
      <c r="Q68" s="88"/>
    </row>
    <row r="69" spans="1:17" x14ac:dyDescent="0.3">
      <c r="A69" s="88"/>
      <c r="B69" s="161"/>
      <c r="C69" s="119" cm="1">
        <f t="array" ref="C69">ROW()-ROW(analysisChartTable[#Headers])</f>
        <v>19</v>
      </c>
      <c r="D69" s="119" t="str">
        <f ca="1">_xlfn.XLOOKUP(analysisChartTable[[#This Row],[index]],factorsTable[index],factorsTable[chartLabel])</f>
        <v/>
      </c>
      <c r="E69" s="119" t="str">
        <f ca="1">_xlfn.XLOOKUP(analysisChartTable[[#This Row],[index]],factorsTable[index],factorsTable[RANASTag])</f>
        <v/>
      </c>
      <c r="F69" s="175" t="str">
        <f ca="1">_xlfn.XLOOKUP(analysisChartTable[[#This Row],[index]],factorsTable[index],factorsTable[displayedFactor])</f>
        <v/>
      </c>
      <c r="G69" s="175" t="str">
        <f ca="1">_xlfn.XLOOKUP(analysisChartTable[[#This Row],[index]],factorsTable[index],factorsTable[displayedRANASBlock])</f>
        <v/>
      </c>
      <c r="H69" s="176" t="str">
        <f ca="1">_xlfn.XLOOKUP(analysisChartTable[[#This Row],[index]],factorsTable[index],factorsTable[sortedNondoers])</f>
        <v/>
      </c>
      <c r="I69" s="176" t="str">
        <f ca="1">_xlfn.XLOOKUP(analysisChartTable[[#This Row],[index]],factorsTable[index],factorsTable[sortedDoers])</f>
        <v/>
      </c>
      <c r="J69" s="176" t="str">
        <f ca="1">_xlfn.XLOOKUP(analysisChartTable[[#This Row],[index]],factorsTable[index],factorsTable[sortedDifference])</f>
        <v/>
      </c>
      <c r="K69" s="177" t="str">
        <f ca="1">_xlfn.XLOOKUP(analysisChartTable[[#This Row],[index]],factorsTable[index],factorsTable[sortedNumTotal])</f>
        <v/>
      </c>
      <c r="L69" s="291"/>
      <c r="M69" s="291"/>
      <c r="N69" s="291"/>
      <c r="O69" s="291"/>
      <c r="P69" s="115"/>
      <c r="Q69" s="88"/>
    </row>
    <row r="70" spans="1:17" x14ac:dyDescent="0.3">
      <c r="A70" s="88"/>
      <c r="B70" s="161"/>
      <c r="C70" s="119" cm="1">
        <f t="array" ref="C70">ROW()-ROW(analysisChartTable[#Headers])</f>
        <v>20</v>
      </c>
      <c r="D70" s="119" t="str">
        <f ca="1">_xlfn.XLOOKUP(analysisChartTable[[#This Row],[index]],factorsTable[index],factorsTable[chartLabel])</f>
        <v/>
      </c>
      <c r="E70" s="119" t="str">
        <f ca="1">_xlfn.XLOOKUP(analysisChartTable[[#This Row],[index]],factorsTable[index],factorsTable[RANASTag])</f>
        <v/>
      </c>
      <c r="F70" s="175" t="str">
        <f ca="1">_xlfn.XLOOKUP(analysisChartTable[[#This Row],[index]],factorsTable[index],factorsTable[displayedFactor])</f>
        <v/>
      </c>
      <c r="G70" s="175" t="str">
        <f ca="1">_xlfn.XLOOKUP(analysisChartTable[[#This Row],[index]],factorsTable[index],factorsTable[displayedRANASBlock])</f>
        <v/>
      </c>
      <c r="H70" s="176" t="str">
        <f ca="1">_xlfn.XLOOKUP(analysisChartTable[[#This Row],[index]],factorsTable[index],factorsTable[sortedNondoers])</f>
        <v/>
      </c>
      <c r="I70" s="176" t="str">
        <f ca="1">_xlfn.XLOOKUP(analysisChartTable[[#This Row],[index]],factorsTable[index],factorsTable[sortedDoers])</f>
        <v/>
      </c>
      <c r="J70" s="176" t="str">
        <f ca="1">_xlfn.XLOOKUP(analysisChartTable[[#This Row],[index]],factorsTable[index],factorsTable[sortedDifference])</f>
        <v/>
      </c>
      <c r="K70" s="177" t="str">
        <f ca="1">_xlfn.XLOOKUP(analysisChartTable[[#This Row],[index]],factorsTable[index],factorsTable[sortedNumTotal])</f>
        <v/>
      </c>
      <c r="L70" s="291"/>
      <c r="M70" s="291"/>
      <c r="N70" s="291"/>
      <c r="O70" s="291"/>
      <c r="P70" s="115"/>
      <c r="Q70" s="88"/>
    </row>
    <row r="71" spans="1:17" x14ac:dyDescent="0.3">
      <c r="A71" s="88"/>
      <c r="B71" s="161"/>
      <c r="C71" s="119" cm="1">
        <f t="array" ref="C71">ROW()-ROW(analysisChartTable[#Headers])</f>
        <v>21</v>
      </c>
      <c r="D71" s="119" t="str">
        <f ca="1">_xlfn.XLOOKUP(analysisChartTable[[#This Row],[index]],factorsTable[index],factorsTable[chartLabel])</f>
        <v/>
      </c>
      <c r="E71" s="119" t="str">
        <f ca="1">_xlfn.XLOOKUP(analysisChartTable[[#This Row],[index]],factorsTable[index],factorsTable[RANASTag])</f>
        <v/>
      </c>
      <c r="F71" s="175" t="str">
        <f ca="1">_xlfn.XLOOKUP(analysisChartTable[[#This Row],[index]],factorsTable[index],factorsTable[displayedFactor])</f>
        <v/>
      </c>
      <c r="G71" s="175" t="str">
        <f ca="1">_xlfn.XLOOKUP(analysisChartTable[[#This Row],[index]],factorsTable[index],factorsTable[displayedRANASBlock])</f>
        <v/>
      </c>
      <c r="H71" s="176" t="str">
        <f ca="1">_xlfn.XLOOKUP(analysisChartTable[[#This Row],[index]],factorsTable[index],factorsTable[sortedNondoers])</f>
        <v/>
      </c>
      <c r="I71" s="176" t="str">
        <f ca="1">_xlfn.XLOOKUP(analysisChartTable[[#This Row],[index]],factorsTable[index],factorsTable[sortedDoers])</f>
        <v/>
      </c>
      <c r="J71" s="176" t="str">
        <f ca="1">_xlfn.XLOOKUP(analysisChartTable[[#This Row],[index]],factorsTable[index],factorsTable[sortedDifference])</f>
        <v/>
      </c>
      <c r="K71" s="177" t="str">
        <f ca="1">_xlfn.XLOOKUP(analysisChartTable[[#This Row],[index]],factorsTable[index],factorsTable[sortedNumTotal])</f>
        <v/>
      </c>
      <c r="L71" s="291"/>
      <c r="M71" s="291"/>
      <c r="N71" s="291"/>
      <c r="O71" s="291"/>
      <c r="P71" s="115"/>
      <c r="Q71" s="88"/>
    </row>
    <row r="72" spans="1:17" x14ac:dyDescent="0.3">
      <c r="A72" s="88"/>
      <c r="B72" s="161"/>
      <c r="C72" s="119" cm="1">
        <f t="array" ref="C72">ROW()-ROW(analysisChartTable[#Headers])</f>
        <v>22</v>
      </c>
      <c r="D72" s="119" t="str">
        <f ca="1">_xlfn.XLOOKUP(analysisChartTable[[#This Row],[index]],factorsTable[index],factorsTable[chartLabel])</f>
        <v/>
      </c>
      <c r="E72" s="119" t="str">
        <f ca="1">_xlfn.XLOOKUP(analysisChartTable[[#This Row],[index]],factorsTable[index],factorsTable[RANASTag])</f>
        <v/>
      </c>
      <c r="F72" s="175" t="str">
        <f ca="1">_xlfn.XLOOKUP(analysisChartTable[[#This Row],[index]],factorsTable[index],factorsTable[displayedFactor])</f>
        <v/>
      </c>
      <c r="G72" s="175" t="str">
        <f ca="1">_xlfn.XLOOKUP(analysisChartTable[[#This Row],[index]],factorsTable[index],factorsTable[displayedRANASBlock])</f>
        <v/>
      </c>
      <c r="H72" s="176" t="str">
        <f ca="1">_xlfn.XLOOKUP(analysisChartTable[[#This Row],[index]],factorsTable[index],factorsTable[sortedNondoers])</f>
        <v/>
      </c>
      <c r="I72" s="176" t="str">
        <f ca="1">_xlfn.XLOOKUP(analysisChartTable[[#This Row],[index]],factorsTable[index],factorsTable[sortedDoers])</f>
        <v/>
      </c>
      <c r="J72" s="176" t="str">
        <f ca="1">_xlfn.XLOOKUP(analysisChartTable[[#This Row],[index]],factorsTable[index],factorsTable[sortedDifference])</f>
        <v/>
      </c>
      <c r="K72" s="177" t="str">
        <f ca="1">_xlfn.XLOOKUP(analysisChartTable[[#This Row],[index]],factorsTable[index],factorsTable[sortedNumTotal])</f>
        <v/>
      </c>
      <c r="L72" s="291"/>
      <c r="M72" s="291"/>
      <c r="N72" s="291"/>
      <c r="O72" s="291"/>
      <c r="P72" s="115"/>
      <c r="Q72" s="88"/>
    </row>
    <row r="73" spans="1:17" x14ac:dyDescent="0.3">
      <c r="A73" s="88"/>
      <c r="B73" s="161"/>
      <c r="C73" s="119" cm="1">
        <f t="array" ref="C73">ROW()-ROW(analysisChartTable[#Headers])</f>
        <v>23</v>
      </c>
      <c r="D73" s="119" t="str">
        <f ca="1">_xlfn.XLOOKUP(analysisChartTable[[#This Row],[index]],factorsTable[index],factorsTable[chartLabel])</f>
        <v/>
      </c>
      <c r="E73" s="119" t="str">
        <f ca="1">_xlfn.XLOOKUP(analysisChartTable[[#This Row],[index]],factorsTable[index],factorsTable[RANASTag])</f>
        <v/>
      </c>
      <c r="F73" s="175" t="str">
        <f ca="1">_xlfn.XLOOKUP(analysisChartTable[[#This Row],[index]],factorsTable[index],factorsTable[displayedFactor])</f>
        <v/>
      </c>
      <c r="G73" s="175" t="str">
        <f ca="1">_xlfn.XLOOKUP(analysisChartTable[[#This Row],[index]],factorsTable[index],factorsTable[displayedRANASBlock])</f>
        <v/>
      </c>
      <c r="H73" s="176" t="str">
        <f ca="1">_xlfn.XLOOKUP(analysisChartTable[[#This Row],[index]],factorsTable[index],factorsTable[sortedNondoers])</f>
        <v/>
      </c>
      <c r="I73" s="176" t="str">
        <f ca="1">_xlfn.XLOOKUP(analysisChartTable[[#This Row],[index]],factorsTable[index],factorsTable[sortedDoers])</f>
        <v/>
      </c>
      <c r="J73" s="176" t="str">
        <f ca="1">_xlfn.XLOOKUP(analysisChartTable[[#This Row],[index]],factorsTable[index],factorsTable[sortedDifference])</f>
        <v/>
      </c>
      <c r="K73" s="177" t="str">
        <f ca="1">_xlfn.XLOOKUP(analysisChartTable[[#This Row],[index]],factorsTable[index],factorsTable[sortedNumTotal])</f>
        <v/>
      </c>
      <c r="L73" s="291"/>
      <c r="M73" s="291"/>
      <c r="N73" s="291"/>
      <c r="O73" s="291"/>
      <c r="P73" s="115"/>
      <c r="Q73" s="88"/>
    </row>
    <row r="74" spans="1:17" x14ac:dyDescent="0.3">
      <c r="A74" s="88"/>
      <c r="B74" s="161"/>
      <c r="C74" s="119" cm="1">
        <f t="array" ref="C74">ROW()-ROW(analysisChartTable[#Headers])</f>
        <v>24</v>
      </c>
      <c r="D74" s="119" t="str">
        <f ca="1">_xlfn.XLOOKUP(analysisChartTable[[#This Row],[index]],factorsTable[index],factorsTable[chartLabel])</f>
        <v/>
      </c>
      <c r="E74" s="119" t="str">
        <f ca="1">_xlfn.XLOOKUP(analysisChartTable[[#This Row],[index]],factorsTable[index],factorsTable[RANASTag])</f>
        <v/>
      </c>
      <c r="F74" s="175" t="str">
        <f ca="1">_xlfn.XLOOKUP(analysisChartTable[[#This Row],[index]],factorsTable[index],factorsTable[displayedFactor])</f>
        <v/>
      </c>
      <c r="G74" s="175" t="str">
        <f ca="1">_xlfn.XLOOKUP(analysisChartTable[[#This Row],[index]],factorsTable[index],factorsTable[displayedRANASBlock])</f>
        <v/>
      </c>
      <c r="H74" s="176" t="str">
        <f ca="1">_xlfn.XLOOKUP(analysisChartTable[[#This Row],[index]],factorsTable[index],factorsTable[sortedNondoers])</f>
        <v/>
      </c>
      <c r="I74" s="176" t="str">
        <f ca="1">_xlfn.XLOOKUP(analysisChartTable[[#This Row],[index]],factorsTable[index],factorsTable[sortedDoers])</f>
        <v/>
      </c>
      <c r="J74" s="176" t="str">
        <f ca="1">_xlfn.XLOOKUP(analysisChartTable[[#This Row],[index]],factorsTable[index],factorsTable[sortedDifference])</f>
        <v/>
      </c>
      <c r="K74" s="177" t="str">
        <f ca="1">_xlfn.XLOOKUP(analysisChartTable[[#This Row],[index]],factorsTable[index],factorsTable[sortedNumTotal])</f>
        <v/>
      </c>
      <c r="L74" s="291"/>
      <c r="M74" s="291"/>
      <c r="N74" s="291"/>
      <c r="O74" s="291"/>
      <c r="P74" s="115"/>
      <c r="Q74" s="88"/>
    </row>
    <row r="75" spans="1:17" x14ac:dyDescent="0.3">
      <c r="A75" s="88"/>
      <c r="B75" s="161"/>
      <c r="C75" s="119" cm="1">
        <f t="array" ref="C75">ROW()-ROW(analysisChartTable[#Headers])</f>
        <v>25</v>
      </c>
      <c r="D75" s="119" t="str">
        <f ca="1">_xlfn.XLOOKUP(analysisChartTable[[#This Row],[index]],factorsTable[index],factorsTable[chartLabel])</f>
        <v/>
      </c>
      <c r="E75" s="119" t="str">
        <f ca="1">_xlfn.XLOOKUP(analysisChartTable[[#This Row],[index]],factorsTable[index],factorsTable[RANASTag])</f>
        <v/>
      </c>
      <c r="F75" s="175" t="str">
        <f ca="1">_xlfn.XLOOKUP(analysisChartTable[[#This Row],[index]],factorsTable[index],factorsTable[displayedFactor])</f>
        <v/>
      </c>
      <c r="G75" s="175" t="str">
        <f ca="1">_xlfn.XLOOKUP(analysisChartTable[[#This Row],[index]],factorsTable[index],factorsTable[displayedRANASBlock])</f>
        <v/>
      </c>
      <c r="H75" s="176" t="str">
        <f ca="1">_xlfn.XLOOKUP(analysisChartTable[[#This Row],[index]],factorsTable[index],factorsTable[sortedNondoers])</f>
        <v/>
      </c>
      <c r="I75" s="176" t="str">
        <f ca="1">_xlfn.XLOOKUP(analysisChartTable[[#This Row],[index]],factorsTable[index],factorsTable[sortedDoers])</f>
        <v/>
      </c>
      <c r="J75" s="176" t="str">
        <f ca="1">_xlfn.XLOOKUP(analysisChartTable[[#This Row],[index]],factorsTable[index],factorsTable[sortedDifference])</f>
        <v/>
      </c>
      <c r="K75" s="177" t="str">
        <f ca="1">_xlfn.XLOOKUP(analysisChartTable[[#This Row],[index]],factorsTable[index],factorsTable[sortedNumTotal])</f>
        <v/>
      </c>
      <c r="L75" s="291"/>
      <c r="M75" s="291"/>
      <c r="N75" s="291"/>
      <c r="O75" s="291"/>
      <c r="P75" s="115"/>
      <c r="Q75" s="88"/>
    </row>
    <row r="76" spans="1:17" x14ac:dyDescent="0.3">
      <c r="A76" s="88"/>
      <c r="B76" s="161"/>
      <c r="C76" s="119" cm="1">
        <f t="array" ref="C76">ROW()-ROW(analysisChartTable[#Headers])</f>
        <v>26</v>
      </c>
      <c r="D76" s="119" t="str">
        <f ca="1">_xlfn.XLOOKUP(analysisChartTable[[#This Row],[index]],factorsTable[index],factorsTable[chartLabel])</f>
        <v/>
      </c>
      <c r="E76" s="119" t="str">
        <f ca="1">_xlfn.XLOOKUP(analysisChartTable[[#This Row],[index]],factorsTable[index],factorsTable[RANASTag])</f>
        <v/>
      </c>
      <c r="F76" s="175" t="str">
        <f ca="1">_xlfn.XLOOKUP(analysisChartTable[[#This Row],[index]],factorsTable[index],factorsTable[displayedFactor])</f>
        <v/>
      </c>
      <c r="G76" s="175" t="str">
        <f ca="1">_xlfn.XLOOKUP(analysisChartTable[[#This Row],[index]],factorsTable[index],factorsTable[displayedRANASBlock])</f>
        <v/>
      </c>
      <c r="H76" s="176" t="str">
        <f ca="1">_xlfn.XLOOKUP(analysisChartTable[[#This Row],[index]],factorsTable[index],factorsTable[sortedNondoers])</f>
        <v/>
      </c>
      <c r="I76" s="176" t="str">
        <f ca="1">_xlfn.XLOOKUP(analysisChartTable[[#This Row],[index]],factorsTable[index],factorsTable[sortedDoers])</f>
        <v/>
      </c>
      <c r="J76" s="176" t="str">
        <f ca="1">_xlfn.XLOOKUP(analysisChartTable[[#This Row],[index]],factorsTable[index],factorsTable[sortedDifference])</f>
        <v/>
      </c>
      <c r="K76" s="177" t="str">
        <f ca="1">_xlfn.XLOOKUP(analysisChartTable[[#This Row],[index]],factorsTable[index],factorsTable[sortedNumTotal])</f>
        <v/>
      </c>
      <c r="L76" s="291"/>
      <c r="M76" s="291"/>
      <c r="N76" s="291"/>
      <c r="O76" s="291"/>
      <c r="P76" s="115"/>
      <c r="Q76" s="88"/>
    </row>
    <row r="77" spans="1:17" x14ac:dyDescent="0.3">
      <c r="A77" s="88"/>
      <c r="B77" s="161"/>
      <c r="C77" s="119" cm="1">
        <f t="array" ref="C77">ROW()-ROW(analysisChartTable[#Headers])</f>
        <v>27</v>
      </c>
      <c r="D77" s="119" t="str">
        <f ca="1">_xlfn.XLOOKUP(analysisChartTable[[#This Row],[index]],factorsTable[index],factorsTable[chartLabel])</f>
        <v/>
      </c>
      <c r="E77" s="119" t="str">
        <f ca="1">_xlfn.XLOOKUP(analysisChartTable[[#This Row],[index]],factorsTable[index],factorsTable[RANASTag])</f>
        <v/>
      </c>
      <c r="F77" s="175" t="str">
        <f ca="1">_xlfn.XLOOKUP(analysisChartTable[[#This Row],[index]],factorsTable[index],factorsTable[displayedFactor])</f>
        <v/>
      </c>
      <c r="G77" s="175" t="str">
        <f ca="1">_xlfn.XLOOKUP(analysisChartTable[[#This Row],[index]],factorsTable[index],factorsTable[displayedRANASBlock])</f>
        <v/>
      </c>
      <c r="H77" s="176" t="str">
        <f ca="1">_xlfn.XLOOKUP(analysisChartTable[[#This Row],[index]],factorsTable[index],factorsTable[sortedNondoers])</f>
        <v/>
      </c>
      <c r="I77" s="176" t="str">
        <f ca="1">_xlfn.XLOOKUP(analysisChartTable[[#This Row],[index]],factorsTable[index],factorsTable[sortedDoers])</f>
        <v/>
      </c>
      <c r="J77" s="176" t="str">
        <f ca="1">_xlfn.XLOOKUP(analysisChartTable[[#This Row],[index]],factorsTable[index],factorsTable[sortedDifference])</f>
        <v/>
      </c>
      <c r="K77" s="177" t="str">
        <f ca="1">_xlfn.XLOOKUP(analysisChartTable[[#This Row],[index]],factorsTable[index],factorsTable[sortedNumTotal])</f>
        <v/>
      </c>
      <c r="L77" s="291"/>
      <c r="M77" s="291"/>
      <c r="N77" s="291"/>
      <c r="O77" s="291"/>
      <c r="P77" s="115"/>
      <c r="Q77" s="88"/>
    </row>
    <row r="78" spans="1:17" x14ac:dyDescent="0.3">
      <c r="A78" s="88"/>
      <c r="B78" s="161"/>
      <c r="C78" s="119" cm="1">
        <f t="array" ref="C78">ROW()-ROW(analysisChartTable[#Headers])</f>
        <v>28</v>
      </c>
      <c r="D78" s="119" t="str">
        <f ca="1">_xlfn.XLOOKUP(analysisChartTable[[#This Row],[index]],factorsTable[index],factorsTable[chartLabel])</f>
        <v/>
      </c>
      <c r="E78" s="119" t="str">
        <f ca="1">_xlfn.XLOOKUP(analysisChartTable[[#This Row],[index]],factorsTable[index],factorsTable[RANASTag])</f>
        <v/>
      </c>
      <c r="F78" s="175" t="str">
        <f ca="1">_xlfn.XLOOKUP(analysisChartTable[[#This Row],[index]],factorsTable[index],factorsTable[displayedFactor])</f>
        <v/>
      </c>
      <c r="G78" s="175" t="str">
        <f ca="1">_xlfn.XLOOKUP(analysisChartTable[[#This Row],[index]],factorsTable[index],factorsTable[displayedRANASBlock])</f>
        <v/>
      </c>
      <c r="H78" s="176" t="str">
        <f ca="1">_xlfn.XLOOKUP(analysisChartTable[[#This Row],[index]],factorsTable[index],factorsTable[sortedNondoers])</f>
        <v/>
      </c>
      <c r="I78" s="176" t="str">
        <f ca="1">_xlfn.XLOOKUP(analysisChartTable[[#This Row],[index]],factorsTable[index],factorsTable[sortedDoers])</f>
        <v/>
      </c>
      <c r="J78" s="176" t="str">
        <f ca="1">_xlfn.XLOOKUP(analysisChartTable[[#This Row],[index]],factorsTable[index],factorsTable[sortedDifference])</f>
        <v/>
      </c>
      <c r="K78" s="177" t="str">
        <f ca="1">_xlfn.XLOOKUP(analysisChartTable[[#This Row],[index]],factorsTable[index],factorsTable[sortedNumTotal])</f>
        <v/>
      </c>
      <c r="L78" s="291"/>
      <c r="M78" s="291"/>
      <c r="N78" s="291"/>
      <c r="O78" s="291"/>
      <c r="P78" s="115"/>
      <c r="Q78" s="88"/>
    </row>
    <row r="79" spans="1:17" x14ac:dyDescent="0.3">
      <c r="A79" s="88"/>
      <c r="B79" s="161"/>
      <c r="C79" s="119" cm="1">
        <f t="array" ref="C79">ROW()-ROW(analysisChartTable[#Headers])</f>
        <v>29</v>
      </c>
      <c r="D79" s="119" t="str">
        <f ca="1">_xlfn.XLOOKUP(analysisChartTable[[#This Row],[index]],factorsTable[index],factorsTable[chartLabel])</f>
        <v/>
      </c>
      <c r="E79" s="119" t="str">
        <f ca="1">_xlfn.XLOOKUP(analysisChartTable[[#This Row],[index]],factorsTable[index],factorsTable[RANASTag])</f>
        <v/>
      </c>
      <c r="F79" s="175" t="str">
        <f ca="1">_xlfn.XLOOKUP(analysisChartTable[[#This Row],[index]],factorsTable[index],factorsTable[displayedFactor])</f>
        <v/>
      </c>
      <c r="G79" s="175" t="str">
        <f ca="1">_xlfn.XLOOKUP(analysisChartTable[[#This Row],[index]],factorsTable[index],factorsTable[displayedRANASBlock])</f>
        <v/>
      </c>
      <c r="H79" s="176" t="str">
        <f ca="1">_xlfn.XLOOKUP(analysisChartTable[[#This Row],[index]],factorsTable[index],factorsTable[sortedNondoers])</f>
        <v/>
      </c>
      <c r="I79" s="176" t="str">
        <f ca="1">_xlfn.XLOOKUP(analysisChartTable[[#This Row],[index]],factorsTable[index],factorsTable[sortedDoers])</f>
        <v/>
      </c>
      <c r="J79" s="176" t="str">
        <f ca="1">_xlfn.XLOOKUP(analysisChartTable[[#This Row],[index]],factorsTable[index],factorsTable[sortedDifference])</f>
        <v/>
      </c>
      <c r="K79" s="177" t="str">
        <f ca="1">_xlfn.XLOOKUP(analysisChartTable[[#This Row],[index]],factorsTable[index],factorsTable[sortedNumTotal])</f>
        <v/>
      </c>
      <c r="L79" s="291"/>
      <c r="M79" s="291"/>
      <c r="N79" s="291"/>
      <c r="O79" s="291"/>
      <c r="P79" s="115"/>
      <c r="Q79" s="88"/>
    </row>
    <row r="80" spans="1:17" x14ac:dyDescent="0.3">
      <c r="A80" s="88"/>
      <c r="B80" s="161"/>
      <c r="C80" s="119" cm="1">
        <f t="array" ref="C80">ROW()-ROW(analysisChartTable[#Headers])</f>
        <v>30</v>
      </c>
      <c r="D80" s="119" t="str">
        <f ca="1">_xlfn.XLOOKUP(analysisChartTable[[#This Row],[index]],factorsTable[index],factorsTable[chartLabel])</f>
        <v/>
      </c>
      <c r="E80" s="119" t="str">
        <f ca="1">_xlfn.XLOOKUP(analysisChartTable[[#This Row],[index]],factorsTable[index],factorsTable[RANASTag])</f>
        <v/>
      </c>
      <c r="F80" s="178" t="str">
        <f ca="1">_xlfn.XLOOKUP(analysisChartTable[[#This Row],[index]],factorsTable[index],factorsTable[displayedFactor])</f>
        <v/>
      </c>
      <c r="G80" s="178" t="str">
        <f ca="1">_xlfn.XLOOKUP(analysisChartTable[[#This Row],[index]],factorsTable[index],factorsTable[displayedRANASBlock])</f>
        <v/>
      </c>
      <c r="H80" s="179" t="str">
        <f ca="1">_xlfn.XLOOKUP(analysisChartTable[[#This Row],[index]],factorsTable[index],factorsTable[sortedNondoers])</f>
        <v/>
      </c>
      <c r="I80" s="179" t="str">
        <f ca="1">_xlfn.XLOOKUP(analysisChartTable[[#This Row],[index]],factorsTable[index],factorsTable[sortedDoers])</f>
        <v/>
      </c>
      <c r="J80" s="179" t="str">
        <f ca="1">_xlfn.XLOOKUP(analysisChartTable[[#This Row],[index]],factorsTable[index],factorsTable[sortedDifference])</f>
        <v/>
      </c>
      <c r="K80" s="180" t="str">
        <f ca="1">_xlfn.XLOOKUP(analysisChartTable[[#This Row],[index]],factorsTable[index],factorsTable[sortedNumTotal])</f>
        <v/>
      </c>
      <c r="L80" s="291"/>
      <c r="M80" s="291"/>
      <c r="N80" s="291"/>
      <c r="O80" s="291"/>
      <c r="P80" s="115"/>
      <c r="Q80" s="88"/>
    </row>
    <row r="81" spans="1:17" x14ac:dyDescent="0.3">
      <c r="A81" s="88"/>
      <c r="B81" s="111"/>
      <c r="C81" s="112"/>
      <c r="D81" s="112"/>
      <c r="E81" s="112"/>
      <c r="F81" s="112"/>
      <c r="G81" s="112"/>
      <c r="H81" s="112"/>
      <c r="I81" s="112"/>
      <c r="J81" s="112"/>
      <c r="K81" s="112"/>
      <c r="L81" s="292"/>
      <c r="M81" s="292"/>
      <c r="N81" s="292"/>
      <c r="O81" s="292"/>
      <c r="P81" s="117"/>
      <c r="Q81" s="88"/>
    </row>
    <row r="82" spans="1:17" x14ac:dyDescent="0.3">
      <c r="A82" s="88"/>
      <c r="B82" s="88"/>
      <c r="C82" s="88"/>
      <c r="D82" s="88"/>
      <c r="E82" s="88"/>
      <c r="F82" s="88"/>
      <c r="G82" s="88"/>
      <c r="H82" s="88"/>
      <c r="I82" s="88"/>
      <c r="J82" s="88"/>
      <c r="K82" s="88"/>
      <c r="L82" s="88"/>
      <c r="M82" s="88"/>
      <c r="N82" s="88"/>
      <c r="O82" s="88"/>
      <c r="P82" s="88"/>
      <c r="Q82" s="88"/>
    </row>
  </sheetData>
  <sheetProtection algorithmName="SHA-512" hashValue="qRdRu9bd1n588f5tEA7lk4thgvIARBv2lDtZvJJcUVKfZeyCkDLiQEhK7NYXyVIITmmAvccZM6i4DTLVT2nIDw==" saltValue="f+s3FKhgDEu52UHFd0P3jw==" spinCount="100000" sheet="1" objects="1" scenarios="1"/>
  <mergeCells count="11">
    <mergeCell ref="B3:G3"/>
    <mergeCell ref="I3:O3"/>
    <mergeCell ref="I4:O4"/>
    <mergeCell ref="I5:O5"/>
    <mergeCell ref="I6:O6"/>
    <mergeCell ref="L66:O81"/>
    <mergeCell ref="L49:O65"/>
    <mergeCell ref="I7:O7"/>
    <mergeCell ref="I8:O8"/>
    <mergeCell ref="B4:G5"/>
    <mergeCell ref="B6:G7"/>
  </mergeCells>
  <conditionalFormatting sqref="E8">
    <cfRule type="expression" dxfId="7" priority="1">
      <formula>ISERROR(MATCH(sortingMethod,sortMenuList,0))</formula>
    </cfRule>
  </conditionalFormatting>
  <conditionalFormatting sqref="G51:G80">
    <cfRule type="expression" dxfId="6" priority="2">
      <formula>(_xlfn.XLOOKUP(INDIRECT(ADDRESS(0, 0, 4, 0), FALSE), RANASLangSpecLabelColumn, RANASTagColumn) = "selfRegulation")</formula>
    </cfRule>
    <cfRule type="expression" dxfId="5" priority="3">
      <formula>(_xlfn.XLOOKUP(INDIRECT(ADDRESS(0, 0, 4, 0), FALSE), RANASLangSpecLabelColumn, RANASTagColumn) = "abilities")</formula>
    </cfRule>
    <cfRule type="expression" dxfId="4" priority="4">
      <formula>(_xlfn.XLOOKUP(INDIRECT(ADDRESS(0, 0, 4, 0), FALSE), RANASLangSpecLabelColumn, RANASTagColumn) = "norms")</formula>
    </cfRule>
    <cfRule type="expression" dxfId="3" priority="5">
      <formula>(_xlfn.XLOOKUP(INDIRECT(ADDRESS(0, 0, 4, 0), FALSE), RANASLangSpecLabelColumn, RANASTagColumn) = "attitudes")</formula>
    </cfRule>
    <cfRule type="expression" dxfId="2" priority="6">
      <formula>(_xlfn.XLOOKUP(INDIRECT(ADDRESS(0, 0, 4, 0), FALSE), RANASLangSpecLabelColumn, RANASTagColumn)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39</vt:i4>
      </vt:variant>
    </vt:vector>
  </HeadingPairs>
  <TitlesOfParts>
    <vt:vector size="43" baseType="lpstr">
      <vt:lpstr>Introduction</vt:lpstr>
      <vt:lpstr>Configuration</vt:lpstr>
      <vt:lpstr>Cutoff - Seuil</vt:lpstr>
      <vt:lpstr>Analysis</vt:lpstr>
      <vt:lpstr>analysisChartTableRANASBlock</vt:lpstr>
      <vt:lpstr>analysisChartTableRANASTagHeader</vt:lpstr>
      <vt:lpstr>behaviourColNumHeader</vt:lpstr>
      <vt:lpstr>behaviourHeader</vt:lpstr>
      <vt:lpstr>behaviourIndexHeader</vt:lpstr>
      <vt:lpstr>behaviourMaxScoreHeader</vt:lpstr>
      <vt:lpstr>behaviourMinScoreHeader</vt:lpstr>
      <vt:lpstr>behaviourScoreNormHeader</vt:lpstr>
      <vt:lpstr>behaviourTableIndex</vt:lpstr>
      <vt:lpstr>behaviourTableMaxError</vt:lpstr>
      <vt:lpstr>behaviourTableMinError</vt:lpstr>
      <vt:lpstr>chartLanguage</vt:lpstr>
      <vt:lpstr>chartTranslationTagHeader</vt:lpstr>
      <vt:lpstr>cutoffLabelColumn</vt:lpstr>
      <vt:lpstr>cutoffLevelColumn</vt:lpstr>
      <vt:lpstr>displayConfigHeader</vt:lpstr>
      <vt:lpstr>editableAreas</vt:lpstr>
      <vt:lpstr>EnglishHeaderFactorsConfigTable</vt:lpstr>
      <vt:lpstr>factorColNumHeader</vt:lpstr>
      <vt:lpstr>factorHeader</vt:lpstr>
      <vt:lpstr>factorsIndexHeader</vt:lpstr>
      <vt:lpstr>factorsMaxScoreHeader</vt:lpstr>
      <vt:lpstr>factorsMinScoreHeader</vt:lpstr>
      <vt:lpstr>factorsTableIndex</vt:lpstr>
      <vt:lpstr>factorsTableMaxError</vt:lpstr>
      <vt:lpstr>factorsTableMinError</vt:lpstr>
      <vt:lpstr>includeConfigHeader</vt:lpstr>
      <vt:lpstr>isDoerHeader</vt:lpstr>
      <vt:lpstr>languageHeadersList</vt:lpstr>
      <vt:lpstr>ranasAnalyserLink</vt:lpstr>
      <vt:lpstr>RANASLangSpecLabelColumn</vt:lpstr>
      <vt:lpstr>RANASList</vt:lpstr>
      <vt:lpstr>RANASTagColumn</vt:lpstr>
      <vt:lpstr>ranasWebsiteLink</vt:lpstr>
      <vt:lpstr>sortingMethod</vt:lpstr>
      <vt:lpstr>sortMenuList</vt:lpstr>
      <vt:lpstr>UILanguage</vt:lpstr>
      <vt:lpstr>UILanguageList</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2025-12-23T17:07:41Z</dcterms:modified>
  <cp:contentStatus/>
</cp:coreProperties>
</file>