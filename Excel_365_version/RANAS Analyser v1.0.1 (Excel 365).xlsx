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4.xml" ContentType="application/vnd.openxmlformats-officedocument.drawing+xml"/>
  <Override PartName="/xl/ctrlProps/ctrlProp1.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2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17557" documentId="8_{0D220551-2BE6-4D46-A044-3A706D0A2BAB}" xr6:coauthVersionLast="47" xr6:coauthVersionMax="47" xr10:uidLastSave="{4F96D0E5-6DE2-4F5C-AB22-4522742956A6}"/>
  <bookViews>
    <workbookView xWindow="2145" yWindow="-18120" windowWidth="24240" windowHeight="17520" tabRatio="697" firstSheet="2" activeTab="2" xr2:uid="{85543DA6-F95A-4457-9F61-0C74C53DF323}"/>
  </bookViews>
  <sheets>
    <sheet name="dataCopy" sheetId="54" state="veryHidden" r:id="rId1"/>
    <sheet name="HiddenTables" sheetId="41" state="veryHidden" r:id="rId2"/>
    <sheet name="Introduction" sheetId="48" r:id="rId3"/>
    <sheet name="Configuration" sheetId="39" r:id="rId4"/>
    <sheet name="Cutoff - Seuil" sheetId="42" r:id="rId5"/>
    <sheet name="Analysis" sheetId="43" r:id="rId6"/>
  </sheets>
  <definedNames>
    <definedName name="behaviourColNumColumn" comment="Reference to the behaviourColNum column in behaviourTable. Used to be able to reference that column in conditional formatting rules.">behaviourTable[behaviourColNum]</definedName>
    <definedName name="behaviourData1" comment="Copy of the &quot;data&quot; column for behaviour header #1. Used to simplify formulae.">_xlfn.ANCHORARRAY(HiddenTables!$BM$4)</definedName>
    <definedName name="behaviourData2" comment="Copy of the &quot;data&quot; column for behaviour header #2. Used to simplify formulae.">_xlfn.ANCHORARRAY(HiddenTables!$BN$4)</definedName>
    <definedName name="behaviourData3" comment="Copy of the &quot;data&quot; column for behaviour header #3. Used to simplify formulae.">_xlfn.ANCHORARRAY(HiddenTables!$BO$4)</definedName>
    <definedName name="behaviourData4" comment="Copy of the &quot;data&quot; column for behaviour header #4. Used to simplify formulae.">_xlfn.ANCHORARRAY(HiddenTables!$BP$4)</definedName>
    <definedName name="behaviourData5" comment="Copy of the &quot;data&quot; column for behaviour header #5. Used to simplify formulae.">_xlfn.ANCHORARRAY(HiddenTables!$BQ$4)</definedName>
    <definedName name="behaviourDataForIndex" comment="User-defined function that takes as argument a &quot;behaviourIndex&quot; and returns the corresponding data column from dataRange.">_xlfn.LAMBDA(_xlpm.behaviourIndex,     IF(       ISNA(INDEX(dataRange,1,1)),       NA(),       _xlfn.LET(         _xlpm.behaviourColNum,         _xlfn.XLOOKUP(_xlpm.behaviourIndex, behaviourTable[index], behaviourTable[behaviourColNum]),         _xlpm.behaviourData,         IF(           _xlpm.behaviourColNum = "",           "",           INDEX(dataRange, , _xlpm.behaviourColNum)         ),         _xlpm.behaviourData       )     )   )</definedName>
    <definedName name="behaviourInclude1" comment="Value of the &quot;include&quot; parameter for behaviour header #1, combining the user selection in the &quot;Include?&quot; column and whether a data header for that question is defined or not. Used to simplify formulae.">behaviourIncludeForIndex(1)</definedName>
    <definedName name="behaviourInclude2" comment="Value of the &quot;include&quot; parameter for behaviour header #2, combining the user selection in the &quot;Include?&quot; column and whether a data header for that question is defined or not. Used to simplify formulae.">behaviourIncludeForIndex(2)</definedName>
    <definedName name="behaviourInclude3" comment="Value of the &quot;include&quot; parameter for behaviour header #3, combining the user selection in the &quot;Include?&quot; column and whether a data header for that question is defined or not. Used to simplify formulae.">behaviourIncludeForIndex(3)</definedName>
    <definedName name="behaviourInclude4" comment="Value of the &quot;include&quot; parameter for behaviour header #4, combining the user selection in the &quot;Include?&quot; column and whether a data header for that question is defined or not. Used to simplify formulae.">behaviourIncludeForIndex(4)</definedName>
    <definedName name="behaviourInclude5" comment="Value of the &quot;include&quot; parameter for behaviour header #5, combining the user selection in the &quot;Include?&quot; column and whether a data header for that question is defined or not. Used to simplify formulae.">behaviourIncludeForIndex(5)</definedName>
    <definedName name="behaviourIncludeForIndex" comment="User-defined function that takes as argument a &quot;behaviourIndex&quot; and returns the corresponding &quot;include&quot; value from behaviourTable. Used to simplify formulae.">_xlfn.LAMBDA(_xlpm.behaviourIndex,     _xlfn.XLOOKUP(_xlpm.behaviourIndex, behaviourTable[index], behaviourTable[include])   )</definedName>
    <definedName name="behaviourMaxOutOfRangeColumn" comment="Reference to the maxOutOfRange column in behaviourTable. Used to be able to reference that column in conditional formatting rules.">behaviourTable[maxOutOfRange]</definedName>
    <definedName name="behaviourMaxScore1" comment="Reference to the maximum score for behaviour header #1. Used to simplify formulae.">behaviourMaxScoreForIndex(1)</definedName>
    <definedName name="behaviourMaxScore2" comment="Reference to the maximum score for behaviour header #2. Used to simplify formulae.">behaviourMaxScoreForIndex(2)</definedName>
    <definedName name="behaviourMaxScore3" comment="Reference to the maximum score for behaviour header #3. Used to simplify formulae.">behaviourMaxScoreForIndex(3)</definedName>
    <definedName name="behaviourMaxScore4" comment="Reference to the maximum score for behaviour header #4. Used to simplify formulae.">behaviourMaxScoreForIndex(4)</definedName>
    <definedName name="behaviourMaxScore5" comment="Reference to the maximum score for behaviour header #5. Used to simplify formulae.">behaviourMaxScoreForIndex(5)</definedName>
    <definedName name="behaviourMaxScoreForIndex" comment="User-defined function that takes as argument a &quot;behaviourIndex&quot; and returns the corresponding &quot;maxScore&quot; value from behaviourTable. Used to simplify formulae.">_xlfn.LAMBDA(_xlpm.behaviourIndex,     _xlfn.XLOOKUP(_xlpm.behaviourIndex, behaviourTable[index], behaviourTable[maxScore])   )</definedName>
    <definedName name="behaviourMinOutOfRangeColumn" comment="Reference to the minOutOfRange column in behaviourTable. Used to be able to reference that column in conditional formatting rules.">behaviourTable[minOutOfRange]</definedName>
    <definedName name="behaviourMinScore1" comment="Reference to the minimum score for behaviour header #1. Used to simplify formulae.">behaviourMinScoreForIndex(1)</definedName>
    <definedName name="behaviourMinScore2" comment="Reference to the minimum score for behaviour header #2. Used to simplify formulae.">behaviourMinScoreForIndex(2)</definedName>
    <definedName name="behaviourMinScore3" comment="Reference to the minimum score for behaviour header #3. Used to simplify formulae.">behaviourMinScoreForIndex(3)</definedName>
    <definedName name="behaviourMinScore4" comment="Reference to the minimum score for behaviour header #4. Used to simplify formulae.">behaviourMinScoreForIndex(4)</definedName>
    <definedName name="behaviourMinScore5" comment="Reference to the minimum score for behaviour header #5. Used to simplify formulae.">behaviourMinScoreForIndex(5)</definedName>
    <definedName name="behaviourMinScoreForIndex" comment="User-defined function that takes as argument a &quot;behaviourIndex&quot; and returns the corresponding &quot;minScore&quot; value from behaviourTable. Used to simplify formulae.">_xlfn.LAMBDA(_xlpm.behaviourIndex,     _xlfn.XLOOKUP(_xlpm.behaviourIndex, behaviourTable[index], behaviourTable[minScore])   )</definedName>
    <definedName name="behaviourScore" comment="Array containing the normalized behaviour score (0-100%) for each data entry for which a score can be computed.">_xlfn.ANCHORARRAY(HiddenTables!$BT$4)</definedName>
    <definedName name="behaviourScoreDenominator" comment="Array containing the denominator of the behaviour score for each data entry. It is computed on its own to simplify the overall formula for the behaviour score.">_xlfn.ANCHORARRAY(HiddenTables!$BS$4)</definedName>
    <definedName name="behaviourScoreNumerator" comment="Array containing the numerator of the behaviour score for each data entry. It is computed on its own to simplify the overall formula for the behaviour score.">_xlfn.ANCHORARRAY(HiddenTables!$BR$4)</definedName>
    <definedName name="chartDifferenceRange1" comment="List of &quot;Difference&quot; values for the first chart in the &quot;Analysis&quot; sheet, defined as a dynamic named range to include only the number of factors defined by &quot;numFactorsChart1&quot;.">INDEX(analysisChartTable[sortedDifference], 1)  :INDEX(analysisChartTable[sortedDifference], numFactorsChart1)</definedName>
    <definedName name="chartDifferenceRange2" comment="List of &quot;Difference&quot; values for the second chart in the &quot;Analysis&quot; sheet, defined as a dynamic named range to include only the number of factors defined by &quot;numFactorsChart2&quot;.">INDEX(analysisChartTable[sortedDifference], numFactorsChart1 + 1)  :INDEX(     analysisChartTable[sortedDifference],     numFactorsChart1     + IF(         numFactorsChart2 = 0,         1,         numFactorsChart2       )   )</definedName>
    <definedName name="chartDoersRange1" comment="List of &quot;Doers&quot; values for the first chart in the &quot;Analysis&quot; sheet, defined as a dynamic named range to include only the number of factors defined by &quot;numFactorsChart1&quot;.">INDEX(analysisChartTable[sortedDoers], 1)  :INDEX(analysisChartTable[sortedDoers], numFactorsChart1)</definedName>
    <definedName name="chartDoersRange2" comment="List of &quot;Doers&quot; values for the second chart in the &quot;Analysis&quot; sheet, defined as a dynamic named range to include only the number of factors defined by &quot;numFactorsChart2&quot;.">INDEX(analysisChartTable[sortedDoers], numFactorsChart1 + 1)  :INDEX(     analysisChartTable[sortedDoers],     numFactorsChart1     + IF(         numFactorsChart2 = 0,         1,         numFactorsChart2       )   )</definedName>
    <definedName name="chartFactorRange1" comment="List of &quot;Factor&quot; values for the first chart in the &quot;Analysis&quot; sheet, defined as a dynamic named range to include only the number of factors defined by &quot;numFactorsChart1&quot;.">INDEX(analysisChartTable[chartLabel], 1)  :INDEX(analysisChartTable[chartLabel], numFactorsChart1)</definedName>
    <definedName name="chartFactorRange2" comment="List of &quot;Factor&quot; values for the second chart in the &quot;Analysis&quot; sheet, defined as a dynamic named range to include only the number of factors defined by &quot;numFactorsChart2&quot;.">INDEX(analysisChartTable[chartLabel], numFactorsChart1 + 1)  :INDEX(     analysisChartTable[chartLabel],     numFactorsChart1     + IF(         numFactorsChart2 = 0,         1,         numFactorsChart2       )   )</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 1)  :INDEX(languageTable[languageList], numLanguages)</definedName>
    <definedName name="chartNondoersRange1" comment="List of &quot;Non-doers&quot; values for the first chart in the &quot;Analysis&quot; sheet, defined as a dynamic named range to include only the number of factors defined by &quot;numFactorsChart1&quot;.">INDEX(analysisChartTable[sortedNondoers], 1)  :INDEX(analysisChartTable[sortedNondoers], numFactorsChart1)</definedName>
    <definedName name="chartNondoersRange2" comment="List of &quot;Non-doers&quot; values for the second chart in the &quot;Analysis&quot; sheet, defined as a dynamic named range to include only the number of factors defined by &quot;numFactorsChart2&quot;.">INDEX(analysisChartTable[sortedNondoers], numFactorsChart1 + 1)  :INDEX(     analysisChartTable[sortedNondoers],     numFactorsChart1     + IF(         numFactorsChart2 = 0,         1,         numFactorsChart2       )   )</definedName>
    <definedName name="cutoffLevel" comment="Doer/non-doer cutoff level selected by the user on the user interface.">'Cutoff - Seuil'!$H$6/100</definedName>
    <definedName name="cutoffLevelColumn" comment="Reference to the cutoffLevel column in cutoffTable. Used to be able to reference that column in conditional formatting rules.">cutoffTable[cutoffLevel]</definedName>
    <definedName name="cutoffLevelRecommended" comment="Recommended cutoff level that minimizes the absolute difference between the number of doers and the number of non-doers.">_xlfn.LET(     _xlpm.minAbsDiff,     MIN(recommendedCutoffTable[absDiff]),     _xlpm.firstMatch,     MATCH(       _xlpm.minAbsDiff,       recommendedCutoffTable[absDiff],       0     ),     _xlpm.lastMatch,     _xlfn.XMATCH(       _xlpm.minAbsDiff,       recommendedCutoffTable[absDiff],       0,       -1     ),     _xlpm.recommendedCutoff,     INDEX(       recommendedCutoffTable[cutoffLevel],       ROUND(         AVERAGE(           _xlpm.firstMatch,           _xlpm.lastMatch         ),         0       )     ),     _xlpm.recommendedCutoff   )</definedName>
    <definedName name="dataFirstRow" comment="Copy of the first row of the &quot;data&quot; sheet, up to column 'maxColNum'. Used to eventually define dataHeaders and dataRange.">_xlfn.ANCHORARRAY(dataCopy!$A$2)</definedName>
    <definedName name="dataHeaders" comment="Copy of the row of column headers in the &quot;data&quot; sheet. Used in various formula to look up / reference column headers.">_xlfn.ANCHORARRAY(dataCopy!$D$4)</definedName>
    <definedName name="dataLastColNum" comment="Column number of the last non-empty cell (up to maxColNum) in dataFirstRow. Used to define dataHeaders.">IF(     errorNoDataSheet,     NA(),     MAX(     COLUMN(dataFirstRow)     * (dataFirstRow &lt;&gt; "")     )   )</definedName>
    <definedName name="dataRange" comment="Copy of the range of the &quot;data&quot; sheet from row 2 (i.e., without the column headers) and 'numEntries'-row high, and from columns 1 to dataLastColNum. Used to then reference data columns with the INDEX() function.">_xlfn.ANCHORARRAY(dataCopy!$D$5)</definedName>
    <definedName name="dataRefCol" comment="Copy (down to row 'maxRowNum') of the data column from the &quot;data&quot; sheet that serves as an index for the survey submissions. Used to count the total number of data entries.">_xlfn.ANCHORARRAY(dataCopy!$A$5)</definedName>
    <definedName name="dataRefColNum" comment="Column number of the data column that serves as an index for the survey submissions. Used to copy that column (as dataRefCol) and count the total number of data entries.">_xlfn.IFNA(     MATCH("_uuid", dataHeaders, 0),     _xlfn.IFNA(       MATCH("instanceID", dataHeaders, 0),       MATCH("*-"&amp;"instanceID", dataHeaders, 0)     )   )</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rrorBehaviourHeader" comment="Error that evaluates to TRUE if any selected behaviour header in behaviourConfigTable is not found in the &quot;data&quot; sheet.">AND(     NOT(errorNoDataSheet),     SUMPRODUCT(       (behaviourTable[includeConfig] = "yes") * ISNA(behaviourTable[behaviourColNum])     )   )</definedName>
    <definedName name="errorBehaviourInclude" comment="Error that evaluates to TRUE if the &quot;Include?&quot; value for a non-empty behaviour header in behaviourConfigTable is missing or invalid.">AND(     NOT(errorNoDataSheet),     SUMPRODUCT(       (behaviourTable[includeConfig] &lt;&gt; "yes") * (behaviourTable[includeConfig] &lt;&gt; "no") * (behaviourTable[behaviourHeader] &lt;&gt; "")     )   )</definedName>
    <definedName name="errorBehaviourMinMaxInvalid" comment="Error that evaluates to TRUE if a min. or max. score for a selected, non-empty behaviour header in behaviourConfigTable is missing or invalid (e.g., min &gt;= max).">AND(     NOT(errorNoDataSheet),     SUMPRODUCT(       (behaviourTable[includeConfig] = "yes")       * (behaviourTable[behaviourHeader] &lt;&gt; "")       * IF(            NOT(ISNUMBER(behaviourTable[minScore]))            + NOT(ISNUMBER(behaviourTable[maxScore])),            1,            (behaviourTable[minScore] &gt;= behaviourTable[maxScore])         )     )   )</definedName>
    <definedName name="errorBehaviourNoneSelected" comment="Error that evaluates to TRUE if none of the valid behaviour headers in behaviourConfigTable (i.e. headers successfully found in the &quot;data&quot; sheet) is selected in the &quot;Include?&quot; column.">AND(     NOT(errorNoDataSheet),     SUMPRODUCT(--ISNUMBER(behaviourTable[behaviourColNum])),     SUMPRODUCT(       (behaviourTable[includeConfig] = "yes") * ISNUMBER(behaviourTable[behaviourColNum])     ) = 0   )</definedName>
    <definedName name="errorBehaviourOutOfRange" comment="Error that evaluates to TRUE if any value in the &quot;data&quot; sheet for the selected behaviour headers falls outside of the corresponding &quot;Min. score&quot;-&quot;Max. score&quot; range defined in behaviourConfigTable.">OR(OR(behaviourTable[minOutOfRange]), OR(behaviourTable[maxOutOfRange]))</definedName>
    <definedName name="errorChartLanguage" comment="Error that evaluates to TRUE if the selected chartLanguage is not from the allowed chartLanguageList.">ISERROR(MATCH(chartLanguage, chartLanguageList, 0))</definedName>
    <definedName name="errorChartTranslationMissing" comment="Error that evaluates to TRUE if the translation into chartLanguage for any entry in chartTranslationTable is missing.">AND(     NOT(errorNoDataSheet),     IF(       errorChartLanguage,       0,       SUMPRODUCT(         (chartTranslationTable[tag] &lt;&gt; "") * (chartTranslationTable[langSpecText] = "")       )     )   )</definedName>
    <definedName name="errorCutoffLevel" comment="Error that evaluates to TRUE if the value entered for cutoffLevel is invalid (i.e., not an integer between 0 and 100%).">AND(     NOT(errorNoDataSheet),     (cutoffLevel &lt; 0) + (cutoffLevel &gt; 1) + (MOD('Cutoff - Seuil'!$H$6, 1) &lt;&gt; 0)   )</definedName>
    <definedName name="errorDataHeaderSpace" comment="Error that evaluates to TRUE if any space character is found in the first row of the &quot;data&quot; sheet. Spaces in column headers could cause problems when referencing those columns.">AND(     NOT(errorNoDataSheet),     NOT(       ISNA(         MATCH("* *", dataHeaders, 0)       )     )   )</definedName>
    <definedName name="errorDataSorting" comment="Error that evaluates to TRUE if the selected sortingMethod is not from the allowed sortMenuList.">AND(     NOT(errorNoDataSheet),     ISERROR(MATCH(sortingMethod, sortMenuList, 0))   )</definedName>
    <definedName name="errorFactorDisplay" comment="Error that evaluates to TRUE if the &quot;Display?&quot; value for a non-empty factor header in factorConfigTable is missing or invalid.">AND(     NOT(errorNoDataSheet),     SUMPRODUCT(       (factorsTable[displayConfig] &lt;&gt; "yes") * (factorsTable[displayConfig] &lt;&gt; "no") * (factorsTable[factorHeader] &lt;&gt; "")     )   )</definedName>
    <definedName name="errorFactorHeader" comment="Error that evaluates to TRUE if any selected factor header in factorConfigTable is not found in the &quot;data&quot; sheet.">AND(     NOT(errorNoDataSheet),     SUMPRODUCT(       (factorsTable[displayConfig] = "yes") * ISNA(factorsTable[factorColNum])     )   )</definedName>
    <definedName name="errorFactorMinMaxInvalid" comment="Error that evaluates to TRUE if a min. or max. score for a selected, non-empty factor header in factorConfigTable is missing or invalid (e.g., min &gt;= max).">AND(     NOT(errorNoDataSheet),     SUMPRODUCT(       (factorsTable[displayConfig] = "yes")       * (factorsTable[factorHeader] &lt;&gt; "")       * IF(            NOT(ISNUMBER(factorsTable[minScore]))            + NOT(ISNUMBER(factorsTable[maxScore])),            1,            (factorsTable[minScore] &gt;= factorsTable[maxScore])         )     )   )</definedName>
    <definedName name="errorFactorNoneSelected" comment="Error that evaluates to TRUE if none of the valid factor headers in factorConfigTable (i.e. headers successfully found in the &quot;data&quot; sheet) is selected in the &quot;Display?&quot; column.">AND(     NOT(errorNoDataSheet),     SUMPRODUCT(--ISNUMBER(factorsTable[factorColNum])),     SUMPRODUCT(       (factorsTable[displayConfig] = "yes") * ISNUMBER(factorsTable[factorColNum])     ) = 0   )</definedName>
    <definedName name="errorFactorOutOfRange" comment="Error that evaluates to TRUE if any value in the &quot;data&quot; sheet for the selected factor headers falls outside of the corresponding &quot;Min. score&quot;-&quot;Max. score&quot; range defined in factorConfigTable.">OR(OR(factorsTable[minOutOfRange]), OR(factorsTable[maxOutOfRange]))</definedName>
    <definedName name="errorFactorTranslationMissing" comment="Error that evaluates to TRUE if the translation into chartLanguage for a selected, non-empty factor header in factorConfigTable is missing.">AND(     NOT(errorNoDataSheet),     IF(       errorChartLanguage,       0,       SUMPRODUCT(         (factorsTable[sortedIndex] &lt;&gt; "") * (factorsTable[langSpecFactor] = "")       )     )   )</definedName>
    <definedName name="errorMessages" comment="List of error messages displayed to the user in the &quot;Configuration&quot; sheet, concatenated from a list of possible messages defined in the hidden &quot;Error messages&quot; table.">_xlfn.TEXTJOIN(CHAR(10) &amp; CHAR(10), TRUE, errorMessagesTable[langSpecError])</definedName>
    <definedName name="errorNoDataRefCol" comment="Error that evaluates to TRUE if none of the predefined headers for a reference column is found in the &quot;data&quot; sheet.">AND(     NOT(errorNoDataSheet),     ISNA(dataRefColNum)   )</definedName>
    <definedName name="errorNoDataSheet" comment="Error that evaluates to TRUE if the &quot;data&quot; sheet does not exist.">NOT(     ISREF(       INDIRECT(ADDRESS(1, 1, 1, 0, sheetNameData), FALSE)     )   )</definedName>
    <definedName name="errorRANASBlockMissing" comment="Error that evaluates to TRUE if a RANAS block for a selected, non-empty factor header in factorConfigTable is missing or invalid.">AND(     NOT(errorNoDataSheet),     SUMPRODUCT(--ISNA(factorsTable[RANASTag])) &gt; 0   )</definedName>
    <definedName name="errorUILanguage" comment="Error that evaluates to TRUE if the selected UILanguage is not from the allowed UILanguageList.">ISERROR(MATCH(UILanguage, UILanguageList, 0))</definedName>
    <definedName name="factorColNumColumn" comment="Reference to the factorColNum column in factorsTable. Used to be able to reference that column in conditional formatting rules.">factorsTable[factorColNum]</definedName>
    <definedName name="factorsMaxOutOfRangeColumn" comment="Reference to the maxOutOfRange column in factorsTable. Used to be able to reference that column in conditional formatting rules.">factorsTable[maxOutOfRange]</definedName>
    <definedName name="factorsMinOutOfRangeColumn" comment="Reference to the minOutOfRange column in factorsTable. Used to be able to reference that column in conditional formatting rules.">factorsTable[minOutOfRange]</definedName>
    <definedName name="FilterTrueColumn" comment="User-defined function to be used in an Excel table. The table contains an index column and a column with TRUE/FALSE values. The function is entered in a filteredIndexCol column and returns the list of indices corresponding to TRUE values, without blanks.">_xlfn.LAMBDA(_xlpm.currentIndex,_xlpm.indexCol,_xlpm.filteredIndexCol,_xlpm.trueFalseCol,     _xlfn.LET(       _xlpm.previousIndex,       IF(         _xlpm.currentIndex = 1,         0,         INDEX(_xlpm.filteredIndexCol, _xlpm.currentIndex - 1)       ),       _xlpm.firstCell,       INDEX(_xlpm.trueFalseCol, _xlpm.previousIndex + 1),       _xlpm.lastCell,       INDEX(_xlpm.trueFalseCol, MAX(_xlpm.indexCol)),       _xlpm.filteredIndex,       IF(         _xlpm.previousIndex &gt;= MAX(_xlpm.indexCol),         "",         IFERROR(           MATCH(             TRUE,             _xlpm.firstCell:_xlpm.lastCell,             0           )           + _xlpm.previousIndex,           ""         )       ),       _xlpm.filteredIndex     )   )</definedName>
    <definedName name="isDoer" comment="Array containing a TRUE/FALSE value for each data entry, indicating a doer/non-doer, or an empty value if a behaviour score cannot be computed.">_xlfn.ANCHORARRAY(HiddenTables!$BU$4)</definedName>
    <definedName name="KeepBlanksFunction" comment="User-defined function that takes as argument any value and returns that same value, even if it is blank (i.e. the empty string &quot;&quot; or from an empty cell). Used to keep empty values as such, e.g. to prevent the XLOOKUP of an empty cell being converted to 0.">_xlfn.LAMBDA(_xlpm.value,     IF(       _xlpm.value = "",       "",       _xlpm.value     )   )</definedName>
    <definedName name="langSpecBehaviourScore" comment="Translation of &quot;Behaviour score&quot; into the chartLanguage selected by the user. Used mostly for the axis label on the chart, which can accept a named variable, but not a complex formula.">_xlfn.XLOOKUP("behaviourScore", chartTranslationTable[tag], chartTranslationTable[displayedText])</definedName>
    <definedName name="langSpecCutoff" comment="Translation of &quot;Cutoff level&quot; into the chartLanguage selected by the user. Used mostly for the axis label on the chart, which can accept a named variable, but not a complex formula.">_xlfn.XLOOKUP("cutoffLevel", chartTranslationTable[tag], chartTranslationTable[displayedText])</definedName>
    <definedName name="langSpecMeanScore" comment="Translation of &quot;Normalized mean score&quot; into the chartLanguage selected by the user. Used mostly for the axis label on the chart, which can accept a named variable, but not a complex formula.">_xlfn.XLOOKUP("meanScore", chartTranslationTable[tag], chartTranslationTable[displayedText])  &amp; " (0"  &amp; _xlfn.UNICHAR(8209)  &amp; "100%)"</definedName>
    <definedName name="langSpecNumResponses" comment="Translation of &quot;# of responses&quot; into the chartLanguage selected by the user. Used mostly for the axis label on the chart, which can accept a named variable, but not a complex formula.">_xlfn.XLOOKUP("numResponses", chartTranslationTable[tag], chartTranslationTable[displayedText])</definedName>
    <definedName name="langSpecPercentResponses" comment="Translation of &quot;% of responses&quot; into the chartLanguage selected by the user. Used mostly for the axis label on the chart, which can accept a named variable, but not a complex formula.">_xlfn.XLOOKUP("percentResponses", chartTranslationTable[tag], chartTranslationTable[displayedText])</definedName>
    <definedName name="languageHeadersList" comment="List of the user-interface + user-defined languages in the header of the &quot;Factors configuration table&quot;. Used to compute the &quot;chartLanguageList&quot; and to look up various text values in the selected chartLanguage.">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IF(NOT(ISERROR(CELL("address",HiddenTables!XEM1048575))), "address",     IF(NOT(ISERROR(CELL("adresse",HiddenTables!XEM1048575))), "adresse",       IF(NOT(ISERROR(CELL("Adresse",HiddenTables!XEM1048575))), "Adresse",         IF(NOT(ISERROR(CELL("DIRECCIÓN",HiddenTables!XEM1048575))), "DIRECCIÓN", NA())       )     )   )</definedName>
    <definedName name="maxAbsDiff" comment="Maximum doers/non-doers difference (in absolute value) used to define the lower and upper limits of the colour scale in Conditional formatting for the &quot;Difference&quot; column of the &quot;analysisChartTable&quot;.">MAX(factorsTable[absDiff])</definedName>
    <definedName name="maxColNum" comment="Maximum number of columns allowed in the &quot;data&quot; sheet (used to prevent slow calculations).">_xlfn.XLOOKUP("maxColNum", manualEntryVariablesTable[name], manualEntryVariablesTable[value], 1000, 0)</definedName>
    <definedName name="maxRowNum" comment="Maximum number of rows allowed in the &quot;data&quot; sheet (used to prevent slow calculations).">_xlfn.XLOOKUP("maxRowNum", manualEntryVariablesTable[name], manualEntryVariablesTable[value], 1000, 0)</definedName>
    <definedName name="noLabel" comment="Reference to the label meaning &quot;no&quot; in the drop-down menus of the &quot;Include?&quot; and &quot;Display?&quot; columns of the &quot;Behaviour&quot; and &quot;Factors&quot; configuration tables. Used in UI text.">_xlfn.XLOOKUP("no", yesNoTable[tag], yesNoTable[label])</definedName>
    <definedName name="numEntries" comment="Number of entries in the &quot;data&quot; sheet. It is counted as the number of values in the &quot;index&quot; column dataRefCol.">IF(     ISNA(dataRefColNum),     NA(),     SUMPRODUCT(--(dataRefCol &lt;&gt; ""))   )</definedName>
    <definedName name="numFactors" comment="Number of factors selected for display by the user in the Configuration tab (up to 30). Used to calculate the number of factors displayed in each chart of the &quot;Analysis&quot; sheet (&quot;numFactorsChart1&quot; and &quot;numFactorsChart2&quot;).">SUMPRODUCT(--(factorsTable[sortedIndex] &lt;&gt; ""))</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IF(     numFactors &lt;= numFactorsThreshold,     numFactors,     ROUNDUP(numFactors/2,0)   )</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IF(     numFactors &lt;= numFactorsThreshold,     0,     ROUNDDOWN(numFactors/2,0)   )</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_xlfn.XLOOKUP("numFactorsThreshold", manualEntryVariablesTable[name], manualEntryVariablesTable[value], 10, 0)</definedName>
    <definedName name="numLanguages" comment="Number of languages available to display chart/table text (it includes the UI + the user-defined languages). Used mostly to define a dynamic range for the &quot;Chart language&quot; drop-down menu.">SUMPRODUCT(--(languageTable[languageList] &lt;&gt; ""))</definedName>
    <definedName name="numScores" comment="Number of scores, i.e. number of &quot;data&quot; entries having at least one non-empty value among the selected &quot;behaviour&quot; questions and for which a behaviour score can be computed.">SUMPRODUCT(--(behaviourScoreDenominator &lt;&gt; 0))</definedName>
    <definedName name="ranasAnalyserLink" comment="Permanent link to the webpage that hosts the reference version of this file available to the public (plus possibly documentation and archived versions).">_xlfn.XLOOKUP("ranasAnalyserLink", manualEntryVariablesTable[name], manualEntryVariablesTable[value], HiddenTables!#REF!, 0)</definedName>
    <definedName name="RANASList" comment="List of RANAS blocks in (currently) both UI languages (English, Français) used in drop-down menus in the &quot;Factors configuration table&quot;.">RANASBlocksTable[label]</definedName>
    <definedName name="ranasWebsiteLink" comment="Link to the RANAS website.">_xlfn.XLOOKUP("ranasWebsiteLink", manualEntryVariablesTable[name], manualEntryVariablesTable[value], HiddenTables!#REF!, 0)</definedName>
    <definedName name="sheetNameAnalysis" comment="Dynamic reference to the &quot;Analysis&quot; sheet name (in case it changes in the future), used mostly in UI text.">SheetNameForReference(sortingMethod, "Analysis")</definedName>
    <definedName name="sheetNameConfiguration" comment="Dynamic reference to the &quot;Configuration&quot; sheet name (in case it changes in the future), used mostly in UI text.">SheetNameForReference(behaviourConfigTable[], "Configuration")</definedName>
    <definedName name="sheetNameCutoff" comment="Dynamic reference to the &quot;Cutoff&quot; sheet name (in case it changes in the future), used mostly in UI text.">SheetNameForReference(cutoffLevel, "Cutoff - Seuil")</definedName>
    <definedName name="sheetNameData" comment="Name of the &quot;data&quot; sheet, used in UI text and to reference the data columns. Its value (currently &quot;data&quot;) is hard-coded in the &quot;Manual-entry variables table&quot; and can be changed there if wanted.">_xlfn.XLOOKUP("sheetNameData", manualEntryVariablesTable[name], manualEntryVariablesTable[value], "data", 0)</definedName>
    <definedName name="SheetNameForReference" comment="User-defined function that takes as arguments a &quot;reference&quot; on a worksheet (e.g., cell address, named range) and a &quot;defaultName&quot;, and returns the name of that worksheet (or the defaultName).">_xlfn.LAMBDA(_xlpm.reference,_xlpm.defaultName,     _xlfn.LET(       _xlpm.cellAddress,       CELL(localAddressParameter,_xlpm.reference),       _xlpm.sheetName,       IFERROR(         SUBSTITUTE(           _xlfn.TEXTBEFORE(             _xlfn.TEXTAFTER(_xlpm.cellAddress, "]", -1),             IF(               LEFT(_xlpm.cellAddress) = "'",               "'!",               "!"             ),             -1           ),           "''",           "'"         ),         _xlpm.defaultName       ),       _xlpm.sheetName     )   )</definedName>
    <definedName name="sheetNameHiddenTables" comment="Dynamic reference to the &quot;HiddenTables&quot; sheet name (in case it changes in the future).">SheetNameForReference(behaviourTable[], "HiddenTables")</definedName>
    <definedName name="sheetNameIntroduction" comment="Dynamic reference to the &quot;Introduction&quot; sheet name (in case it changes in the future), used mostly in UI text.">SheetNameForReference(UILanguage, "Introduction")</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to simplify the formula that sorts the data according to the selected method.">_xlfn.XLOOKUP(sortingMethod, sortMenuTable[label], sortMenuTable[tag])</definedName>
    <definedName name="sortMenuList" comment="List of sorting options for the &quot;Factors analysis chart&quo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UITranslationTable, errorMessagesTable, factorsConfigTable and chartTranslationTable, completed with all corresponding translations.">UITranslationTable[[#Headers],[English]]  :INDEX(UITranslationTable[#Headers], 1, COLUMNS(UITranslationTable[#Headers]))</definedName>
    <definedName name="UITranslateForValueTable" comment="User-defined function that takes as arguments a &quot;value&quot; and references to a translation table (reference column, table itself, and table header), and returns the translation of that value into the selected UI language.">_xlfn.LAMBDA(_xlpm.valueRef,_xlpm.referenceCol,_xlpm.table,_xlpm.tableHeader,     IF(       _xlpm.valueRef = "",       "",       _xlfn.LET(         _xlpm.translationColIndex,         IFERROR(           MATCH(UILanguage, _xlpm.tableHeader, 0),           MATCH("English", _xlpm.tableHeader, 0)         ),         _xlpm.translationCol,         INDEX(_xlpm.table, 0, _xlpm.translationColIndex),         _xlpm.valueTranslated,         KeepBlanksFunction(           _xlfn.XLOOKUP(             _xlpm.valueRef,             _xlpm.referenceCol,             _xlpm.translationCol,HiddenTables!#REF!,             0           )         ),         _xlpm.valueTranslated       )     )   )</definedName>
    <definedName name="versionNumber" comment="Version number of the RANAS Analyser. Set in the &quot;HiddenTables&quot; sheet and used in various places.">_xlfn.XLOOKUP("versionNumber", manualEntryVariablesTable[name], manualEntryVariablesTable[value], HiddenTables!#REF!, 0)</definedName>
    <definedName name="yesLabel" comment="Reference to the label meaning &quot;yes&quot; in the drop-down menus of the &quot;Include?&quot; and &quot;Display?&quot; columns of the &quot;Behaviour&quot; and &quot;Factors&quot; configuration tables.  Used in UI text and conditional formatting rules.">_xlfn.XLOOKUP("yes", yesNoTable[tag], yesNoTable[label])</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 i="41" l="1" a="1"/>
  <c r="AY3" i="41" s="1"/>
  <c r="AY4" i="41" l="1" a="1"/>
  <c r="AY4" i="41" s="1"/>
  <c r="AY5" i="41" l="1" a="1"/>
  <c r="AY5" i="41" s="1"/>
  <c r="AY6" i="41" l="1" a="1"/>
  <c r="AY6" i="41" s="1"/>
  <c r="AY7" i="41" l="1" a="1"/>
  <c r="AY7" i="41" s="1"/>
  <c r="CM3" i="41" l="1" a="1"/>
  <c r="CM3" i="41" s="1"/>
  <c r="A2" i="54" a="1"/>
  <c r="A2" i="54" l="1"/>
  <c r="CM4" i="41" l="1" a="1"/>
  <c r="CM4" i="41" s="1"/>
  <c r="D4" i="54" a="1"/>
  <c r="D4" i="54" l="1"/>
  <c r="A5" i="54" a="1"/>
  <c r="A5" i="54" l="1"/>
  <c r="CM5" i="41" a="1"/>
  <c r="CM5" i="41" s="1"/>
  <c r="CM6" i="41" l="1" a="1"/>
  <c r="CM6" i="41" s="1"/>
  <c r="CM7" i="41" l="1" a="1"/>
  <c r="CM7" i="41" s="1"/>
  <c r="CM8" i="41" l="1" a="1"/>
  <c r="CM8" i="41" s="1"/>
  <c r="CM9" i="41" l="1" a="1"/>
  <c r="CM9" i="41" s="1"/>
  <c r="CM10" i="41" a="1"/>
  <c r="CM10" i="41" s="1"/>
  <c r="CM11" i="41" a="1"/>
  <c r="CM11" i="41" s="1"/>
  <c r="CM12" i="41" a="1"/>
  <c r="CM12" i="41" s="1"/>
  <c r="CM13" i="41" a="1"/>
  <c r="CM13" i="41" s="1"/>
  <c r="CM14" i="41" a="1"/>
  <c r="CM14" i="41" s="1"/>
  <c r="CM15" i="41" a="1"/>
  <c r="CM15" i="41" s="1"/>
  <c r="CM16" i="41" a="1"/>
  <c r="CM16" i="41" s="1"/>
  <c r="CM17" i="41" a="1"/>
  <c r="CM17" i="41" s="1"/>
  <c r="CM18" i="41" a="1"/>
  <c r="CM18" i="41" s="1"/>
  <c r="CM19" i="41" a="1"/>
  <c r="CM19" i="41" s="1"/>
  <c r="CM20" i="41" a="1"/>
  <c r="CM20" i="41" s="1"/>
  <c r="CM21" i="41" l="1" a="1"/>
  <c r="CM21" i="41" s="1"/>
  <c r="CM22" i="41" l="1" a="1"/>
  <c r="CM22" i="41" s="1"/>
  <c r="CM23" i="41" l="1" a="1"/>
  <c r="CM23" i="41" s="1"/>
  <c r="CM24" i="41" l="1" a="1"/>
  <c r="CM24" i="41" s="1"/>
  <c r="CM25" i="41" l="1" a="1"/>
  <c r="CM25" i="41" s="1"/>
  <c r="CM26" i="41" l="1" a="1"/>
  <c r="CM26" i="41" s="1"/>
  <c r="CM27" i="41" l="1" a="1"/>
  <c r="CM27" i="41" s="1"/>
  <c r="CM28" i="41" l="1" a="1"/>
  <c r="CM28" i="41" s="1"/>
  <c r="CM29" i="41" l="1" a="1"/>
  <c r="CM29" i="41" s="1"/>
  <c r="CM30" i="41" l="1" a="1"/>
  <c r="CM30" i="41" s="1"/>
  <c r="CM31" i="41" l="1" a="1"/>
  <c r="CM31" i="41" s="1"/>
  <c r="CM32" i="41" l="1" a="1"/>
  <c r="CM32" i="41" s="1"/>
  <c r="BW3" i="41" l="1" a="1"/>
  <c r="BW3" i="41" s="1"/>
  <c r="BW4" i="41" a="1"/>
  <c r="BW4" i="41" s="1"/>
  <c r="BW5" i="41" a="1"/>
  <c r="BW5" i="41" s="1"/>
  <c r="BW6" i="41" a="1"/>
  <c r="BW6" i="41" s="1"/>
  <c r="BW7" i="41" a="1"/>
  <c r="BW7" i="41" s="1"/>
  <c r="BW8" i="41" a="1"/>
  <c r="BW8" i="41" s="1"/>
  <c r="BW9" i="41" a="1"/>
  <c r="BW9" i="41" s="1"/>
  <c r="BW10" i="41" a="1"/>
  <c r="BW10" i="41" s="1"/>
  <c r="BW11" i="41" a="1"/>
  <c r="BW11" i="41" s="1"/>
  <c r="BW12" i="41" a="1"/>
  <c r="BW12" i="41" s="1"/>
  <c r="CH3" i="41" l="1" a="1"/>
  <c r="CH3" i="41" s="1"/>
  <c r="CD3" i="41" a="1"/>
  <c r="CD3" i="41" s="1"/>
  <c r="CE3" i="41" s="1"/>
  <c r="CD4" i="41" l="1" a="1"/>
  <c r="CD4" i="41" s="1"/>
  <c r="CE4" i="41" s="1"/>
  <c r="CD5" i="41" l="1" a="1"/>
  <c r="CD5" i="41" s="1"/>
  <c r="CE5" i="41" s="1"/>
  <c r="CD6" i="41" l="1" a="1"/>
  <c r="CD6" i="41" s="1"/>
  <c r="CE6" i="41" s="1"/>
  <c r="CD7" i="41" l="1" a="1"/>
  <c r="CD7" i="41" s="1"/>
  <c r="CE7" i="41" s="1"/>
  <c r="CD8" i="41" l="1" a="1"/>
  <c r="CD8" i="41" s="1"/>
  <c r="CE8" i="41" s="1"/>
  <c r="CD9" i="41" l="1" a="1"/>
  <c r="CD9" i="41" s="1"/>
  <c r="CE9" i="41" s="1"/>
  <c r="CD10" i="41" l="1" a="1"/>
  <c r="CD10" i="41" s="1"/>
  <c r="CE10" i="41" s="1"/>
  <c r="CD11" i="41" l="1" a="1"/>
  <c r="CD11" i="41" s="1"/>
  <c r="CE11" i="41" s="1"/>
  <c r="CD12" i="41" l="1" a="1"/>
  <c r="CD12" i="41" s="1"/>
  <c r="CE12" i="41" s="1"/>
  <c r="CD13" i="41" l="1" a="1"/>
  <c r="CD13" i="41" s="1"/>
  <c r="CE13" i="41" s="1"/>
  <c r="CD14" i="41" l="1" a="1"/>
  <c r="CD14" i="41" s="1"/>
  <c r="CE14" i="41" s="1"/>
  <c r="CD15" i="41" l="1" a="1"/>
  <c r="CD15" i="41" s="1"/>
  <c r="CE15" i="41" s="1"/>
  <c r="CD16" i="41" l="1" a="1"/>
  <c r="CD16" i="41" s="1"/>
  <c r="CE16" i="41" s="1"/>
  <c r="CD17" i="41" l="1" a="1"/>
  <c r="CD17" i="41" s="1"/>
  <c r="CE17" i="41" s="1"/>
  <c r="CD18" i="41" l="1" a="1"/>
  <c r="CD18" i="41" s="1"/>
  <c r="CE18" i="41" s="1"/>
  <c r="CD19" i="41" l="1" a="1"/>
  <c r="CD19" i="41" s="1"/>
  <c r="CE19" i="41" s="1"/>
  <c r="CD20" i="41" l="1" a="1"/>
  <c r="CD20" i="41" s="1"/>
  <c r="CE20" i="41" s="1"/>
  <c r="CD21" i="41" l="1" a="1"/>
  <c r="CD21" i="41" s="1"/>
  <c r="CE21" i="41" s="1"/>
  <c r="CD22" i="41" l="1" a="1"/>
  <c r="CD22" i="41" s="1"/>
  <c r="CE22" i="41" s="1"/>
  <c r="CD23" i="41" l="1" a="1"/>
  <c r="CD23" i="41" s="1"/>
  <c r="CE23" i="41" s="1"/>
  <c r="CD24" i="41" l="1" a="1"/>
  <c r="CD24" i="41" s="1"/>
  <c r="CE24" i="41" s="1"/>
  <c r="CD25" i="41" l="1" a="1"/>
  <c r="CD25" i="41" s="1"/>
  <c r="CE25" i="41" s="1"/>
  <c r="CD26" i="41" l="1" a="1"/>
  <c r="CD26" i="41" s="1"/>
  <c r="CE26" i="41" s="1"/>
  <c r="CD27" i="41" l="1" a="1"/>
  <c r="CD27" i="41" s="1"/>
  <c r="CE27" i="41" s="1"/>
  <c r="CD28" i="41" l="1" a="1"/>
  <c r="CD28" i="41" s="1"/>
  <c r="CE28" i="41" s="1"/>
  <c r="CD29" i="41" l="1" a="1"/>
  <c r="CD29" i="41" s="1"/>
  <c r="CE29" i="41" s="1"/>
  <c r="CD30" i="41" l="1" a="1"/>
  <c r="CD30" i="41" s="1"/>
  <c r="CE30" i="41" s="1"/>
  <c r="CD31" i="41" l="1" a="1"/>
  <c r="CD31" i="41" s="1"/>
  <c r="CE31" i="41" s="1"/>
  <c r="CD32" i="41" l="1" a="1"/>
  <c r="CD32" i="41" s="1"/>
  <c r="CE32" i="41" s="1"/>
  <c r="CD33" i="41" l="1" a="1"/>
  <c r="CD33" i="41" s="1"/>
  <c r="CE33" i="41" s="1"/>
  <c r="CD34" i="41" a="1"/>
  <c r="CD34" i="41" s="1"/>
  <c r="CE34" i="41" s="1"/>
  <c r="CD35" i="41" a="1"/>
  <c r="CD35" i="41" s="1"/>
  <c r="CE35" i="41" s="1"/>
  <c r="CD36" i="41" a="1"/>
  <c r="CD36" i="41" s="1"/>
  <c r="CE36" i="41" s="1"/>
  <c r="CD37" i="41" a="1"/>
  <c r="CD37" i="41" s="1"/>
  <c r="CE37" i="41" s="1"/>
  <c r="CD38" i="41" a="1"/>
  <c r="CD38" i="41" s="1"/>
  <c r="CE38" i="41" s="1"/>
  <c r="CD39" i="41" a="1"/>
  <c r="CD39" i="41" s="1"/>
  <c r="CE39" i="41" s="1"/>
  <c r="CD40" i="41" a="1"/>
  <c r="CD40" i="41" s="1"/>
  <c r="CE40" i="41" s="1"/>
  <c r="CD41" i="41" a="1"/>
  <c r="CD41" i="41" s="1"/>
  <c r="CE41" i="41" s="1"/>
  <c r="CD42" i="41" a="1"/>
  <c r="CD42" i="41" s="1"/>
  <c r="CE42" i="41" s="1"/>
  <c r="CD43" i="41" a="1"/>
  <c r="CD43" i="41" s="1"/>
  <c r="CE43" i="41" s="1"/>
  <c r="CD44" i="41" a="1"/>
  <c r="CD44" i="41" s="1"/>
  <c r="CE44" i="41" s="1"/>
  <c r="CD45" i="41" a="1"/>
  <c r="CD45" i="41" s="1"/>
  <c r="CE45" i="41" s="1"/>
  <c r="CD46" i="41" a="1"/>
  <c r="CD46" i="41" s="1"/>
  <c r="CE46" i="41" s="1"/>
  <c r="CD47" i="41" a="1"/>
  <c r="CD47" i="41" s="1"/>
  <c r="CE47" i="41" s="1"/>
  <c r="CD48" i="41" a="1"/>
  <c r="CD48" i="41" s="1"/>
  <c r="CE48" i="41" s="1"/>
  <c r="CD49" i="41" a="1"/>
  <c r="CD49" i="41" s="1"/>
  <c r="CE49" i="41" s="1"/>
  <c r="CD50" i="41" a="1"/>
  <c r="CD50" i="41" s="1"/>
  <c r="CE50" i="41" s="1"/>
  <c r="CD51" i="41" a="1"/>
  <c r="CD51" i="41" s="1"/>
  <c r="CE51" i="41" s="1"/>
  <c r="CD52" i="41" a="1"/>
  <c r="CD52" i="41" s="1"/>
  <c r="CE52" i="41" s="1"/>
  <c r="CD53" i="41" a="1"/>
  <c r="CD53" i="41" s="1"/>
  <c r="CE53" i="41" s="1"/>
  <c r="CD54" i="41" a="1"/>
  <c r="CD54" i="41" s="1"/>
  <c r="CE54" i="41" s="1"/>
  <c r="CD55" i="41" a="1"/>
  <c r="CD55" i="41" s="1"/>
  <c r="CE55" i="41" s="1"/>
  <c r="CD56" i="41" a="1"/>
  <c r="CD56" i="41" s="1"/>
  <c r="CE56" i="41" s="1"/>
  <c r="CD57" i="41" a="1"/>
  <c r="CD57" i="41" s="1"/>
  <c r="CE57" i="41" s="1"/>
  <c r="CD58" i="41" a="1"/>
  <c r="CD58" i="41" s="1"/>
  <c r="CE58" i="41" s="1"/>
  <c r="CD59" i="41" a="1"/>
  <c r="CD59" i="41" s="1"/>
  <c r="CE59" i="41" s="1"/>
  <c r="CD60" i="41" a="1"/>
  <c r="CD60" i="41" s="1"/>
  <c r="CE60" i="41" s="1"/>
  <c r="CD61" i="41" a="1"/>
  <c r="CD61" i="41" s="1"/>
  <c r="CE61" i="41" s="1"/>
  <c r="CD62" i="41" a="1"/>
  <c r="CD62" i="41" s="1"/>
  <c r="CE62" i="41" s="1"/>
  <c r="CD63" i="41" a="1"/>
  <c r="CD63" i="41" s="1"/>
  <c r="CE63" i="41" s="1"/>
  <c r="CD64" i="41" a="1"/>
  <c r="CD64" i="41" s="1"/>
  <c r="CE64" i="41" s="1"/>
  <c r="CD65" i="41" a="1"/>
  <c r="CD65" i="41" s="1"/>
  <c r="CE65" i="41" s="1"/>
  <c r="CD66" i="41" a="1"/>
  <c r="CD66" i="41" s="1"/>
  <c r="CE66" i="41" s="1"/>
  <c r="CD67" i="41" a="1"/>
  <c r="CD67" i="41" s="1"/>
  <c r="CE67" i="41" s="1"/>
  <c r="CD68" i="41" a="1"/>
  <c r="CD68" i="41" s="1"/>
  <c r="CE68" i="41" s="1"/>
  <c r="CD69" i="41" a="1"/>
  <c r="CD69" i="41" s="1"/>
  <c r="CE69" i="41" s="1"/>
  <c r="CD70" i="41" a="1"/>
  <c r="CD70" i="41" s="1"/>
  <c r="CE70" i="41" s="1"/>
  <c r="CD71" i="41" a="1"/>
  <c r="CD71" i="41" s="1"/>
  <c r="CE71" i="41" s="1"/>
  <c r="CD72" i="41" a="1"/>
  <c r="CD72" i="41" s="1"/>
  <c r="CE72" i="41" s="1"/>
  <c r="CD73" i="41" a="1"/>
  <c r="CD73" i="41" s="1"/>
  <c r="CE73" i="41" s="1"/>
  <c r="CD74" i="41" a="1"/>
  <c r="CD74" i="41" s="1"/>
  <c r="CE74" i="41" s="1"/>
  <c r="CD75" i="41" a="1"/>
  <c r="CD75" i="41" s="1"/>
  <c r="CE75" i="41" s="1"/>
  <c r="CD76" i="41" a="1"/>
  <c r="CD76" i="41" s="1"/>
  <c r="CE76" i="41" s="1"/>
  <c r="CD77" i="41" a="1"/>
  <c r="CD77" i="41" s="1"/>
  <c r="CE77" i="41" s="1"/>
  <c r="CD78" i="41" a="1"/>
  <c r="CD78" i="41" s="1"/>
  <c r="CE78" i="41" s="1"/>
  <c r="CD79" i="41" a="1"/>
  <c r="CD79" i="41" s="1"/>
  <c r="CE79" i="41" s="1"/>
  <c r="CD80" i="41" a="1"/>
  <c r="CD80" i="41" s="1"/>
  <c r="CE80" i="41" s="1"/>
  <c r="CD81" i="41" a="1"/>
  <c r="CD81" i="41" s="1"/>
  <c r="CE81" i="41" s="1"/>
  <c r="CD82" i="41" a="1"/>
  <c r="CD82" i="41" s="1"/>
  <c r="CE82" i="41" s="1"/>
  <c r="CD83" i="41" a="1"/>
  <c r="CD83" i="41" s="1"/>
  <c r="CE83" i="41" s="1"/>
  <c r="CD84" i="41" a="1"/>
  <c r="CD84" i="41" s="1"/>
  <c r="CE84" i="41" s="1"/>
  <c r="CD85" i="41" a="1"/>
  <c r="CD85" i="41" s="1"/>
  <c r="CE85" i="41" s="1"/>
  <c r="CD86" i="41" a="1"/>
  <c r="CD86" i="41" s="1"/>
  <c r="CE86" i="41" s="1"/>
  <c r="CD87" i="41" a="1"/>
  <c r="CD87" i="41" s="1"/>
  <c r="CE87" i="41" s="1"/>
  <c r="CD88" i="41" a="1"/>
  <c r="CD88" i="41" s="1"/>
  <c r="CE88" i="41" s="1"/>
  <c r="CD89" i="41" a="1"/>
  <c r="CD89" i="41" s="1"/>
  <c r="CE89" i="41" s="1"/>
  <c r="CD90" i="41" a="1"/>
  <c r="CD90" i="41" s="1"/>
  <c r="CE90" i="41" s="1"/>
  <c r="CD91" i="41" a="1"/>
  <c r="CD91" i="41" s="1"/>
  <c r="CE91" i="41" s="1"/>
  <c r="CD92" i="41" a="1"/>
  <c r="CD92" i="41" s="1"/>
  <c r="CE92" i="41" s="1"/>
  <c r="CD93" i="41" a="1"/>
  <c r="CD93" i="41" s="1"/>
  <c r="CE93" i="41" s="1"/>
  <c r="CD94" i="41" a="1"/>
  <c r="CD94" i="41" s="1"/>
  <c r="CE94" i="41" s="1"/>
  <c r="CD95" i="41" a="1"/>
  <c r="CD95" i="41" s="1"/>
  <c r="CE95" i="41" s="1"/>
  <c r="CD96" i="41" a="1"/>
  <c r="CD96" i="41" s="1"/>
  <c r="CE96" i="41" s="1"/>
  <c r="CD97" i="41" a="1"/>
  <c r="CD97" i="41" s="1"/>
  <c r="CE97" i="41" s="1"/>
  <c r="CD98" i="41" a="1"/>
  <c r="CD98" i="41" s="1"/>
  <c r="CE98" i="41" s="1"/>
  <c r="CD99" i="41" a="1"/>
  <c r="CD99" i="41" s="1"/>
  <c r="CE99" i="41" s="1"/>
  <c r="CD100" i="41" a="1"/>
  <c r="CD100" i="41" s="1"/>
  <c r="CE100" i="41" s="1"/>
  <c r="CD101" i="41" a="1"/>
  <c r="CD101" i="41" s="1"/>
  <c r="CE101" i="41" s="1"/>
  <c r="CD102" i="41" a="1"/>
  <c r="CD102" i="41" s="1"/>
  <c r="CE102" i="41" s="1"/>
  <c r="CD103" i="41" a="1"/>
  <c r="CD103" i="41" s="1"/>
  <c r="CE103" i="41" s="1"/>
  <c r="E3" i="41" a="1"/>
  <c r="E3" i="41" s="1"/>
  <c r="J3" i="41" a="1"/>
  <c r="J3" i="41" s="1"/>
  <c r="L3" i="41" a="1"/>
  <c r="L3" i="41" s="1"/>
  <c r="S3" i="41" a="1"/>
  <c r="S3" i="41" s="1"/>
  <c r="W3" i="41" a="1"/>
  <c r="W3" i="41" s="1"/>
  <c r="AD3" i="41" a="1"/>
  <c r="AD3" i="41" s="1"/>
  <c r="AJ3" i="41" a="1"/>
  <c r="AJ3" i="41" s="1"/>
  <c r="AN3" i="41" a="1"/>
  <c r="AN3" i="41" s="1"/>
  <c r="AP3" i="41"/>
  <c r="AS3" i="41" a="1"/>
  <c r="AS3" i="41" s="1"/>
  <c r="N3" i="41" a="1"/>
  <c r="M3" i="41" a="1"/>
  <c r="N3" i="41" l="1"/>
  <c r="M3" i="41"/>
  <c r="E4" i="41" l="1" a="1"/>
  <c r="E4" i="41" s="1"/>
  <c r="J4" i="41" a="1"/>
  <c r="J4" i="41" s="1"/>
  <c r="L4" i="41" a="1"/>
  <c r="L4" i="41" l="1"/>
  <c r="M4" i="41" a="1"/>
  <c r="M4" i="41" s="1"/>
  <c r="N4" i="41" a="1"/>
  <c r="N4" i="41" s="1"/>
  <c r="S4" i="41" a="1"/>
  <c r="S4" i="41" s="1"/>
  <c r="W4" i="41" a="1"/>
  <c r="W4" i="41" s="1"/>
  <c r="AD4" i="41" a="1"/>
  <c r="AD4" i="41" s="1"/>
  <c r="AJ4" i="41" a="1"/>
  <c r="AJ4" i="41" s="1"/>
  <c r="AN4" i="41" a="1"/>
  <c r="AN4" i="41" s="1"/>
  <c r="AP4" i="41"/>
  <c r="AS4" i="41" a="1"/>
  <c r="AS4" i="41" s="1"/>
  <c r="E5" i="41" l="1" a="1"/>
  <c r="E5" i="41" s="1"/>
  <c r="J5" i="41" a="1"/>
  <c r="J5" i="41" s="1"/>
  <c r="L5" i="41" a="1"/>
  <c r="L5" i="41" l="1"/>
  <c r="M5" i="41" a="1"/>
  <c r="M5" i="41" s="1"/>
  <c r="N5" i="41" a="1"/>
  <c r="N5" i="41" s="1"/>
  <c r="S5" i="41" a="1"/>
  <c r="S5" i="41" s="1"/>
  <c r="W5" i="41" a="1"/>
  <c r="W5" i="41" s="1"/>
  <c r="AD5" i="41" a="1"/>
  <c r="AD5" i="41" s="1"/>
  <c r="AE5" i="41" s="1" a="1"/>
  <c r="AE5" i="41" s="1"/>
  <c r="AF5" i="41" s="1"/>
  <c r="AN5" i="41" a="1"/>
  <c r="AN5" i="41" s="1"/>
  <c r="AP5" i="41"/>
  <c r="AS5" i="41" a="1"/>
  <c r="AS5" i="41" s="1"/>
  <c r="E6" i="41" l="1" a="1"/>
  <c r="E6" i="41" s="1"/>
  <c r="J6" i="41" a="1"/>
  <c r="J6" i="41" s="1"/>
  <c r="L6" i="41" a="1"/>
  <c r="L6" i="41" l="1"/>
  <c r="M6" i="41" a="1"/>
  <c r="M6" i="41" s="1"/>
  <c r="N6" i="41" a="1"/>
  <c r="N6" i="41" s="1"/>
  <c r="S6" i="41" a="1"/>
  <c r="S6" i="41" s="1"/>
  <c r="W6" i="41" a="1"/>
  <c r="W6" i="41" s="1"/>
  <c r="AD6" i="41" a="1"/>
  <c r="AD6" i="41" s="1"/>
  <c r="AE6" i="41" s="1" a="1"/>
  <c r="AE6" i="41" s="1"/>
  <c r="AF6" i="41" s="1"/>
  <c r="AN6" i="41" a="1"/>
  <c r="AN6" i="41" s="1"/>
  <c r="AP6" i="41"/>
  <c r="AS6" i="41" a="1"/>
  <c r="AS6" i="41" s="1"/>
  <c r="E7" i="41" l="1" a="1"/>
  <c r="E7" i="41" s="1"/>
  <c r="J7" i="41" a="1"/>
  <c r="J7" i="41" s="1"/>
  <c r="M7" i="41" a="1"/>
  <c r="M7" i="41" s="1"/>
  <c r="N7" i="41" a="1"/>
  <c r="N7" i="41" s="1"/>
  <c r="S7" i="41" a="1"/>
  <c r="S7" i="41" s="1"/>
  <c r="W7" i="41" a="1"/>
  <c r="W7" i="41" s="1"/>
  <c r="AD7" i="41" a="1"/>
  <c r="AD7" i="41" s="1"/>
  <c r="AE7" i="41" s="1" a="1"/>
  <c r="AE7" i="41" s="1"/>
  <c r="AF7" i="41" s="1"/>
  <c r="AN7" i="41" a="1"/>
  <c r="AN7" i="41" s="1"/>
  <c r="AP7" i="41"/>
  <c r="E8" i="41" l="1" a="1"/>
  <c r="E8" i="41" s="1"/>
  <c r="J8" i="41" a="1"/>
  <c r="J8" i="41" s="1"/>
  <c r="S8" i="41" l="1" a="1"/>
  <c r="S8" i="41" s="1"/>
  <c r="W8" i="41" a="1"/>
  <c r="W8" i="41" s="1"/>
  <c r="E9" i="41" a="1"/>
  <c r="E9" i="41" s="1"/>
  <c r="G9" i="41" a="1"/>
  <c r="G9" i="41" l="1"/>
  <c r="H9" i="41" a="1"/>
  <c r="H9" i="41" l="1"/>
  <c r="J9" i="41" a="1"/>
  <c r="J9" i="41" s="1"/>
  <c r="M9" i="41" l="1" a="1"/>
  <c r="M9" i="41" s="1"/>
  <c r="N9" i="41" a="1"/>
  <c r="N9" i="41" s="1"/>
  <c r="S9" i="41" a="1"/>
  <c r="S9" i="41" s="1"/>
  <c r="W9" i="41" a="1"/>
  <c r="W9" i="41" s="1"/>
  <c r="E10" i="41" a="1"/>
  <c r="E10" i="41" s="1"/>
  <c r="J10" i="41" a="1"/>
  <c r="J10" i="41" s="1"/>
  <c r="W10" i="41" l="1" a="1"/>
  <c r="W10" i="41" s="1"/>
  <c r="E11" i="41" a="1"/>
  <c r="E11" i="41" s="1"/>
  <c r="G11" i="41"/>
  <c r="H11" i="41"/>
  <c r="J11" i="41" a="1"/>
  <c r="J11" i="41" s="1"/>
  <c r="M11" i="41" a="1"/>
  <c r="M11" i="41" s="1"/>
  <c r="N11" i="41" a="1"/>
  <c r="N11" i="41" s="1"/>
  <c r="E12" i="41" a="1"/>
  <c r="E12" i="41" s="1"/>
  <c r="G12" i="41" a="1"/>
  <c r="G12" i="41" l="1"/>
  <c r="H12" i="41" a="1"/>
  <c r="H12" i="41" l="1"/>
  <c r="J12" i="41" a="1"/>
  <c r="J12" i="41" s="1"/>
  <c r="M12" i="41" a="1"/>
  <c r="M12" i="41" s="1"/>
  <c r="N12" i="41" a="1"/>
  <c r="N12" i="41" s="1"/>
  <c r="E13" i="41" a="1"/>
  <c r="E13" i="41" s="1"/>
  <c r="J13" i="41" a="1"/>
  <c r="J13" i="41" s="1"/>
  <c r="E14" i="41" a="1"/>
  <c r="E14" i="41" s="1"/>
  <c r="J14" i="41" a="1"/>
  <c r="J14" i="41" s="1"/>
  <c r="M14" i="41" a="1"/>
  <c r="M14" i="41" s="1"/>
  <c r="N14" i="41" a="1"/>
  <c r="N14" i="41" s="1"/>
  <c r="E15" i="41" a="1"/>
  <c r="E15" i="41" s="1"/>
  <c r="J15" i="41" a="1"/>
  <c r="J15" i="41" s="1"/>
  <c r="E16" i="41" a="1"/>
  <c r="E16" i="41" s="1"/>
  <c r="J16" i="41" a="1"/>
  <c r="J16" i="41" s="1"/>
  <c r="M16" i="41" a="1"/>
  <c r="M16" i="41" s="1"/>
  <c r="N16" i="41" a="1"/>
  <c r="N16" i="41" s="1"/>
  <c r="W11" i="41" a="1"/>
  <c r="W11" i="41" s="1"/>
  <c r="E17" i="41" a="1"/>
  <c r="E17" i="41" s="1"/>
  <c r="J17" i="41" a="1"/>
  <c r="J17" i="41" s="1"/>
  <c r="G13" i="41" a="1"/>
  <c r="H13" i="41" a="1"/>
  <c r="M17" i="41" a="1"/>
  <c r="G13" i="41" l="1"/>
  <c r="H13" i="41"/>
  <c r="M17" i="41"/>
  <c r="W12" i="41" a="1"/>
  <c r="W12" i="41" s="1"/>
  <c r="E18" i="41" a="1"/>
  <c r="E18" i="41" s="1"/>
  <c r="J18" i="41" a="1"/>
  <c r="J18" i="41" s="1"/>
  <c r="W13" i="41" a="1"/>
  <c r="W13" i="41" s="1"/>
  <c r="E19" i="41" a="1"/>
  <c r="E19" i="41" s="1"/>
  <c r="J19" i="41" a="1"/>
  <c r="J19" i="41" s="1"/>
  <c r="W14" i="41" a="1"/>
  <c r="W14" i="41" s="1"/>
  <c r="E20" i="41" a="1"/>
  <c r="E20" i="41" s="1"/>
  <c r="G20" i="41"/>
  <c r="H20" i="41"/>
  <c r="J20" i="41" a="1"/>
  <c r="J20" i="41" s="1"/>
  <c r="W15" i="41" a="1"/>
  <c r="W15" i="41" s="1"/>
  <c r="E21" i="41" a="1"/>
  <c r="E21" i="41" s="1"/>
  <c r="J21" i="41" a="1"/>
  <c r="J21" i="41" s="1"/>
  <c r="M21" i="41" a="1"/>
  <c r="M21" i="41" s="1"/>
  <c r="N21" i="41" a="1"/>
  <c r="N21" i="41" s="1"/>
  <c r="W16" i="41" a="1"/>
  <c r="W16" i="41" s="1"/>
  <c r="E22" i="41" a="1"/>
  <c r="E22" i="41" s="1"/>
  <c r="J22" i="41" a="1"/>
  <c r="J22" i="41" s="1"/>
  <c r="L21" i="41" a="1"/>
  <c r="L22" i="41" a="1"/>
  <c r="N17" i="41" a="1"/>
  <c r="L21" i="41" l="1"/>
  <c r="N17" i="41"/>
  <c r="L22" i="41"/>
  <c r="W17" i="41" a="1"/>
  <c r="W17" i="41" s="1"/>
  <c r="E23" i="41" a="1"/>
  <c r="E23" i="41" s="1"/>
  <c r="G23" i="41"/>
  <c r="H23" i="41"/>
  <c r="W18" i="41" a="1"/>
  <c r="W18" i="41" s="1"/>
  <c r="E24" i="41" a="1"/>
  <c r="E24" i="41" s="1"/>
  <c r="G24" i="41"/>
  <c r="H24" i="41"/>
  <c r="W19" i="41" a="1"/>
  <c r="W19" i="41" s="1"/>
  <c r="E25" i="41" a="1"/>
  <c r="E25" i="41" s="1"/>
  <c r="G25" i="41" a="1"/>
  <c r="G25" i="41" s="1"/>
  <c r="H25" i="41" a="1"/>
  <c r="H25" i="41" s="1"/>
  <c r="W20" i="41" a="1"/>
  <c r="W20" i="41" s="1"/>
  <c r="E26" i="41" a="1"/>
  <c r="E26" i="41" s="1"/>
  <c r="G26" i="41" a="1"/>
  <c r="G26" i="41" s="1"/>
  <c r="H26" i="41" a="1"/>
  <c r="H26" i="41" s="1"/>
  <c r="W21" i="41" a="1"/>
  <c r="W21" i="41" s="1"/>
  <c r="E27" i="41" a="1"/>
  <c r="E27" i="41" s="1"/>
  <c r="G27" i="41"/>
  <c r="G49" i="41" s="1"/>
  <c r="H27" i="41"/>
  <c r="H49" i="41" s="1"/>
  <c r="W22" i="41" a="1"/>
  <c r="W22" i="41" s="1"/>
  <c r="E28" i="41" a="1"/>
  <c r="E28" i="41" s="1"/>
  <c r="W23" i="41" a="1"/>
  <c r="W23" i="41" s="1"/>
  <c r="E29" i="41" a="1"/>
  <c r="E29" i="41" s="1"/>
  <c r="G29" i="41"/>
  <c r="W24" i="41" a="1"/>
  <c r="W24" i="41" s="1"/>
  <c r="E30" i="41" a="1"/>
  <c r="E30" i="41" s="1"/>
  <c r="W25" i="41" a="1"/>
  <c r="W25" i="41" s="1"/>
  <c r="E31" i="41" a="1"/>
  <c r="E31" i="41" s="1"/>
  <c r="G31" i="41" a="1"/>
  <c r="G31" i="41" s="1"/>
  <c r="H31" i="41" a="1"/>
  <c r="H31" i="41" s="1"/>
  <c r="E32" i="41" a="1"/>
  <c r="E32" i="41" s="1"/>
  <c r="G32" i="41"/>
  <c r="H32" i="41"/>
  <c r="E33" i="41" a="1"/>
  <c r="E33" i="41" s="1"/>
  <c r="G33" i="41" a="1"/>
  <c r="G33" i="41" s="1"/>
  <c r="H33" i="41" a="1"/>
  <c r="H33" i="41" s="1"/>
  <c r="E34" i="41" a="1"/>
  <c r="E34" i="41" s="1"/>
  <c r="W26" i="41" a="1"/>
  <c r="W26" i="41" s="1"/>
  <c r="E35" i="41" a="1"/>
  <c r="E35" i="41" s="1"/>
  <c r="W27" i="41" a="1"/>
  <c r="W27" i="41" s="1"/>
  <c r="E36" i="41" a="1"/>
  <c r="E36" i="41" s="1"/>
  <c r="W28" i="41" a="1"/>
  <c r="W28" i="41" s="1"/>
  <c r="E37" i="41" a="1"/>
  <c r="E37" i="41" s="1"/>
  <c r="W29" i="41" a="1"/>
  <c r="W29" i="41" s="1"/>
  <c r="E38" i="41" a="1"/>
  <c r="E38" i="41" s="1"/>
  <c r="W30" i="41" a="1"/>
  <c r="W30" i="41" s="1"/>
  <c r="E39" i="41" a="1"/>
  <c r="E39" i="41" s="1"/>
  <c r="W31" i="41" a="1"/>
  <c r="W31" i="41" s="1"/>
  <c r="E40" i="41" a="1"/>
  <c r="E40" i="41" s="1"/>
  <c r="W32" i="41" a="1"/>
  <c r="W32" i="41" s="1"/>
  <c r="E41" i="41" a="1"/>
  <c r="E41" i="41" s="1"/>
  <c r="W33" i="41" a="1"/>
  <c r="W33" i="41" s="1"/>
  <c r="E42" i="41" a="1"/>
  <c r="E42" i="41" s="1"/>
  <c r="W34" i="41" a="1"/>
  <c r="W34" i="41" s="1"/>
  <c r="E43" i="41" a="1"/>
  <c r="E43" i="41" s="1"/>
  <c r="W35" i="41" a="1"/>
  <c r="W35" i="41" s="1"/>
  <c r="E44" i="41" a="1"/>
  <c r="E44" i="41" s="1"/>
  <c r="E45" i="41" a="1"/>
  <c r="E45" i="41" s="1"/>
  <c r="W36" i="41" a="1"/>
  <c r="W36" i="41" s="1"/>
  <c r="E46" i="41" a="1"/>
  <c r="E46" i="41" s="1"/>
  <c r="G46" i="41"/>
  <c r="H46" i="41"/>
  <c r="E47" i="41" a="1"/>
  <c r="E47" i="41" s="1"/>
  <c r="E48" i="41" a="1"/>
  <c r="E48" i="41" s="1"/>
  <c r="G48" i="41" a="1"/>
  <c r="G48" i="41" s="1"/>
  <c r="H48" i="41" a="1"/>
  <c r="H48" i="41" s="1"/>
  <c r="W37" i="41" a="1"/>
  <c r="W37" i="41" s="1"/>
  <c r="E49" i="41" a="1"/>
  <c r="E49" i="41" s="1"/>
  <c r="W38" i="41" a="1"/>
  <c r="W38" i="41" s="1"/>
  <c r="E50" i="41" a="1"/>
  <c r="E50" i="41" s="1"/>
  <c r="W39" i="41" a="1"/>
  <c r="W39" i="41" s="1"/>
  <c r="E51" i="41" a="1"/>
  <c r="E51" i="41" s="1"/>
  <c r="G51" i="41" a="1"/>
  <c r="G51" i="41" s="1"/>
  <c r="H51" i="41" a="1"/>
  <c r="H51" i="41" s="1"/>
  <c r="W40" i="41" a="1"/>
  <c r="W40" i="41" s="1"/>
  <c r="E52" i="41" a="1"/>
  <c r="E52" i="41" s="1"/>
  <c r="W41" i="41" a="1"/>
  <c r="W41" i="41" s="1"/>
  <c r="E53" i="41" a="1"/>
  <c r="E53" i="41" s="1"/>
  <c r="W42" i="41" a="1"/>
  <c r="W42" i="41" s="1"/>
  <c r="E54" i="41" a="1"/>
  <c r="E54" i="41" s="1"/>
  <c r="W43" i="41" a="1"/>
  <c r="W43" i="41" s="1"/>
  <c r="E55" i="41" a="1"/>
  <c r="E55" i="41" s="1"/>
  <c r="W44" i="41" a="1"/>
  <c r="W44" i="41" s="1"/>
  <c r="E56" i="41" a="1"/>
  <c r="E56" i="41" s="1"/>
  <c r="W45" i="41" a="1"/>
  <c r="W45" i="41" s="1"/>
  <c r="E57" i="41" a="1"/>
  <c r="E57" i="41" s="1"/>
  <c r="G57" i="41"/>
  <c r="H57" i="41"/>
  <c r="W46" i="41" a="1"/>
  <c r="W46" i="41" s="1"/>
  <c r="E58" i="41" a="1"/>
  <c r="E58" i="41" s="1"/>
  <c r="W47" i="41" a="1"/>
  <c r="W47" i="41" s="1"/>
  <c r="E59" i="41" a="1"/>
  <c r="E59" i="41" s="1"/>
  <c r="W48" i="41" a="1"/>
  <c r="W48" i="41" s="1"/>
  <c r="E60" i="41" a="1"/>
  <c r="E60" i="41" s="1"/>
  <c r="W49" i="41" a="1"/>
  <c r="W49" i="41" s="1"/>
  <c r="E61" i="41" a="1"/>
  <c r="E61" i="41" s="1"/>
  <c r="W50" i="41" a="1"/>
  <c r="W50" i="41" s="1"/>
  <c r="E62" i="41" a="1"/>
  <c r="E62" i="41" s="1"/>
  <c r="W51" i="41" a="1"/>
  <c r="W51" i="41" s="1"/>
  <c r="E63" i="41" a="1"/>
  <c r="E63" i="41" s="1"/>
  <c r="W52" i="41" a="1"/>
  <c r="W52" i="41" s="1"/>
  <c r="E64" i="41" a="1"/>
  <c r="E64" i="41" s="1"/>
  <c r="W53" i="41" a="1"/>
  <c r="W53" i="41" s="1"/>
  <c r="E65" i="41" a="1"/>
  <c r="E65" i="41" s="1"/>
  <c r="W54" i="41" a="1"/>
  <c r="W54" i="41" s="1"/>
  <c r="E66" i="41" a="1"/>
  <c r="E66" i="41" s="1"/>
  <c r="W55" i="41" a="1"/>
  <c r="W55" i="41" s="1"/>
  <c r="E67" i="41" a="1"/>
  <c r="E67" i="41" s="1"/>
  <c r="W56" i="41" a="1"/>
  <c r="W56" i="41" s="1"/>
  <c r="E68" i="41" a="1"/>
  <c r="E68" i="41" s="1"/>
  <c r="W57" i="41" a="1"/>
  <c r="W57" i="41" s="1"/>
  <c r="E69" i="41" a="1"/>
  <c r="E69" i="41" s="1"/>
  <c r="W58" i="41" a="1"/>
  <c r="W58" i="41" s="1"/>
  <c r="E70" i="41" a="1"/>
  <c r="E70" i="41" s="1"/>
  <c r="W59" i="41" a="1"/>
  <c r="W59" i="41" s="1"/>
  <c r="Z59" i="41" a="1"/>
  <c r="Z59" i="41" s="1"/>
  <c r="E71" i="41" a="1"/>
  <c r="E71" i="41" s="1"/>
  <c r="E72" i="41" a="1"/>
  <c r="E72" i="41" s="1"/>
  <c r="W60" i="41" a="1"/>
  <c r="W60" i="41" s="1"/>
  <c r="E73" i="41" a="1"/>
  <c r="E73" i="41" s="1"/>
  <c r="W61" i="41" a="1"/>
  <c r="W61" i="41" s="1"/>
  <c r="E74" i="41" a="1"/>
  <c r="E74" i="41" s="1"/>
  <c r="W62" i="41" a="1"/>
  <c r="W62" i="41" s="1"/>
  <c r="E75" i="41" a="1"/>
  <c r="E75" i="41" s="1"/>
  <c r="W63" i="41" a="1"/>
  <c r="W63" i="41" s="1"/>
  <c r="E76" i="41" a="1"/>
  <c r="E76" i="41" s="1"/>
  <c r="W64" i="41" a="1"/>
  <c r="W64" i="41" s="1"/>
  <c r="E77" i="41" a="1"/>
  <c r="E77" i="41" s="1"/>
  <c r="W65" i="41" a="1"/>
  <c r="W65" i="41" s="1"/>
  <c r="E78" i="41" a="1"/>
  <c r="E78" i="41" s="1"/>
  <c r="W66" i="41" a="1"/>
  <c r="W66" i="41" s="1"/>
  <c r="Z66" i="41" a="1"/>
  <c r="Z66" i="41" s="1"/>
  <c r="E79" i="41" a="1"/>
  <c r="E79" i="41" s="1"/>
  <c r="W67" i="41" a="1"/>
  <c r="W67" i="41" s="1"/>
  <c r="E80" i="41" a="1"/>
  <c r="E80" i="41" s="1"/>
  <c r="W68" i="41" a="1"/>
  <c r="W68" i="41" s="1"/>
  <c r="Z68" i="41" a="1"/>
  <c r="Z68" i="41" s="1"/>
  <c r="E81" i="41" a="1"/>
  <c r="E81" i="41" s="1"/>
  <c r="W69" i="41" a="1"/>
  <c r="W69" i="41" s="1"/>
  <c r="E82" i="41" a="1"/>
  <c r="E82" i="41" s="1"/>
  <c r="W70" i="41" a="1"/>
  <c r="W70" i="41" s="1"/>
  <c r="E83" i="41" a="1"/>
  <c r="E83" i="41" s="1"/>
  <c r="W71" i="41" a="1"/>
  <c r="W71" i="41" s="1"/>
  <c r="E84" i="41" a="1"/>
  <c r="E84" i="41" s="1"/>
  <c r="G84" i="41" a="1"/>
  <c r="G84" i="41" s="1"/>
  <c r="H84" i="41" a="1"/>
  <c r="H84" i="41" s="1"/>
  <c r="W72" i="41" a="1"/>
  <c r="W72" i="41" s="1"/>
  <c r="E85" i="41" a="1"/>
  <c r="E85" i="41" s="1"/>
  <c r="W73" i="41" a="1"/>
  <c r="W73" i="41" s="1"/>
  <c r="E86" i="41" a="1"/>
  <c r="E86" i="41" s="1"/>
  <c r="G86" i="41" a="1"/>
  <c r="G86" i="41" s="1"/>
  <c r="H86" i="41" a="1"/>
  <c r="H86" i="41" s="1"/>
  <c r="W74" i="41" a="1"/>
  <c r="W74" i="41" s="1"/>
  <c r="E87" i="41" a="1"/>
  <c r="E87" i="41" s="1"/>
  <c r="W75" i="41" a="1"/>
  <c r="W75" i="41" s="1"/>
  <c r="E88" i="41" a="1"/>
  <c r="E88" i="41" s="1"/>
  <c r="G88" i="41" a="1"/>
  <c r="G88" i="41" s="1"/>
  <c r="H88" i="41" a="1"/>
  <c r="H88" i="41" s="1"/>
  <c r="W76" i="41" a="1"/>
  <c r="W76" i="41" s="1"/>
  <c r="E89" i="41" a="1"/>
  <c r="E89" i="41" s="1"/>
  <c r="W77" i="41" a="1"/>
  <c r="W77" i="41" s="1"/>
  <c r="E90" i="41" a="1"/>
  <c r="E90" i="41" s="1"/>
  <c r="G90" i="41" a="1"/>
  <c r="G90" i="41" s="1"/>
  <c r="H90" i="41" a="1"/>
  <c r="H90" i="41" s="1"/>
  <c r="W78" i="41" a="1"/>
  <c r="W78" i="41" s="1"/>
  <c r="Z78" i="41" a="1"/>
  <c r="Z78" i="41" s="1"/>
  <c r="E91" i="41" a="1"/>
  <c r="E91" i="41" s="1"/>
  <c r="W79" i="41" a="1"/>
  <c r="W79" i="41" s="1"/>
  <c r="Z79" i="41" a="1"/>
  <c r="Z79" i="41" s="1"/>
  <c r="E92" i="41" a="1"/>
  <c r="E92" i="41" s="1"/>
  <c r="W80" i="41" a="1"/>
  <c r="W80" i="41" s="1"/>
  <c r="E93" i="41" a="1"/>
  <c r="E93" i="41" s="1"/>
  <c r="W81" i="41" a="1"/>
  <c r="W81" i="41" s="1"/>
  <c r="Z81" i="41" a="1"/>
  <c r="Z81" i="41" s="1"/>
  <c r="W82" i="41" a="1"/>
  <c r="W82" i="41" s="1"/>
  <c r="W83" i="41" a="1"/>
  <c r="W83" i="41"/>
  <c r="W84" i="41" a="1"/>
  <c r="W84" i="41" s="1"/>
  <c r="Z84" i="41" a="1"/>
  <c r="Z84" i="41" s="1"/>
  <c r="W85" i="41" a="1"/>
  <c r="W85" i="41" s="1"/>
  <c r="W86" i="41" a="1"/>
  <c r="W86" i="41" s="1"/>
  <c r="W87" i="41" a="1"/>
  <c r="W87" i="41" s="1"/>
  <c r="W88" i="41" a="1"/>
  <c r="W88" i="41" s="1"/>
  <c r="W89" i="41" a="1"/>
  <c r="W89" i="41" s="1"/>
  <c r="W90" i="41" a="1"/>
  <c r="W90" i="41" s="1"/>
  <c r="W91" i="41" a="1"/>
  <c r="W91" i="41" s="1"/>
  <c r="W92" i="41" a="1"/>
  <c r="W92" i="41" s="1"/>
  <c r="W93" i="41" a="1"/>
  <c r="W93" i="41" s="1"/>
  <c r="W94" i="41" a="1"/>
  <c r="W94" i="41" s="1"/>
  <c r="W95" i="41" a="1"/>
  <c r="W95" i="41" s="1"/>
  <c r="W96" i="41" a="1"/>
  <c r="W96" i="41" s="1"/>
  <c r="W97" i="41" a="1"/>
  <c r="W97" i="41" s="1"/>
  <c r="W98" i="41" a="1"/>
  <c r="W98" i="41" s="1"/>
  <c r="W99" i="41" a="1"/>
  <c r="W99" i="41" s="1"/>
  <c r="W100" i="41" a="1"/>
  <c r="W100" i="41" s="1"/>
  <c r="W101" i="41" a="1"/>
  <c r="W101" i="41" s="1"/>
  <c r="W102" i="41" a="1"/>
  <c r="W102" i="41" s="1"/>
  <c r="W103" i="41" a="1"/>
  <c r="W103" i="41" s="1"/>
  <c r="W104" i="41" a="1"/>
  <c r="W104" i="41" s="1"/>
  <c r="W105" i="41" a="1"/>
  <c r="W105" i="41" s="1"/>
  <c r="W106" i="41" a="1"/>
  <c r="W106" i="41" s="1"/>
  <c r="W107" i="41" a="1"/>
  <c r="W107" i="41" s="1"/>
  <c r="W108" i="41" a="1"/>
  <c r="W108" i="41" s="1"/>
  <c r="W109" i="41" a="1"/>
  <c r="W109" i="41" s="1"/>
  <c r="W110" i="41" a="1"/>
  <c r="W110" i="41" s="1"/>
  <c r="W111" i="41" a="1"/>
  <c r="W111" i="41" s="1"/>
  <c r="W112" i="41" a="1"/>
  <c r="W112" i="41" s="1"/>
  <c r="W113" i="41" a="1"/>
  <c r="W113" i="41" s="1"/>
  <c r="W114" i="41" a="1"/>
  <c r="W114" i="41" s="1"/>
  <c r="W115" i="41" a="1"/>
  <c r="W115" i="41" s="1"/>
  <c r="W116" i="41" a="1"/>
  <c r="W116" i="41" s="1"/>
  <c r="W117" i="41" a="1"/>
  <c r="W117" i="41" s="1"/>
  <c r="W118" i="41" a="1"/>
  <c r="W118" i="41" s="1"/>
  <c r="Z37" i="41" a="1"/>
  <c r="Z69" i="41" a="1"/>
  <c r="H66" i="41" a="1"/>
  <c r="H83" i="41" a="1"/>
  <c r="Z47" i="41" a="1"/>
  <c r="H85" i="41" a="1"/>
  <c r="G92" i="41" a="1"/>
  <c r="M22" i="41" a="1"/>
  <c r="G75" i="41" a="1"/>
  <c r="Z46" i="41" a="1"/>
  <c r="Z80" i="41" a="1"/>
  <c r="N22" i="41" a="1"/>
  <c r="H52" i="41" a="1"/>
  <c r="Z77" i="41" a="1"/>
  <c r="H75" i="41" a="1"/>
  <c r="G82" i="41" a="1"/>
  <c r="Z56" i="41" a="1"/>
  <c r="Z36" i="41" a="1"/>
  <c r="H87" i="41" a="1"/>
  <c r="Z76" i="41" a="1"/>
  <c r="G85" i="41" a="1"/>
  <c r="G53" i="41" a="1"/>
  <c r="G87" i="41" a="1"/>
  <c r="Z57" i="41" a="1"/>
  <c r="G52" i="41" a="1"/>
  <c r="H53" i="41" a="1"/>
  <c r="G83" i="41" a="1"/>
  <c r="H82" i="41" a="1"/>
  <c r="H92" i="41" a="1"/>
  <c r="G66" i="41" a="1"/>
  <c r="Z48" i="41" a="1"/>
  <c r="Z77" i="41" l="1"/>
  <c r="H92" i="41"/>
  <c r="H85" i="41"/>
  <c r="G83" i="41"/>
  <c r="H66" i="41"/>
  <c r="Z48" i="41"/>
  <c r="Z46" i="41"/>
  <c r="Z37" i="41"/>
  <c r="N22" i="41"/>
  <c r="G82" i="41"/>
  <c r="H87" i="41"/>
  <c r="G85" i="41"/>
  <c r="Z56" i="41"/>
  <c r="G66" i="41"/>
  <c r="Z36" i="41"/>
  <c r="M22" i="41"/>
  <c r="Z76" i="41"/>
  <c r="H75" i="41"/>
  <c r="G92" i="41"/>
  <c r="Z80" i="41"/>
  <c r="Z47" i="41"/>
  <c r="H53" i="41"/>
  <c r="H52" i="41"/>
  <c r="Z69" i="41"/>
  <c r="G75" i="41"/>
  <c r="G87" i="41"/>
  <c r="H83" i="41"/>
  <c r="Z57" i="41"/>
  <c r="G53" i="41"/>
  <c r="G52" i="41"/>
  <c r="H82" i="41"/>
  <c r="D49" i="39" a="1"/>
  <c r="D49" i="39" s="1"/>
  <c r="I8" i="43" l="1" a="1"/>
  <c r="I8" i="43" s="1"/>
  <c r="I7" i="43" a="1"/>
  <c r="I7" i="43" s="1"/>
  <c r="I6" i="43" a="1"/>
  <c r="I6" i="43" s="1"/>
  <c r="I4" i="43" a="1"/>
  <c r="I4" i="43" s="1"/>
  <c r="D8" i="43" a="1"/>
  <c r="D8" i="43" s="1"/>
  <c r="B6" i="43" a="1"/>
  <c r="B6" i="43" s="1"/>
  <c r="B4" i="43" a="1"/>
  <c r="B4" i="43" s="1"/>
  <c r="B3" i="43" a="1"/>
  <c r="B3" i="43" s="1"/>
  <c r="B2" i="43" a="1"/>
  <c r="B2" i="43" s="1"/>
  <c r="L66" i="43" a="1"/>
  <c r="L66" i="43" s="1"/>
  <c r="H28" i="42" a="1"/>
  <c r="H28" i="42" s="1"/>
  <c r="L49" i="43" a="1"/>
  <c r="L49" i="43" s="1"/>
  <c r="B24" i="42" a="1"/>
  <c r="B24" i="42" s="1"/>
  <c r="G6" i="42" a="1"/>
  <c r="G6" i="42" s="1"/>
  <c r="B5" i="42" a="1"/>
  <c r="B5" i="42" s="1"/>
  <c r="B4" i="42" a="1"/>
  <c r="B4" i="42" s="1"/>
  <c r="B3" i="42" a="1"/>
  <c r="B3" i="42" s="1"/>
  <c r="B2" i="42" a="1"/>
  <c r="B2" i="42" s="1"/>
  <c r="I74" i="39" a="1"/>
  <c r="I74" i="39" s="1"/>
  <c r="I37" i="39" a="1"/>
  <c r="I37" i="39" s="1"/>
  <c r="D37" i="39" a="1"/>
  <c r="D37" i="39" s="1"/>
  <c r="C37" i="39" a="1"/>
  <c r="C37" i="39" s="1"/>
  <c r="C33" i="39" a="1"/>
  <c r="C33" i="39" s="1"/>
  <c r="C29" i="39" a="1"/>
  <c r="C29" i="39" s="1"/>
  <c r="I22" i="39" a="1"/>
  <c r="I22" i="39" s="1"/>
  <c r="H22" i="39" a="1"/>
  <c r="H22" i="39" s="1"/>
  <c r="I14" i="39" a="1"/>
  <c r="I14" i="39" s="1"/>
  <c r="H14" i="39" a="1"/>
  <c r="H14" i="39" s="1"/>
  <c r="H37" i="39" a="1"/>
  <c r="H37" i="39" s="1"/>
  <c r="G37" i="39" a="1"/>
  <c r="G37" i="39" s="1"/>
  <c r="G14" i="39" a="1"/>
  <c r="G14" i="39" s="1"/>
  <c r="F37" i="39" a="1"/>
  <c r="F37" i="39" s="1"/>
  <c r="F14" i="39" a="1"/>
  <c r="F14" i="39" s="1"/>
  <c r="E37" i="39" a="1"/>
  <c r="E37" i="39" s="1"/>
  <c r="E14" i="39" a="1"/>
  <c r="E14" i="39" s="1"/>
  <c r="D14" i="39" a="1"/>
  <c r="D14" i="39" s="1"/>
  <c r="C14" i="39" a="1"/>
  <c r="C14" i="39" s="1"/>
  <c r="C21" i="39" a="1"/>
  <c r="C21" i="39" s="1"/>
  <c r="J14" i="39" a="1"/>
  <c r="J14" i="39" s="1"/>
  <c r="C71" i="39" a="1"/>
  <c r="C71" i="39" s="1"/>
  <c r="L7" i="39" a="1"/>
  <c r="L7" i="39" s="1"/>
  <c r="I73" i="39" a="1"/>
  <c r="I73" i="39" s="1"/>
  <c r="C30" i="39" a="1"/>
  <c r="C30" i="39" s="1"/>
  <c r="C10" i="39" a="1"/>
  <c r="C10" i="39" s="1"/>
  <c r="I72" i="39" a="1"/>
  <c r="I72" i="39" s="1"/>
  <c r="C28" i="39" a="1"/>
  <c r="C28" i="39" s="1"/>
  <c r="C8" i="39" a="1"/>
  <c r="C8" i="39" s="1"/>
  <c r="H22" i="48" a="1"/>
  <c r="H22" i="48" s="1"/>
  <c r="B21" i="48" a="1"/>
  <c r="B21" i="48" s="1"/>
  <c r="B19" i="48" a="1"/>
  <c r="B19" i="48" s="1"/>
  <c r="G18" i="48" a="1"/>
  <c r="G18" i="48" s="1"/>
  <c r="B18" i="48" a="1"/>
  <c r="B18" i="48" s="1"/>
  <c r="B16" i="48" a="1"/>
  <c r="B16" i="48" s="1"/>
  <c r="B13" i="48" a="1"/>
  <c r="B13" i="48" s="1"/>
  <c r="B8" i="48" a="1"/>
  <c r="B8" i="48" s="1"/>
  <c r="H5" i="48" a="1"/>
  <c r="H5" i="48" s="1"/>
  <c r="D4" i="48" a="1"/>
  <c r="D4" i="48" s="1"/>
  <c r="K37" i="39" l="1"/>
  <c r="AE4" i="41" s="1" a="1"/>
  <c r="AE4" i="41" s="1"/>
  <c r="AF4" i="41" s="1"/>
  <c r="J37" i="39"/>
  <c r="AE3" i="41" s="1" a="1"/>
  <c r="AE3" i="41" s="1"/>
  <c r="AF3" i="41" s="1"/>
  <c r="AG3" i="41" s="1" a="1"/>
  <c r="AG3" i="41" s="1"/>
  <c r="AH3" i="41" l="1" a="1"/>
  <c r="AH3" i="41" s="1"/>
  <c r="AG4" i="41" a="1"/>
  <c r="AG4" i="41" s="1"/>
  <c r="AH4" i="41" l="1" a="1"/>
  <c r="AH4" i="41" s="1"/>
  <c r="AG5" i="41" a="1"/>
  <c r="AG5" i="41" s="1"/>
  <c r="D5" i="54" a="1"/>
  <c r="D5" i="54" l="1"/>
  <c r="AH5" i="41" a="1"/>
  <c r="AH5" i="41" s="1"/>
  <c r="AG6" i="41" a="1"/>
  <c r="AG6" i="41" s="1"/>
  <c r="AG7" i="41" l="1" a="1"/>
  <c r="AG7" i="41" s="1"/>
  <c r="AH7" i="41" s="1" a="1"/>
  <c r="AH7" i="41" s="1"/>
  <c r="AH6" i="41" a="1"/>
  <c r="AH6" i="41" s="1"/>
  <c r="C27" i="39" a="1"/>
  <c r="C27" i="39" s="1"/>
  <c r="C9" i="39" a="1"/>
  <c r="C9" i="39" s="1"/>
  <c r="B9" i="48" a="1"/>
  <c r="B9" i="48" s="1"/>
  <c r="H19" i="48" a="1"/>
  <c r="H19" i="48" s="1"/>
  <c r="B22" i="48"/>
  <c r="B20" i="48"/>
  <c r="L17" i="41" l="1" a="1"/>
  <c r="L17" i="41" s="1"/>
  <c r="Z73" i="41" a="1"/>
  <c r="Z73" i="41" s="1"/>
  <c r="Z44" i="41" a="1"/>
  <c r="Z44" i="41" s="1"/>
  <c r="C12" i="39" a="1"/>
  <c r="C12" i="39" s="1"/>
  <c r="I71" i="39" a="1"/>
  <c r="I71" i="39" s="1"/>
  <c r="C7" i="39" a="1"/>
  <c r="C7" i="39" s="1"/>
  <c r="C2" i="39" a="1"/>
  <c r="C2" i="39" s="1"/>
  <c r="C4" i="39" a="1"/>
  <c r="C4" i="39" s="1"/>
  <c r="C3" i="39" a="1"/>
  <c r="C3" i="39" s="1"/>
  <c r="C5" i="39" a="1"/>
  <c r="C5" i="39" s="1"/>
  <c r="L3" i="39" a="1"/>
  <c r="L3" i="39" s="1"/>
  <c r="C32" i="39" l="1" a="1"/>
  <c r="C32" i="39" s="1"/>
  <c r="B1" i="48" a="1"/>
  <c r="B1" i="48" s="1"/>
  <c r="C31" i="42" l="1" a="1"/>
  <c r="C31" i="42" s="1"/>
  <c r="C32" i="42" a="1"/>
  <c r="C32" i="42" s="1"/>
  <c r="C33" i="42" a="1"/>
  <c r="C33" i="42" s="1"/>
  <c r="C34" i="42" a="1"/>
  <c r="C34" i="42" s="1"/>
  <c r="C35" i="42" a="1"/>
  <c r="C35" i="42" s="1"/>
  <c r="C34" i="39" a="1"/>
  <c r="C34" i="39" s="1"/>
  <c r="C13" i="39" a="1"/>
  <c r="C13" i="39" s="1"/>
  <c r="C31" i="39" a="1"/>
  <c r="C31" i="39" s="1"/>
  <c r="C11" i="39" a="1"/>
  <c r="C11" i="39" s="1"/>
  <c r="C53" i="43" l="1" a="1"/>
  <c r="C53" i="43" s="1"/>
  <c r="B11" i="48" l="1" a="1"/>
  <c r="B11" i="48" s="1"/>
  <c r="C36" i="39" l="1" a="1"/>
  <c r="C36" i="39" s="1"/>
  <c r="I5" i="43" a="1"/>
  <c r="I5" i="43" s="1"/>
  <c r="J4" i="48" a="1"/>
  <c r="J4" i="48" s="1"/>
  <c r="C35" i="39" a="1"/>
  <c r="C35" i="39" s="1"/>
  <c r="B10" i="48" l="1" a="1"/>
  <c r="B10" i="48" s="1"/>
  <c r="D16" i="39" a="1"/>
  <c r="D16" i="39" s="1"/>
  <c r="D17" i="39" a="1"/>
  <c r="D17" i="39" s="1"/>
  <c r="D18" i="39" a="1"/>
  <c r="D18" i="39" s="1"/>
  <c r="D19" i="39" a="1"/>
  <c r="D19" i="39" s="1"/>
  <c r="D20" i="39" a="1"/>
  <c r="D20" i="39" s="1"/>
  <c r="AZ3" i="41" l="1" a="1"/>
  <c r="AZ3" i="41" s="1"/>
  <c r="AZ4" i="41" a="1"/>
  <c r="AZ4" i="41" s="1"/>
  <c r="AZ5" i="41" a="1"/>
  <c r="AZ5" i="41" s="1"/>
  <c r="AZ6" i="41" a="1"/>
  <c r="AZ6" i="41" s="1"/>
  <c r="AZ7" i="41" a="1"/>
  <c r="AZ7" i="41" s="1"/>
  <c r="N75" i="39"/>
  <c r="L75" i="39"/>
  <c r="M75" i="39"/>
  <c r="BD3" i="41" l="1"/>
  <c r="BA3" i="41"/>
  <c r="BB3" i="41" s="1"/>
  <c r="BC3" i="41"/>
  <c r="BJ3" i="41" s="1" a="1"/>
  <c r="BJ3" i="41" s="1"/>
  <c r="BK3" i="41" s="1" a="1"/>
  <c r="BK3" i="41" s="1"/>
  <c r="BE3" i="41"/>
  <c r="Z16" i="41" s="1" a="1"/>
  <c r="Z16" i="41" s="1"/>
  <c r="BA4" i="41"/>
  <c r="BB4" i="41" s="1"/>
  <c r="BE4" i="41"/>
  <c r="BD4" i="41"/>
  <c r="Z22" i="41" s="1" a="1"/>
  <c r="Z22" i="41" s="1"/>
  <c r="BC4" i="41"/>
  <c r="BJ4" i="41" s="1" a="1"/>
  <c r="BJ4" i="41" s="1"/>
  <c r="BG7" i="41"/>
  <c r="BA7" i="41"/>
  <c r="BB7" i="41"/>
  <c r="Z15" i="41" s="1" a="1"/>
  <c r="Z15" i="41" s="1"/>
  <c r="BC7" i="41"/>
  <c r="BD7" i="41"/>
  <c r="Z25" i="41" s="1" a="1"/>
  <c r="Z25" i="41" s="1"/>
  <c r="BF7" i="41"/>
  <c r="BE7" i="41"/>
  <c r="Z20" i="41" s="1" a="1"/>
  <c r="Z20" i="41" s="1"/>
  <c r="BK7" i="41" a="1"/>
  <c r="BK7" i="41" s="1"/>
  <c r="BJ7" i="41" a="1"/>
  <c r="BJ7" i="41" s="1"/>
  <c r="BD6" i="41"/>
  <c r="BE6" i="41"/>
  <c r="Z19" i="41" s="1" a="1"/>
  <c r="Z19" i="41" s="1"/>
  <c r="BC6" i="41"/>
  <c r="BA6" i="41"/>
  <c r="BB6" i="41" s="1"/>
  <c r="BE5" i="41"/>
  <c r="BA5" i="41"/>
  <c r="BB5" i="41" s="1"/>
  <c r="BC5" i="41"/>
  <c r="BD5" i="41"/>
  <c r="Z23" i="41" s="1" a="1"/>
  <c r="Z23" i="41" s="1"/>
  <c r="Z24" i="41" a="1"/>
  <c r="Z24" i="41" s="1"/>
  <c r="Z21" i="41" a="1"/>
  <c r="Z21" i="41" s="1"/>
  <c r="Z18" i="41" a="1"/>
  <c r="Z18" i="41" s="1"/>
  <c r="Z17" i="41" a="1"/>
  <c r="Z17" i="41" s="1"/>
  <c r="Q86" i="39" a="1"/>
  <c r="Q86" i="39" s="1"/>
  <c r="L8" i="41" a="1"/>
  <c r="Z40" i="41" a="1"/>
  <c r="Z42" i="41" a="1"/>
  <c r="BI7" i="41" a="1"/>
  <c r="L10" i="41" a="1"/>
  <c r="BH7" i="41" a="1"/>
  <c r="Z41" i="41" a="1"/>
  <c r="BF3" i="41" l="1"/>
  <c r="BG3" i="41"/>
  <c r="BI7" i="41"/>
  <c r="BH7" i="41"/>
  <c r="BP4" i="41" a="1"/>
  <c r="BP4" i="41" s="1"/>
  <c r="BK4" i="41" a="1"/>
  <c r="BK4" i="41" s="1"/>
  <c r="BO4" i="41" a="1"/>
  <c r="BO4" i="41" s="1"/>
  <c r="BN4" i="41" a="1"/>
  <c r="BN4" i="41" s="1"/>
  <c r="BF6" i="41"/>
  <c r="BQ4" i="41" a="1"/>
  <c r="BQ4" i="41" s="1"/>
  <c r="BF5" i="41"/>
  <c r="BM4" i="41" a="1"/>
  <c r="BM4" i="41" s="1"/>
  <c r="BG5" i="41"/>
  <c r="BJ5" i="41" a="1"/>
  <c r="BJ5" i="41" s="1"/>
  <c r="BK5" i="41" s="1" a="1"/>
  <c r="BK5" i="41" s="1"/>
  <c r="BJ6" i="41" a="1"/>
  <c r="BJ6" i="41" s="1"/>
  <c r="BK6" i="41" s="1" a="1"/>
  <c r="BK6" i="41" s="1"/>
  <c r="BG4" i="41"/>
  <c r="BG6" i="41"/>
  <c r="BF4" i="41"/>
  <c r="Z42" i="41"/>
  <c r="L8" i="41"/>
  <c r="L10" i="41"/>
  <c r="Z41" i="41"/>
  <c r="Z40" i="41"/>
  <c r="Z12" i="41" a="1"/>
  <c r="Z12" i="41" s="1"/>
  <c r="Z13" i="41" a="1"/>
  <c r="Z13" i="41" s="1"/>
  <c r="Z14" i="41" a="1"/>
  <c r="Z14" i="41" s="1"/>
  <c r="Q85" i="39" a="1"/>
  <c r="Q85" i="39" s="1"/>
  <c r="Q87" i="39" a="1"/>
  <c r="Q87" i="39" s="1"/>
  <c r="Q88" i="39" a="1"/>
  <c r="Q88" i="39" s="1"/>
  <c r="Q89" i="39" a="1"/>
  <c r="Q89" i="39" s="1"/>
  <c r="L7" i="41" a="1"/>
  <c r="L9" i="41" a="1"/>
  <c r="BH3" i="41" a="1"/>
  <c r="BI5" i="41" a="1"/>
  <c r="BI4" i="41" a="1"/>
  <c r="BI6" i="41" a="1"/>
  <c r="BH5" i="41" a="1"/>
  <c r="Z39" i="41" a="1"/>
  <c r="BH6" i="41" a="1"/>
  <c r="BI3" i="41" a="1"/>
  <c r="BH4" i="41" a="1"/>
  <c r="BS4" i="41" l="1" a="1"/>
  <c r="BS4" i="41" s="1"/>
  <c r="BI3" i="41"/>
  <c r="BH3" i="41"/>
  <c r="BI4" i="41"/>
  <c r="BH4" i="41"/>
  <c r="BH5" i="41"/>
  <c r="BI5" i="41"/>
  <c r="BI6" i="41"/>
  <c r="BH6" i="41"/>
  <c r="BR4" i="41" a="1"/>
  <c r="BR4" i="41" s="1"/>
  <c r="BT4" i="41" s="1" a="1"/>
  <c r="BT4" i="41" s="1"/>
  <c r="BU4" i="41" s="1" a="1"/>
  <c r="BU4" i="41" s="1"/>
  <c r="L7" i="41"/>
  <c r="L9" i="41"/>
  <c r="Z39" i="41"/>
  <c r="Z11" i="41" a="1"/>
  <c r="Z11"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CF69" i="41" l="1" a="1"/>
  <c r="CF69" i="41" s="1"/>
  <c r="Z74" i="41" a="1"/>
  <c r="Z74" i="41" s="1"/>
  <c r="L11" i="41" a="1"/>
  <c r="L11" i="41" s="1"/>
  <c r="Z43" i="41" a="1"/>
  <c r="Z43" i="41" s="1"/>
  <c r="J75" i="39"/>
  <c r="C60" i="43" a="1"/>
  <c r="C60" i="43" s="1"/>
  <c r="C59" i="43" a="1"/>
  <c r="C59" i="43" s="1"/>
  <c r="C58" i="43" a="1"/>
  <c r="C58" i="43" s="1"/>
  <c r="C57" i="43" a="1"/>
  <c r="C57" i="43" s="1"/>
  <c r="C56" i="43" a="1"/>
  <c r="C56" i="43" s="1"/>
  <c r="C55" i="43" a="1"/>
  <c r="C55" i="43" s="1"/>
  <c r="C54" i="43" a="1"/>
  <c r="C54" i="43" s="1"/>
  <c r="C52" i="43" a="1"/>
  <c r="C52" i="43" s="1"/>
  <c r="C51" i="43" a="1"/>
  <c r="C51" i="43" s="1"/>
  <c r="CF65" i="41" l="1" a="1"/>
  <c r="CF65" i="41" s="1"/>
  <c r="CF57" i="41" a="1"/>
  <c r="CF57" i="41" s="1"/>
  <c r="CF13" i="41" a="1"/>
  <c r="CF13" i="41" s="1"/>
  <c r="CF40" i="41" a="1"/>
  <c r="CF40" i="41" s="1"/>
  <c r="CF8" i="41" a="1"/>
  <c r="CF8" i="41" s="1"/>
  <c r="CF83" i="41" a="1"/>
  <c r="CF83" i="41" s="1"/>
  <c r="CF27" i="41" a="1"/>
  <c r="CF27" i="41" s="1"/>
  <c r="CF71" i="41" a="1"/>
  <c r="CF71" i="41" s="1"/>
  <c r="CF3" i="41" a="1"/>
  <c r="CF3" i="41" s="1"/>
  <c r="CF46" i="41" a="1"/>
  <c r="CF46" i="41" s="1"/>
  <c r="CF6" i="41" a="1"/>
  <c r="CF6" i="41" s="1"/>
  <c r="CF70" i="41" a="1"/>
  <c r="CF70" i="41" s="1"/>
  <c r="CF85" i="41" a="1"/>
  <c r="CF85" i="41" s="1"/>
  <c r="CF81" i="41" a="1"/>
  <c r="CF81" i="41" s="1"/>
  <c r="CF49" i="41" a="1"/>
  <c r="CF49" i="41" s="1"/>
  <c r="CF5" i="41" a="1"/>
  <c r="CF5" i="41" s="1"/>
  <c r="CF36" i="41" a="1"/>
  <c r="CF36" i="41" s="1"/>
  <c r="CF4" i="41" a="1"/>
  <c r="CF4" i="41" s="1"/>
  <c r="CF75" i="41" a="1"/>
  <c r="CF75" i="41" s="1"/>
  <c r="CF23" i="41" a="1"/>
  <c r="CF23" i="41" s="1"/>
  <c r="CF63" i="41" a="1"/>
  <c r="CF63" i="41" s="1"/>
  <c r="CF88" i="41" a="1"/>
  <c r="CF88" i="41" s="1"/>
  <c r="CF42" i="41" a="1"/>
  <c r="CF42" i="41" s="1"/>
  <c r="CF84" i="41" a="1"/>
  <c r="CF84" i="41" s="1"/>
  <c r="CF66" i="41" a="1"/>
  <c r="CF66" i="41" s="1"/>
  <c r="CF77" i="41" a="1"/>
  <c r="CF77" i="41" s="1"/>
  <c r="CF45" i="41" a="1"/>
  <c r="CF45" i="41" s="1"/>
  <c r="CF100" i="41" a="1"/>
  <c r="CF100" i="41" s="1"/>
  <c r="CF32" i="41" a="1"/>
  <c r="CF32" i="41" s="1"/>
  <c r="CF96" i="41" a="1"/>
  <c r="CF96" i="41" s="1"/>
  <c r="CF67" i="41" a="1"/>
  <c r="CF67" i="41" s="1"/>
  <c r="CF19" i="41" a="1"/>
  <c r="CF19" i="41" s="1"/>
  <c r="CF55" i="41" a="1"/>
  <c r="CF55" i="41" s="1"/>
  <c r="CF72" i="41" a="1"/>
  <c r="CF72" i="41" s="1"/>
  <c r="CF34" i="41" a="1"/>
  <c r="CF34" i="41" s="1"/>
  <c r="CF64" i="41" a="1"/>
  <c r="CF64" i="41" s="1"/>
  <c r="CF58" i="41" a="1"/>
  <c r="CF58" i="41" s="1"/>
  <c r="BZ4" i="41" a="1"/>
  <c r="BZ4" i="41" s="1"/>
  <c r="BZ6" i="41" a="1"/>
  <c r="BZ6" i="41" s="1"/>
  <c r="BZ9" i="41" a="1"/>
  <c r="BZ9" i="41" s="1"/>
  <c r="BZ11" i="41" a="1"/>
  <c r="BZ11" i="41" s="1"/>
  <c r="CA3" i="41" a="1"/>
  <c r="CA3" i="41" s="1"/>
  <c r="CA5" i="41" a="1"/>
  <c r="CA5" i="41" s="1"/>
  <c r="CA7" i="41" a="1"/>
  <c r="CA7" i="41" s="1"/>
  <c r="CA8" i="41" a="1"/>
  <c r="CA8" i="41" s="1"/>
  <c r="CA10" i="41" a="1"/>
  <c r="CA10" i="41" s="1"/>
  <c r="CA12" i="41" a="1"/>
  <c r="CA12" i="41" s="1"/>
  <c r="CB7" i="41" a="1"/>
  <c r="CB7" i="41" s="1"/>
  <c r="CB11" i="41" a="1"/>
  <c r="CB11" i="41" s="1"/>
  <c r="CA4" i="41" a="1"/>
  <c r="CA4" i="41" s="1"/>
  <c r="CA6" i="41" a="1"/>
  <c r="CA6" i="41" s="1"/>
  <c r="CA9" i="41" a="1"/>
  <c r="CA9" i="41" s="1"/>
  <c r="CA11" i="41" a="1"/>
  <c r="CA11" i="41" s="1"/>
  <c r="CB10" i="41" a="1"/>
  <c r="CB10" i="41" s="1"/>
  <c r="CB4" i="41" a="1"/>
  <c r="CB4" i="41" s="1"/>
  <c r="CB6" i="41" a="1"/>
  <c r="CB6" i="41" s="1"/>
  <c r="CB9" i="41" a="1"/>
  <c r="CB9" i="41" s="1"/>
  <c r="CB3" i="41" a="1"/>
  <c r="CB3" i="41" s="1"/>
  <c r="CB5" i="41" a="1"/>
  <c r="CB5" i="41" s="1"/>
  <c r="CB8" i="41" a="1"/>
  <c r="CB8" i="41" s="1"/>
  <c r="CB12" i="41" a="1"/>
  <c r="CB12" i="41" s="1"/>
  <c r="BZ12" i="41" a="1"/>
  <c r="BZ12" i="41" s="1"/>
  <c r="BZ3" i="41" a="1"/>
  <c r="BZ3" i="41" s="1"/>
  <c r="BZ5" i="41" a="1"/>
  <c r="BZ5" i="41" s="1"/>
  <c r="BZ7" i="41" a="1"/>
  <c r="BZ7" i="41" s="1"/>
  <c r="BZ8" i="41" a="1"/>
  <c r="BZ8" i="41" s="1"/>
  <c r="BZ10" i="41" a="1"/>
  <c r="BZ10" i="41" s="1"/>
  <c r="CF97" i="41" a="1"/>
  <c r="CF97" i="41" s="1"/>
  <c r="CF37" i="41" a="1"/>
  <c r="CF37" i="41" s="1"/>
  <c r="CF80" i="41" a="1"/>
  <c r="CF80" i="41" s="1"/>
  <c r="CF28" i="41" a="1"/>
  <c r="CF28" i="41" s="1"/>
  <c r="CF76" i="41" a="1"/>
  <c r="CF76" i="41" s="1"/>
  <c r="CF59" i="41" a="1"/>
  <c r="CF59" i="41" s="1"/>
  <c r="CF60" i="41" a="1"/>
  <c r="CF60" i="41" s="1"/>
  <c r="CF47" i="41" a="1"/>
  <c r="CF47" i="41" s="1"/>
  <c r="CF102" i="41" a="1"/>
  <c r="CF102" i="41" s="1"/>
  <c r="CF30" i="41" a="1"/>
  <c r="CF30" i="41" s="1"/>
  <c r="CF98" i="41" a="1"/>
  <c r="CF98" i="41" s="1"/>
  <c r="CF50" i="41" a="1"/>
  <c r="CF50" i="41" s="1"/>
  <c r="CF61" i="41" a="1"/>
  <c r="CF61" i="41" s="1"/>
  <c r="CF89" i="41" a="1"/>
  <c r="CF89" i="41" s="1"/>
  <c r="CF33" i="41" a="1"/>
  <c r="CF33" i="41" s="1"/>
  <c r="CF56" i="41" a="1"/>
  <c r="CF56" i="41" s="1"/>
  <c r="CF24" i="41" a="1"/>
  <c r="CF24" i="41" s="1"/>
  <c r="CF92" i="41" a="1"/>
  <c r="CF92" i="41" s="1"/>
  <c r="CF51" i="41" a="1"/>
  <c r="CF51" i="41" s="1"/>
  <c r="CF103" i="41" a="1"/>
  <c r="CF103" i="41" s="1"/>
  <c r="CF35" i="41" a="1"/>
  <c r="CF35" i="41" s="1"/>
  <c r="CF90" i="41" a="1"/>
  <c r="CF90" i="41" s="1"/>
  <c r="CF26" i="41" a="1"/>
  <c r="CF26" i="41" s="1"/>
  <c r="CF94" i="41" a="1"/>
  <c r="CF94" i="41" s="1"/>
  <c r="CF38" i="41" a="1"/>
  <c r="CF38" i="41" s="1"/>
  <c r="CF53" i="41" a="1"/>
  <c r="CF53" i="41" s="1"/>
  <c r="CF29" i="41" a="1"/>
  <c r="CF29" i="41" s="1"/>
  <c r="CF52" i="41" a="1"/>
  <c r="CF52" i="41" s="1"/>
  <c r="CF20" i="41" a="1"/>
  <c r="CF20" i="41" s="1"/>
  <c r="CF68" i="41" a="1"/>
  <c r="CF68" i="41" s="1"/>
  <c r="CF43" i="41" a="1"/>
  <c r="CF43" i="41" s="1"/>
  <c r="CF95" i="41" a="1"/>
  <c r="CF95" i="41" s="1"/>
  <c r="CF15" i="41" a="1"/>
  <c r="CF15" i="41" s="1"/>
  <c r="CF74" i="41" a="1"/>
  <c r="CF74" i="41" s="1"/>
  <c r="CF18" i="41" a="1"/>
  <c r="CF18" i="41" s="1"/>
  <c r="CF86" i="41" a="1"/>
  <c r="CF86" i="41" s="1"/>
  <c r="CF22" i="41" a="1"/>
  <c r="CF22" i="41" s="1"/>
  <c r="CF41" i="41" a="1"/>
  <c r="CF41" i="41" s="1"/>
  <c r="CF73" i="41" a="1"/>
  <c r="CF73" i="41" s="1"/>
  <c r="CF25" i="41" a="1"/>
  <c r="CF25" i="41" s="1"/>
  <c r="CF48" i="41" a="1"/>
  <c r="CF48" i="41" s="1"/>
  <c r="CF16" i="41" a="1"/>
  <c r="CF16" i="41" s="1"/>
  <c r="CF99" i="41" a="1"/>
  <c r="CF99" i="41" s="1"/>
  <c r="CF39" i="41" a="1"/>
  <c r="CF39" i="41" s="1"/>
  <c r="CF87" i="41" a="1"/>
  <c r="CF87" i="41" s="1"/>
  <c r="CF11" i="41" a="1"/>
  <c r="CF11" i="41" s="1"/>
  <c r="CF62" i="41" a="1"/>
  <c r="CF62" i="41" s="1"/>
  <c r="CF14" i="41" a="1"/>
  <c r="CF14" i="41" s="1"/>
  <c r="CF82" i="41" a="1"/>
  <c r="CF82" i="41" s="1"/>
  <c r="CF101" i="41" a="1"/>
  <c r="CF101" i="41" s="1"/>
  <c r="CF21" i="41" a="1"/>
  <c r="CF21" i="41" s="1"/>
  <c r="CF17" i="41" a="1"/>
  <c r="CF17" i="41" s="1"/>
  <c r="CF44" i="41" a="1"/>
  <c r="CF44" i="41" s="1"/>
  <c r="CF12" i="41" a="1"/>
  <c r="CF12" i="41" s="1"/>
  <c r="CF91" i="41" a="1"/>
  <c r="CF91" i="41" s="1"/>
  <c r="CF31" i="41" a="1"/>
  <c r="CF31" i="41" s="1"/>
  <c r="CF79" i="41" a="1"/>
  <c r="CF79" i="41" s="1"/>
  <c r="CF7" i="41" a="1"/>
  <c r="CF7" i="41" s="1"/>
  <c r="CF54" i="41" a="1"/>
  <c r="CF54" i="41" s="1"/>
  <c r="CF10" i="41" a="1"/>
  <c r="CF10" i="41" s="1"/>
  <c r="CF78" i="41" a="1"/>
  <c r="CF78" i="41" s="1"/>
  <c r="CF93" i="41" a="1"/>
  <c r="CF93" i="41" s="1"/>
  <c r="CF9" i="41" a="1"/>
  <c r="CF9" i="41"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C29" i="42" a="1"/>
  <c r="C29" i="42" s="1"/>
  <c r="C30" i="42" a="1"/>
  <c r="C30" i="42" s="1"/>
  <c r="C26" i="42" l="1" a="1"/>
  <c r="C26" i="42" s="1"/>
  <c r="C27" i="42" a="1"/>
  <c r="C27" i="42" s="1"/>
  <c r="C28" i="42" a="1"/>
  <c r="C28" i="42" s="1"/>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CN3" i="41" l="1" a="1"/>
  <c r="CN3" i="41" s="1"/>
  <c r="CN4" i="41" a="1"/>
  <c r="CN4" i="41" s="1"/>
  <c r="CO4" i="41" s="1"/>
  <c r="CN5" i="41" a="1"/>
  <c r="CN5" i="41" s="1"/>
  <c r="CO5" i="41" s="1"/>
  <c r="CN6" i="41" a="1"/>
  <c r="CN6" i="41" s="1"/>
  <c r="CN7" i="41" a="1"/>
  <c r="CN7" i="41" s="1"/>
  <c r="CN8" i="41" a="1"/>
  <c r="CN8" i="41" s="1"/>
  <c r="CN9" i="41" a="1"/>
  <c r="CN9" i="41" s="1"/>
  <c r="CO9" i="41" s="1"/>
  <c r="CN10" i="41" a="1"/>
  <c r="CN10" i="41" s="1"/>
  <c r="CO10" i="41" s="1"/>
  <c r="CN11" i="41" a="1"/>
  <c r="CN11" i="41" s="1"/>
  <c r="CN12" i="41" a="1"/>
  <c r="CN12" i="41" s="1"/>
  <c r="CO12" i="41" s="1"/>
  <c r="CN13" i="41" a="1"/>
  <c r="CN13" i="41" s="1"/>
  <c r="CN14" i="41" a="1"/>
  <c r="CN14" i="41" s="1"/>
  <c r="CN15" i="41" a="1"/>
  <c r="CN15" i="41" s="1"/>
  <c r="CN16" i="41" a="1"/>
  <c r="CN16" i="41" s="1"/>
  <c r="CO16" i="41" s="1"/>
  <c r="CN17" i="41" a="1"/>
  <c r="CN17" i="41" s="1"/>
  <c r="CO17" i="41" s="1"/>
  <c r="CN18" i="41" a="1"/>
  <c r="CN18" i="41" s="1"/>
  <c r="CO18" i="41" s="1"/>
  <c r="CN19" i="41" a="1"/>
  <c r="CN19" i="41" s="1"/>
  <c r="CO19" i="41" s="1"/>
  <c r="CN20" i="41" a="1"/>
  <c r="CN20" i="41" s="1"/>
  <c r="CN21" i="41" a="1"/>
  <c r="CN21" i="41" s="1"/>
  <c r="CN22" i="41" a="1"/>
  <c r="CN22" i="41" s="1"/>
  <c r="CN23" i="41" a="1"/>
  <c r="CN23" i="41" s="1"/>
  <c r="CN24" i="41" a="1"/>
  <c r="CN24" i="41" s="1"/>
  <c r="CN25" i="41" a="1"/>
  <c r="CN25" i="41" s="1"/>
  <c r="CN26" i="41" a="1"/>
  <c r="CN26" i="41" s="1"/>
  <c r="CN27" i="41" a="1"/>
  <c r="CN27" i="41" s="1"/>
  <c r="CN28" i="41" a="1"/>
  <c r="CN28" i="41" s="1"/>
  <c r="CN29" i="41" a="1"/>
  <c r="CN29" i="41" s="1"/>
  <c r="CN30" i="41" a="1"/>
  <c r="CN30" i="41" s="1"/>
  <c r="CN31" i="41" a="1"/>
  <c r="CN31" i="41" s="1"/>
  <c r="CN32" i="41" a="1"/>
  <c r="CN32" i="41" s="1"/>
  <c r="D27" i="42"/>
  <c r="D35" i="42"/>
  <c r="D28" i="42"/>
  <c r="D29" i="42"/>
  <c r="D30" i="42"/>
  <c r="D34" i="42"/>
  <c r="D31" i="42"/>
  <c r="D33" i="42"/>
  <c r="D32" i="42"/>
  <c r="D26" i="42"/>
  <c r="H20" i="39"/>
  <c r="CO3" i="41"/>
  <c r="CO11" i="41"/>
  <c r="CO13" i="41"/>
  <c r="CO6" i="41"/>
  <c r="CO14" i="41"/>
  <c r="CO7" i="41"/>
  <c r="CO15" i="41"/>
  <c r="CO8" i="41"/>
  <c r="CS25" i="41" l="1"/>
  <c r="CV25" i="41" a="1"/>
  <c r="CV25" i="41" s="1"/>
  <c r="CY25" i="41" a="1"/>
  <c r="CY25" i="41" s="1"/>
  <c r="CZ25" i="41" a="1"/>
  <c r="CZ25" i="41" s="1"/>
  <c r="CW25" i="41" a="1"/>
  <c r="CW25" i="41" s="1"/>
  <c r="CR25" i="41"/>
  <c r="CY26" i="41" a="1"/>
  <c r="CY26" i="41" s="1"/>
  <c r="CS26" i="41"/>
  <c r="CZ26" i="41" a="1"/>
  <c r="CZ26" i="41" s="1"/>
  <c r="CW26" i="41" a="1"/>
  <c r="CW26" i="41" s="1"/>
  <c r="CV26" i="41" a="1"/>
  <c r="CV26" i="41" s="1"/>
  <c r="CR26" i="41"/>
  <c r="CY32" i="41" a="1"/>
  <c r="CY32" i="41" s="1"/>
  <c r="CS32" i="41"/>
  <c r="CV32" i="41" a="1"/>
  <c r="CV32" i="41" s="1"/>
  <c r="CZ32" i="41" a="1"/>
  <c r="CZ32" i="41" s="1"/>
  <c r="CW32" i="41" a="1"/>
  <c r="CW32" i="41" s="1"/>
  <c r="CR32" i="41"/>
  <c r="CS24" i="41"/>
  <c r="CV24" i="41" a="1"/>
  <c r="CV24" i="41" s="1"/>
  <c r="CZ24" i="41" a="1"/>
  <c r="CZ24" i="41" s="1"/>
  <c r="CW24" i="41" a="1"/>
  <c r="CW24" i="41" s="1"/>
  <c r="CR24" i="41"/>
  <c r="CY24" i="41" a="1"/>
  <c r="CY24" i="41" s="1"/>
  <c r="CY31" i="41" a="1"/>
  <c r="CY31" i="41" s="1"/>
  <c r="CS31" i="41"/>
  <c r="CV31" i="41" a="1"/>
  <c r="CV31" i="41" s="1"/>
  <c r="CW31" i="41" a="1"/>
  <c r="CW31" i="41" s="1"/>
  <c r="CR31" i="41"/>
  <c r="CZ31" i="41" a="1"/>
  <c r="CZ31" i="41" s="1"/>
  <c r="CS23" i="41"/>
  <c r="CV23" i="41" a="1"/>
  <c r="CV23" i="41" s="1"/>
  <c r="CZ23" i="41" a="1"/>
  <c r="CZ23" i="41" s="1"/>
  <c r="CW23" i="41" a="1"/>
  <c r="CW23" i="41" s="1"/>
  <c r="CR23" i="41"/>
  <c r="CY23" i="41" a="1"/>
  <c r="CY23" i="41" s="1"/>
  <c r="CV30" i="41" a="1"/>
  <c r="CV30" i="41" s="1"/>
  <c r="CW30" i="41" a="1"/>
  <c r="CW30" i="41" s="1"/>
  <c r="CR30" i="41"/>
  <c r="CZ30" i="41" a="1"/>
  <c r="CZ30" i="41" s="1"/>
  <c r="CY30" i="41" a="1"/>
  <c r="CY30" i="41" s="1"/>
  <c r="CS30" i="41"/>
  <c r="CV22" i="41" a="1"/>
  <c r="CV22" i="41" s="1"/>
  <c r="CZ22" i="41" a="1"/>
  <c r="CZ22" i="41" s="1"/>
  <c r="CY22" i="41" a="1"/>
  <c r="CY22" i="41" s="1"/>
  <c r="CW22" i="41" a="1"/>
  <c r="CW22" i="41" s="1"/>
  <c r="CR22" i="41"/>
  <c r="CS22" i="41"/>
  <c r="CV29" i="41" a="1"/>
  <c r="CV29" i="41" s="1"/>
  <c r="CW29" i="41" a="1"/>
  <c r="CW29" i="41" s="1"/>
  <c r="CR29" i="41"/>
  <c r="CZ29" i="41" a="1"/>
  <c r="CZ29" i="41" s="1"/>
  <c r="CY29" i="41" a="1"/>
  <c r="CY29" i="41" s="1"/>
  <c r="CS29" i="41"/>
  <c r="CZ21" i="41" a="1"/>
  <c r="CZ21" i="41" s="1"/>
  <c r="CY21" i="41" a="1"/>
  <c r="CY21" i="41" s="1"/>
  <c r="CV21" i="41" a="1"/>
  <c r="CV21" i="41" s="1"/>
  <c r="CW21" i="41" a="1"/>
  <c r="CW21" i="41" s="1"/>
  <c r="CR21" i="41"/>
  <c r="CS21" i="41"/>
  <c r="CW28" i="41" a="1"/>
  <c r="CW28" i="41" s="1"/>
  <c r="CR28" i="41"/>
  <c r="CZ28" i="41" a="1"/>
  <c r="CZ28" i="41" s="1"/>
  <c r="CV28" i="41" a="1"/>
  <c r="CV28" i="41" s="1"/>
  <c r="CY28" i="41" a="1"/>
  <c r="CY28" i="41" s="1"/>
  <c r="CS28" i="41"/>
  <c r="CZ20" i="41" a="1"/>
  <c r="CZ20" i="41" s="1"/>
  <c r="CY20" i="41" a="1"/>
  <c r="CY20" i="41" s="1"/>
  <c r="CW20" i="41" a="1"/>
  <c r="CW20" i="41" s="1"/>
  <c r="CR20" i="41"/>
  <c r="CS20" i="41"/>
  <c r="CV20" i="41" a="1"/>
  <c r="CV20" i="41" s="1"/>
  <c r="CW27" i="41" a="1"/>
  <c r="CW27" i="41" s="1"/>
  <c r="CR27" i="41"/>
  <c r="CZ27" i="41" a="1"/>
  <c r="CZ27" i="41" s="1"/>
  <c r="CY27" i="41" a="1"/>
  <c r="CY27" i="41" s="1"/>
  <c r="CS27" i="41"/>
  <c r="CV27" i="41" a="1"/>
  <c r="CV27" i="41" s="1"/>
  <c r="CV10" i="41" a="1"/>
  <c r="CV10" i="41" s="1"/>
  <c r="CW10" i="41" a="1"/>
  <c r="CW10" i="41" s="1"/>
  <c r="CV5" i="41" a="1"/>
  <c r="CV5" i="41" s="1"/>
  <c r="CW5" i="41" a="1"/>
  <c r="CW5" i="41" s="1"/>
  <c r="CV9" i="41" a="1"/>
  <c r="CV9" i="41" s="1"/>
  <c r="CW9" i="41" a="1"/>
  <c r="CW9" i="41" s="1"/>
  <c r="CV16" i="41" a="1"/>
  <c r="CV16" i="41" s="1"/>
  <c r="CW16" i="41" a="1"/>
  <c r="CW16" i="41" s="1"/>
  <c r="CV17" i="41" a="1"/>
  <c r="CV17" i="41" s="1"/>
  <c r="CW17" i="41" a="1"/>
  <c r="CW17" i="41" s="1"/>
  <c r="CV8" i="41" a="1"/>
  <c r="CV8" i="41" s="1"/>
  <c r="CW8" i="41" a="1"/>
  <c r="CW8" i="41" s="1"/>
  <c r="CV12" i="41" a="1"/>
  <c r="CV12" i="41" s="1"/>
  <c r="CW12" i="41" a="1"/>
  <c r="CW12" i="41" s="1"/>
  <c r="CV6" i="41" a="1"/>
  <c r="CV6" i="41" s="1"/>
  <c r="CW6" i="41" a="1"/>
  <c r="CW6" i="41" s="1"/>
  <c r="CV4" i="41" a="1"/>
  <c r="CV4" i="41" s="1"/>
  <c r="CW4" i="41" a="1"/>
  <c r="CW4" i="41" s="1"/>
  <c r="CV14" i="41" a="1"/>
  <c r="CV14" i="41" s="1"/>
  <c r="CW14" i="41" a="1"/>
  <c r="CW14" i="41" s="1"/>
  <c r="CV15" i="41" a="1"/>
  <c r="CV15" i="41" s="1"/>
  <c r="CW15" i="41" a="1"/>
  <c r="CW15" i="41" s="1"/>
  <c r="CV7" i="41" a="1"/>
  <c r="CV7" i="41" s="1"/>
  <c r="CW7" i="41" a="1"/>
  <c r="CW7" i="41" s="1"/>
  <c r="CV19" i="41" a="1"/>
  <c r="CV19" i="41" s="1"/>
  <c r="CW19" i="41" a="1"/>
  <c r="CW19" i="41" s="1"/>
  <c r="CV11" i="41" a="1"/>
  <c r="CV11" i="41" s="1"/>
  <c r="CW11" i="41" a="1"/>
  <c r="CW11" i="41" s="1"/>
  <c r="CV3" i="41" a="1"/>
  <c r="CV3" i="41" s="1"/>
  <c r="CW3" i="41" a="1"/>
  <c r="CW3" i="41" s="1"/>
  <c r="CV18" i="41" a="1"/>
  <c r="CV18" i="41" s="1"/>
  <c r="CW18" i="41" a="1"/>
  <c r="CW18" i="41" s="1"/>
  <c r="CV13" i="41" a="1"/>
  <c r="CV13" i="41" s="1"/>
  <c r="CY13" i="41" s="1" a="1"/>
  <c r="CY13" i="41" s="1"/>
  <c r="CW13" i="41" a="1"/>
  <c r="CW13" i="41" s="1"/>
  <c r="CZ13" i="41" s="1" a="1"/>
  <c r="CZ13" i="41" s="1"/>
  <c r="CS12" i="41"/>
  <c r="CS9" i="41"/>
  <c r="CS15" i="41"/>
  <c r="CS4" i="41"/>
  <c r="CS14" i="41"/>
  <c r="CS11" i="41"/>
  <c r="CS18" i="41"/>
  <c r="CS3" i="41"/>
  <c r="CS10" i="41"/>
  <c r="CS13" i="41"/>
  <c r="CR6" i="41"/>
  <c r="CS6" i="41"/>
  <c r="CR5" i="41"/>
  <c r="CS5" i="41"/>
  <c r="CR16" i="41"/>
  <c r="CS16" i="41"/>
  <c r="CR17" i="41"/>
  <c r="CS17" i="41"/>
  <c r="CR8" i="41"/>
  <c r="CS8" i="41"/>
  <c r="CR7" i="41"/>
  <c r="CS7" i="41"/>
  <c r="CR19" i="41"/>
  <c r="CS19" i="41"/>
  <c r="CR9" i="41"/>
  <c r="CR12" i="41"/>
  <c r="CR15" i="41"/>
  <c r="CR4" i="41"/>
  <c r="CR14" i="41"/>
  <c r="CR11" i="41"/>
  <c r="CR18" i="41"/>
  <c r="CR3" i="41"/>
  <c r="CR10" i="41"/>
  <c r="CR13" i="41"/>
  <c r="CX32" i="41" a="1"/>
  <c r="CX32" i="41" s="1"/>
  <c r="H68" i="39" s="1"/>
  <c r="CP32" i="41"/>
  <c r="DA32" i="41"/>
  <c r="CO32" i="41"/>
  <c r="DB32" i="41"/>
  <c r="DC32" i="41"/>
  <c r="CQ32" i="41"/>
  <c r="CX27" i="41" a="1"/>
  <c r="CX27" i="41" s="1"/>
  <c r="H63" i="39" s="1"/>
  <c r="CQ27" i="41"/>
  <c r="DA27" i="41"/>
  <c r="DB27" i="41"/>
  <c r="CO27" i="41"/>
  <c r="DC27" i="41"/>
  <c r="CP27" i="41"/>
  <c r="CP26" i="41"/>
  <c r="CQ26" i="41"/>
  <c r="DA26" i="41"/>
  <c r="DB26" i="41"/>
  <c r="DC26" i="41"/>
  <c r="CX26" i="41" a="1"/>
  <c r="CX26" i="41" s="1"/>
  <c r="H62" i="39" s="1"/>
  <c r="CO26" i="41"/>
  <c r="CP18" i="41"/>
  <c r="CQ18" i="41"/>
  <c r="DB18" i="41"/>
  <c r="DC18" i="41" s="1"/>
  <c r="CP10" i="41"/>
  <c r="CQ10" i="41"/>
  <c r="DB10" i="41"/>
  <c r="DC10" i="41" s="1"/>
  <c r="CP25" i="41"/>
  <c r="CO25" i="41"/>
  <c r="CQ25" i="41"/>
  <c r="DC25" i="41"/>
  <c r="CX25" i="41" a="1"/>
  <c r="CX25" i="41" s="1"/>
  <c r="H61" i="39" s="1"/>
  <c r="DB25" i="41"/>
  <c r="DA25" i="41"/>
  <c r="CP17" i="41"/>
  <c r="CQ17" i="41"/>
  <c r="DB17" i="41"/>
  <c r="DC17" i="41" s="1"/>
  <c r="CP9" i="41"/>
  <c r="CQ9" i="41"/>
  <c r="DB9" i="41"/>
  <c r="DC9" i="41" s="1"/>
  <c r="CX24" i="41" a="1"/>
  <c r="CX24" i="41" s="1"/>
  <c r="H60" i="39" s="1"/>
  <c r="DA24" i="41"/>
  <c r="DB24" i="41"/>
  <c r="CP24" i="41"/>
  <c r="DC24" i="41"/>
  <c r="CQ24" i="41"/>
  <c r="CO24" i="41"/>
  <c r="CP8" i="41"/>
  <c r="DB8" i="41"/>
  <c r="DC8" i="41" s="1"/>
  <c r="CQ8" i="41"/>
  <c r="CX31" i="41" a="1"/>
  <c r="CX31" i="41" s="1"/>
  <c r="H67" i="39" s="1"/>
  <c r="CP31" i="41"/>
  <c r="DA31" i="41"/>
  <c r="CQ31" i="41"/>
  <c r="CO31" i="41"/>
  <c r="DC31" i="41"/>
  <c r="DB31" i="41"/>
  <c r="CX23" i="41" a="1"/>
  <c r="CX23" i="41" s="1"/>
  <c r="H59" i="39" s="1"/>
  <c r="CP23" i="41"/>
  <c r="CQ23" i="41"/>
  <c r="CO23" i="41"/>
  <c r="DA23" i="41"/>
  <c r="DB23" i="41"/>
  <c r="DC23" i="41"/>
  <c r="CQ15" i="41"/>
  <c r="CP15" i="41"/>
  <c r="DB15" i="41"/>
  <c r="DC15" i="41" s="1"/>
  <c r="CP7" i="41"/>
  <c r="CQ7" i="41"/>
  <c r="DB7" i="41"/>
  <c r="DC7" i="41" s="1"/>
  <c r="DB22" i="41"/>
  <c r="DC22" i="41"/>
  <c r="CX22" i="41" a="1"/>
  <c r="CX22" i="41" s="1"/>
  <c r="H58" i="39" s="1"/>
  <c r="CO22" i="41"/>
  <c r="CP22" i="41"/>
  <c r="CQ22" i="41"/>
  <c r="DA22" i="41"/>
  <c r="CP14" i="41"/>
  <c r="CQ14" i="41"/>
  <c r="DB14" i="41"/>
  <c r="DC14" i="41" s="1"/>
  <c r="CQ6" i="41"/>
  <c r="CP6" i="41"/>
  <c r="DB6" i="41"/>
  <c r="DC6" i="41" s="1"/>
  <c r="CO30" i="41"/>
  <c r="CQ30" i="41"/>
  <c r="DC30" i="41"/>
  <c r="CX30" i="41" a="1"/>
  <c r="CX30" i="41" s="1"/>
  <c r="H66" i="39" s="1"/>
  <c r="DA30" i="41"/>
  <c r="DB30" i="41"/>
  <c r="CP30" i="41"/>
  <c r="CX29" i="41" a="1"/>
  <c r="CX29" i="41" s="1"/>
  <c r="H65" i="39" s="1"/>
  <c r="CQ29" i="41"/>
  <c r="CO29" i="41"/>
  <c r="CP29" i="41"/>
  <c r="DB29" i="41"/>
  <c r="DC29" i="41"/>
  <c r="DA29" i="41"/>
  <c r="CX21" i="41" a="1"/>
  <c r="CX21" i="41" s="1"/>
  <c r="H57" i="39" s="1"/>
  <c r="CO21" i="41"/>
  <c r="CP21" i="41"/>
  <c r="DA21" i="41"/>
  <c r="DB21" i="41"/>
  <c r="DC21" i="41"/>
  <c r="CQ21" i="41"/>
  <c r="CP13" i="41"/>
  <c r="CQ13" i="41"/>
  <c r="DB13" i="41"/>
  <c r="DC13" i="41" s="1"/>
  <c r="CQ5" i="41"/>
  <c r="CP5" i="41"/>
  <c r="DB5" i="41"/>
  <c r="DC5" i="41" s="1"/>
  <c r="CP16" i="41"/>
  <c r="CQ16" i="41"/>
  <c r="DB16" i="41"/>
  <c r="DC16" i="41" s="1"/>
  <c r="CX28" i="41" a="1"/>
  <c r="CX28" i="41" s="1"/>
  <c r="H64" i="39" s="1"/>
  <c r="CP28" i="41"/>
  <c r="CO28" i="41"/>
  <c r="DB28" i="41"/>
  <c r="CQ28" i="41"/>
  <c r="DC28" i="41"/>
  <c r="DA28" i="41"/>
  <c r="CX20" i="41" a="1"/>
  <c r="CX20" i="41" s="1"/>
  <c r="H56" i="39" s="1"/>
  <c r="CO20" i="41"/>
  <c r="CP20" i="41"/>
  <c r="DA20" i="41"/>
  <c r="CQ20" i="41"/>
  <c r="DB20" i="41"/>
  <c r="DC20" i="41"/>
  <c r="CP12" i="41"/>
  <c r="CQ12" i="41"/>
  <c r="DB12" i="41"/>
  <c r="DC12" i="41" s="1"/>
  <c r="CP4" i="41"/>
  <c r="CQ4" i="41"/>
  <c r="DB4" i="41"/>
  <c r="DC4" i="41" s="1"/>
  <c r="CP19" i="41"/>
  <c r="CQ19" i="41"/>
  <c r="DB19" i="41"/>
  <c r="DC19" i="41" s="1"/>
  <c r="CP11" i="41"/>
  <c r="CQ11" i="41"/>
  <c r="DB11" i="41"/>
  <c r="DC11" i="41" s="1"/>
  <c r="CP3" i="41"/>
  <c r="CQ3" i="41"/>
  <c r="DB3" i="41"/>
  <c r="DC3" i="41" s="1"/>
  <c r="H18" i="39"/>
  <c r="I20" i="39"/>
  <c r="CU12" i="41" a="1"/>
  <c r="L14" i="41" a="1"/>
  <c r="CU32" i="41" a="1"/>
  <c r="CU17" i="41" a="1"/>
  <c r="CU6" i="41" a="1"/>
  <c r="CT3" i="41" a="1"/>
  <c r="CU11" i="41" a="1"/>
  <c r="CT20" i="41" a="1"/>
  <c r="CU9" i="41" a="1"/>
  <c r="CU23" i="41" a="1"/>
  <c r="CT30" i="41" a="1"/>
  <c r="CU27" i="41" a="1"/>
  <c r="CU20" i="41" a="1"/>
  <c r="CT10" i="41" a="1"/>
  <c r="CT4" i="41" a="1"/>
  <c r="L12" i="41" a="1"/>
  <c r="CU7" i="41" a="1"/>
  <c r="CU14" i="41" a="1"/>
  <c r="CU13" i="41" a="1"/>
  <c r="CT27" i="41" a="1"/>
  <c r="L13" i="41" a="1"/>
  <c r="Z51" i="41" a="1"/>
  <c r="CU31" i="41" a="1"/>
  <c r="CT15" i="41" a="1"/>
  <c r="CT25" i="41" a="1"/>
  <c r="CU29" i="41" a="1"/>
  <c r="CU30" i="41" a="1"/>
  <c r="CT8" i="41" a="1"/>
  <c r="CT26" i="41" a="1"/>
  <c r="Z49" i="41" a="1"/>
  <c r="CT7" i="41" a="1"/>
  <c r="CU5" i="41" a="1"/>
  <c r="CU26" i="41" a="1"/>
  <c r="CU3" i="41" a="1"/>
  <c r="CT24" i="41" a="1"/>
  <c r="CU24" i="41" a="1"/>
  <c r="CT18" i="41" a="1"/>
  <c r="CT13" i="41" a="1"/>
  <c r="CU15" i="41" a="1"/>
  <c r="CU4" i="41" a="1"/>
  <c r="CU16" i="41" a="1"/>
  <c r="CT9" i="41" a="1"/>
  <c r="CU28" i="41" a="1"/>
  <c r="CT28" i="41" a="1"/>
  <c r="CT14" i="41" a="1"/>
  <c r="CT16" i="41" a="1"/>
  <c r="CU8" i="41" a="1"/>
  <c r="CT5" i="41" a="1"/>
  <c r="CU18" i="41" a="1"/>
  <c r="CU10" i="41" a="1"/>
  <c r="CT12" i="41" a="1"/>
  <c r="CU22" i="41" a="1"/>
  <c r="CT17" i="41" a="1"/>
  <c r="CT19" i="41" a="1"/>
  <c r="CT11" i="41" a="1"/>
  <c r="CT23" i="41" a="1"/>
  <c r="CT29" i="41" a="1"/>
  <c r="CT6" i="41" a="1"/>
  <c r="CT22" i="41" a="1"/>
  <c r="L15" i="41" a="1"/>
  <c r="CU21" i="41" a="1"/>
  <c r="CU19" i="41" a="1"/>
  <c r="CU25" i="41" a="1"/>
  <c r="CY3" i="41" l="1" a="1"/>
  <c r="CY3" i="41" s="1"/>
  <c r="CZ19" i="41" a="1"/>
  <c r="CZ19" i="41" s="1"/>
  <c r="CZ4" i="41" a="1"/>
  <c r="CZ4" i="41" s="1"/>
  <c r="CZ17" i="41" a="1"/>
  <c r="CZ17" i="41" s="1"/>
  <c r="CZ10" i="41" a="1"/>
  <c r="CZ10" i="41" s="1"/>
  <c r="CY19" i="41" a="1"/>
  <c r="CY19" i="41" s="1"/>
  <c r="CY4" i="41" a="1"/>
  <c r="CY4" i="41" s="1"/>
  <c r="CY17" i="41" a="1"/>
  <c r="CY17" i="41" s="1"/>
  <c r="CY10" i="41" a="1"/>
  <c r="CY10" i="41" s="1"/>
  <c r="CZ18" i="41" a="1"/>
  <c r="CZ18" i="41" s="1"/>
  <c r="CZ7" i="41" a="1"/>
  <c r="CZ7" i="41" s="1"/>
  <c r="CZ6" i="41" a="1"/>
  <c r="CZ6" i="41" s="1"/>
  <c r="CZ16" i="41" a="1"/>
  <c r="CZ16" i="41" s="1"/>
  <c r="CY18" i="41" a="1"/>
  <c r="CY18" i="41" s="1"/>
  <c r="CY7" i="41" a="1"/>
  <c r="CY7" i="41" s="1"/>
  <c r="CY6" i="41" a="1"/>
  <c r="CY6" i="41" s="1"/>
  <c r="CY16" i="41" a="1"/>
  <c r="CY16" i="41" s="1"/>
  <c r="CZ3" i="41" a="1"/>
  <c r="CZ3" i="41" s="1"/>
  <c r="CZ15" i="41" a="1"/>
  <c r="CZ15" i="41" s="1"/>
  <c r="CZ12" i="41" a="1"/>
  <c r="CZ12" i="41" s="1"/>
  <c r="CZ9" i="41" a="1"/>
  <c r="CZ9" i="41" s="1"/>
  <c r="CY15" i="41" a="1"/>
  <c r="CY15" i="41" s="1"/>
  <c r="CY12" i="41" a="1"/>
  <c r="CY12" i="41" s="1"/>
  <c r="CY9" i="41" a="1"/>
  <c r="CY9" i="41" s="1"/>
  <c r="CZ11" i="41" a="1"/>
  <c r="CZ11" i="41" s="1"/>
  <c r="CZ14" i="41" a="1"/>
  <c r="CZ14" i="41" s="1"/>
  <c r="CZ8" i="41" a="1"/>
  <c r="CZ8" i="41" s="1"/>
  <c r="CZ5" i="41" a="1"/>
  <c r="CZ5" i="41" s="1"/>
  <c r="CY11" i="41" a="1"/>
  <c r="CY11" i="41" s="1"/>
  <c r="CY14" i="41" a="1"/>
  <c r="CY14" i="41" s="1"/>
  <c r="CY8" i="41" a="1"/>
  <c r="CY8" i="41" s="1"/>
  <c r="CY5" i="41" a="1"/>
  <c r="CY5" i="41" s="1"/>
  <c r="CX12" i="41" a="1"/>
  <c r="CX12" i="41" s="1"/>
  <c r="CX8" i="41" a="1"/>
  <c r="CX8" i="41" s="1"/>
  <c r="CX15" i="41" a="1"/>
  <c r="CX15" i="41" s="1"/>
  <c r="CX3" i="41" a="1"/>
  <c r="CX3" i="41" s="1"/>
  <c r="CX18" i="41" a="1"/>
  <c r="CX18" i="41" s="1"/>
  <c r="CX6" i="41" a="1"/>
  <c r="CX6" i="41" s="1"/>
  <c r="CX4" i="41" a="1"/>
  <c r="CX4" i="41" s="1"/>
  <c r="CX10" i="41" a="1"/>
  <c r="CX10" i="41" s="1"/>
  <c r="CX14" i="41" a="1"/>
  <c r="CX14" i="41" s="1"/>
  <c r="CX16" i="41" a="1"/>
  <c r="CX16" i="41" s="1"/>
  <c r="CX19" i="41" a="1"/>
  <c r="CX19" i="41" s="1"/>
  <c r="CX5" i="41" a="1"/>
  <c r="CX5" i="41" s="1"/>
  <c r="CX7" i="41" a="1"/>
  <c r="CX7" i="41" s="1"/>
  <c r="CX17" i="41" a="1"/>
  <c r="CX17" i="41" s="1"/>
  <c r="CU14" i="41"/>
  <c r="CT14" i="41"/>
  <c r="CU7" i="41"/>
  <c r="CT7" i="41"/>
  <c r="CU9" i="41"/>
  <c r="CT9" i="41"/>
  <c r="CU3" i="41"/>
  <c r="CT3" i="41"/>
  <c r="CU13" i="41"/>
  <c r="CT13" i="41"/>
  <c r="CU8" i="41"/>
  <c r="CT8" i="41"/>
  <c r="CT27" i="41"/>
  <c r="CU27" i="41"/>
  <c r="CT22" i="41"/>
  <c r="CU22" i="41"/>
  <c r="CU4" i="41"/>
  <c r="CT4" i="41"/>
  <c r="CT20" i="41"/>
  <c r="CU20" i="41"/>
  <c r="CT28" i="41"/>
  <c r="CU28" i="41"/>
  <c r="CU16" i="41"/>
  <c r="CT16" i="41"/>
  <c r="CT30" i="41"/>
  <c r="CU30" i="41"/>
  <c r="CU15" i="41"/>
  <c r="CT15" i="41"/>
  <c r="CT23" i="41"/>
  <c r="CU23" i="41"/>
  <c r="CU17" i="41"/>
  <c r="CT17" i="41"/>
  <c r="CU10" i="41"/>
  <c r="CT10" i="41"/>
  <c r="CU11" i="41"/>
  <c r="CT11" i="41"/>
  <c r="CT24" i="41"/>
  <c r="CU24" i="41"/>
  <c r="CU6" i="41"/>
  <c r="CT6" i="41"/>
  <c r="CT25" i="41"/>
  <c r="CU25" i="41"/>
  <c r="CT26" i="41"/>
  <c r="CU26" i="41"/>
  <c r="CU12" i="41"/>
  <c r="CT12" i="41"/>
  <c r="CU5" i="41"/>
  <c r="CT5" i="41"/>
  <c r="CU21" i="41"/>
  <c r="CU18" i="41"/>
  <c r="CT18" i="41"/>
  <c r="CU19" i="41"/>
  <c r="CT19" i="41"/>
  <c r="CT29" i="41"/>
  <c r="CU29" i="41"/>
  <c r="CU31" i="41"/>
  <c r="CU32" i="41"/>
  <c r="DD3" i="41" a="1"/>
  <c r="DD3" i="41" s="1"/>
  <c r="CX11" i="41" a="1"/>
  <c r="CX11" i="41" s="1"/>
  <c r="CX9" i="41" a="1"/>
  <c r="CX9" i="41" s="1"/>
  <c r="CX13" i="41" a="1"/>
  <c r="CX13" i="41" s="1"/>
  <c r="L14" i="41"/>
  <c r="L12" i="41"/>
  <c r="L15" i="41"/>
  <c r="L13" i="41"/>
  <c r="Z51" i="41"/>
  <c r="Z49" i="41"/>
  <c r="H17" i="39"/>
  <c r="H16" i="39"/>
  <c r="H19" i="39"/>
  <c r="I24" i="39" a="1"/>
  <c r="Z52" i="41" a="1"/>
  <c r="CT32" i="41" a="1"/>
  <c r="CT31" i="41" a="1"/>
  <c r="Z50" i="41" a="1"/>
  <c r="CT21" i="41" a="1"/>
  <c r="Z50" i="41" l="1"/>
  <c r="CT31" i="41"/>
  <c r="CT21" i="41"/>
  <c r="Z52" i="41"/>
  <c r="CT32" i="41"/>
  <c r="DA15" i="41"/>
  <c r="DA19" i="41"/>
  <c r="DA10" i="41"/>
  <c r="DA14" i="41"/>
  <c r="DA18" i="41"/>
  <c r="DA8" i="41"/>
  <c r="DA16" i="41"/>
  <c r="DA6" i="41"/>
  <c r="DA11" i="41"/>
  <c r="DA12" i="41"/>
  <c r="DA5" i="41"/>
  <c r="DA9" i="41"/>
  <c r="DD4" i="41" a="1"/>
  <c r="DD4" i="41" s="1"/>
  <c r="DG3" i="41"/>
  <c r="DA4" i="41"/>
  <c r="DA13" i="41"/>
  <c r="DA3" i="41"/>
  <c r="DE3" i="41" s="1"/>
  <c r="DF3" i="41" s="1"/>
  <c r="DA17" i="41"/>
  <c r="DA7" i="41"/>
  <c r="I24" i="39"/>
  <c r="I18" i="39"/>
  <c r="DE4" i="41" l="1"/>
  <c r="DD5" i="41" a="1"/>
  <c r="DD5" i="41" s="1"/>
  <c r="DG4" i="41"/>
  <c r="L16" i="41" a="1"/>
  <c r="L16" i="41" s="1"/>
  <c r="Z53" i="41" a="1"/>
  <c r="Z53" i="41" s="1"/>
  <c r="I17" i="39"/>
  <c r="I19" i="39"/>
  <c r="I16" i="39"/>
  <c r="DF4" i="41" l="1"/>
  <c r="DD6" i="41" a="1"/>
  <c r="DD6" i="41" s="1"/>
  <c r="DG5" i="41"/>
  <c r="DE5" i="41"/>
  <c r="DF5" i="41" s="1"/>
  <c r="K75" i="39"/>
  <c r="H24" i="39" a="1"/>
  <c r="DD7" i="41" l="1" a="1"/>
  <c r="DD7" i="41" s="1"/>
  <c r="DG6" i="41"/>
  <c r="DE6" i="41"/>
  <c r="DF6" i="41" s="1"/>
  <c r="H24" i="39"/>
  <c r="DD8" i="41" l="1" a="1"/>
  <c r="DD8" i="41" s="1"/>
  <c r="DG7" i="41"/>
  <c r="DE7" i="41"/>
  <c r="DF7" i="41" s="1"/>
  <c r="R84" i="39" a="1"/>
  <c r="R84" i="39" s="1"/>
  <c r="S84" i="39" s="1" a="1"/>
  <c r="S84" i="39" s="1"/>
  <c r="Z60" i="41" s="1" a="1"/>
  <c r="Z60" i="41" s="1"/>
  <c r="R87" i="39" a="1"/>
  <c r="R87" i="39" s="1"/>
  <c r="R86" i="39" a="1"/>
  <c r="R86" i="39" s="1"/>
  <c r="S86" i="39" s="1" a="1"/>
  <c r="S86" i="39" s="1"/>
  <c r="G49" i="43" s="1"/>
  <c r="R90" i="39" a="1"/>
  <c r="R90" i="39" s="1"/>
  <c r="R85" i="39" a="1"/>
  <c r="R85" i="39" s="1"/>
  <c r="S85" i="39" s="1" a="1"/>
  <c r="S85" i="39" s="1"/>
  <c r="Z62" i="41" s="1" a="1"/>
  <c r="Z62" i="41" s="1"/>
  <c r="R80" i="39" a="1"/>
  <c r="R80" i="39" s="1"/>
  <c r="S80" i="39" s="1" a="1"/>
  <c r="S80" i="39" s="1"/>
  <c r="R77" i="39" a="1"/>
  <c r="R77" i="39" s="1"/>
  <c r="R83" i="39" a="1"/>
  <c r="R83" i="39" s="1"/>
  <c r="S83" i="39" s="1" a="1"/>
  <c r="S83" i="39" s="1"/>
  <c r="Z61" i="41" s="1" a="1"/>
  <c r="Z61" i="41" s="1"/>
  <c r="R81" i="39" a="1"/>
  <c r="R81" i="39" s="1"/>
  <c r="S81" i="39" s="1" a="1"/>
  <c r="S81" i="39" s="1"/>
  <c r="Z63" i="41" s="1" a="1"/>
  <c r="Z63" i="41" s="1"/>
  <c r="R82" i="39" a="1"/>
  <c r="R82" i="39" s="1"/>
  <c r="S82" i="39" s="1" a="1"/>
  <c r="S82" i="39" s="1"/>
  <c r="Z64" i="41" s="1" a="1"/>
  <c r="Z64" i="41" s="1"/>
  <c r="R79" i="39" a="1"/>
  <c r="R79" i="39" s="1"/>
  <c r="S79" i="39" s="1" a="1"/>
  <c r="S79" i="39" s="1"/>
  <c r="R89" i="39" a="1"/>
  <c r="R89" i="39" s="1"/>
  <c r="R91" i="39" a="1"/>
  <c r="R91" i="39" s="1"/>
  <c r="R78" i="39" a="1"/>
  <c r="R78" i="39" s="1"/>
  <c r="S78" i="39" s="1" a="1"/>
  <c r="S78" i="39" s="1"/>
  <c r="R88" i="39" a="1"/>
  <c r="R88" i="39" s="1"/>
  <c r="DD9" i="41" l="1" a="1"/>
  <c r="DD9" i="41" s="1"/>
  <c r="DG8" i="41"/>
  <c r="DE8" i="41"/>
  <c r="S88" i="39" a="1"/>
  <c r="S88" i="39" s="1"/>
  <c r="AQ4" i="41" s="1"/>
  <c r="S91" i="39" a="1"/>
  <c r="S91" i="39" s="1"/>
  <c r="AQ7" i="41" s="1"/>
  <c r="S89" i="39" a="1"/>
  <c r="S89" i="39" s="1"/>
  <c r="AQ5" i="41" s="1"/>
  <c r="S90" i="39" a="1"/>
  <c r="S90" i="39" s="1"/>
  <c r="AQ6" i="41" s="1"/>
  <c r="S87" i="39" a="1"/>
  <c r="S87" i="39" s="1"/>
  <c r="AQ3" i="41" s="1"/>
  <c r="S77" i="39" a="1"/>
  <c r="S77" i="39" s="1"/>
  <c r="F49" i="43" s="1"/>
  <c r="G24" i="42"/>
  <c r="I49" i="43"/>
  <c r="L24" i="42"/>
  <c r="J49" i="43"/>
  <c r="M24" i="42"/>
  <c r="F24" i="42"/>
  <c r="K24" i="42"/>
  <c r="H49" i="43"/>
  <c r="K49" i="43"/>
  <c r="E24" i="42"/>
  <c r="D24" i="42"/>
  <c r="Z45" i="41" a="1"/>
  <c r="L20" i="41" a="1"/>
  <c r="Z45" i="41" l="1"/>
  <c r="L20" i="41"/>
  <c r="DF8" i="41"/>
  <c r="DD10" i="41" a="1"/>
  <c r="DD10" i="41" s="1"/>
  <c r="DG9" i="41"/>
  <c r="DE9" i="41"/>
  <c r="DF9" i="41" s="1"/>
  <c r="DD11" i="41" l="1" a="1"/>
  <c r="DD11" i="41" s="1"/>
  <c r="DG10" i="41"/>
  <c r="DE10" i="41"/>
  <c r="DF10" i="41" l="1"/>
  <c r="DD12" i="41" a="1"/>
  <c r="DD12" i="41" s="1"/>
  <c r="DG11" i="41"/>
  <c r="DE11" i="41"/>
  <c r="DF11" i="41" s="1"/>
  <c r="F33" i="42"/>
  <c r="E26" i="42"/>
  <c r="E29" i="42"/>
  <c r="F28" i="42"/>
  <c r="F30" i="42"/>
  <c r="G30" i="42"/>
  <c r="E32" i="42"/>
  <c r="G31" i="42"/>
  <c r="F35" i="42"/>
  <c r="F34" i="42"/>
  <c r="F32" i="42"/>
  <c r="E33" i="42"/>
  <c r="G32" i="42"/>
  <c r="E27" i="42"/>
  <c r="F31" i="42"/>
  <c r="G33" i="42"/>
  <c r="E34" i="42"/>
  <c r="E35" i="42"/>
  <c r="G27" i="42"/>
  <c r="G35" i="42"/>
  <c r="G34" i="42"/>
  <c r="F29" i="42"/>
  <c r="G29" i="42"/>
  <c r="F27" i="42"/>
  <c r="G28" i="42"/>
  <c r="E28" i="42"/>
  <c r="E30" i="42"/>
  <c r="E31" i="42"/>
  <c r="DD13" i="41" l="1" a="1"/>
  <c r="DD13" i="41" s="1"/>
  <c r="DG12" i="41"/>
  <c r="DE12" i="41"/>
  <c r="G26" i="42"/>
  <c r="CI3" i="41"/>
  <c r="K26" i="42" s="1"/>
  <c r="DF12" i="41" l="1"/>
  <c r="DD14" i="41" a="1"/>
  <c r="DD14" i="41" s="1"/>
  <c r="DG13" i="41"/>
  <c r="DE13" i="41"/>
  <c r="CJ3" i="41"/>
  <c r="F26" i="42"/>
  <c r="DD15" i="41" l="1" a="1"/>
  <c r="DD15" i="41" s="1"/>
  <c r="DG14" i="41"/>
  <c r="DE14" i="41"/>
  <c r="DF14" i="41" s="1"/>
  <c r="DF13" i="41"/>
  <c r="CK3" i="41"/>
  <c r="M26" i="42" s="1"/>
  <c r="L26" i="42"/>
  <c r="H44" i="39"/>
  <c r="H50" i="39"/>
  <c r="H47" i="39"/>
  <c r="H42" i="39"/>
  <c r="H53" i="39"/>
  <c r="H52" i="39"/>
  <c r="H45" i="39"/>
  <c r="H54" i="39"/>
  <c r="H39" i="39"/>
  <c r="H46" i="39"/>
  <c r="H41" i="39"/>
  <c r="H49" i="39"/>
  <c r="H43" i="39"/>
  <c r="H40" i="39"/>
  <c r="H51" i="39"/>
  <c r="H48" i="39"/>
  <c r="H55" i="39"/>
  <c r="DD16" i="41" l="1" a="1"/>
  <c r="DD16" i="41" s="1"/>
  <c r="DG15" i="41"/>
  <c r="DE15" i="41"/>
  <c r="DF15" i="41" s="1"/>
  <c r="DD17" i="41" l="1" a="1"/>
  <c r="DD17" i="41" s="1"/>
  <c r="DG16" i="41"/>
  <c r="DE16" i="41"/>
  <c r="DF16" i="41" s="1"/>
  <c r="DD18" i="41" l="1" a="1"/>
  <c r="DD18" i="41" s="1"/>
  <c r="DG17" i="41"/>
  <c r="DE17" i="41"/>
  <c r="DF17" i="41" s="1"/>
  <c r="DD19" i="41" l="1" a="1"/>
  <c r="DD19" i="41" s="1"/>
  <c r="DG18" i="41"/>
  <c r="DE18" i="41"/>
  <c r="DF18" i="41" l="1"/>
  <c r="DE19" i="41"/>
  <c r="DG19" i="41"/>
  <c r="DD20" i="41" a="1"/>
  <c r="DD20" i="41" s="1"/>
  <c r="DF19" i="41" l="1"/>
  <c r="DE20" i="41"/>
  <c r="DD21" i="41" a="1"/>
  <c r="DD21" i="41" s="1"/>
  <c r="DL20" i="41"/>
  <c r="DG20" i="41"/>
  <c r="DF20" i="41"/>
  <c r="DM20" i="41"/>
  <c r="DH20" i="41"/>
  <c r="DJ20" i="41"/>
  <c r="DI20" i="41"/>
  <c r="DK20" i="41" s="1" a="1"/>
  <c r="DK20" i="41" s="1"/>
  <c r="DS20" i="41" l="1"/>
  <c r="K68" i="43" s="1"/>
  <c r="DT20" i="41"/>
  <c r="H68" i="43" s="1"/>
  <c r="DO20" i="41" a="1"/>
  <c r="DO20" i="41" s="1"/>
  <c r="F68" i="43" s="1"/>
  <c r="DV20" i="41"/>
  <c r="J68" i="43" s="1"/>
  <c r="DU20" i="41"/>
  <c r="I68" i="43" s="1"/>
  <c r="DP20" i="41"/>
  <c r="E68" i="43" s="1"/>
  <c r="DQ20" i="41" a="1"/>
  <c r="DQ20" i="41" s="1"/>
  <c r="G68" i="43" s="1"/>
  <c r="DN20" i="41" a="1"/>
  <c r="DN20" i="41" s="1"/>
  <c r="DR20" i="41"/>
  <c r="D68" i="43" s="1"/>
  <c r="DE21" i="41"/>
  <c r="DD22" i="41" a="1"/>
  <c r="DD22" i="41" s="1"/>
  <c r="DL21" i="41"/>
  <c r="DF21" i="41"/>
  <c r="DM21" i="41"/>
  <c r="DG21" i="41"/>
  <c r="DH21" i="41"/>
  <c r="DI21" i="41"/>
  <c r="DK21" i="41" s="1" a="1"/>
  <c r="DK21" i="41" s="1"/>
  <c r="DJ21" i="41"/>
  <c r="DN21" i="41" l="1" a="1"/>
  <c r="DN21" i="41" s="1"/>
  <c r="DR21" i="41"/>
  <c r="D69" i="43" s="1"/>
  <c r="DS21" i="41"/>
  <c r="K69" i="43" s="1"/>
  <c r="DT21" i="41"/>
  <c r="H69" i="43" s="1"/>
  <c r="DV21" i="41"/>
  <c r="J69" i="43" s="1"/>
  <c r="DO21" i="41" a="1"/>
  <c r="DO21" i="41" s="1"/>
  <c r="F69" i="43" s="1"/>
  <c r="DU21" i="41"/>
  <c r="I69" i="43" s="1"/>
  <c r="DP21" i="41"/>
  <c r="E69" i="43" s="1"/>
  <c r="DQ21" i="41" a="1"/>
  <c r="DQ21" i="41" s="1"/>
  <c r="G69" i="43" s="1"/>
  <c r="DM22" i="41"/>
  <c r="DE22" i="41"/>
  <c r="DD23" i="41" a="1"/>
  <c r="DD23" i="41" s="1"/>
  <c r="DL22" i="41"/>
  <c r="DG22" i="41"/>
  <c r="DH22" i="41"/>
  <c r="DI22" i="41"/>
  <c r="DK22" i="41" s="1" a="1"/>
  <c r="DK22" i="41" s="1"/>
  <c r="DJ22" i="41"/>
  <c r="DF22" i="41"/>
  <c r="DN22" i="41" l="1" a="1"/>
  <c r="DN22" i="41" s="1"/>
  <c r="DR22" i="41"/>
  <c r="D70" i="43" s="1"/>
  <c r="DS22" i="41"/>
  <c r="K70" i="43" s="1"/>
  <c r="DT22" i="41"/>
  <c r="H70" i="43" s="1"/>
  <c r="DO22" i="41" a="1"/>
  <c r="DO22" i="41" s="1"/>
  <c r="F70" i="43" s="1"/>
  <c r="DU22" i="41"/>
  <c r="I70" i="43" s="1"/>
  <c r="DV22" i="41"/>
  <c r="J70" i="43" s="1"/>
  <c r="DQ22" i="41" a="1"/>
  <c r="DQ22" i="41" s="1"/>
  <c r="G70" i="43" s="1"/>
  <c r="DP22" i="41"/>
  <c r="E70" i="43" s="1"/>
  <c r="DH23" i="41"/>
  <c r="DD24" i="41" a="1"/>
  <c r="DD24" i="41" s="1"/>
  <c r="DI23" i="41"/>
  <c r="DK23" i="41" s="1" a="1"/>
  <c r="DK23" i="41" s="1"/>
  <c r="DJ23" i="41"/>
  <c r="DE23" i="41"/>
  <c r="DL23" i="41"/>
  <c r="DF23" i="41"/>
  <c r="DM23" i="41"/>
  <c r="DG23" i="41"/>
  <c r="DH24" i="41" l="1"/>
  <c r="DF24" i="41"/>
  <c r="DI24" i="41"/>
  <c r="DK24" i="41" s="1" a="1"/>
  <c r="DK24" i="41" s="1"/>
  <c r="DD25" i="41" a="1"/>
  <c r="DD25" i="41" s="1"/>
  <c r="DJ24" i="41"/>
  <c r="DE24" i="41"/>
  <c r="DL24" i="41"/>
  <c r="DM24" i="41"/>
  <c r="DG24" i="41"/>
  <c r="DR23" i="41"/>
  <c r="D71" i="43" s="1"/>
  <c r="DS23" i="41"/>
  <c r="K71" i="43" s="1"/>
  <c r="DT23" i="41"/>
  <c r="H71" i="43" s="1"/>
  <c r="DO23" i="41" a="1"/>
  <c r="DO23" i="41" s="1"/>
  <c r="F71" i="43" s="1"/>
  <c r="DU23" i="41"/>
  <c r="I71" i="43" s="1"/>
  <c r="DV23" i="41"/>
  <c r="J71" i="43" s="1"/>
  <c r="DP23" i="41"/>
  <c r="E71" i="43" s="1"/>
  <c r="DQ23" i="41" a="1"/>
  <c r="DQ23" i="41" s="1"/>
  <c r="G71" i="43" s="1"/>
  <c r="DN23" i="41" a="1"/>
  <c r="DN23" i="41" s="1"/>
  <c r="DN24" i="41" l="1" a="1"/>
  <c r="DN24" i="41" s="1"/>
  <c r="DU24" i="41"/>
  <c r="I72" i="43" s="1"/>
  <c r="DV24" i="41"/>
  <c r="J72" i="43" s="1"/>
  <c r="DP24" i="41"/>
  <c r="E72" i="43" s="1"/>
  <c r="DQ24" i="41" a="1"/>
  <c r="DQ24" i="41" s="1"/>
  <c r="G72" i="43" s="1"/>
  <c r="DR24" i="41"/>
  <c r="D72" i="43" s="1"/>
  <c r="DT24" i="41"/>
  <c r="H72" i="43" s="1"/>
  <c r="DO24" i="41" a="1"/>
  <c r="DO24" i="41" s="1"/>
  <c r="F72" i="43" s="1"/>
  <c r="DS24" i="41"/>
  <c r="K72" i="43" s="1"/>
  <c r="DM25" i="41"/>
  <c r="DL25" i="41"/>
  <c r="DD26" i="41" a="1"/>
  <c r="DD26" i="41" s="1"/>
  <c r="DF25" i="41"/>
  <c r="DG25" i="41"/>
  <c r="DH25" i="41"/>
  <c r="DI25" i="41"/>
  <c r="DK25" i="41" s="1" a="1"/>
  <c r="DK25" i="41" s="1"/>
  <c r="DJ25" i="41"/>
  <c r="DE25" i="41"/>
  <c r="DM26" i="41" l="1"/>
  <c r="DD27" i="41" a="1"/>
  <c r="DD27" i="41" s="1"/>
  <c r="DI26" i="41"/>
  <c r="DK26" i="41" s="1" a="1"/>
  <c r="DK26" i="41" s="1"/>
  <c r="DJ26" i="41"/>
  <c r="DE26" i="41"/>
  <c r="DL26" i="41"/>
  <c r="DF26" i="41"/>
  <c r="DG26" i="41"/>
  <c r="DH26" i="41"/>
  <c r="DT25" i="41"/>
  <c r="H73" i="43" s="1"/>
  <c r="DS25" i="41"/>
  <c r="K73" i="43" s="1"/>
  <c r="DO25" i="41" a="1"/>
  <c r="DO25" i="41" s="1"/>
  <c r="F73" i="43" s="1"/>
  <c r="DN25" i="41" a="1"/>
  <c r="DN25" i="41" s="1"/>
  <c r="DU25" i="41"/>
  <c r="I73" i="43" s="1"/>
  <c r="DR25" i="41"/>
  <c r="D73" i="43" s="1"/>
  <c r="DV25" i="41"/>
  <c r="J73" i="43" s="1"/>
  <c r="DP25" i="41"/>
  <c r="E73" i="43" s="1"/>
  <c r="DQ25" i="41" a="1"/>
  <c r="DQ25" i="41" s="1"/>
  <c r="G73" i="43" s="1"/>
  <c r="DJ27" i="41" l="1"/>
  <c r="DF27" i="41"/>
  <c r="DD28" i="41" a="1"/>
  <c r="DD28" i="41" s="1"/>
  <c r="DG27" i="41"/>
  <c r="DI27" i="41"/>
  <c r="DK27" i="41" s="1" a="1"/>
  <c r="DK27" i="41" s="1"/>
  <c r="DH27" i="41"/>
  <c r="DE27" i="41"/>
  <c r="DL27" i="41"/>
  <c r="DM27" i="41"/>
  <c r="DN26" i="41" a="1"/>
  <c r="DN26" i="41" s="1"/>
  <c r="DS26" i="41"/>
  <c r="K74" i="43" s="1"/>
  <c r="DT26" i="41"/>
  <c r="H74" i="43" s="1"/>
  <c r="DV26" i="41"/>
  <c r="J74" i="43" s="1"/>
  <c r="DP26" i="41"/>
  <c r="E74" i="43" s="1"/>
  <c r="DQ26" i="41" a="1"/>
  <c r="DQ26" i="41" s="1"/>
  <c r="G74" i="43" s="1"/>
  <c r="DO26" i="41" a="1"/>
  <c r="DO26" i="41" s="1"/>
  <c r="F74" i="43" s="1"/>
  <c r="DU26" i="41"/>
  <c r="I74" i="43" s="1"/>
  <c r="DR26" i="41"/>
  <c r="D74" i="43" s="1"/>
  <c r="DF28" i="41" l="1"/>
  <c r="DL28" i="41"/>
  <c r="DE28" i="41"/>
  <c r="DD29" i="41" a="1"/>
  <c r="DD29" i="41" s="1"/>
  <c r="DG28" i="41"/>
  <c r="DH28" i="41"/>
  <c r="DI28" i="41"/>
  <c r="DK28" i="41" s="1" a="1"/>
  <c r="DK28" i="41" s="1"/>
  <c r="DJ28" i="41"/>
  <c r="DM28" i="41"/>
  <c r="DU27" i="41"/>
  <c r="I75" i="43" s="1"/>
  <c r="DT27" i="41"/>
  <c r="H75" i="43" s="1"/>
  <c r="DV27" i="41"/>
  <c r="J75" i="43" s="1"/>
  <c r="DO27" i="41" a="1"/>
  <c r="DO27" i="41" s="1"/>
  <c r="F75" i="43" s="1"/>
  <c r="DQ27" i="41" a="1"/>
  <c r="DQ27" i="41" s="1"/>
  <c r="G75" i="43" s="1"/>
  <c r="DR27" i="41"/>
  <c r="D75" i="43" s="1"/>
  <c r="DN27" i="41" a="1"/>
  <c r="DN27" i="41" s="1"/>
  <c r="DS27" i="41"/>
  <c r="K75" i="43" s="1"/>
  <c r="DP27" i="41"/>
  <c r="E75" i="43" s="1"/>
  <c r="DM29" i="41" l="1"/>
  <c r="DE29" i="41"/>
  <c r="DD30" i="41" a="1"/>
  <c r="DD30" i="41" s="1"/>
  <c r="DL29" i="41"/>
  <c r="DG29" i="41"/>
  <c r="DH29" i="41"/>
  <c r="DI29" i="41"/>
  <c r="DK29" i="41" s="1" a="1"/>
  <c r="DK29" i="41" s="1"/>
  <c r="DJ29" i="41"/>
  <c r="DF29" i="41"/>
  <c r="DN28" i="41" a="1"/>
  <c r="DN28" i="41" s="1"/>
  <c r="DR28" i="41"/>
  <c r="D76" i="43" s="1"/>
  <c r="DT28" i="41"/>
  <c r="H76" i="43" s="1"/>
  <c r="DO28" i="41" a="1"/>
  <c r="DO28" i="41" s="1"/>
  <c r="F76" i="43" s="1"/>
  <c r="DU28" i="41"/>
  <c r="I76" i="43" s="1"/>
  <c r="DV28" i="41"/>
  <c r="J76" i="43" s="1"/>
  <c r="DP28" i="41"/>
  <c r="E76" i="43" s="1"/>
  <c r="DQ28" i="41" a="1"/>
  <c r="DQ28" i="41" s="1"/>
  <c r="G76" i="43" s="1"/>
  <c r="DS28" i="41"/>
  <c r="K76" i="43" s="1"/>
  <c r="DF30" i="41" l="1"/>
  <c r="DD31" i="41" a="1"/>
  <c r="DD31" i="41" s="1"/>
  <c r="DJ30" i="41"/>
  <c r="DI30" i="41"/>
  <c r="DK30" i="41" s="1" a="1"/>
  <c r="DK30" i="41" s="1"/>
  <c r="DE30" i="41"/>
  <c r="DL30" i="41"/>
  <c r="DM30" i="41"/>
  <c r="DH30" i="41"/>
  <c r="DG30" i="41"/>
  <c r="DQ29" i="41" a="1"/>
  <c r="DQ29" i="41" s="1"/>
  <c r="G77" i="43" s="1"/>
  <c r="DN29" i="41" a="1"/>
  <c r="DN29" i="41" s="1"/>
  <c r="DR29" i="41"/>
  <c r="D77" i="43" s="1"/>
  <c r="DS29" i="41"/>
  <c r="K77" i="43" s="1"/>
  <c r="DT29" i="41"/>
  <c r="H77" i="43" s="1"/>
  <c r="DO29" i="41" a="1"/>
  <c r="DO29" i="41" s="1"/>
  <c r="F77" i="43" s="1"/>
  <c r="DU29" i="41"/>
  <c r="I77" i="43" s="1"/>
  <c r="DV29" i="41"/>
  <c r="J77" i="43" s="1"/>
  <c r="DP29" i="41"/>
  <c r="E77" i="43" s="1"/>
  <c r="DV30" i="41" l="1"/>
  <c r="J78" i="43" s="1"/>
  <c r="DO30" i="41" a="1"/>
  <c r="DO30" i="41" s="1"/>
  <c r="F78" i="43" s="1"/>
  <c r="DU30" i="41"/>
  <c r="I78" i="43" s="1"/>
  <c r="DP30" i="41"/>
  <c r="E78" i="43" s="1"/>
  <c r="DQ30" i="41" a="1"/>
  <c r="DQ30" i="41" s="1"/>
  <c r="G78" i="43" s="1"/>
  <c r="DS30" i="41"/>
  <c r="K78" i="43" s="1"/>
  <c r="DR30" i="41"/>
  <c r="D78" i="43" s="1"/>
  <c r="DN30" i="41" a="1"/>
  <c r="DN30" i="41" s="1"/>
  <c r="DT30" i="41"/>
  <c r="H78" i="43" s="1"/>
  <c r="DI31" i="41"/>
  <c r="DK31" i="41" s="1" a="1"/>
  <c r="DK31" i="41" s="1"/>
  <c r="DF31" i="41"/>
  <c r="DD32" i="41" a="1"/>
  <c r="DD32" i="41" s="1"/>
  <c r="DG31" i="41"/>
  <c r="DH31" i="41"/>
  <c r="DJ31" i="41"/>
  <c r="DE31" i="41"/>
  <c r="DL31" i="41"/>
  <c r="DM31" i="41"/>
  <c r="DH32" i="41" l="1"/>
  <c r="DI32" i="41"/>
  <c r="DK32" i="41" s="1" a="1"/>
  <c r="DK32" i="41" s="1"/>
  <c r="DJ32" i="41"/>
  <c r="DE32" i="41"/>
  <c r="DH19" i="41" s="1"/>
  <c r="DL32" i="41"/>
  <c r="DF32" i="41"/>
  <c r="DI19" i="41" s="1"/>
  <c r="DK19" i="41" s="1" a="1"/>
  <c r="DK19" i="41" s="1"/>
  <c r="DM32" i="41"/>
  <c r="DG32" i="41"/>
  <c r="DJ19" i="41" s="1"/>
  <c r="DV31" i="41"/>
  <c r="J79" i="43" s="1"/>
  <c r="DR31" i="41"/>
  <c r="D79" i="43" s="1"/>
  <c r="DQ31" i="41" a="1"/>
  <c r="DQ31" i="41" s="1"/>
  <c r="G79" i="43" s="1"/>
  <c r="DN31" i="41" a="1"/>
  <c r="DN31" i="41" s="1"/>
  <c r="DS31" i="41"/>
  <c r="K79" i="43" s="1"/>
  <c r="DT31" i="41"/>
  <c r="H79" i="43" s="1"/>
  <c r="DU31" i="41"/>
  <c r="I79" i="43" s="1"/>
  <c r="DO31" i="41" a="1"/>
  <c r="DO31" i="41" s="1"/>
  <c r="F79" i="43" s="1"/>
  <c r="DP31" i="41"/>
  <c r="E79" i="43" s="1"/>
  <c r="DT32" i="41" l="1"/>
  <c r="H80" i="43" s="1"/>
  <c r="DS32" i="41"/>
  <c r="K80" i="43" s="1"/>
  <c r="DO32" i="41" a="1"/>
  <c r="DO32" i="41" s="1"/>
  <c r="F80" i="43" s="1"/>
  <c r="DU32" i="41"/>
  <c r="I80" i="43" s="1"/>
  <c r="DP32" i="41"/>
  <c r="E80" i="43" s="1"/>
  <c r="DQ32" i="41" a="1"/>
  <c r="DQ32" i="41" s="1"/>
  <c r="G80" i="43" s="1"/>
  <c r="DR32" i="41"/>
  <c r="D80" i="43" s="1"/>
  <c r="DN32" i="41" a="1"/>
  <c r="DN32" i="41" s="1"/>
  <c r="DV32" i="41"/>
  <c r="J80" i="43" s="1"/>
  <c r="DI5" i="41"/>
  <c r="DI4" i="41"/>
  <c r="DI3" i="41"/>
  <c r="DI6" i="41"/>
  <c r="DI7" i="41"/>
  <c r="DK7" i="41" s="1" a="1"/>
  <c r="DK7" i="41" s="1"/>
  <c r="DI8" i="41"/>
  <c r="DI11" i="41"/>
  <c r="DK11" i="41" s="1" a="1"/>
  <c r="DK11" i="41" s="1"/>
  <c r="DI10" i="41"/>
  <c r="DI14" i="41"/>
  <c r="DI9" i="41"/>
  <c r="DI13" i="41"/>
  <c r="DI12" i="41"/>
  <c r="DK12" i="41" s="1" a="1"/>
  <c r="DK12" i="41" s="1"/>
  <c r="DI15" i="41"/>
  <c r="DI16" i="41"/>
  <c r="DK16" i="41" s="1" a="1"/>
  <c r="DK16" i="41" s="1"/>
  <c r="DI17" i="41"/>
  <c r="DK17" i="41" s="1" a="1"/>
  <c r="DK17" i="41" s="1"/>
  <c r="DI18" i="41"/>
  <c r="Z67" i="41" a="1"/>
  <c r="Z67" i="41" s="1"/>
  <c r="DJ3" i="41"/>
  <c r="DJ4" i="41"/>
  <c r="DJ5" i="41"/>
  <c r="DJ6" i="41"/>
  <c r="DJ10" i="41"/>
  <c r="DJ7" i="41"/>
  <c r="DJ11" i="41"/>
  <c r="DJ9" i="41"/>
  <c r="DJ8" i="41"/>
  <c r="DJ14" i="41"/>
  <c r="DJ12" i="41"/>
  <c r="DJ13" i="41"/>
  <c r="DJ15" i="41"/>
  <c r="DJ16" i="41"/>
  <c r="DJ17" i="41"/>
  <c r="DJ18" i="41"/>
  <c r="DH3" i="41"/>
  <c r="DH5" i="41"/>
  <c r="DH4" i="41"/>
  <c r="DH7" i="41"/>
  <c r="DH6" i="41"/>
  <c r="DH8" i="41"/>
  <c r="DH9" i="41"/>
  <c r="DH12" i="41"/>
  <c r="DH10" i="41"/>
  <c r="DH11" i="41"/>
  <c r="DH13" i="41"/>
  <c r="DH14" i="41"/>
  <c r="DH16" i="41"/>
  <c r="DH15" i="41"/>
  <c r="DH17" i="41"/>
  <c r="DH18" i="41"/>
  <c r="DK8" i="41" l="1" a="1"/>
  <c r="DK8" i="41" s="1"/>
  <c r="DK13" i="41" a="1"/>
  <c r="DK13" i="41" s="1"/>
  <c r="DK3" i="41" a="1"/>
  <c r="DK3" i="41" s="1"/>
  <c r="DL3" i="41" s="1"/>
  <c r="DK6" i="41" a="1"/>
  <c r="DK6" i="41" s="1"/>
  <c r="DK9" i="41" a="1"/>
  <c r="DK9" i="41" s="1"/>
  <c r="DK4" i="41" a="1"/>
  <c r="DK4" i="41" s="1"/>
  <c r="DK15" i="41" a="1"/>
  <c r="DK15" i="41" s="1"/>
  <c r="DK14" i="41" a="1"/>
  <c r="DK14" i="41" s="1"/>
  <c r="DK5" i="41" a="1"/>
  <c r="DK5" i="41" s="1"/>
  <c r="DK18" i="41" a="1"/>
  <c r="DK18" i="41" s="1"/>
  <c r="DK10" i="41" a="1"/>
  <c r="DK10" i="41" s="1"/>
  <c r="DL19" i="41" l="1"/>
  <c r="DL15" i="41"/>
  <c r="DL14" i="41"/>
  <c r="DL16" i="41"/>
  <c r="DL4" i="41"/>
  <c r="DL13" i="41"/>
  <c r="DL12" i="41"/>
  <c r="DL5" i="41"/>
  <c r="DL6" i="41"/>
  <c r="DL7" i="41"/>
  <c r="DL11" i="41"/>
  <c r="DL17" i="41"/>
  <c r="DL8" i="41"/>
  <c r="DL18" i="41"/>
  <c r="DL10" i="41"/>
  <c r="DL9" i="41"/>
  <c r="DM10" i="41" l="1"/>
  <c r="DM18" i="41"/>
  <c r="DP18" i="41" s="1"/>
  <c r="E66" i="43" s="1"/>
  <c r="DM13" i="41"/>
  <c r="DT13" i="41" s="1"/>
  <c r="H61" i="43" s="1"/>
  <c r="DM19" i="41"/>
  <c r="DN19" i="41" s="1" a="1"/>
  <c r="DN19" i="41" s="1"/>
  <c r="DO19" i="41" s="1" a="1"/>
  <c r="DO19" i="41" s="1"/>
  <c r="F67" i="43" s="1"/>
  <c r="DM4" i="41"/>
  <c r="DM17" i="41"/>
  <c r="DT17" i="41" s="1"/>
  <c r="H65" i="43" s="1"/>
  <c r="DM9" i="41"/>
  <c r="DN9" i="41" s="1" a="1"/>
  <c r="DN9" i="41" s="1"/>
  <c r="DO9" i="41" s="1" a="1"/>
  <c r="DO9" i="41" s="1"/>
  <c r="F57" i="43" s="1"/>
  <c r="DM6" i="41"/>
  <c r="DN6" i="41" s="1" a="1"/>
  <c r="DN6" i="41" s="1"/>
  <c r="DO6" i="41" s="1" a="1"/>
  <c r="DO6" i="41" s="1"/>
  <c r="F54" i="43" s="1"/>
  <c r="DM15" i="41"/>
  <c r="DU15" i="41" s="1"/>
  <c r="I63" i="43" s="1"/>
  <c r="DM8" i="41"/>
  <c r="DV8" i="41" s="1"/>
  <c r="J56" i="43" s="1"/>
  <c r="DM7" i="41"/>
  <c r="DT7" i="41" s="1"/>
  <c r="H55" i="43" s="1"/>
  <c r="DM14" i="41"/>
  <c r="DV14" i="41" s="1"/>
  <c r="J62" i="43" s="1"/>
  <c r="DM11" i="41"/>
  <c r="DU11" i="41" s="1"/>
  <c r="I59" i="43" s="1"/>
  <c r="DM3" i="41"/>
  <c r="DS3" i="41" s="1"/>
  <c r="K51" i="43" s="1"/>
  <c r="DM5" i="41"/>
  <c r="DU5" i="41" s="1"/>
  <c r="I53" i="43" s="1"/>
  <c r="DM12" i="41"/>
  <c r="DT12" i="41" s="1"/>
  <c r="H60" i="43" s="1"/>
  <c r="DM16" i="41"/>
  <c r="DU16" i="41" s="1"/>
  <c r="I64" i="43" s="1"/>
  <c r="DN13" i="41" a="1"/>
  <c r="DN13" i="41" s="1"/>
  <c r="DO13" i="41" s="1" a="1"/>
  <c r="DO13" i="41" s="1"/>
  <c r="F61" i="43" s="1"/>
  <c r="DP13" i="41"/>
  <c r="E61" i="43" s="1"/>
  <c r="DT10" i="41"/>
  <c r="H58" i="43" s="1"/>
  <c r="DV10" i="41"/>
  <c r="J58" i="43" s="1"/>
  <c r="DU10" i="41"/>
  <c r="I58" i="43" s="1"/>
  <c r="DN10" i="41" a="1"/>
  <c r="DN10" i="41" s="1"/>
  <c r="DO10" i="41" s="1" a="1"/>
  <c r="DO10" i="41" s="1"/>
  <c r="F58" i="43" s="1"/>
  <c r="DP10" i="41"/>
  <c r="E58" i="43" s="1"/>
  <c r="DS10" i="41"/>
  <c r="K58" i="43" s="1"/>
  <c r="DU18" i="41"/>
  <c r="I66" i="43" s="1"/>
  <c r="DT18" i="41"/>
  <c r="H66" i="43" s="1"/>
  <c r="DV18" i="41"/>
  <c r="J66" i="43" s="1"/>
  <c r="DS18" i="41"/>
  <c r="K66" i="43" s="1"/>
  <c r="DV4" i="41"/>
  <c r="J52" i="43" s="1"/>
  <c r="DN4" i="41" a="1"/>
  <c r="DN4" i="41" s="1"/>
  <c r="DO4" i="41" s="1" a="1"/>
  <c r="DO4" i="41" s="1"/>
  <c r="F52" i="43" s="1"/>
  <c r="DU4" i="41"/>
  <c r="I52" i="43" s="1"/>
  <c r="DP4" i="41"/>
  <c r="E52" i="43" s="1"/>
  <c r="DT4" i="41"/>
  <c r="H52" i="43" s="1"/>
  <c r="DS4" i="41"/>
  <c r="K52" i="43" s="1"/>
  <c r="DP17" i="41"/>
  <c r="E65" i="43" s="1"/>
  <c r="DV11" i="41"/>
  <c r="J59" i="43" s="1"/>
  <c r="DT11" i="41"/>
  <c r="H59" i="43" s="1"/>
  <c r="DP11" i="41"/>
  <c r="E59" i="43" s="1"/>
  <c r="DS11" i="41"/>
  <c r="K59" i="43" s="1"/>
  <c r="DV15" i="41" l="1"/>
  <c r="J63" i="43" s="1"/>
  <c r="DT15" i="41"/>
  <c r="H63" i="43" s="1"/>
  <c r="DU8" i="41"/>
  <c r="I56" i="43" s="1"/>
  <c r="DN18" i="41" a="1"/>
  <c r="DN18" i="41" s="1"/>
  <c r="DO18" i="41" s="1" a="1"/>
  <c r="DO18" i="41" s="1"/>
  <c r="F66" i="43" s="1"/>
  <c r="DS17" i="41"/>
  <c r="K65" i="43" s="1"/>
  <c r="DV9" i="41"/>
  <c r="J57" i="43" s="1"/>
  <c r="DV13" i="41"/>
  <c r="J61" i="43" s="1"/>
  <c r="DS13" i="41"/>
  <c r="K61" i="43" s="1"/>
  <c r="DS9" i="41"/>
  <c r="K57" i="43" s="1"/>
  <c r="DU14" i="41"/>
  <c r="I62" i="43" s="1"/>
  <c r="DP3" i="41"/>
  <c r="DQ3" i="41" s="1" a="1"/>
  <c r="DQ3" i="41" s="1"/>
  <c r="DT6" i="41"/>
  <c r="H54" i="43" s="1"/>
  <c r="DN3" i="41" a="1"/>
  <c r="DN3" i="41" s="1"/>
  <c r="DO3" i="41" s="1" a="1"/>
  <c r="DO3" i="41" s="1"/>
  <c r="F51" i="43" s="1"/>
  <c r="DT3" i="41"/>
  <c r="H51" i="43" s="1"/>
  <c r="DU3" i="41"/>
  <c r="I51" i="43" s="1"/>
  <c r="DS19" i="41"/>
  <c r="K67" i="43" s="1"/>
  <c r="DU6" i="41"/>
  <c r="I54" i="43" s="1"/>
  <c r="DV17" i="41"/>
  <c r="J65" i="43" s="1"/>
  <c r="DN17" i="41" a="1"/>
  <c r="DN17" i="41" s="1"/>
  <c r="DO17" i="41" s="1" a="1"/>
  <c r="DO17" i="41" s="1"/>
  <c r="F65" i="43" s="1"/>
  <c r="DU17" i="41"/>
  <c r="I65" i="43" s="1"/>
  <c r="DP19" i="41"/>
  <c r="E67" i="43" s="1"/>
  <c r="DN11" i="41" a="1"/>
  <c r="DN11" i="41" s="1"/>
  <c r="DO11" i="41" s="1" a="1"/>
  <c r="DO11" i="41" s="1"/>
  <c r="F59" i="43" s="1"/>
  <c r="DT19" i="41"/>
  <c r="H67" i="43" s="1"/>
  <c r="DV19" i="41"/>
  <c r="J67" i="43" s="1"/>
  <c r="DN5" i="41" a="1"/>
  <c r="DN5" i="41" s="1"/>
  <c r="DO5" i="41" s="1" a="1"/>
  <c r="DO5" i="41" s="1"/>
  <c r="F53" i="43" s="1"/>
  <c r="DV5" i="41"/>
  <c r="J53" i="43" s="1"/>
  <c r="DP5" i="41"/>
  <c r="E53" i="43" s="1"/>
  <c r="DT9" i="41"/>
  <c r="H57" i="43" s="1"/>
  <c r="DV3" i="41"/>
  <c r="J51" i="43" s="1"/>
  <c r="DP9" i="41"/>
  <c r="E57" i="43" s="1"/>
  <c r="DU9" i="41"/>
  <c r="I57" i="43" s="1"/>
  <c r="DU13" i="41"/>
  <c r="I61" i="43" s="1"/>
  <c r="DU19" i="41"/>
  <c r="I67" i="43" s="1"/>
  <c r="DS12" i="41"/>
  <c r="K60" i="43" s="1"/>
  <c r="DS5" i="41"/>
  <c r="K53" i="43" s="1"/>
  <c r="DS14" i="41"/>
  <c r="K62" i="43" s="1"/>
  <c r="DV6" i="41"/>
  <c r="J54" i="43" s="1"/>
  <c r="DN14" i="41" a="1"/>
  <c r="DN14" i="41" s="1"/>
  <c r="DO14" i="41" s="1" a="1"/>
  <c r="DO14" i="41" s="1"/>
  <c r="F62" i="43" s="1"/>
  <c r="DS6" i="41"/>
  <c r="K54" i="43" s="1"/>
  <c r="DP14" i="41"/>
  <c r="E62" i="43" s="1"/>
  <c r="DP6" i="41"/>
  <c r="E54" i="43" s="1"/>
  <c r="DT14" i="41"/>
  <c r="H62" i="43" s="1"/>
  <c r="DU7" i="41"/>
  <c r="I55" i="43" s="1"/>
  <c r="DN7" i="41" a="1"/>
  <c r="DN7" i="41" s="1"/>
  <c r="DO7" i="41" s="1" a="1"/>
  <c r="DO7" i="41" s="1"/>
  <c r="F55" i="43" s="1"/>
  <c r="DS7" i="41"/>
  <c r="K55" i="43" s="1"/>
  <c r="DV7" i="41"/>
  <c r="J55" i="43" s="1"/>
  <c r="Z70" i="41" a="1"/>
  <c r="Z70" i="41" s="1"/>
  <c r="DS16" i="41"/>
  <c r="K64" i="43" s="1"/>
  <c r="Z71" i="41" a="1"/>
  <c r="Z71" i="41" s="1"/>
  <c r="DP12" i="41"/>
  <c r="E60" i="43" s="1"/>
  <c r="DP16" i="41"/>
  <c r="E64" i="43" s="1"/>
  <c r="DS15" i="41"/>
  <c r="K63" i="43" s="1"/>
  <c r="DS8" i="41"/>
  <c r="K56" i="43" s="1"/>
  <c r="DN15" i="41" a="1"/>
  <c r="DN15" i="41" s="1"/>
  <c r="DO15" i="41" s="1" a="1"/>
  <c r="DO15" i="41" s="1"/>
  <c r="F63" i="43" s="1"/>
  <c r="DN8" i="41" a="1"/>
  <c r="DN8" i="41" s="1"/>
  <c r="DO8" i="41" s="1" a="1"/>
  <c r="DO8" i="41" s="1"/>
  <c r="F56" i="43" s="1"/>
  <c r="Z72" i="41" a="1"/>
  <c r="Z72" i="41" s="1"/>
  <c r="DV12" i="41"/>
  <c r="J60" i="43" s="1"/>
  <c r="DN16" i="41" a="1"/>
  <c r="DN16" i="41" s="1"/>
  <c r="DO16" i="41" s="1" a="1"/>
  <c r="DO16" i="41" s="1"/>
  <c r="F64" i="43" s="1"/>
  <c r="DT8" i="41"/>
  <c r="H56" i="43" s="1"/>
  <c r="DP15" i="41"/>
  <c r="E63" i="43" s="1"/>
  <c r="DT5" i="41"/>
  <c r="H53" i="43" s="1"/>
  <c r="DU12" i="41"/>
  <c r="I60" i="43" s="1"/>
  <c r="DP7" i="41"/>
  <c r="E55" i="43" s="1"/>
  <c r="DV16" i="41"/>
  <c r="J64" i="43" s="1"/>
  <c r="DP8" i="41"/>
  <c r="E56" i="43" s="1"/>
  <c r="DN12" i="41" a="1"/>
  <c r="DN12" i="41" s="1"/>
  <c r="DO12" i="41" s="1" a="1"/>
  <c r="DO12" i="41" s="1"/>
  <c r="F60" i="43" s="1"/>
  <c r="DT16" i="41"/>
  <c r="H64" i="43" s="1"/>
  <c r="DQ17" i="41" a="1"/>
  <c r="DQ17" i="41" s="1"/>
  <c r="G65" i="43" s="1"/>
  <c r="DQ11" i="41" a="1"/>
  <c r="DQ11" i="41" s="1"/>
  <c r="DQ10" i="41" a="1"/>
  <c r="DQ10" i="41" s="1"/>
  <c r="DR10" i="41" s="1"/>
  <c r="D58" i="43" s="1"/>
  <c r="DQ4" i="41" a="1"/>
  <c r="DQ4" i="41" s="1"/>
  <c r="G52" i="43" s="1"/>
  <c r="G51" i="43"/>
  <c r="E51" i="43"/>
  <c r="DQ18" i="41" a="1"/>
  <c r="DQ18" i="41" s="1"/>
  <c r="DQ13" i="41" a="1"/>
  <c r="DQ13" i="41" s="1"/>
  <c r="Z54" i="41" a="1"/>
  <c r="L18" i="41" a="1"/>
  <c r="Z58" i="41" a="1"/>
  <c r="L19" i="41" a="1"/>
  <c r="DR11" i="41" l="1"/>
  <c r="D59" i="43" s="1"/>
  <c r="DQ9" i="41" a="1"/>
  <c r="DQ9" i="41" s="1"/>
  <c r="DR9" i="41" s="1"/>
  <c r="D57" i="43" s="1"/>
  <c r="DQ5" i="41" a="1"/>
  <c r="DQ5" i="41" s="1"/>
  <c r="DQ19" i="41" a="1"/>
  <c r="DQ19" i="41" s="1"/>
  <c r="AW3" i="41" a="1"/>
  <c r="AW3" i="41" s="1"/>
  <c r="DQ6" i="41" a="1"/>
  <c r="DQ6" i="41" s="1"/>
  <c r="G54" i="43" s="1"/>
  <c r="DQ15" i="41" a="1"/>
  <c r="DQ15" i="41" s="1"/>
  <c r="G63" i="43" s="1"/>
  <c r="DQ14" i="41" a="1"/>
  <c r="DQ14" i="41" s="1"/>
  <c r="DR14" i="41" s="1"/>
  <c r="D62" i="43" s="1"/>
  <c r="DQ12" i="41" a="1"/>
  <c r="DQ12" i="41" s="1"/>
  <c r="G60" i="43" s="1"/>
  <c r="DQ8" i="41" a="1"/>
  <c r="DQ8" i="41" s="1"/>
  <c r="G56" i="43" s="1"/>
  <c r="DQ7" i="41" a="1"/>
  <c r="DQ7" i="41" s="1"/>
  <c r="G55" i="43" s="1"/>
  <c r="DQ16" i="41" a="1"/>
  <c r="DQ16" i="41" s="1"/>
  <c r="G64" i="43" s="1"/>
  <c r="DR17" i="41"/>
  <c r="D65" i="43" s="1"/>
  <c r="Z54" i="41"/>
  <c r="L18" i="41"/>
  <c r="L19" i="41"/>
  <c r="Z58" i="41"/>
  <c r="DR4" i="41"/>
  <c r="D52" i="43" s="1"/>
  <c r="G59" i="43"/>
  <c r="G58" i="43"/>
  <c r="DR13" i="41"/>
  <c r="D61" i="43" s="1"/>
  <c r="G61" i="43"/>
  <c r="DR18" i="41"/>
  <c r="D66" i="43" s="1"/>
  <c r="G66" i="43"/>
  <c r="DR3" i="41"/>
  <c r="D51" i="43" s="1"/>
  <c r="DR5" i="41"/>
  <c r="D53" i="43" s="1"/>
  <c r="G53" i="43"/>
  <c r="G62" i="43" l="1"/>
  <c r="G57" i="43"/>
  <c r="DR12" i="41"/>
  <c r="D60" i="43" s="1"/>
  <c r="G67" i="43"/>
  <c r="DR19" i="41"/>
  <c r="D67" i="43" s="1"/>
  <c r="DR8" i="41"/>
  <c r="D56" i="43" s="1"/>
  <c r="DR6" i="41"/>
  <c r="D54" i="43" s="1"/>
  <c r="DR16" i="41"/>
  <c r="D64" i="43" s="1"/>
  <c r="DR15" i="41"/>
  <c r="D63" i="43" s="1"/>
  <c r="DR7" i="41"/>
  <c r="D55" i="43" s="1"/>
  <c r="O3" i="41" a="1"/>
  <c r="O3" i="41" s="1"/>
  <c r="P3" i="41" s="1" a="1"/>
  <c r="P3" i="41" s="1"/>
  <c r="Q3" i="41" s="1" a="1"/>
  <c r="Q3" i="41" s="1"/>
  <c r="O4" i="41" l="1" a="1"/>
  <c r="O4" i="41" s="1"/>
  <c r="P4" i="41" s="1" a="1"/>
  <c r="P4" i="41" s="1"/>
  <c r="Q4" i="41" s="1" a="1"/>
  <c r="Q4" i="41" s="1"/>
  <c r="O5" i="41" l="1" a="1"/>
  <c r="O5" i="41" s="1"/>
  <c r="O6" i="41" s="1" a="1"/>
  <c r="O6" i="41" s="1"/>
  <c r="P6" i="41" s="1" a="1"/>
  <c r="P6" i="41" s="1"/>
  <c r="Q6" i="41" l="1" a="1"/>
  <c r="Q6" i="41" s="1"/>
  <c r="O7" i="41" a="1"/>
  <c r="O7" i="41" s="1"/>
  <c r="Q7" i="41" s="1" a="1"/>
  <c r="Q7" i="41" s="1"/>
  <c r="P5" i="41" a="1"/>
  <c r="P5" i="41" s="1"/>
  <c r="Q5" i="41" s="1" a="1"/>
  <c r="Q5" i="41" s="1"/>
  <c r="O8" i="41" l="1" a="1"/>
  <c r="O8" i="41" s="1"/>
  <c r="P8" i="41" s="1" a="1"/>
  <c r="P8" i="41" s="1"/>
  <c r="P7" i="41" a="1"/>
  <c r="P7" i="41" s="1"/>
  <c r="Q8" i="41" l="1" a="1"/>
  <c r="Q8" i="41" s="1"/>
  <c r="O9" i="41" a="1"/>
  <c r="O9" i="41" s="1"/>
  <c r="Q9" i="41" s="1" a="1"/>
  <c r="Q9" i="41" s="1"/>
  <c r="P9" i="41" l="1" a="1"/>
  <c r="P9" i="41" s="1"/>
  <c r="O10" i="41" a="1"/>
  <c r="O10" i="41" s="1"/>
  <c r="P10" i="41" s="1" a="1"/>
  <c r="P10" i="41" s="1"/>
  <c r="O11" i="41" l="1" a="1"/>
  <c r="O11" i="41" s="1"/>
  <c r="Q11" i="41" s="1" a="1"/>
  <c r="Q11" i="41" s="1"/>
  <c r="Q10" i="41" a="1"/>
  <c r="Q10" i="41" s="1"/>
  <c r="O12" i="41" l="1" a="1"/>
  <c r="O12" i="41" s="1"/>
  <c r="Q12" i="41" s="1" a="1"/>
  <c r="Q12" i="41" s="1"/>
  <c r="P11" i="41" a="1"/>
  <c r="P11" i="41" s="1"/>
  <c r="O13" i="41" l="1" a="1"/>
  <c r="O13" i="41" s="1"/>
  <c r="Q13" i="41" s="1" a="1"/>
  <c r="Q13" i="41" s="1"/>
  <c r="P12" i="41" a="1"/>
  <c r="P12" i="41" s="1"/>
  <c r="Z35" i="41" a="1"/>
  <c r="Z35" i="41" s="1"/>
  <c r="H65" i="41" a="1"/>
  <c r="H65" i="41" s="1"/>
  <c r="G65" i="41" a="1"/>
  <c r="G65" i="41" s="1"/>
  <c r="H5" i="42" s="1" a="1"/>
  <c r="H5" i="42" s="1"/>
  <c r="P13" i="41" l="1" a="1"/>
  <c r="P13" i="41" s="1"/>
  <c r="O14" i="41" a="1"/>
  <c r="O14" i="41" s="1"/>
  <c r="P14" i="41" s="1" a="1"/>
  <c r="P14" i="41" s="1"/>
  <c r="O15" i="41" l="1" a="1"/>
  <c r="O15" i="41" s="1"/>
  <c r="Q15" i="41" s="1" a="1"/>
  <c r="Q15" i="41" s="1"/>
  <c r="Q14" i="41" a="1"/>
  <c r="Q14" i="41" s="1"/>
  <c r="P15" i="41" l="1" a="1"/>
  <c r="P15" i="41" s="1"/>
  <c r="O16" i="41" a="1"/>
  <c r="O16" i="41" s="1"/>
  <c r="P16" i="41" s="1" a="1"/>
  <c r="P16" i="41" s="1"/>
  <c r="O17" i="41" l="1" a="1"/>
  <c r="O17" i="41" s="1"/>
  <c r="P17" i="41" s="1" a="1"/>
  <c r="P17" i="41" s="1"/>
  <c r="Q16" i="41" a="1"/>
  <c r="Q16" i="41" s="1"/>
  <c r="Q17" i="41" l="1" a="1"/>
  <c r="Q17" i="41" s="1"/>
  <c r="O18" i="41" a="1"/>
  <c r="O18" i="41" s="1"/>
  <c r="P18" i="41" s="1" a="1"/>
  <c r="P18" i="41" s="1"/>
  <c r="Q18" i="41" l="1" a="1"/>
  <c r="Q18" i="41" s="1"/>
  <c r="O19" i="41" a="1"/>
  <c r="O19" i="41" s="1"/>
  <c r="Q19" i="41" s="1" a="1"/>
  <c r="Q19" i="41" s="1"/>
  <c r="O20" i="41" l="1" a="1"/>
  <c r="O20" i="41" s="1"/>
  <c r="P20" i="41" s="1" a="1"/>
  <c r="P20" i="41" s="1"/>
  <c r="P19" i="41" a="1"/>
  <c r="P19" i="41" s="1"/>
  <c r="Q20" i="41" l="1" a="1"/>
  <c r="Q20" i="41" s="1"/>
  <c r="O21" i="41" a="1"/>
  <c r="O21" i="41" s="1"/>
  <c r="Q21" i="41" s="1" a="1"/>
  <c r="Q21" i="41" s="1"/>
  <c r="O22" i="41" l="1" a="1"/>
  <c r="O22" i="41" s="1"/>
  <c r="Q22" i="41" s="1" a="1"/>
  <c r="Q22" i="41" s="1"/>
  <c r="P21" i="41" a="1"/>
  <c r="P21" i="41" s="1"/>
  <c r="P22" i="41" l="1" a="1"/>
  <c r="P22" i="41" s="1"/>
  <c r="C72" i="39" s="1" a="1"/>
  <c r="C72" i="39" s="1"/>
  <c r="Z55" i="41" l="1" a="1"/>
  <c r="Z55" i="41" s="1"/>
  <c r="L8" i="39" a="1"/>
  <c r="L8" i="39" s="1"/>
  <c r="K3" i="42" a="1"/>
  <c r="K3" i="42" s="1"/>
  <c r="I3" i="43" a="1"/>
  <c r="I3"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tc={642E0654-908C-444E-B518-0916D3BF50B9}</author>
    <author>tc={6C44E4F4-0698-4275-8CC6-863951580E48}</author>
    <author>tc={3F594EE3-B120-4423-93D2-26576404B3DB}</author>
    <author>tc={79BD005D-9F85-49B3-8F64-CAA0A13BDEFF}</author>
    <author>tc={BECC8FE3-2FC4-4C87-AA48-5F5B24B15A35}</author>
  </authors>
  <commentList>
    <comment ref="A1" authorId="0" shapeId="0" xr:uid="{642E0654-908C-444E-B518-0916D3BF50B9}">
      <text>
        <t>[Threaded comment]
Your version of Excel allows you to read this threaded comment; however, any edits to it will get removed if the file is opened in a newer version of Excel. Learn more: https://go.microsoft.com/fwlink/?linkid=870924
Comment:
    Copy of the first row of the "data" sheet, up to column 'maxColNum'. Used to eventually define dataHeaders and dataRange.</t>
      </text>
    </comment>
    <comment ref="A4" authorId="1" shapeId="0" xr:uid="{6C44E4F4-0698-4275-8CC6-863951580E48}">
      <text>
        <t>[Threaded comment]
Your version of Excel allows you to read this threaded comment; however, any edits to it will get removed if the file is opened in a newer version of Excel. Learn more: https://go.microsoft.com/fwlink/?linkid=870924
Comment:
    Copy (down to row 'maxRowNum') of the data column from the "data" sheet that serves as an index for the survey submissions. Used to count the total number of data entries.</t>
      </text>
    </comment>
    <comment ref="C4" authorId="2" shapeId="0" xr:uid="{3F594EE3-B120-4423-93D2-26576404B3DB}">
      <text>
        <t>[Threaded comment]
Your version of Excel allows you to read this threaded comment; however, any edits to it will get removed if the file is opened in a newer version of Excel. Learn more: https://go.microsoft.com/fwlink/?linkid=870924
Comment:
    Copy of the row of column headers in the "data" sheet. Used in various formula to look up / reference column headers.</t>
      </text>
    </comment>
    <comment ref="C5" authorId="3" shapeId="0" xr:uid="{79BD005D-9F85-49B3-8F64-CAA0A13BDEFF}">
      <text>
        <t>[Threaded comment]
Your version of Excel allows you to read this threaded comment; however, any edits to it will get removed if the file is opened in a newer version of Excel. Learn more: https://go.microsoft.com/fwlink/?linkid=870924
Comment:
    Copy of the range of the "data" sheet from row 2 (i.e., without the column headers) and 'numEntries'-row high, and from columns 1 to dataLastColNum. Used to then reference data columns with the INDEX() function.</t>
      </text>
    </comment>
    <comment ref="C6" authorId="4" shapeId="0" xr:uid="{BECC8FE3-2FC4-4C87-AA48-5F5B24B15A35}">
      <text>
        <t>[Threaded comment]
Your version of Excel allows you to read this threaded comment; however, any edits to it will get removed if the file is opened in a newer version of Excel. Learn more: https://go.microsoft.com/fwlink/?linkid=870924
Comment:
    Legacy version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tc={39E6F978-3C84-41CD-A7D0-97EAFDDCED97}</author>
    <author>tc={BBD831BC-6DBE-4E41-8B1E-3111352333B8}</author>
    <author>tc={38C86FA5-742F-4C4C-B63F-FFE18671B4F8}</author>
    <author>tc={0CF385CD-78A4-4D17-BD9F-9F454DA9DC1A}</author>
    <author>tc={FA99D751-4424-4719-B4F2-AA71785A3DE4}</author>
    <author>tc={C1D74717-9E3A-49D1-90BE-1473D382D71B}</author>
    <author>tc={147FD3D0-9ECF-453D-A2C3-68A746F7A623}</author>
    <author>tc={B683A297-2ED4-4146-B01E-9A17A755844B}</author>
    <author>tc={3F80F0C2-C9D4-4865-905C-3A4FA27C3A23}</author>
    <author>tc={67BB9B8F-1554-431D-9876-BACFAA44CCE2}</author>
    <author>tc={7B30AC4B-A213-4136-836D-7C16FEE2FD13}</author>
    <author>tc={7C0EDA3B-30AE-489A-8FA0-C8643C6FDB18}</author>
    <author>tc={66853D4F-F89F-4E32-AC13-26DC354E4FC9}</author>
    <author>tc={182165B5-26F6-4F81-8E85-1DC77B044D16}</author>
    <author>tc={3386F9D7-AF8D-4721-8A64-9206E9EAD5C5}</author>
    <author>tc={6F6D2AF2-3646-4E7D-B4E4-37DC032D7DCF}</author>
    <author>tc={27F75A60-E649-42E2-99F4-B0C513C2107C}</author>
    <author>tc={D1457836-9247-487C-997C-ED15C9A5819C}</author>
    <author>tc={1400722F-15C4-48B1-A517-E579917D6EC0}</author>
    <author>tc={8C48700E-31ED-4FB7-964A-A27A91D2807F}</author>
    <author>tc={ED77F99E-76D8-4872-9F5C-0F0146EEBF56}</author>
    <author>tc={3BEF204C-2584-4591-9B34-6AD9FD391CC5}</author>
    <author>tc={5D1BC0D0-EA03-4732-8325-CAC25158754F}</author>
    <author>tc={C1E92698-CDF4-4626-9560-1E7560AB8D3D}</author>
    <author>tc={CB05F824-A649-4013-8CFB-A7519B734B18}</author>
    <author>tc={056945A4-78A6-4F8F-B2C5-B191DCB18BFE}</author>
    <author>tc={6DC96BFF-B3D6-46B1-8D38-5EA4AB8BD543}</author>
    <author>tc={642A9713-8C2F-44C4-8481-0F64559453E8}</author>
    <author>tc={8028B8F5-12DE-412E-B03F-538113D6F08F}</author>
    <author>tc={E6311091-327B-4EB1-8DB1-BF2EF6D42508}</author>
    <author>tc={AB114D5E-8F5A-426D-A437-3853E174B4FF}</author>
    <author>tc={08C4D84F-9FD3-4C12-BA3E-9D1DE87ECB99}</author>
    <author>tc={C6EF09CE-66FC-420A-9DB2-24EB149724A7}</author>
    <author>tc={B7EB3A7C-296A-4B23-A576-77E53F899698}</author>
    <author>tc={137C8FC4-AF6C-45E3-B2C8-AE3BE30F10E9}</author>
    <author>tc={0EF8A64D-BC06-4E49-ADA5-514829E8355A}</author>
    <author>tc={37375FA1-022D-4780-AE17-17184A876CCF}</author>
    <author>tc={696FC813-9452-43F5-9B07-B25C73CC8152}</author>
    <author>tc={0EA9F409-7F70-408C-8B40-A2753E65D588}</author>
    <author>tc={3E47D23E-F675-4CBA-968E-26EDF8823513}</author>
    <author>tc={551A561B-2DCB-4801-8052-FE795B3244CB}</author>
    <author>tc={D1C10C29-B0EA-46F1-A01E-46EFABEF5D51}</author>
    <author>tc={99B71060-9919-4866-B80C-342391F7441F}</author>
    <author>tc={D59BEEB3-68F4-4FA3-8443-1CBA6C475507}</author>
    <author>tc={D2577CAA-09DA-4035-AFF6-A1A925BDB61E}</author>
    <author>tc={23E12202-66A6-463D-955A-38450B307E0D}</author>
    <author>tc={CBE2BC9A-1F21-4A1D-AAFE-EDCADD10E0DA}</author>
    <author>tc={FF68B974-7419-4BC2-B43C-2DDBF67903C2}</author>
    <author>tc={C7B745AE-F254-4B1D-AE90-BBCD690A5D5C}</author>
    <author>tc={7B7AF2D4-8C72-4E2E-8C0D-767D1839A0CF}</author>
    <author>tc={E6DB978E-E1C8-48FF-9945-B7C966618BAD}</author>
    <author>tc={5FA0289D-9367-4DE5-9F5C-6E6087B2AF36}</author>
    <author>tc={069E79A2-8650-4DCC-9FB2-91D4E9692E77}</author>
    <author>tc={B9A10C44-0FAD-4F37-B36C-EC48DF08F035}</author>
    <author>tc={B7AC37A0-A4A5-4D6E-8DA5-A3AA096A1CD7}</author>
    <author>tc={7681F98F-BA2F-4A93-82EE-B4B6184663E7}</author>
    <author>tc={A54C0B2F-E66A-4DC0-8D93-ACC628DEE982}</author>
    <author>tc={61C1D618-FBEB-4B53-AF51-A6383E6ECD64}</author>
    <author>tc={4F8EC9CC-41AD-4070-82C6-6BC77148DA2F}</author>
    <author>tc={6E273767-BDEA-4A32-B36C-30AB1F7F23E4}</author>
    <author>tc={D089B2D2-7239-491C-880E-0D381B82E98B}</author>
    <author>tc={0BB4B623-2B26-4B74-BC84-1ECA6D9A74E5}</author>
    <author>tc={B37F5880-FC94-4A10-A839-9DBF44F1621D}</author>
    <author>tc={79AFA561-4FC7-42D1-8F8B-DC2A23C007C4}</author>
    <author>tc={30D27FDA-2F44-4607-9CA3-4F3260F09905}</author>
    <author>tc={C2CE5CB3-64A7-4FB0-8B0C-43DB64F8CC19}</author>
    <author>tc={55A0EB8F-A113-47F0-81DB-8D5E8793BCAA}</author>
    <author>tc={4C49E352-E88B-4329-BDAC-50FEE4297B25}</author>
    <author>tc={BEDC556C-09DF-4A70-ABC5-8A7A8D720EFD}</author>
    <author>tc={64898062-36E6-45FA-BBD7-0F6344739EC5}</author>
    <author>tc={21AED473-6BF6-4329-B639-FC160108CCFD}</author>
    <author>tc={343F2EB5-57A6-4C8D-A3F3-E9B8E0BBE862}</author>
    <author>tc={994267E3-3361-4824-B4A3-30F5E5D59019}</author>
    <author>tc={D4A4D34B-5EE5-43AF-97C8-F95147B19289}</author>
    <author>tc={8357C38D-C22E-493C-B7E3-7BDF57F9A627}</author>
    <author>tc={01B6D153-1091-43BE-8750-4818FF608602}</author>
    <author>tc={542614EF-4E61-43DB-B965-327B07EFA70D}</author>
    <author>tc={BAF157BD-7CBA-495D-842C-F1622F67F52F}</author>
    <author>tc={AAF340A8-69FE-4884-BFA9-28F6DC56FB6D}</author>
    <author>tc={758CCC2C-7031-4F18-AA27-22795F830487}</author>
    <author>tc={5358B228-A2E0-4877-A34B-42B5C277DDA7}</author>
    <author>tc={F1A10D28-1D9D-4779-B879-39DB213B5C02}</author>
    <author>tc={CE1D0935-7D3B-40B0-873F-43F1536A4A98}</author>
    <author>tc={48281D58-DC50-4E69-890E-E31654A3982D}</author>
    <author>tc={6775F86F-7A02-46F0-9A62-861834EB7FD9}</author>
    <author>tc={3FCA4CB4-4C73-499A-A5BF-0CE3AFE94B58}</author>
    <author>tc={774982DB-0BFC-42DE-80B0-309BC14D86BC}</author>
    <author>tc={56FDB060-5736-4CE6-8729-A0A1A1D541BB}</author>
    <author>tc={B8CADD6B-7EBB-43FB-A3C4-32DF9A625650}</author>
    <author>tc={F41DA8C5-C198-4E74-82C2-D3B151C97384}</author>
    <author>tc={48BC226F-FD01-45D2-B60B-B5C969AFB89B}</author>
    <author>tc={1FC628A3-BD28-40B4-BB5E-DA52123B1EFC}</author>
    <author>tc={231D4EA3-8C4C-428C-A7BC-96D26254D798}</author>
    <author>tc={54CCF8C4-939A-4969-9C71-D43B5659856B}</author>
    <author>tc={3EA9EAB6-464C-40FF-A29C-5AC5F2CF62A3}</author>
    <author>tc={9FBCCA0B-0F3E-4D10-B107-0F855F175A52}</author>
    <author>tc={1ED1FFBF-B238-4A39-A3E3-7CCB2BA2EEE9}</author>
    <author>tc={1BCD0FF1-DA5D-4539-B94C-19746D52FE99}</author>
    <author>tc={DB77FBFE-A695-4012-850B-37FA9B88E51C}</author>
    <author>tc={4199D389-F3F7-4C37-85DB-77F36C5CEE14}</author>
    <author>tc={736B03EB-F22F-4F8F-AE7B-DD9DDFD55729}</author>
    <author>tc={E948A971-AEFD-4E80-BF50-D017BABD9D29}</author>
    <author>tc={17B9A7AA-8B5C-47F6-A1CE-B38EA8D2E485}</author>
    <author>tc={14283CDC-D4F3-4C5C-A3BB-E8763029DBAB}</author>
    <author>tc={CE1B0804-00CA-4D76-95CC-70BA8827023F}</author>
    <author>tc={18BBC9C1-6A69-4400-AD5D-2FBCFBFBA785}</author>
    <author>tc={6C98878A-7F5F-45FC-A412-F804D6DAA995}</author>
    <author>tc={7A4E84DF-9EA5-4DBE-BA23-31D8CA68311D}</author>
    <author>tc={6327AD21-F5E2-4AA8-99D5-F06E2C68A509}</author>
    <author>tc={278C3B32-19EA-42D2-A788-E923A8488E96}</author>
    <author>tc={01C52DD6-00F8-4D6C-B072-6B0E9824E8FF}</author>
    <author>tc={DE2D93FE-8BD9-4A7F-88F1-9C72626ABAAD}</author>
    <author>tc={A539FC2A-A770-47B3-B74C-8A171C72BC85}</author>
    <author>tc={E1A5970E-EE85-4A4E-9903-F00D568C51F7}</author>
    <author>tc={AC6C909B-7866-422D-82E8-C6A96A224936}</author>
    <author>tc={AF6E7DC9-01F5-4F75-A174-D8B1DB671270}</author>
    <author>tc={7591502D-8F1C-493C-8B3F-9806BD17D2AF}</author>
    <author>tc={59345150-73A7-4AFE-860F-BDB68B001667}</author>
    <author>tc={303A217B-0797-4C81-9D61-BBE0A1E6C70D}</author>
    <author>tc={850F4624-7EC3-460F-AFEC-32934209FD8C}</author>
    <author>tc={F4BC9FE4-A5D3-49D9-8CA6-C4731DC09A31}</author>
    <author>tc={A7BAF418-6AFA-4735-AF91-43C5DE25FB15}</author>
    <author>tc={6D2BDB2D-DEF7-4BD0-B302-C5B450709BED}</author>
    <author>tc={DECBFD3E-B119-43A3-8C16-48BE13D1DA62}</author>
    <author>tc={CBD9C711-5209-416C-8A94-54CD0ED95062}</author>
    <author>tc={3428773C-B63D-401E-B7F9-7955C0E75568}</author>
    <author>tc={B3C2F7E7-D905-488E-959F-71514EBA8466}</author>
    <author>tc={BDFD382D-8813-439A-8635-35E286C7274B}</author>
    <author>tc={63EC71EC-6CC4-403B-BC02-E2EE9D085CC6}</author>
    <author>tc={8E5387EE-F35C-4C99-B5A2-501661974AE7}</author>
    <author>tc={98EFA81E-B26B-4162-BF70-4BBA624CECE4}</author>
    <author>tc={6987FA74-F492-4B7C-99EF-65FE22D4256E}</author>
    <author>tc={0E5A0A8E-AF58-40CB-BAF5-BF37AA6895DC}</author>
    <author>tc={9C2EF22F-7719-45E7-A51A-43194BFC951E}</author>
    <author>tc={F8EA8679-A5A3-4E64-B223-C85FD6BD4DCD}</author>
    <author>tc={80D50726-EF2C-4C67-9FBB-E23389320578}</author>
    <author>tc={EC282725-E97D-4442-A25E-96E89D8860B6}</author>
    <author>tc={D7D70823-CDCD-482A-8D64-14AAA174D567}</author>
    <author>tc={D7107A38-D6DB-469A-8C87-CE953DC74C5C}</author>
    <author>tc={38B92C36-2D09-4392-B5D0-AB22DF93AA64}</author>
    <author>tc={07A2D467-7B27-4D0F-A15A-9EF144A70C0D}</author>
    <author>tc={920D1D5A-2398-4BA7-B424-F90D035B6A6A}</author>
    <author>tc={99D08BBB-6A83-48E4-92DF-884E316E478F}</author>
    <author>tc={CA9389B5-559B-4E70-9A1A-9063BF203F27}</author>
    <author>tc={52CA9CC3-2DD0-427C-849D-AA85538CB280}</author>
    <author>tc={581ECF05-C743-4C62-BBE0-89915C1748BD}</author>
    <author>tc={2C6136A3-2FA2-4040-B462-4804885A4F56}</author>
    <author>tc={1B90EA43-A512-4D8C-AED7-B8CCEAA8D002}</author>
    <author>tc={CAE2CE7C-DC90-4E8B-8BFF-5771B8010C60}</author>
    <author>tc={C13CC2AB-4B99-40A8-9566-82F95A04CE16}</author>
  </authors>
  <commentList>
    <comment ref="O1" authorId="0" shapeId="0" xr:uid="{39E6F978-3C84-41CD-A7D0-97EAFDDCED97}">
      <text>
        <t>[Threaded comment]
Your version of Excel allows you to read this threaded comment; however, any edits to it will get removed if the file is opened in a newer version of Excel. Learn more: https://go.microsoft.com/fwlink/?linkid=870924
Comment:
    Legacy version</t>
      </text>
    </comment>
    <comment ref="P1" authorId="1" shapeId="0" xr:uid="{BBD831BC-6DBE-4E41-8B1E-3111352333B8}">
      <text>
        <t>[Threaded comment]
Your version of Excel allows you to read this threaded comment; however, any edits to it will get removed if the file is opened in a newer version of Excel. Learn more: https://go.microsoft.com/fwlink/?linkid=870924
Comment:
    Legacy version</t>
      </text>
    </comment>
    <comment ref="S1" authorId="2"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
      </text>
    </comment>
    <comment ref="Q2" authorId="3" shapeId="0" xr:uid="{0CF385CD-78A4-4D17-BD9F-9F454DA9DC1A}">
      <text>
        <t>[Threaded comment]
Your version of Excel allows you to read this threaded comment; however, any edits to it will get removed if the file is opened in a newer version of Excel. Learn more: https://go.microsoft.com/fwlink/?linkid=870924
Comment:
    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
      </text>
    </comment>
    <comment ref="AB2" authorId="4" shapeId="0" xr:uid="{FA99D751-4424-4719-B4F2-AA71785A3DE4}">
      <text>
        <t>[Threaded comment]
Your version of Excel allows you to read this threaded comment; however, any edits to it will get removed if the file is opened in a newer version of Excel. Learn more: https://go.microsoft.com/fwlink/?linkid=870924
Comment:
    This column contains the formulae that should replace those in the "formula" column in the "Legacy" version of the file.</t>
      </text>
    </comment>
    <comment ref="BM2" authorId="5" shapeId="0" xr:uid="{C1D74717-9E3A-49D1-90BE-1473D382D71B}">
      <text>
        <t>[Threaded comment]
Your version of Excel allows you to read this threaded comment; however, any edits to it will get removed if the file is opened in a newer version of Excel. Learn more: https://go.microsoft.com/fwlink/?linkid=870924
Comment:
    Legacy version</t>
      </text>
    </comment>
    <comment ref="BN2" authorId="6" shapeId="0" xr:uid="{147FD3D0-9ECF-453D-A2C3-68A746F7A623}">
      <text>
        <t>[Threaded comment]
Your version of Excel allows you to read this threaded comment; however, any edits to it will get removed if the file is opened in a newer version of Excel. Learn more: https://go.microsoft.com/fwlink/?linkid=870924
Comment:
    Legacy version</t>
      </text>
    </comment>
    <comment ref="BO2" authorId="7" shapeId="0" xr:uid="{B683A297-2ED4-4146-B01E-9A17A755844B}">
      <text>
        <t>[Threaded comment]
Your version of Excel allows you to read this threaded comment; however, any edits to it will get removed if the file is opened in a newer version of Excel. Learn more: https://go.microsoft.com/fwlink/?linkid=870924
Comment:
    Legacy version</t>
      </text>
    </comment>
    <comment ref="BP2" authorId="8" shapeId="0" xr:uid="{3F80F0C2-C9D4-4865-905C-3A4FA27C3A23}">
      <text>
        <t>[Threaded comment]
Your version of Excel allows you to read this threaded comment; however, any edits to it will get removed if the file is opened in a newer version of Excel. Learn more: https://go.microsoft.com/fwlink/?linkid=870924
Comment:
    Legacy version</t>
      </text>
    </comment>
    <comment ref="BQ2" authorId="9" shapeId="0" xr:uid="{67BB9B8F-1554-431D-9876-BACFAA44CCE2}">
      <text>
        <t>[Threaded comment]
Your version of Excel allows you to read this threaded comment; however, any edits to it will get removed if the file is opened in a newer version of Excel. Learn more: https://go.microsoft.com/fwlink/?linkid=870924
Comment:
    Legacy version</t>
      </text>
    </comment>
    <comment ref="T3" authorId="10" shapeId="0" xr:uid="{7B30AC4B-A213-4136-836D-7C16FEE2FD13}">
      <text>
        <t>[Threaded comment]
Your version of Excel allows you to read this threaded comment; however, any edits to it will get removed if the file is opened in a newer version of Excel. Learn more: https://go.microsoft.com/fwlink/?linkid=870924
Comment:
    Name of the "data" sheet, used in UI text and to reference the data columns. Its value (currently "data") is hard-coded in the "Manual-entry variables table" and can be changed there if wanted.</t>
      </text>
    </comment>
    <comment ref="Y3" authorId="11" shapeId="0" xr:uid="{7C0EDA3B-30AE-489A-8FA0-C8643C6FD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data column from dataRange.</t>
      </text>
    </comment>
    <comment ref="BM3" authorId="12" shapeId="0" xr:uid="{66853D4F-F89F-4E32-AC13-26DC354E4FC9}">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#1. Used to simplify formulae.</t>
      </text>
    </comment>
    <comment ref="BN3" authorId="13" shapeId="0" xr:uid="{182165B5-26F6-4F81-8E85-1DC77B044D16}">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#2. Used to simplify formulae.</t>
      </text>
    </comment>
    <comment ref="BO3" authorId="14" shapeId="0" xr:uid="{3386F9D7-AF8D-4721-8A64-9206E9EAD5C5}">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#3. Used to simplify formulae.</t>
      </text>
    </comment>
    <comment ref="BP3" authorId="15" shapeId="0" xr:uid="{6F6D2AF2-3646-4E7D-B4E4-37DC032D7DCF}">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#4. Used to simplify formulae.</t>
      </text>
    </comment>
    <comment ref="BQ3" authorId="16" shapeId="0" xr:uid="{27F75A60-E649-42E2-99F4-B0C513C2107C}">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#5. Used to simplify formulae.</t>
      </text>
    </comment>
    <comment ref="BR3" authorId="17" shapeId="0" xr:uid="{D1457836-9247-487C-997C-ED15C9A5819C}">
      <text>
        <t>[Threaded comment]
Your version of Excel allows you to read this threaded comment; however, any edits to it will get removed if the file is opened in a newer version of Excel. Learn more: https://go.microsoft.com/fwlink/?linkid=870924
Comment:
    Array containing the numerator of the behaviour score for each data entry. It is computed on its own to simplify the overall formula for the behaviour score.</t>
      </text>
    </comment>
    <comment ref="BS3" authorId="18" shapeId="0" xr:uid="{1400722F-15C4-48B1-A517-E579917D6EC0}">
      <text>
        <t>[Threaded comment]
Your version of Excel allows you to read this threaded comment; however, any edits to it will get removed if the file is opened in a newer version of Excel. Learn more: https://go.microsoft.com/fwlink/?linkid=870924
Comment:
    Array containing the denominator of the behaviour score for each data entry. It is computed on its own to simplify the overall formula for the behaviour score.</t>
      </text>
    </comment>
    <comment ref="BT3" authorId="19" shapeId="0" xr:uid="{8C48700E-31ED-4FB7-964A-A27A91D2807F}">
      <text>
        <t>[Threaded comment]
Your version of Excel allows you to read this threaded comment; however, any edits to it will get removed if the file is opened in a newer version of Excel. Learn more: https://go.microsoft.com/fwlink/?linkid=870924
Comment:
    Array containing the normalized behaviour score (0-100%) for each data entry for which a score can be computed.</t>
      </text>
    </comment>
    <comment ref="BU3" authorId="20" shapeId="0" xr:uid="{ED77F99E-76D8-4872-9F5C-0F0146EEBF56}">
      <text>
        <t>[Threaded comment]
Your version of Excel allows you to read this threaded comment; however, any edits to it will get removed if the file is opened in a newer version of Excel. Learn more: https://go.microsoft.com/fwlink/?linkid=870924
Comment:
    Array containing a TRUE/FALSE value for each data entry, indicating a doer/non-doer, or an empty value if a behaviour score cannot be computed.</t>
      </text>
    </comment>
    <comment ref="T4" authorId="21" shapeId="0" xr:uid="{3BEF204C-2584-4591-9B34-6AD9FD391CC5}">
      <text>
        <t>[Threaded comment]
Your version of Excel allows you to read this threaded comment; however, any edits to it will get removed if the file is opened in a newer version of Excel. Learn more: https://go.microsoft.com/fwlink/?linkid=870924
Comment:
    Version number of the RANAS Analyser. Set in the "HiddenTables" sheet and used in various places.</t>
      </text>
    </comment>
    <comment ref="Y4" authorId="22" shapeId="0" xr:uid="{5D1BC0D0-EA03-4732-8325-CAC25158754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"include" value from behaviourTable. Used to simplify formulae.</t>
      </text>
    </comment>
    <comment ref="T5" authorId="23" shapeId="0" xr:uid="{C1E92698-CDF4-4626-9560-1E7560AB8D3D}">
      <text>
        <t>[Threaded comment]
Your version of Excel allows you to read this threaded comment; however, any edits to it will get removed if the file is opened in a newer version of Excel. Learn more: https://go.microsoft.com/fwlink/?linkid=870924
Comment:
    Permanent link to the webpage that hosts the reference version of this file available to the public (plus possibly documentation and archived versions).</t>
      </text>
    </comment>
    <comment ref="Y5" authorId="24" shapeId="0" xr:uid="{CB05F824-A649-4013-8CFB-A7519B734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"maxScore" value from behaviourTable. Used to simplify formulae.</t>
      </text>
    </comment>
    <comment ref="T6" authorId="25" shapeId="0" xr:uid="{056945A4-78A6-4F8F-B2C5-B191DCB18BFE}">
      <text>
        <t>[Threaded comment]
Your version of Excel allows you to read this threaded comment; however, any edits to it will get removed if the file is opened in a newer version of Excel. Learn more: https://go.microsoft.com/fwlink/?linkid=870924
Comment:
    Link to the RANAS website.</t>
      </text>
    </comment>
    <comment ref="Y6" authorId="26" shapeId="0" xr:uid="{6DC96BFF-B3D6-46B1-8D38-5EA4AB8BD543}">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"minScore" value from behaviourTable. Used to simplify formulae.</t>
      </text>
    </comment>
    <comment ref="T7" authorId="27" shapeId="0" xr:uid="{642A9713-8C2F-44C4-8481-0F64559453E8}">
      <text>
        <t>[Threaded comment]
Your version of Excel allows you to read this threaded comment; however, any edits to it will get removed if the file is opened in a newer version of Excel. Learn more: https://go.microsoft.com/fwlink/?linkid=870924
Comment:
    Maximum number of rows allowed in the "data" sheet (used to prevent slow calculations).</t>
      </text>
    </comment>
    <comment ref="Y7" authorId="28" shapeId="0" xr:uid="{8028B8F5-12DE-412E-B03F-538113D6F08F}">
      <text>
        <t>[Threaded comment]
Your version of Excel allows you to read this threaded comment; however, any edits to it will get removed if the file is opened in a newer version of Excel. Learn more: https://go.microsoft.com/fwlink/?linkid=870924
Comment:
    User-defined function to be used in an Excel table. The table contains an index column and a column with TRUE/FALSE values. The function is entered in a filteredIndexCol column and returns the list of indices corresponding to TRUE values, without blanks.</t>
      </text>
    </comment>
    <comment ref="T8" authorId="29" shapeId="0" xr:uid="{E6311091-327B-4EB1-8DB1-BF2EF6D42508}">
      <text>
        <t>[Threaded comment]
Your version of Excel allows you to read this threaded comment; however, any edits to it will get removed if the file is opened in a newer version of Excel. Learn more: https://go.microsoft.com/fwlink/?linkid=870924
Comment:
    Maximum number of columns allowed in the "data" sheet (used to prevent slow calculations).</t>
      </text>
    </comment>
    <comment ref="Y8" authorId="30" shapeId="0" xr:uid="{AB114D5E-8F5A-426D-A437-3853E174B4F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any value and returns that same value, even if it is blank (i.e. the empty string "" or from an empty cell). Used to keep empty values as such, e.g. to prevent the XLOOKUP of an empty cell being converted to 0.
Reply:
    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
      </text>
    </comment>
    <comment ref="T9" authorId="31" shapeId="0" xr:uid="{08C4D84F-9FD3-4C12-BA3E-9D1DE87ECB99}">
      <text>
        <t>[Threaded comment]
Your version of Excel allows you to read this threaded comment; however, any edits to it will get removed if the file is opened in a newer version of Excel. Learn more: https://go.microsoft.com/fwlink/?linkid=870924
Comment:
    If the number of factors selected for display by the user is less than or equal to this threshold, all factors will be displayed in the first chart. If it is above the threshold, the factors will be evenly split across both charts.</t>
      </text>
    </comment>
    <comment ref="Y9" authorId="32" shapeId="0" xr:uid="{C6EF09CE-66FC-420A-9DB2-24EB149724A7}">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"reference" on a worksheet (e.g., cell address, named range) and a "defaultName", and returns the name of that worksheet (or the defaultName).</t>
      </text>
    </comment>
    <comment ref="AB9" authorId="33" shapeId="0" xr:uid="{B7EB3A7C-296A-4B23-A576-77E53F899698}">
      <text>
        <t>[Threaded comment]
Your version of Excel allows you to read this threaded comment; however, any edits to it will get removed if the file is opened in a newer version of Excel. Learn more: https://go.microsoft.com/fwlink/?linkid=870924
Comment:
    For an explanation for the use of MATCH() with 1/(MID...) to find the last match in the string, see this link where the same strategy is used:
https://exceljet.net/formulas/lookup-latest-price</t>
      </text>
    </comment>
    <comment ref="AE9" authorId="34" shapeId="0" xr:uid="{137C8FC4-AF6C-45E3-B2C8-AE3BE30F10E9}">
      <text>
        <t>[Threaded comment]
Your version of Excel allows you to read this threaded comment; however, any edits to it will get removed if the file is opened in a newer version of Excel. Learn more: https://go.microsoft.com/fwlink/?linkid=870924
Comment:
    Legacy version</t>
      </text>
    </comment>
    <comment ref="AG9" authorId="35" shapeId="0" xr:uid="{0EF8A64D-BC06-4E49-ADA5-514829E8355A}">
      <text>
        <t>[Threaded comment]
Your version of Excel allows you to read this threaded comment; however, any edits to it will get removed if the file is opened in a newer version of Excel. Learn more: https://go.microsoft.com/fwlink/?linkid=870924
Comment:
    Legacy version</t>
      </text>
    </comment>
    <comment ref="AP9" authorId="36" shapeId="0" xr:uid="{37375FA1-022D-4780-AE17-17184A876CCF}">
      <text>
        <t>[Threaded comment]
Your version of Excel allows you to read this threaded comment; however, any edits to it will get removed if the file is opened in a newer version of Excel. Learn more: https://go.microsoft.com/fwlink/?linkid=870924
Comment:
    Legacy version</t>
      </text>
    </comment>
    <comment ref="AQ9" authorId="37" shapeId="0" xr:uid="{696FC813-9452-43F5-9B07-B25C73CC8152}">
      <text>
        <t>[Threaded comment]
Your version of Excel allows you to read this threaded comment; however, any edits to it will get removed if the file is opened in a newer version of Excel. Learn more: https://go.microsoft.com/fwlink/?linkid=870924
Comment:
    Legacy version</t>
      </text>
    </comment>
    <comment ref="AZ9" authorId="38" shapeId="0" xr:uid="{0EA9F409-7F70-408C-8B40-A2753E65D588}">
      <text>
        <t>[Threaded comment]
Your version of Excel allows you to read this threaded comment; however, any edits to it will get removed if the file is opened in a newer version of Excel. Learn more: https://go.microsoft.com/fwlink/?linkid=870924
Comment:
    Legacy version</t>
      </text>
    </comment>
    <comment ref="BA9" authorId="39" shapeId="0" xr:uid="{3E47D23E-F675-4CBA-968E-26EDF8823513}">
      <text>
        <t>[Threaded comment]
Your version of Excel allows you to read this threaded comment; however, any edits to it will get removed if the file is opened in a newer version of Excel. Learn more: https://go.microsoft.com/fwlink/?linkid=870924
Comment:
    Legacy version</t>
      </text>
    </comment>
    <comment ref="BD9" authorId="40" shapeId="0" xr:uid="{551A561B-2DCB-4801-8052-FE795B3244CB}">
      <text>
        <t>[Threaded comment]
Your version of Excel allows you to read this threaded comment; however, any edits to it will get removed if the file is opened in a newer version of Excel. Learn more: https://go.microsoft.com/fwlink/?linkid=870924
Comment:
    Legacy version</t>
      </text>
    </comment>
    <comment ref="BE9" authorId="41" shapeId="0" xr:uid="{D1C10C29-B0EA-46F1-A01E-46EFABEF5D51}">
      <text>
        <t>[Threaded comment]
Your version of Excel allows you to read this threaded comment; however, any edits to it will get removed if the file is opened in a newer version of Excel. Learn more: https://go.microsoft.com/fwlink/?linkid=870924
Comment:
    Legacy version</t>
      </text>
    </comment>
    <comment ref="BF9" authorId="42" shapeId="0" xr:uid="{99B71060-9919-4866-B80C-342391F7441F}">
      <text>
        <t>[Threaded comment]
Your version of Excel allows you to read this threaded comment; however, any edits to it will get removed if the file is opened in a newer version of Excel. Learn more: https://go.microsoft.com/fwlink/?linkid=870924
Comment:
    Legacy version</t>
      </text>
    </comment>
    <comment ref="BG9" authorId="43" shapeId="0" xr:uid="{D59BEEB3-68F4-4FA3-8443-1CBA6C475507}">
      <text>
        <t>[Threaded comment]
Your version of Excel allows you to read this threaded comment; however, any edits to it will get removed if the file is opened in a newer version of Excel. Learn more: https://go.microsoft.com/fwlink/?linkid=870924
Comment:
    Legacy version</t>
      </text>
    </comment>
    <comment ref="BJ9" authorId="44" shapeId="0" xr:uid="{D2577CAA-09DA-4035-AFF6-A1A925BDB61E}">
      <text>
        <t>[Threaded comment]
Your version of Excel allows you to read this threaded comment; however, any edits to it will get removed if the file is opened in a newer version of Excel. Learn more: https://go.microsoft.com/fwlink/?linkid=870924
Comment:
    Legacy version</t>
      </text>
    </comment>
    <comment ref="BK9" authorId="45" shapeId="0" xr:uid="{23E12202-66A6-463D-955A-38450B307E0D}">
      <text>
        <t>[Threaded comment]
Your version of Excel allows you to read this threaded comment; however, any edits to it will get removed if the file is opened in a newer version of Excel. Learn more: https://go.microsoft.com/fwlink/?linkid=870924
Comment:
    Legacy version</t>
      </text>
    </comment>
    <comment ref="Y10" authorId="46" shapeId="0" xr:uid="{CBE2BC9A-1F21-4A1D-AAFE-EDCADD10E0DA}">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"value" and references to a translation table (reference column, table itself, and table header), and returns the translation of that value into the selected UI language.</t>
      </text>
    </comment>
    <comment ref="Y11" authorId="47" shapeId="0" xr:uid="{FF68B974-7419-4BC2-B43C-2DDBF67903C2}">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#1, combining the user selection in the "Include?" column and whether a data header for that question is defined or not. Used to simplify formulae.</t>
      </text>
    </comment>
    <comment ref="Y12" authorId="48" shapeId="0" xr:uid="{C7B745AE-F254-4B1D-AE90-BBCD690A5D5C}">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#2, combining the user selection in the "Include?" column and whether a data header for that question is defined or not. Used to simplify formulae.</t>
      </text>
    </comment>
    <comment ref="Y13" authorId="49" shapeId="0" xr:uid="{7B7AF2D4-8C72-4E2E-8C0D-767D1839A0CF}">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#3, combining the user selection in the "Include?" column and whether a data header for that question is defined or not. Used to simplify formulae.</t>
      </text>
    </comment>
    <comment ref="Y14" authorId="50" shapeId="0" xr:uid="{E6DB978E-E1C8-48FF-9945-B7C966618BAD}">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#4, combining the user selection in the "Include?" column and whether a data header for that question is defined or not. Used to simplify formulae.</t>
      </text>
    </comment>
    <comment ref="Y15" authorId="51" shapeId="0" xr:uid="{5FA0289D-9367-4DE5-9F5C-6E6087B2AF36}">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#5, combining the user selection in the "Include?" column and whether a data header for that question is defined or not. Used to simplify formulae.</t>
      </text>
    </comment>
    <comment ref="Y16" authorId="52" shapeId="0" xr:uid="{069E79A2-8650-4DCC-9FB2-91D4E9692E7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#1. Used to simplify formulae.</t>
      </text>
    </comment>
    <comment ref="Y17" authorId="53" shapeId="0" xr:uid="{B9A10C44-0FAD-4F37-B36C-EC48DF08F035}">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#2. Used to simplify formulae.</t>
      </text>
    </comment>
    <comment ref="Y18" authorId="54" shapeId="0" xr:uid="{B7AC37A0-A4A5-4D6E-8DA5-A3AA096A1CD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#3. Used to simplify formulae.</t>
      </text>
    </comment>
    <comment ref="Y19" authorId="55" shapeId="0" xr:uid="{7681F98F-BA2F-4A93-82EE-B4B6184663E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#4. Used to simplify formulae.</t>
      </text>
    </comment>
    <comment ref="Y20" authorId="56" shapeId="0" xr:uid="{A54C0B2F-E66A-4DC0-8D93-ACC628DEE982}">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#5. Used to simplify formulae.</t>
      </text>
    </comment>
    <comment ref="Y21" authorId="57" shapeId="0" xr:uid="{61C1D618-FBEB-4B53-AF51-A6383E6ECD6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#1. Used to simplify formulae.</t>
      </text>
    </comment>
    <comment ref="Y22" authorId="58" shapeId="0" xr:uid="{4F8EC9CC-41AD-4070-82C6-6BC77148DA2F}">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#2. Used to simplify formulae.</t>
      </text>
    </comment>
    <comment ref="Y23" authorId="59" shapeId="0" xr:uid="{6E273767-BDEA-4A32-B36C-30AB1F7F23E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#3. Used to simplify formulae.</t>
      </text>
    </comment>
    <comment ref="Y24" authorId="60" shapeId="0" xr:uid="{D089B2D2-7239-491C-880E-0D381B82E98B}">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#4. Used to simplify formulae.</t>
      </text>
    </comment>
    <comment ref="Y25" authorId="61" shapeId="0" xr:uid="{0BB4B623-2B26-4B74-BC84-1ECA6D9A74E5}">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#5. Used to simplify formulae.</t>
      </text>
    </comment>
    <comment ref="Y26" authorId="62" shapeId="0" xr:uid="{B37F5880-FC94-4A10-A839-9DBF44F1621D}">
      <text>
        <t>[Threaded comment]
Your version of Excel allows you to read this threaded comment; however, any edits to it will get removed if the file is opened in a newer version of Excel. Learn more: https://go.microsoft.com/fwlink/?linkid=870924
Comment:
    List of "Difference" values for the first chart in the "Analysis" sheet, defined as a dynamic named range to include only the number of factors defined by "numFactorsChart1".</t>
      </text>
    </comment>
    <comment ref="Y27" authorId="63" shapeId="0" xr:uid="{79AFA561-4FC7-42D1-8F8B-DC2A23C007C4}">
      <text>
        <t>[Threaded comment]
Your version of Excel allows you to read this threaded comment; however, any edits to it will get removed if the file is opened in a newer version of Excel. Learn more: https://go.microsoft.com/fwlink/?linkid=870924
Comment:
    List of "Difference" values for the second chart in the "Analysis" sheet, defined as a dynamic named range to include only the number of factors defined by "numFactorsChart2".</t>
      </text>
    </comment>
    <comment ref="Y28" authorId="64" shapeId="0" xr:uid="{30D27FDA-2F44-4607-9CA3-4F3260F09905}">
      <text>
        <t>[Threaded comment]
Your version of Excel allows you to read this threaded comment; however, any edits to it will get removed if the file is opened in a newer version of Excel. Learn more: https://go.microsoft.com/fwlink/?linkid=870924
Comment:
    List of "Doers" values for the first chart in the "Analysis" sheet, defined as a dynamic named range to include only the number of factors defined by "numFactorsChart1".</t>
      </text>
    </comment>
    <comment ref="Y29" authorId="65" shapeId="0" xr:uid="{C2CE5CB3-64A7-4FB0-8B0C-43DB64F8CC19}">
      <text>
        <t>[Threaded comment]
Your version of Excel allows you to read this threaded comment; however, any edits to it will get removed if the file is opened in a newer version of Excel. Learn more: https://go.microsoft.com/fwlink/?linkid=870924
Comment:
    List of "Doers" values for the second chart in the "Analysis" sheet, defined as a dynamic named range to include only the number of factors defined by "numFactorsChart2".</t>
      </text>
    </comment>
    <comment ref="Y30" authorId="66" shapeId="0" xr:uid="{55A0EB8F-A113-47F0-81DB-8D5E8793BCAA}">
      <text>
        <t>[Threaded comment]
Your version of Excel allows you to read this threaded comment; however, any edits to it will get removed if the file is opened in a newer version of Excel. Learn more: https://go.microsoft.com/fwlink/?linkid=870924
Comment:
    List of "Factor" values for the first chart in the "Analysis" sheet, defined as a dynamic named range to include only the number of factors defined by "numFactorsChart1".</t>
      </text>
    </comment>
    <comment ref="Y31" authorId="67" shapeId="0" xr:uid="{4C49E352-E88B-4329-BDAC-50FEE4297B25}">
      <text>
        <t>[Threaded comment]
Your version of Excel allows you to read this threaded comment; however, any edits to it will get removed if the file is opened in a newer version of Excel. Learn more: https://go.microsoft.com/fwlink/?linkid=870924
Comment:
    List of "Factor" values for the second chart in the "Analysis" sheet, defined as a dynamic named range to include only the number of factors defined by "numFactorsChart2".</t>
      </text>
    </comment>
    <comment ref="Y32" authorId="68" shapeId="0" xr:uid="{BEDC556C-09DF-4A70-ABC5-8A7A8D720EFD}">
      <text>
        <t>[Threaded comment]
Your version of Excel allows you to read this threaded comment; however, any edits to it will get removed if the file is opened in a newer version of Excel. Learn more: https://go.microsoft.com/fwlink/?linkid=870924
Comment:
    List of languages that the user can choose from for text elements in the charts. It starts with the languages already available for the user interface (UI), followed by languages that the user can define in the "Configuration" tab.</t>
      </text>
    </comment>
    <comment ref="Y33" authorId="69" shapeId="0" xr:uid="{64898062-36E6-45FA-BBD7-0F6344739EC5}">
      <text>
        <t>[Threaded comment]
Your version of Excel allows you to read this threaded comment; however, any edits to it will get removed if the file is opened in a newer version of Excel. Learn more: https://go.microsoft.com/fwlink/?linkid=870924
Comment:
    List of "Non-doers" values for the first chart in the "Analysis" sheet, defined as a dynamic named range to include only the number of factors defined by "numFactorsChart1".</t>
      </text>
    </comment>
    <comment ref="Y34" authorId="70" shapeId="0" xr:uid="{21AED473-6BF6-4329-B639-FC160108CCFD}">
      <text>
        <t>[Threaded comment]
Your version of Excel allows you to read this threaded comment; however, any edits to it will get removed if the file is opened in a newer version of Excel. Learn more: https://go.microsoft.com/fwlink/?linkid=870924
Comment:
    List of "Non-doers" values for the second chart in the "Analysis" sheet, defined as a dynamic named range to include only the number of factors defined by "numFactorsChart2".</t>
      </text>
    </comment>
    <comment ref="CN34" authorId="71" shapeId="0" xr:uid="{343F2EB5-57A6-4C8D-A3F3-E9B8E0BBE862}">
      <text>
        <t>[Threaded comment]
Your version of Excel allows you to read this threaded comment; however, any edits to it will get removed if the file is opened in a newer version of Excel. Learn more: https://go.microsoft.com/fwlink/?linkid=870924
Comment:
    Legacy version</t>
      </text>
    </comment>
    <comment ref="CP34" authorId="72" shapeId="0" xr:uid="{994267E3-3361-4824-B4A3-30F5E5D59019}">
      <text>
        <t>[Threaded comment]
Your version of Excel allows you to read this threaded comment; however, any edits to it will get removed if the file is opened in a newer version of Excel. Learn more: https://go.microsoft.com/fwlink/?linkid=870924
Comment:
    Legacy version</t>
      </text>
    </comment>
    <comment ref="CQ34" authorId="73" shapeId="0" xr:uid="{D4A4D34B-5EE5-43AF-97C8-F95147B19289}">
      <text>
        <t>[Threaded comment]
Your version of Excel allows you to read this threaded comment; however, any edits to it will get removed if the file is opened in a newer version of Excel. Learn more: https://go.microsoft.com/fwlink/?linkid=870924
Comment:
    Legacy version</t>
      </text>
    </comment>
    <comment ref="CX34" authorId="74" shapeId="0" xr:uid="{8357C38D-C22E-493C-B7E3-7BDF57F9A627}">
      <text>
        <t>[Threaded comment]
Your version of Excel allows you to read this threaded comment; however, any edits to it will get removed if the file is opened in a newer version of Excel. Learn more: https://go.microsoft.com/fwlink/?linkid=870924
Comment:
    Legacy version</t>
      </text>
    </comment>
    <comment ref="DB34" authorId="75" shapeId="0" xr:uid="{01B6D153-1091-43BE-8750-4818FF608602}">
      <text>
        <t>[Threaded comment]
Your version of Excel allows you to read this threaded comment; however, any edits to it will get removed if the file is opened in a newer version of Excel. Learn more: https://go.microsoft.com/fwlink/?linkid=870924
Comment:
    Legacy version</t>
      </text>
    </comment>
    <comment ref="DD34" authorId="76" shapeId="0" xr:uid="{542614EF-4E61-43DB-B965-327B07EFA70D}">
      <text>
        <t>[Threaded comment]
Your version of Excel allows you to read this threaded comment; however, any edits to it will get removed if the file is opened in a newer version of Excel. Learn more: https://go.microsoft.com/fwlink/?linkid=870924
Comment:
    Legacy version</t>
      </text>
    </comment>
    <comment ref="DE34" authorId="77" shapeId="0" xr:uid="{BAF157BD-7CBA-495D-842C-F1622F67F52F}">
      <text>
        <t>[Threaded comment]
Your version of Excel allows you to read this threaded comment; however, any edits to it will get removed if the file is opened in a newer version of Excel. Learn more: https://go.microsoft.com/fwlink/?linkid=870924
Comment:
    Legacy version</t>
      </text>
    </comment>
    <comment ref="DG34" authorId="78" shapeId="0" xr:uid="{AAF340A8-69FE-4884-BFA9-28F6DC56FB6D}">
      <text>
        <t>[Threaded comment]
Your version of Excel allows you to read this threaded comment; however, any edits to it will get removed if the file is opened in a newer version of Excel. Learn more: https://go.microsoft.com/fwlink/?linkid=870924
Comment:
    Legacy version</t>
      </text>
    </comment>
    <comment ref="DK34" authorId="79" shapeId="0" xr:uid="{758CCC2C-7031-4F18-AA27-22795F830487}">
      <text>
        <t>[Threaded comment]
Your version of Excel allows you to read this threaded comment; however, any edits to it will get removed if the file is opened in a newer version of Excel. Learn more: https://go.microsoft.com/fwlink/?linkid=870924
Comment:
    Legacy version</t>
      </text>
    </comment>
    <comment ref="DM34" authorId="80" shapeId="0" xr:uid="{5358B228-A2E0-4877-A34B-42B5C277DDA7}">
      <text>
        <t>[Threaded comment]
Your version of Excel allows you to read this threaded comment; however, any edits to it will get removed if the file is opened in a newer version of Excel. Learn more: https://go.microsoft.com/fwlink/?linkid=870924
Comment:
    Legacy version</t>
      </text>
    </comment>
    <comment ref="DN34" authorId="81" shapeId="0" xr:uid="{F1A10D28-1D9D-4779-B879-39DB213B5C02}">
      <text>
        <t>[Threaded comment]
Your version of Excel allows you to read this threaded comment; however, any edits to it will get removed if the file is opened in a newer version of Excel. Learn more: https://go.microsoft.com/fwlink/?linkid=870924
Comment:
    Legacy version</t>
      </text>
    </comment>
    <comment ref="DO34" authorId="82" shapeId="0" xr:uid="{CE1D0935-7D3B-40B0-873F-43F1536A4A98}">
      <text>
        <t>[Threaded comment]
Your version of Excel allows you to read this threaded comment; however, any edits to it will get removed if the file is opened in a newer version of Excel. Learn more: https://go.microsoft.com/fwlink/?linkid=870924
Comment:
    Legacy version</t>
      </text>
    </comment>
    <comment ref="DP34" authorId="83" shapeId="0" xr:uid="{48281D58-DC50-4E69-890E-E31654A3982D}">
      <text>
        <t>[Threaded comment]
Your version of Excel allows you to read this threaded comment; however, any edits to it will get removed if the file is opened in a newer version of Excel. Learn more: https://go.microsoft.com/fwlink/?linkid=870924
Comment:
    Legacy version</t>
      </text>
    </comment>
    <comment ref="DQ34" authorId="84" shapeId="0" xr:uid="{6775F86F-7A02-46F0-9A62-861834EB7FD9}">
      <text>
        <t>[Threaded comment]
Your version of Excel allows you to read this threaded comment; however, any edits to it will get removed if the file is opened in a newer version of Excel. Learn more: https://go.microsoft.com/fwlink/?linkid=870924
Comment:
    Legacy version</t>
      </text>
    </comment>
    <comment ref="DR34" authorId="85" shapeId="0" xr:uid="{3FCA4CB4-4C73-499A-A5BF-0CE3AFE94B58}">
      <text>
        <t>[Threaded comment]
Your version of Excel allows you to read this threaded comment; however, any edits to it will get removed if the file is opened in a newer version of Excel. Learn more: https://go.microsoft.com/fwlink/?linkid=870924
Comment:
    Legacy version</t>
      </text>
    </comment>
    <comment ref="DS34" authorId="86" shapeId="0" xr:uid="{774982DB-0BFC-42DE-80B0-309BC14D86BC}">
      <text>
        <t>[Threaded comment]
Your version of Excel allows you to read this threaded comment; however, any edits to it will get removed if the file is opened in a newer version of Excel. Learn more: https://go.microsoft.com/fwlink/?linkid=870924
Comment:
    Legacy version</t>
      </text>
    </comment>
    <comment ref="DT34" authorId="87" shapeId="0" xr:uid="{56FDB060-5736-4CE6-8729-A0A1A1D541BB}">
      <text>
        <t>[Threaded comment]
Your version of Excel allows you to read this threaded comment; however, any edits to it will get removed if the file is opened in a newer version of Excel. Learn more: https://go.microsoft.com/fwlink/?linkid=870924
Comment:
    Legacy version</t>
      </text>
    </comment>
    <comment ref="DU34" authorId="88" shapeId="0" xr:uid="{B8CADD6B-7EBB-43FB-A3C4-32DF9A625650}">
      <text>
        <t>[Threaded comment]
Your version of Excel allows you to read this threaded comment; however, any edits to it will get removed if the file is opened in a newer version of Excel. Learn more: https://go.microsoft.com/fwlink/?linkid=870924
Comment:
    Legacy version</t>
      </text>
    </comment>
    <comment ref="DV34" authorId="89" shapeId="0" xr:uid="{F41DA8C5-C198-4E74-82C2-D3B151C97384}">
      <text>
        <t>[Threaded comment]
Your version of Excel allows you to read this threaded comment; however, any edits to it will get removed if the file is opened in a newer version of Excel. Learn more: https://go.microsoft.com/fwlink/?linkid=870924
Comment:
    Legacy version</t>
      </text>
    </comment>
    <comment ref="Y35" authorId="90" shapeId="0" xr:uid="{48BC226F-FD01-45D2-B60B-B5C969AFB89B}">
      <text>
        <t>[Threaded comment]
Your version of Excel allows you to read this threaded comment; however, any edits to it will get removed if the file is opened in a newer version of Excel. Learn more: https://go.microsoft.com/fwlink/?linkid=870924
Comment:
    Recommended cutoff level that minimizes the absolute difference between the number of doers and the number of non-doers.</t>
      </text>
    </comment>
    <comment ref="AB35" authorId="91" shapeId="0" xr:uid="{1FC628A3-BD28-40B4-BB5E-DA52123B1EFC}">
      <text>
        <t>[Threaded comment]
Your version of Excel allows you to read this threaded comment; however, any edits to it will get removed if the file is opened in a newer version of Excel. Learn more: https://go.microsoft.com/fwlink/?linkid=870924
Comment:
    For an explanation for the use of LOOKUP() to find the last match in an array, see this link:
https://exceljet.net/formulas/lookup-latest-price</t>
      </text>
    </comment>
    <comment ref="Y36" authorId="92" shapeId="0" xr:uid="{231D4EA3-8C4C-428C-A7BC-96D26254D798}">
      <text>
        <t>[Threaded comment]
Your version of Excel allows you to read this threaded comment; however, any edits to it will get removed if the file is opened in a newer version of Excel. Learn more: https://go.microsoft.com/fwlink/?linkid=870924
Comment:
    Column number of the last non-empty cell (up to maxColNum) in dataFirstRow. Used to define dataHeaders.</t>
      </text>
    </comment>
    <comment ref="Y37" authorId="93" shapeId="0" xr:uid="{54CCF8C4-939A-4969-9C71-D43B5659856B}">
      <text>
        <t>[Threaded comment]
Your version of Excel allows you to read this threaded comment; however, any edits to it will get removed if the file is opened in a newer version of Excel. Learn more: https://go.microsoft.com/fwlink/?linkid=870924
Comment:
    Column number of the data column that serves as an index for the survey submissions. Used to copy that column (as dataRefCol) and count the total number of data entries.</t>
      </text>
    </comment>
    <comment ref="AA37" authorId="94" shapeId="0" xr:uid="{3EA9EAB6-464C-40FF-A29C-5AC5F2CF62A3}">
      <text>
        <t>[Threaded comment]
Your version of Excel allows you to read this threaded comment; however, any edits to it will get removed if the file is opened in a newer version of Excel. Learn more: https://go.microsoft.com/fwlink/?linkid=870924
Comment:
    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
      </text>
    </comment>
    <comment ref="Y38" authorId="95" shapeId="0" xr:uid="{9FBCCA0B-0F3E-4D10-B107-0F855F175A52}">
      <text>
        <t>[Threaded comment]
Your version of Excel allows you to read this threaded comment; however, any edits to it will get removed if the file is opened in a newer version of Excel. Learn more: https://go.microsoft.com/fwlink/?linkid=870924
Comment:
    Union of all yellow user-editable areas in the tables of the "Configuration" sheet. Used as a shortcut to quickly select them with "Go To..." and define their "locked/hidden" settings. /!\ If these areas change, check if the range resized accordingly /!\</t>
      </text>
    </comment>
    <comment ref="Y39" authorId="96" shapeId="0" xr:uid="{1ED1FFBF-B238-4A39-A3E3-7CCB2BA2EEE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behaviour header in behaviourConfigTable is not found in the "data" sheet.</t>
      </text>
    </comment>
    <comment ref="Y40" authorId="97" shapeId="0" xr:uid="{1BCD0FF1-DA5D-4539-B94C-19746D52FE99}">
      <text>
        <t>[Threaded comment]
Your version of Excel allows you to read this threaded comment; however, any edits to it will get removed if the file is opened in a newer version of Excel. Learn more: https://go.microsoft.com/fwlink/?linkid=870924
Comment:
    Error that evaluates to TRUE if the "Include?" value for a non-empty behaviour header in behaviourConfigTable is missing or invalid.</t>
      </text>
    </comment>
    <comment ref="Y41" authorId="98" shapeId="0" xr:uid="{DB77FBFE-A695-4012-850B-37FA9B88E51C}">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behaviour header in behaviourConfigTable is missing or invalid (e.g., min &gt;= max).</t>
      </text>
    </comment>
    <comment ref="Y42" authorId="99" shapeId="0" xr:uid="{4199D389-F3F7-4C37-85DB-77F36C5CEE14}">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behaviour headers in behaviourConfigTable (i.e. headers successfully found in the "data" sheet) is selected in the "Include?" column.</t>
      </text>
    </comment>
    <comment ref="Y43" authorId="100" shapeId="0" xr:uid="{736B03EB-F22F-4F8F-AE7B-DD9DDFD55729}">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behaviour headers falls outside of the corresponding "Min. score"-"Max. score" range defined in behaviourConfigTable.</t>
      </text>
    </comment>
    <comment ref="Y44" authorId="101" shapeId="0" xr:uid="{E948A971-AEFD-4E80-BF50-D017BABD9D29}">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chartLanguage is not from the allowed chartLanguageList.</t>
      </text>
    </comment>
    <comment ref="Y45" authorId="102" shapeId="0" xr:uid="{17B9A7AA-8B5C-47F6-A1CE-B38EA8D2E4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any entry in chartTranslationTable is missing.</t>
      </text>
    </comment>
    <comment ref="Y46" authorId="103" shapeId="0" xr:uid="{14283CDC-D4F3-4C5C-A3BB-E8763029DBAB}">
      <text>
        <t>[Threaded comment]
Your version of Excel allows you to read this threaded comment; however, any edits to it will get removed if the file is opened in a newer version of Excel. Learn more: https://go.microsoft.com/fwlink/?linkid=870924
Comment:
    Error that evaluates to TRUE if the value entered for cutoffLevel is invalid (i.e., not an integer between 0 and 100%).</t>
      </text>
    </comment>
    <comment ref="AA46" authorId="104" shapeId="0" xr:uid="{CE1B0804-00CA-4D76-95CC-70BA8827023F}">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100*cutoffLevel, because otherwise rounding errors with the MOD() function can produce false positives.</t>
      </text>
    </comment>
    <comment ref="Y47" authorId="105" shapeId="0" xr:uid="{18BBC9C1-6A69-4400-AD5D-2FBCFBFBA785}">
      <text>
        <t>[Threaded comment]
Your version of Excel allows you to read this threaded comment; however, any edits to it will get removed if the file is opened in a newer version of Excel. Learn more: https://go.microsoft.com/fwlink/?linkid=870924
Comment:
    Error that evaluates to TRUE if any space character is found in the first row of the "data" sheet. Spaces in column headers could cause problems when referencing those columns.</t>
      </text>
    </comment>
    <comment ref="Y48" authorId="106" shapeId="0" xr:uid="{6C98878A-7F5F-45FC-A412-F804D6DAA995}">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sortingMethod is not from the allowed sortMenuList.</t>
      </text>
    </comment>
    <comment ref="Y49" authorId="107" shapeId="0" xr:uid="{7A4E84DF-9EA5-4DBE-BA23-31D8CA68311D}">
      <text>
        <t>[Threaded comment]
Your version of Excel allows you to read this threaded comment; however, any edits to it will get removed if the file is opened in a newer version of Excel. Learn more: https://go.microsoft.com/fwlink/?linkid=870924
Comment:
    Error that evaluates to TRUE if the "Display?" value for a non-empty factor header in factorConfigTable is missing or invalid.</t>
      </text>
    </comment>
    <comment ref="Y50" authorId="108" shapeId="0" xr:uid="{6327AD21-F5E2-4AA8-99D5-F06E2C68A50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factor header in factorConfigTable is not found in the "data" sheet.</t>
      </text>
    </comment>
    <comment ref="Y51" authorId="109" shapeId="0" xr:uid="{278C3B32-19EA-42D2-A788-E923A8488E96}">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factor header in factorConfigTable is missing or invalid (e.g., min &gt;= max).</t>
      </text>
    </comment>
    <comment ref="Y52" authorId="110" shapeId="0" xr:uid="{01C52DD6-00F8-4D6C-B072-6B0E9824E8FF}">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factor headers in factorConfigTable (i.e. headers successfully found in the "data" sheet) is selected in the "Display?" column.</t>
      </text>
    </comment>
    <comment ref="Y53" authorId="111" shapeId="0" xr:uid="{DE2D93FE-8BD9-4A7F-88F1-9C72626ABAAD}">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factor headers falls outside of the corresponding "Min. score"-"Max. score" range defined in factorConfigTable.</t>
      </text>
    </comment>
    <comment ref="Y54" authorId="112" shapeId="0" xr:uid="{A539FC2A-A770-47B3-B74C-8A171C72BC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 selected, non-empty factor header in factorConfigTable is missing.</t>
      </text>
    </comment>
    <comment ref="Y55" authorId="113" shapeId="0" xr:uid="{E1A5970E-EE85-4A4E-9903-F00D568C51F7}">
      <text>
        <t>[Threaded comment]
Your version of Excel allows you to read this threaded comment; however, any edits to it will get removed if the file is opened in a newer version of Excel. Learn more: https://go.microsoft.com/fwlink/?linkid=870924
Comment:
    List of error messages displayed to the user in the "Configuration" sheet, concatenated from a list of possible messages defined in the hidden "Error messages" table.</t>
      </text>
    </comment>
    <comment ref="Y56" authorId="114" shapeId="0" xr:uid="{AC6C909B-7866-422D-82E8-C6A96A224936}">
      <text>
        <t>[Threaded comment]
Your version of Excel allows you to read this threaded comment; however, any edits to it will get removed if the file is opened in a newer version of Excel. Learn more: https://go.microsoft.com/fwlink/?linkid=870924
Comment:
    Error that evaluates to TRUE if none of the predefined headers for a reference column is found in the "data" sheet.</t>
      </text>
    </comment>
    <comment ref="Y57" authorId="115" shapeId="0" xr:uid="{AF6E7DC9-01F5-4F75-A174-D8B1DB671270}">
      <text>
        <t>[Threaded comment]
Your version of Excel allows you to read this threaded comment; however, any edits to it will get removed if the file is opened in a newer version of Excel. Learn more: https://go.microsoft.com/fwlink/?linkid=870924
Comment:
    Error that evaluates to TRUE if the "data" sheet does not exist.</t>
      </text>
    </comment>
    <comment ref="Y58" authorId="116" shapeId="0" xr:uid="{7591502D-8F1C-493C-8B3F-9806BD17D2AF}">
      <text>
        <t>[Threaded comment]
Your version of Excel allows you to read this threaded comment; however, any edits to it will get removed if the file is opened in a newer version of Excel. Learn more: https://go.microsoft.com/fwlink/?linkid=870924
Comment:
    Error that evaluates to TRUE if a RANAS block for a selected, non-empty factor header in factorConfigTable is missing or invalid.</t>
      </text>
    </comment>
    <comment ref="Y59" authorId="117" shapeId="0" xr:uid="{59345150-73A7-4AFE-860F-BDB68B001667}">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UILanguage is not from the allowed UILanguageList.</t>
      </text>
    </comment>
    <comment ref="Y60" authorId="118" shapeId="0" xr:uid="{303A217B-0797-4C81-9D61-BBE0A1E6C70D}">
      <text>
        <t>[Threaded comment]
Your version of Excel allows you to read this threaded comment; however, any edits to it will get removed if the file is opened in a newer version of Excel. Learn more: https://go.microsoft.com/fwlink/?linkid=870924
Comment:
    Translation of "Behaviour score" into the chartLanguage selected by the user. Used mostly for the axis label on the chart, which can accept a named variable, but not a complex formula.</t>
      </text>
    </comment>
    <comment ref="Y61" authorId="119" shapeId="0" xr:uid="{850F4624-7EC3-460F-AFEC-32934209FD8C}">
      <text>
        <t>[Threaded comment]
Your version of Excel allows you to read this threaded comment; however, any edits to it will get removed if the file is opened in a newer version of Excel. Learn more: https://go.microsoft.com/fwlink/?linkid=870924
Comment:
    Translation of "Cutoff level" into the chartLanguage selected by the user. Used mostly for the axis label on the chart, which can accept a named variable, but not a complex formula.</t>
      </text>
    </comment>
    <comment ref="Y62" authorId="120" shapeId="0" xr:uid="{F4BC9FE4-A5D3-49D9-8CA6-C4731DC09A31}">
      <text>
        <t>[Threaded comment]
Your version of Excel allows you to read this threaded comment; however, any edits to it will get removed if the file is opened in a newer version of Excel. Learn more: https://go.microsoft.com/fwlink/?linkid=870924
Comment:
    Translation of "Normalized mean score" into the chartLanguage selected by the user. Used mostly for the axis label on the chart, which can accept a named variable, but not a complex formula.</t>
      </text>
    </comment>
    <comment ref="AA62" authorId="121" shapeId="0" xr:uid="{A7BAF418-6AFA-4735-AF91-43C5DE25FB15}">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 ref="AB62" authorId="122" shapeId="0" xr:uid="{6D2BDB2D-DEF7-4BD0-B302-C5B450709BED}">
      <text>
        <t>[Threaded comment]
Your version of Excel allows you to read this threaded comment; however, any edits to it will get removed if the file is opened in a newer version of Excel. Learn more: https://go.microsoft.com/fwlink/?linkid=870924
Comment:
    Note: Using the function UNICHAR() in this formula could make it incompatible with Excel versions prior to 2013. Find an alternative (e.g., just use a regular hyphen) if this turns out to be a problem.</t>
      </text>
    </comment>
    <comment ref="Y63" authorId="123" shapeId="0" xr:uid="{DECBFD3E-B119-43A3-8C16-48BE13D1DA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4" authorId="124" shapeId="0" xr:uid="{CBD9C711-5209-416C-8A94-54CD0ED950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5" authorId="125" shapeId="0" xr:uid="{3428773C-B63D-401E-B7F9-7955C0E75568}">
      <text>
        <t>[Threaded comment]
Your version of Excel allows you to read this threaded comment; however, any edits to it will get removed if the file is opened in a newer version of Excel. Learn more: https://go.microsoft.com/fwlink/?linkid=870924
Comment:
    List of the user-interface + user-defined languages in the header of the "Factors configuration table". Used to compute the "chartLanguageList" and to look up various text values in the selected chartLanguage.</t>
      </text>
    </comment>
    <comment ref="Y66" authorId="126" shapeId="0" xr:uid="{B3C2F7E7-D905-488E-959F-71514EBA8466}">
      <text>
        <t>[Threaded comment]
Your version of Excel allows you to read this threaded comment; however, any edits to it will get removed if the file is opened in a newer version of Excel. Learn more: https://go.microsoft.com/fwlink/?linkid=870924
Comment:
    Local equivalent of the "address" parameter for the CELL() function, which is specific to the language version of Excel. CELL() is used to dynamically reference the sheets' names, in case they change in the future.</t>
      </text>
    </comment>
    <comment ref="AA66" authorId="127" shapeId="0" xr:uid="{BDFD382D-8813-439A-8635-35E286C727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Y67" authorId="128" shapeId="0" xr:uid="{63EC71EC-6CC4-403B-BC02-E2EE9D085CC6}">
      <text>
        <t>[Threaded comment]
Your version of Excel allows you to read this threaded comment; however, any edits to it will get removed if the file is opened in a newer version of Excel. Learn more: https://go.microsoft.com/fwlink/?linkid=870924
Comment:
    Maximum doers/non-doers difference (in absolute value) used to define the lower and upper limits of the colour scale in Conditional formatting for the "Difference" column of the "analysisChartTable".</t>
      </text>
    </comment>
    <comment ref="Y68" authorId="129" shapeId="0" xr:uid="{8E5387EE-F35C-4C99-B5A2-501661974AE7}">
      <text>
        <t>[Threaded comment]
Your version of Excel allows you to read this threaded comment; however, any edits to it will get removed if the file is opened in a newer version of Excel. Learn more: https://go.microsoft.com/fwlink/?linkid=870924
Comment:
    Reference to the label meaning "no" in the drop-down menus of the "Include?" and "Display?" columns of the "Behaviour" and "Factors" configuration tables. Used in UI text.</t>
      </text>
    </comment>
    <comment ref="Y69" authorId="130" shapeId="0" xr:uid="{98EFA81E-B26B-4162-BF70-4BBA624CECE4}">
      <text>
        <t>[Threaded comment]
Your version of Excel allows you to read this threaded comment; however, any edits to it will get removed if the file is opened in a newer version of Excel. Learn more: https://go.microsoft.com/fwlink/?linkid=870924
Comment:
    Number of entries in the "data" sheet. It is counted as the number of values in the "index" column dataRefCol.</t>
      </text>
    </comment>
    <comment ref="Y70" authorId="131" shapeId="0" xr:uid="{6987FA74-F492-4B7C-99EF-65FE22D4256E}">
      <text>
        <t>[Threaded comment]
Your version of Excel allows you to read this threaded comment; however, any edits to it will get removed if the file is opened in a newer version of Excel. Learn more: https://go.microsoft.com/fwlink/?linkid=870924
Comment:
    Number of factors selected for display by the user in the Configuration tab (up to 30). Used to calculate the number of factors displayed in each chart of the "Analysis" sheet ("numFactorsChart1" and "numFactorsChart2").</t>
      </text>
    </comment>
    <comment ref="Y71" authorId="132" shapeId="0" xr:uid="{0E5A0A8E-AF58-40CB-BAF5-BF37AA6895DC}">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first chart of the "Analysis" sheet. It depends on "numFactors" and "numFactorsThreshold" in order to split the factors across both charts. Used to define a dynamic range for the chart data.</t>
      </text>
    </comment>
    <comment ref="Y72" authorId="133" shapeId="0" xr:uid="{9C2EF22F-7719-45E7-A51A-43194BFC951E}">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second chart of the "Analysis" sheet. It depends on "numFactors" and "numFactorsThreshold" in order to split the factors across both charts. Used to define a dynamic range for the chart data.</t>
      </text>
    </comment>
    <comment ref="Y73" authorId="134" shapeId="0" xr:uid="{F8EA8679-A5A3-4E64-B223-C85FD6BD4DCD}">
      <text>
        <t>[Threaded comment]
Your version of Excel allows you to read this threaded comment; however, any edits to it will get removed if the file is opened in a newer version of Excel. Learn more: https://go.microsoft.com/fwlink/?linkid=870924
Comment:
    Number of languages available to display chart/table text (it includes the UI + the user-defined languages). Used mostly to define a dynamic range for the "Chart language" drop-down menu.</t>
      </text>
    </comment>
    <comment ref="Y74" authorId="135" shapeId="0" xr:uid="{80D50726-EF2C-4C67-9FBB-E23389320578}">
      <text>
        <t>[Threaded comment]
Your version of Excel allows you to read this threaded comment; however, any edits to it will get removed if the file is opened in a newer version of Excel. Learn more: https://go.microsoft.com/fwlink/?linkid=870924
Comment:
    Number of scores, i.e. number of "data" entries having at least one non-empty value among the selected "behaviour" questions and for which a behaviour score can be computed.</t>
      </text>
    </comment>
    <comment ref="Y75" authorId="136" shapeId="0" xr:uid="{EC282725-E97D-4442-A25E-96E89D8860B6}">
      <text>
        <t>[Threaded comment]
Your version of Excel allows you to read this threaded comment; however, any edits to it will get removed if the file is opened in a newer version of Excel. Learn more: https://go.microsoft.com/fwlink/?linkid=870924
Comment:
    List of RANAS blocks in (currently) both UI languages (English, Français) used in drop-down menus in the "Factors configuration table".</t>
      </text>
    </comment>
    <comment ref="Y76" authorId="137" shapeId="0" xr:uid="{D7D70823-CDCD-482A-8D64-14AAA174D567}">
      <text>
        <t>[Threaded comment]
Your version of Excel allows you to read this threaded comment; however, any edits to it will get removed if the file is opened in a newer version of Excel. Learn more: https://go.microsoft.com/fwlink/?linkid=870924
Comment:
    Dynamic reference to the "Analysis" sheet name (in case it changes in the future), used mostly in UI text.</t>
      </text>
    </comment>
    <comment ref="Y77" authorId="138" shapeId="0" xr:uid="{D7107A38-D6DB-469A-8C87-CE953DC74C5C}">
      <text>
        <t>[Threaded comment]
Your version of Excel allows you to read this threaded comment; however, any edits to it will get removed if the file is opened in a newer version of Excel. Learn more: https://go.microsoft.com/fwlink/?linkid=870924
Comment:
    Dynamic reference to the "Configuration" sheet name (in case it changes in the future), used mostly in UI text.</t>
      </text>
    </comment>
    <comment ref="Y78" authorId="139" shapeId="0" xr:uid="{38B92C36-2D09-4392-B5D0-AB22DF93AA64}">
      <text>
        <t>[Threaded comment]
Your version of Excel allows you to read this threaded comment; however, any edits to it will get removed if the file is opened in a newer version of Excel. Learn more: https://go.microsoft.com/fwlink/?linkid=870924
Comment:
    Dynamic reference to the "Cutoff" sheet name (in case it changes in the future), used mostly in UI text.</t>
      </text>
    </comment>
    <comment ref="Y79" authorId="140" shapeId="0" xr:uid="{07A2D467-7B27-4D0F-A15A-9EF144A70C0D}">
      <text>
        <t>[Threaded comment]
Your version of Excel allows you to read this threaded comment; however, any edits to it will get removed if the file is opened in a newer version of Excel. Learn more: https://go.microsoft.com/fwlink/?linkid=870924
Comment:
    Dynamic reference to the "HiddenTables" sheet name (in case it changes in the future).</t>
      </text>
    </comment>
    <comment ref="AA79" authorId="141" shapeId="0" xr:uid="{920D1D5A-2398-4BA7-B424-F90D035B6A6A}">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Y80" authorId="142" shapeId="0" xr:uid="{99D08BBB-6A83-48E4-92DF-884E316E478F}">
      <text>
        <t>[Threaded comment]
Your version of Excel allows you to read this threaded comment; however, any edits to it will get removed if the file is opened in a newer version of Excel. Learn more: https://go.microsoft.com/fwlink/?linkid=870924
Comment:
    Dynamic reference to the "Introduction" sheet name (in case it changes in the future), used mostly in UI text.</t>
      </text>
    </comment>
    <comment ref="Y81" authorId="143" shapeId="0" xr:uid="{CA9389B5-559B-4E70-9A1A-9063BF203F27}">
      <text>
        <t>[Threaded comment]
Your version of Excel allows you to read this threaded comment; however, any edits to it will get removed if the file is opened in a newer version of Excel. Learn more: https://go.microsoft.com/fwlink/?linkid=870924
Comment:
    Tag associated with the selected sorting method for the data in the "Factors analysis chart". Used to simplify the formula that sorts the data according to the selected method.</t>
      </text>
    </comment>
    <comment ref="Y82" authorId="144" shapeId="0" xr:uid="{52CA9CC3-2DD0-427C-849D-AA85538CB280}">
      <text>
        <t>[Threaded comment]
Your version of Excel allows you to read this threaded comment; however, any edits to it will get removed if the file is opened in a newer version of Excel. Learn more: https://go.microsoft.com/fwlink/?linkid=870924
Comment:
    List of sorting options for the "Factors analysis chart". Using symbols to make it (sort of) language-independent, so the options must be described in the UI language next to the menu.</t>
      </text>
    </comment>
    <comment ref="Y83" authorId="145" shapeId="0" xr:uid="{581ECF05-C743-4C62-BBE0-89915C1748BD}">
      <text>
        <t>[Threaded comment]
Your version of Excel allows you to read this threaded comment; however, any edits to it will get removed if the file is opened in a newer version of Excel. Learn more: https://go.microsoft.com/fwlink/?linkid=870924
Comment:
    List of available languages for the user interface. New languages must be added as new columns in UITranslationTable, errorMessagesTable, factorsConfigTable and chartTranslationTable, completed with all corresponding translations.</t>
      </text>
    </comment>
    <comment ref="Y84" authorId="146" shapeId="0" xr:uid="{2C6136A3-2FA2-4040-B462-4804885A4F56}">
      <text>
        <t>[Threaded comment]
Your version of Excel allows you to read this threaded comment; however, any edits to it will get removed if the file is opened in a newer version of Excel. Learn more: https://go.microsoft.com/fwlink/?linkid=870924
Comment:
    Reference to the label meaning "yes" in the drop-down menus of the "Include?" and "Display?" columns of the "Behaviour" and "Factors" configuration tables.  Used in UI text and conditional formatting rules.</t>
      </text>
    </comment>
    <comment ref="Y85" authorId="147" shapeId="0" xr:uid="{1B90EA43-A512-4D8C-AED7-B8CCEAA8D002}">
      <text>
        <t>[Threaded comment]
Your version of Excel allows you to read this threaded comment; however, any edits to it will get removed if the file is opened in a newer version of Excel. Learn more: https://go.microsoft.com/fwlink/?linkid=870924
Comment:
    List of yes/no values (check mark/cross mark) used in drop-down menus in the "Behaviour configuration table" and "Factors configuration table" to include behaviour questions/factors in the behaviour score/analysis chart.</t>
      </text>
    </comment>
    <comment ref="AA112" authorId="148" shapeId="0" xr:uid="{CAE2CE7C-DC90-4E8B-8BFF-5771B8010C60}">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on 100*cutoffLevel, because otherwise rounding errors with the MOD() function can produce false positives.</t>
      </text>
    </comment>
    <comment ref="Y113" authorId="149" shapeId="0" xr:uid="{C13CC2AB-4B99-40A8-9566-82F95A04CE16}">
      <text>
        <t>[Threaded comment]
Your version of Excel allows you to read this threaded comment; however, any edits to it will get removed if the file is opened in a newer version of Excel. Learn more: https://go.microsoft.com/fwlink/?linkid=870924
Comment:
    This CF rule displays a decimal digit to the cutoff level value (e.g., 56.7%) to highlight that the entered value is not a whole number.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<sst xmlns="http://schemas.openxmlformats.org/spreadsheetml/2006/main" count="923" uniqueCount="688">
  <si>
    <t>name</t>
  </si>
  <si>
    <t>index</t>
  </si>
  <si>
    <t>Difference</t>
  </si>
  <si>
    <t>English</t>
  </si>
  <si>
    <t>Doers</t>
  </si>
  <si>
    <t>Français</t>
  </si>
  <si>
    <t>Pratiquants</t>
  </si>
  <si>
    <t>Non-doers</t>
  </si>
  <si>
    <t>Non-pratiquants</t>
  </si>
  <si>
    <t>Différence</t>
  </si>
  <si>
    <t>Nbre de réponses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</si>
  <si>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</si>
  <si>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</si>
  <si>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</si>
  <si>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</si>
  <si>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</si>
  <si>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</si>
  <si>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</si>
  <si>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</si>
  <si>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</si>
  <si>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</si>
  <si>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</si>
  <si>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</si>
  <si>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</si>
  <si>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</si>
  <si>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</si>
  <si>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</si>
  <si>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</si>
  <si>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</si>
  <si>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</si>
  <si>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</si>
  <si>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</si>
  <si>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</si>
  <si>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</si>
  <si>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</si>
  <si>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numResponses</t>
  </si>
  <si>
    <t># of responses</t>
  </si>
  <si>
    <t>UI TRANSLATION TABLE</t>
  </si>
  <si>
    <t>Cutoff level</t>
  </si>
  <si>
    <t>cutoffLevel</t>
  </si>
  <si>
    <t>Niveau de seuil</t>
  </si>
  <si>
    <t>langSpecText</t>
  </si>
  <si>
    <t>displayedText</t>
  </si>
  <si>
    <t>languageList</t>
  </si>
  <si>
    <t>languageHeaders</t>
  </si>
  <si>
    <t>numLanguages</t>
  </si>
  <si>
    <t>maxAbsDiff</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</si>
  <si>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</si>
  <si>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</si>
  <si>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</si>
  <si>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</si>
  <si>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</si>
  <si>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</si>
  <si>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</si>
  <si>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</si>
  <si>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</si>
  <si>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</si>
  <si>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</si>
  <si>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</si>
  <si>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</si>
  <si>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</si>
  <si>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</si>
  <si>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</si>
  <si>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</si>
  <si>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</si>
  <si>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</si>
  <si>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</si>
  <si>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</si>
  <si>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</si>
  <si>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</si>
  <si>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</si>
  <si>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</si>
  <si>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</si>
  <si>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</si>
  <si>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</si>
  <si>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</si>
  <si>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</si>
  <si>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</si>
  <si>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</si>
  <si>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</si>
  <si>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</si>
  <si>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</si>
  <si>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</si>
  <si>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</si>
  <si>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</si>
  <si>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</si>
  <si>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</si>
  <si>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</si>
  <si>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</si>
  <si>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</si>
  <si>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</si>
  <si>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</si>
  <si>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</si>
  <si>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</si>
  <si>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</si>
  <si>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</si>
  <si>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</si>
  <si>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CUTOFF LEVEL TABLE</t>
  </si>
  <si>
    <t>label</t>
  </si>
  <si>
    <t>absDiff</t>
  </si>
  <si>
    <t>cutoffLevelRecommended</t>
  </si>
  <si>
    <t>cutoffLevelRecomText</t>
  </si>
  <si>
    <t>Behaviour score</t>
  </si>
  <si>
    <t>Score de comportement</t>
  </si>
  <si>
    <t>behaviourScore</t>
  </si>
  <si>
    <t>langSpecBehaviourScore</t>
  </si>
  <si>
    <t>percentResponses</t>
  </si>
  <si>
    <t>% de réponses</t>
  </si>
  <si>
    <t>langSpecNumResponses</t>
  </si>
  <si>
    <t>langSpecPercentResponses</t>
  </si>
  <si>
    <t>percentNondoers</t>
  </si>
  <si>
    <t>percentDoers</t>
  </si>
  <si>
    <t>isDoer</t>
  </si>
  <si>
    <t>Norms</t>
  </si>
  <si>
    <t>Risks</t>
  </si>
  <si>
    <t>Attitudes</t>
  </si>
  <si>
    <t>Abilities</t>
  </si>
  <si>
    <t>Self-regulation</t>
  </si>
  <si>
    <t>RANAS</t>
  </si>
  <si>
    <t>Display?</t>
  </si>
  <si>
    <t>% of responses</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</si>
  <si>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</si>
  <si>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</si>
  <si>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</si>
  <si>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</si>
  <si>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</si>
  <si>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</si>
  <si>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</si>
  <si>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</si>
  <si>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</si>
  <si>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</si>
  <si>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</si>
  <si>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</si>
  <si>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</si>
  <si>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</si>
  <si>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</si>
  <si>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</si>
  <si>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</si>
  <si>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</si>
  <si>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</si>
  <si>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</si>
  <si>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</si>
  <si>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</si>
  <si>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</si>
  <si>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</si>
  <si>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</si>
  <si>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</si>
  <si>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</si>
  <si>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</si>
  <si>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</si>
  <si>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</si>
  <si>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</si>
  <si>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</si>
  <si>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</si>
  <si>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</si>
  <si>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</si>
  <si>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</si>
  <si>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</si>
  <si>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</si>
  <si>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</si>
  <si>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</si>
  <si>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</si>
  <si>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</si>
  <si>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</si>
  <si>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</si>
  <si>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</si>
  <si>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</si>
  <si>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</si>
  <si>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</si>
  <si>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</si>
  <si>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</si>
  <si>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</si>
  <si>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</si>
  <si>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</si>
  <si>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</si>
  <si>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</si>
  <si>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</si>
  <si>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</si>
  <si>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</si>
  <si>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</si>
  <si>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</si>
  <si>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</si>
  <si>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</si>
  <si>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</si>
  <si>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</si>
  <si>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</si>
  <si>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</si>
  <si>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</si>
  <si>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</si>
  <si>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</si>
  <si>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</si>
  <si>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</si>
  <si>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</si>
  <si>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</si>
  <si>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</si>
  <si>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</si>
  <si>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</si>
  <si>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</si>
  <si>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</si>
  <si>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</si>
  <si>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</si>
  <si>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</si>
  <si>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</si>
  <si>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</si>
  <si>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</si>
  <si>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</si>
  <si>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</si>
  <si>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</si>
  <si>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</si>
  <si>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</si>
  <si>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</si>
  <si>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</si>
  <si>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</si>
  <si>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</si>
  <si>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</si>
  <si>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</si>
  <si>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</si>
  <si>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</si>
  <si>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</si>
  <si>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</si>
  <si>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</si>
  <si>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</si>
  <si>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</si>
  <si>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</si>
  <si>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</si>
  <si>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</si>
  <si>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</si>
  <si>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</si>
  <si>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</si>
  <si>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</si>
  <si>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</si>
  <si>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</si>
  <si>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</si>
  <si>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</si>
  <si>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</si>
  <si>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</si>
  <si>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</si>
  <si>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</si>
  <si>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</si>
  <si>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</si>
  <si>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</si>
  <si>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</si>
  <si>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</si>
  <si>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</si>
  <si>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</si>
  <si>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</si>
  <si>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</si>
  <si>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</si>
  <si>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</si>
  <si>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</si>
  <si>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</si>
  <si>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</si>
  <si>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</si>
  <si>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</si>
  <si>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</si>
  <si>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</si>
  <si>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</si>
  <si>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</si>
  <si>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</si>
  <si>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</si>
  <si>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</si>
  <si>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</si>
  <si>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</si>
  <si>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</si>
  <si>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</si>
  <si>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</si>
  <si>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</si>
  <si>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</si>
  <si>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</si>
  <si>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</si>
  <si>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</si>
  <si>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</si>
  <si>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</si>
  <si>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</si>
  <si>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</si>
  <si>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</si>
  <si>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</si>
  <si>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</si>
  <si>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</si>
  <si>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</si>
  <si>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</si>
  <si>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</si>
  <si>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</si>
  <si>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</si>
  <si>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</si>
  <si>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</si>
  <si>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0-9%</t>
  </si>
  <si>
    <t>10-19%</t>
  </si>
  <si>
    <t>20-29%</t>
  </si>
  <si>
    <t>30-39%</t>
  </si>
  <si>
    <t>40-49%</t>
  </si>
  <si>
    <t>50-59%</t>
  </si>
  <si>
    <t>60-69%</t>
  </si>
  <si>
    <t>70-79%</t>
  </si>
  <si>
    <t>80-89%</t>
  </si>
  <si>
    <t>90-100%</t>
  </si>
  <si>
    <t>minValue</t>
  </si>
  <si>
    <t>maxValue</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</si>
  <si>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</si>
  <si>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</si>
  <si>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</si>
  <si>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</si>
  <si>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</si>
  <si>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</si>
  <si>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</si>
  <si>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(Excel 365 version)</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</si>
  <si>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</si>
  <si>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</si>
  <si>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</si>
  <si>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</si>
  <si>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</si>
  <si>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</si>
  <si>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</si>
  <si>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</si>
  <si>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</si>
  <si>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</si>
  <si>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</si>
  <si>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</si>
  <si>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</si>
  <si>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</si>
  <si>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</si>
  <si>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</si>
  <si>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</si>
  <si>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</si>
  <si>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</si>
  <si>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</si>
  <si>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</si>
  <si>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</si>
  <si>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</si>
  <si>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</si>
  <si>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</si>
  <si>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</si>
  <si>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</si>
  <si>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</si>
  <si>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</si>
  <si>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</si>
  <si>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</si>
  <si>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</si>
  <si>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</si>
  <si>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</si>
  <si>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</si>
  <si>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</si>
  <si>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</si>
  <si>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</si>
  <si>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</si>
  <si>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</si>
  <si>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</si>
  <si>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</si>
  <si>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</si>
  <si>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</si>
  <si>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</si>
  <si>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copyTableInfo</t>
  </si>
  <si>
    <t>chartDifferenceRange1</t>
  </si>
  <si>
    <t>chartDifferenceRange2</t>
  </si>
  <si>
    <t>chartDoersRange1</t>
  </si>
  <si>
    <t>chartDoersRange2</t>
  </si>
  <si>
    <t>chartFactorRange1</t>
  </si>
  <si>
    <t>chartFactorRange2</t>
  </si>
  <si>
    <t>chartLanguageList</t>
  </si>
  <si>
    <t>chartNondoersRange1</t>
  </si>
  <si>
    <t>chartNondoersRange2</t>
  </si>
  <si>
    <t>editableAreas</t>
  </si>
  <si>
    <t>=Configuration!$C$16:$C$20,Configuration!$E$16:$G$20,Configuration!$C$39:$C$68,Configuration!$E$39:$G$68,Configuration!$I$39:$N$68,Configuration!$L$37:$N$37,Configuration!$L$77:$N$91</t>
  </si>
  <si>
    <t>languageHeadersList</t>
  </si>
  <si>
    <t>=Configuration!$J$37:$N$37</t>
  </si>
  <si>
    <t>=XLOOKUP("no", yesNoTable[tag], yesNoTable[label])</t>
  </si>
  <si>
    <t>noLabel</t>
  </si>
  <si>
    <t>=RANASBlocksTable[label]</t>
  </si>
  <si>
    <t>RANASList</t>
  </si>
  <si>
    <t>=sortMenuTable[label]</t>
  </si>
  <si>
    <t>sortMenuList</t>
  </si>
  <si>
    <t>UILanguageList</t>
  </si>
  <si>
    <t>=XLOOKUP("yes", yesNoTable[tag], yesNoTable[label])</t>
  </si>
  <si>
    <t>yesLabel</t>
  </si>
  <si>
    <t>=yesNoTable[label]</t>
  </si>
  <si>
    <t>yesNoList</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</si>
  <si>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</si>
  <si>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</si>
  <si>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</si>
  <si>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</si>
  <si>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</si>
  <si>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</si>
  <si>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</si>
  <si>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</si>
  <si>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</si>
  <si>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</si>
  <si>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</si>
  <si>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</si>
  <si>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</si>
  <si>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</si>
  <si>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</si>
  <si>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</si>
  <si>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</si>
  <si>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</si>
  <si>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</si>
  <si>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</si>
  <si>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</si>
  <si>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1.0.1</t>
  </si>
  <si>
    <t>formula</t>
  </si>
  <si>
    <t>=IF(NOT(ISERROR(CELL("address",A1))), "address",
    IF(NOT(ISERROR(CELL("adresse",A1))), "adresse",
      IF(NOT(ISERROR(CELL("Adresse",A1))), "Adresse",
        IF(NOT(ISERROR(CELL("DIRECCIÓN",A1))), "DIRECCIÓN", NA())
      )
    )
  )</t>
  </si>
  <si>
    <t>=IFERROR(
    SUBSTITUTE(
      TEXTBEFORE(
        TEXTAFTER(CELL(localAddressParameter, UILanguage), "]", -1),
        IF(
          LEFT(CELL(localAddressParameter, UILanguage))="'",
          "'!",
          "!"
        ), -1
      ), "''", "'"
    ), "Introduction"
  )</t>
  </si>
  <si>
    <t>=IFERROR(
    SUBSTITUTE(
      TEXTBEFORE(
        TEXTAFTER(CELL(localAddressParameter, behaviourConfigTable), "]", -1),
        IF(
          LEFT(CELL(localAddressParameter, behaviourConfigTable))="'",
          "'!",
          "!"
        ), -1
      ), "''", "'"
    ), "Configuration"
  )</t>
  </si>
  <si>
    <t>=IFERROR(
    SUBSTITUTE(
      TEXTBEFORE(
        TEXTAFTER(CELL(localAddressParameter, cutoffLevel), "]", -1),
        IF(
          LEFT(CELL(localAddressParameter, cutoffLevel))="'",
          "'!",
          "!"
        ), -1
      ), "''", "'"
    ), "Cutoff - Seuil"
  )</t>
  </si>
  <si>
    <t>=IFERROR(
    SUBSTITUTE(
      TEXTBEFORE(
        TEXTAFTER(CELL(localAddressParameter, sortingMethod), "]", -1),
        IF(
          LEFT(CELL(localAddressParameter, sortingMethod))="'",
          "'!",
          "!"
        ), -1
      ), "''", "'"
    ), "Analysis"
  )</t>
  </si>
  <si>
    <t>=MAX(factorsTable[absDiff])</t>
  </si>
  <si>
    <t>=TEXTJOIN(CHAR(10) &amp; CHAR(10), TRUE, errorMessagesTable[langSpecError])</t>
  </si>
  <si>
    <t>type</t>
  </si>
  <si>
    <t>legacyFormula</t>
  </si>
  <si>
    <t>=IFERROR(
    SUBSTITUTE(
      REPLACE(
        LEFT(
          CELL(localAddressParameter, UILanguage),
          MAX(
            IF(
              MID(CELL(localAddressParameter, UILanguage), ROW($1:$1093), 1)="!",
              ROW($1:$1093),
              0
            )
          ) - IF(LEFT(CELL(localAddressParameter, UILanguage), 1)="'", 2, 1)
        ), 1,
        MAX(
          IF(
            MID(CELL(localAddressParameter, UILanguage), ROW($1:$1093), 1)="]",
            ROW($1:$1093),
            0
          )
        ), ""
      ), "''", "'"
    ), "Introduction"
  )</t>
  </si>
  <si>
    <t>=IFERROR(
    SUBSTITUTE(
      REPLACE(
        LEFT(
          CELL(localAddressParameter, behaviourConfigTable),
          MAX(
            IF(
              MID(CELL(localAddressParameter, behaviourConfigTable), ROW($1:$1093), 1)="!",
              ROW($1:$1093),
              0
            )
          ) - IF(LEFT(CELL(localAddressParameter, behaviourConfigTable), 1)="'", 2, 1)
        ), 1,
        MAX(
          IF(
            MID(CELL(localAddressParameter, behaviourConfigTable), ROW($1:$1093), 1)="]",
            ROW($1:$1093),
            0
          )
        ), ""
      ), "''", "'"
    ), "Configuration"
  )</t>
  </si>
  <si>
    <t>=IFERROR(
    SUBSTITUTE(
      REPLACE(
        LEFT(
          CELL(localAddressParameter, cutoffLevel),
          MAX(
            IF(
              MID(CELL(localAddressParameter, cutoffLevel), ROW($1:$1093), 1)="!",
              ROW($1:$1093),
              0
            )
          ) - IF(LEFT(CELL(localAddressParameter, cutoffLevel), 1)="'", 2, 1)
        ), 1,
        MAX(
          IF(
            MID(CELL(localAddressParameter, cutoffLevel), ROW($1:$1093), 1)="]",
            ROW($1:$1093),
            0
          )
        ), ""
      ), "''", "'"
    ), "Cutoff - Seuil"
  )</t>
  </si>
  <si>
    <t>=IFERROR(
    SUBSTITUTE(
      REPLACE(
        LEFT(
          CELL(localAddressParameter, sortingMethod),
          MAX(
            IF(
              MID(CELL(localAddressParameter, sortingMethod), ROW($1:$1093), 1)="!",
              ROW($1:$1093),
              0
            )
          ) - IF(LEFT(CELL(localAddressParameter, sortingMethod), 1)="'", 2, 1)
        ), 1,
        MAX(
          IF(
            MID(CELL(localAddressParameter, sortingMethod), ROW($1:$1093), 1)="]",
            ROW($1:$1093),
            0
          )
        ), ""
      ), "''", "'"
    ), "Analysis"
  )</t>
  </si>
  <si>
    <t>=INDEX(sortMenuTable[tag], MATCH(sortingMethod, sortMenuTable[label], 0))</t>
  </si>
  <si>
    <t>=INDEX(chartTranslationTable[displayedText], MATCH("cutoffLevel", chartTranslationTable[tag], 0))</t>
  </si>
  <si>
    <t>=INDEX(chartTranslationTable[displayedText], MATCH("behaviourScore", chartTranslationTable[tag], 0))</t>
  </si>
  <si>
    <t>=INDEX(chartTranslationTable[displayedText], MATCH("numResponses", chartTranslationTable[tag], 0))</t>
  </si>
  <si>
    <t>=INDEX(chartTranslationTable[displayedText], MATCH("percentResponses", chartTranslationTable[tag], 0))</t>
  </si>
  <si>
    <t>concatErrors</t>
  </si>
  <si>
    <t>=IF(
    COUNT(errorMessagesTable[filteredIndex]) = 0,
    "",
    INDEX(errorMessagesTable[concatErrors], COUNT(errorMessagesTable[filteredIndex]))
  )</t>
  </si>
  <si>
    <t>STRUCTURED FORMULAE TABLE</t>
  </si>
  <si>
    <t>UITranslateForValueTable</t>
  </si>
  <si>
    <t>=LAMBDA(value,
    IF(
      value = "",
      "",
      value
    )
  )</t>
  </si>
  <si>
    <t>KeepBlanksFunction</t>
  </si>
  <si>
    <t>User-defined function</t>
  </si>
  <si>
    <t>=LAMBDA(valueRef,referenceCol,table,tableHeader,
    IF(
      valueRef = "",
      "",
      LET(
        translationColIndex,
        IFERROR(
          MATCH(UILanguage, tableHeader, 0),
          MATCH("English", tableHeader, 0)
        ),
        translationCol,
        INDEX(table, 0, translationColIndex),
        valueTranslated,
        KeepBlanksFunction(
          XLOOKUP(
            valueRef,
            referenceCol,
            translationCol,#REF!,
            0
          )
        ),
        valueTranslated
      )
    )
  )</t>
  </si>
  <si>
    <t>Named variable</t>
  </si>
  <si>
    <t>dataRange</t>
  </si>
  <si>
    <t>errorNoDataSheet</t>
  </si>
  <si>
    <t>errorUILanguage</t>
  </si>
  <si>
    <t>errorNoDataRefCol</t>
  </si>
  <si>
    <t>errorDataHeaderSpace</t>
  </si>
  <si>
    <t>errorBehaviourHeader</t>
  </si>
  <si>
    <t>errorBehaviourInclude</t>
  </si>
  <si>
    <t>errorBehaviourNoneSelected</t>
  </si>
  <si>
    <t>errorBehaviourMinMaxInvalid</t>
  </si>
  <si>
    <t>errorBehaviourOutOfRange</t>
  </si>
  <si>
    <t>errorFactorHeader</t>
  </si>
  <si>
    <t>errorFactorDisplay</t>
  </si>
  <si>
    <t>errorFactorNoneSelected</t>
  </si>
  <si>
    <t>errorFactorMinMaxInvalid</t>
  </si>
  <si>
    <t>errorFactorOutOfRange</t>
  </si>
  <si>
    <t>errorChartLanguage</t>
  </si>
  <si>
    <t>errorRANASBlockMissing</t>
  </si>
  <si>
    <t>errorCutoffLevel</t>
  </si>
  <si>
    <t>errorDataSorting</t>
  </si>
  <si>
    <t>errorFactorTranslationMissing</t>
  </si>
  <si>
    <t>errorChartTranslationMissing</t>
  </si>
  <si>
    <t>FilterTrueColumn</t>
  </si>
  <si>
    <t>=LAMBDA(currentIndex,indexCol,filteredIndexCol,trueFalseCol,
    LET(
      previousIndex,
      IF(
        currentIndex = 1,
        0,
        INDEX(filteredIndexCol, currentIndex - 1)
      ),
      firstCell,
      INDEX(trueFalseCol, previousIndex + 1),
      lastCell,
      INDEX(trueFalseCol, MAX(indexCol)),
      filteredIndex,
      IF(
        previousIndex &gt;= MAX(indexCol),
        "",
        IFERROR(
          MATCH(
            TRUE,
            firstCell:lastCell,
            0
          )
          + previousIndex,
          ""
        )
      ),
      filteredIndex
    )
  )</t>
  </si>
  <si>
    <t>=IF(
    IF(
      [@index] = 1,
      FALSE,
      INDEX([filteredIndex], [@index] - 1) &gt;= MAX([index])
    ),
    "",
    IFERROR(
      MATCH(
        TRUE,
        INDEX(
          [hasValue],
          IF(
            [@index] = 1,
            1,
            INDEX([filteredIndex], [@index] - 1) + 1
          )
        )
      : INDEX([hasValue], MAX([index])),
        0
      )
    + IF(
        [@index] = 1,
        0,
        INDEX([filteredIndex], [@index] - 1)
      ),
      ""
    )
  )</t>
  </si>
  <si>
    <t>=IF(
    IF(
      [@index] = 1,
      FALSE,
      INDEX([filteredIndex], [@index] - 1) &gt;= MAX([index])
    ),
    "",
    IFERROR(
      MATCH(
        TRUE,
        INDEX(
          [display],
          IF(
            [@index] = 1,
            1,
            INDEX([filteredIndex], [@index] - 1) + 1
          )
        )
      : INDEX([display], MAX([index])),
        0
      )
    + IF(
        [@index] = 1,
        0,
        INDEX([filteredIndex], [@index] - 1)
      ),
      ""
    )
  )</t>
  </si>
  <si>
    <t>=IF(
    IF(
      [@index] = 1,
      FALSE,
      INDEX([filteredIndex], [@index] - 1) &gt;= MAX([index])
    ),
    "",
    IFERROR(
      MATCH(
        TRUE,
        INDEX(
          [condition],
          IF(
            [@index] = 1,
            1,
            INDEX([filteredIndex], [@index] - 1) + 1
          )
        )
      : INDEX([condition], MAX([index])),
        0
      )
    + IF(
        [@index] = 1,
        0,
        INDEX([filteredIndex], [@index] - 1)
      ),
      ""
    )
  )</t>
  </si>
  <si>
    <t>=AND(
    NOT(errorNoDataSheet),
    ISNA(dataRefColNum)
  )</t>
  </si>
  <si>
    <t>NO EQUIVALENT FUNCTION; FORMULA MUST BE REPLACED IN EACH INSTANCE.
Either, if applicable, by appending &amp; "" to the formula (i.e., forcing the result to be interpreted as text and thus preventing an empty string to be converted to 0).
Or, more generally, with:
=IF(
    value = "",
    "",
    value
  )</t>
  </si>
  <si>
    <t>=IFERROR(
    INDEX(
      behaviourConfigTable[behaviourHeader],
      MATCH([@index], behaviourConfigTable[index], 0)
    ),#REF!
  ) &amp; ""</t>
  </si>
  <si>
    <t>=INDEX(languageHeadersList, [@index]) &amp; ""</t>
  </si>
  <si>
    <t>=IF(
    [@behaviourHeader] = "",
    "",
    IFERROR(
      INDEX(
        yesNoTable[tag],
        MATCH(
          IFERROR(
            INDEX(
              behaviourConfigTable[includeConfig],
              MATCH([@index], behaviourConfigTable[index], 0)
            ),#REF!
          ),
          yesNoTable[label],
          0
        )
      ),
      ""
    )
  )</t>
  </si>
  <si>
    <t>minOutOfRange</t>
  </si>
  <si>
    <t>maxOutOfRange</t>
  </si>
  <si>
    <t xml:space="preserve">NO EQUIVALENT FUNCTION; FORMULA MUST BE REPLACED IN EACH INSTANCE.
In most cases, i.e., for general UI text, the formula will be:
=IFERROR(
    INDEX(
      INDEX(
        UITranslationTable,
        0,
        IFERROR(
          MATCH(UILanguage, UITranslationTable[#Headers], 0),
          MATCH("English", UITranslationTable[#Headers], 0)
        )
      ),
      MATCH("valueRef", UITranslationTable[tag], 0)
    ),#REF!
  ) &amp; ""
Note that the column headers of the data tables accompanying the charts are translated into the "Chart language" (and not the "UI language") using a single INDEX(MATCH()) in chartTranslationTable, so no replacement of those formulae is necessary for the Legacy version.
</t>
  </si>
  <si>
    <t>=IF(
    [@behaviourHeader] = "",
    "",
    IF(
      ISERROR([@behaviourColNum]),
      IFERROR(
        INDEX(
          INDEX(
            UITranslationTable,
            0,
            IFERROR(
              MATCH(UILanguage, UITranslationTable[#Headers], 0),
              MATCH("English", UITranslationTable[#Headers], 0)
            )
          ),
          MATCH("dataNotFound", UITranslationTable[tag], 0)
        ),#REF!
      ) &amp; "",
      numEntries - [@numResponses]
    )
  )</t>
  </si>
  <si>
    <t>=INDEX(chartTranslationTable[lang1], MATCH([@tag], chartTranslationTable[tag], 0))
 &amp; " / "
 &amp; INDEX(chartTranslationTable[lang2], MATCH([@tag], chartTranslationTable[tag], 0))</t>
  </si>
  <si>
    <t>=INDEX(chartTranslationTable[displayedText], MATCH([@tag], chartTranslationTable[tag], 0))</t>
  </si>
  <si>
    <t>=IF(sortingMethodTag = "none", [@filteredIndex],
  IF(sortingMethodTag = "relDiff", [@relDiffRank],
  IF(sortingMethodTag = "absDiff", [@absDiffRank],
  IF(sortingMethodTag = "RANAS", [@RANASRank],
  [@filteredIndex]))))</t>
  </si>
  <si>
    <t>=OR(OR(behaviourTable[minOutOfRange]), OR(behaviourTable[maxOutOfRange]))</t>
  </si>
  <si>
    <t>=IFERROR(
    INDEX(
      factorsConfigTable[factorHeader],
      MATCH([@index], factorsConfigTable[index], 0)
    ),#REF!
  ) &amp; ""</t>
  </si>
  <si>
    <t>behaviourScoreNumerator</t>
  </si>
  <si>
    <t>behaviourScoreDenominator</t>
  </si>
  <si>
    <t>behaviourData1</t>
  </si>
  <si>
    <t>behaviourData2</t>
  </si>
  <si>
    <t>behaviourData3</t>
  </si>
  <si>
    <t>behaviourData4</t>
  </si>
  <si>
    <t>behaviourData5</t>
  </si>
  <si>
    <t>behaviourDataForIndex</t>
  </si>
  <si>
    <t>NO EQUIVALENT FUNCTION; FORMULA MUST BE REPLACED IN EACH INSTANCE.
Currently, the instances are:
- filteredIndex column in errorMessagesTable
- filteredIndex column in languageTable
- filteredIndex column in factorsTable
The Legacy formulae are saved as text above or below each of these columns.</t>
  </si>
  <si>
    <t>behaviourIncludeForIndex</t>
  </si>
  <si>
    <t>behaviourMinScoreForIndex</t>
  </si>
  <si>
    <t>behaviourMaxScoreForIndex</t>
  </si>
  <si>
    <t>=LAMBDA(behaviourIndex,
    XLOOKUP(behaviourIndex, behaviourTable[index], behaviourTable[include])
  )</t>
  </si>
  <si>
    <t>NO EQUIVALENT FUNCTION; FORMULA MUST BE REPLACED IN EACH INSTANCE.
Example for named variable behaviourInclude1. For the others, replace the value 1 with the appropriate index.
=INDEX(behaviourTable[include], MATCH(1, behaviourTable[index], 0))</t>
  </si>
  <si>
    <t>=LAMBDA(behaviourIndex,
    XLOOKUP(behaviourIndex, behaviourTable[index], behaviourTable[minScore])
  )</t>
  </si>
  <si>
    <t>=LAMBDA(behaviourIndex,
    XLOOKUP(behaviourIndex, behaviourTable[index], behaviourTable[maxScore])
  )</t>
  </si>
  <si>
    <t>NO EQUIVALENT FUNCTION; FORMULA MUST BE REPLACED IN EACH INSTANCE.
Example for named variable behaviourMinScore1. For the others, replace the value 1 with the appropriate index.
=INDEX(behaviourTable[minScore], MATCH(1, behaviourTable[index], 0))</t>
  </si>
  <si>
    <t>=SUMPRODUCT(--(behaviourScoreDenominator &lt;&gt; 0))</t>
  </si>
  <si>
    <t>=IFERROR(
    SUBSTITUTE(
      TEXTBEFORE(
        TEXTAFTER(CELL(localAddressParameter, behaviourTable), "]", -1),
        IF(
          LEFT(CELL(localAddressParameter, behaviourTable))="'",
          "'!",
          "!"
        ), -1
      ), "''", "'"
    ), "HiddenTables"
  )</t>
  </si>
  <si>
    <t>=IFERROR(
    SUBSTITUTE(
      REPLACE(
        LEFT(
          CELL(localAddressParameter, behaviourTable),
          MAX(
            IF(
              MID(CELL(localAddressParameter, behaviourTable), ROW($1:$1093), 1)="!",
              ROW($1:$1093),
              0
            )
          ) - IF(LEFT(CELL(localAddressParameter, behaviourTable), 1)="'", 2, 1)
        ), 1,
        MAX(
          IF(
            MID(CELL(localAddressParameter, behaviourTable), ROW($1:$1093), 1)="]",
            ROW($1:$1093),
            0
          )
        ), ""
      ), "''", "'"
    ), "HiddenTables"
  )</t>
  </si>
  <si>
    <t>=AND(
    NOT(errorNoDataSheet),
    SUMPRODUCT(
      (behaviourTable[includeConfig] = "yes") * ISNA(behaviourTable[behaviourColNum])
    )
  )</t>
  </si>
  <si>
    <t>=AND(
    NOT(errorNoDataSheet),
    SUMPRODUCT(
      (behaviourTable[includeConfig] &lt;&gt; "yes") * (behaviourTable[includeConfig] &lt;&gt; "no") * (behaviourTable[behaviourHeader] &lt;&gt; "")
    )
  )</t>
  </si>
  <si>
    <t>=AND(
    NOT(errorNoDataSheet),
    SUMPRODUCT(--ISNUMBER(behaviourTable[behaviourColNum])),
    SUMPRODUCT(
      (behaviourTable[includeConfig] = "yes") * ISNUMBER(behaviourTable[behaviourColNum])
    ) = 0
  )</t>
  </si>
  <si>
    <t>https://ranas.ch/analyser/download</t>
  </si>
  <si>
    <t>RECOMMENDED CUTOFF LEVEL TABLE</t>
  </si>
  <si>
    <t>=INDEX(
    recommendedCutoffTable[cutoffLevel],
    ROUND(
      AVERAGE(
        MATCH(
          MIN(recommendedCutoffTable[absDiff]),
          recommendedCutoffTable[absDiff],
          0
        ),
        LOOKUP(
          2,
          1 / (recommendedCutoffTable[absDiff] = MIN(recommendedCutoffTable[absDiff])),
          recommendedCutoffTable[index]
        )
      ),
      0
    )
  )</t>
  </si>
  <si>
    <t>=LET(
    minAbsDiff,
    MIN(recommendedCutoffTable[absDiff]),
    firstMatch,
    MATCH(
      minAbsDiff,
      recommendedCutoffTable[absDiff],
      0
    ),
    lastMatch,
    XMATCH(
      minAbsDiff,
      recommendedCutoffTable[absDiff],
      0,
      -1
    ),
    recommendedCutoff,
    INDEX(
      recommendedCutoffTable[cutoffLevel],
      ROUND(
        AVERAGE(
          firstMatch,
          lastMatch
        ),
        0
      )
    ),
    recommendedCutoff
  )</t>
  </si>
  <si>
    <t>=IF(
    [@factorHeader] = "",
    "",
    IF(
      ISERROR([@factorColNum]),
      IFERROR(
        INDEX(
          INDEX(
            UITranslationTable,
            0,
            IFERROR(
              MATCH(UILanguage, UITranslationTable[#Headers], 0),
              MATCH("English", UITranslationTable[#Headers], 0)
            )
          ),
          MATCH("dataNotFound", UITranslationTable[tag], 0)
        ),#REF!
      ) &amp; "",
      [@numDoers] + [@numNondoers]
    )
  )</t>
  </si>
  <si>
    <t>=IF(
    [@factorHeader] = "",
    "",
    IFERROR(
      INDEX(
        yesNoTable[tag],
        MATCH(
          IFERROR(
            INDEX(
              factorsConfigTable[displayConfig],
              MATCH([@index], factorsConfigTable[index], 0)
            ),#REF!
          ),
          yesNoTable[label],
          0
        )
      ),
      ""
    )
  )</t>
  </si>
  <si>
    <t>=IF(
    [@filteredIndex] = "",
    "",
    IFNA(
      INDEX(
        [difference],
        MATCH([@filteredIndex], [index], 0)
      ),
      -99
    )
  )</t>
  </si>
  <si>
    <t>=IF(
    [@filteredIndex] = "",
    "",
    IFERROR(
      INDEX(
        RANASBlocksTable[index],
        MATCH(
          IFERROR(
            INDEX(
              factorsConfigTable[RANASBlock],
              MATCH([@filteredIndex], factorsConfigTable[index], 0)
            ),#REF!
          ),
          RANASBlocksTable[label],
          0
        )
      ),
      6
    )
  )</t>
  </si>
  <si>
    <t>=IF(
    [@sortedIndex] = "",
    "",
    IF(
      [@langSpecFactor] = "",
      IFERROR(
        INDEX(
          INDEX(
            UITranslationTable,
            0,
            IFERROR(
              MATCH(UILanguage, UITranslationTable[#Headers], 0),
              MATCH("English", UITranslationTable[#Headers], 0)
            )
          ),
          MATCH("noTranslation", UITranslationTable[tag], 0)
        ),#REF!
      ) &amp; "",
      [@langSpecFactor]
    )
  )</t>
  </si>
  <si>
    <t>=IF(
    [@filteredIndex] = "",
    "",
    IFERROR(
      INDEX(
        [filteredIndex],
        MATCH([@index], [uniqueRank], 0)
      ),#REF!
    )
  )</t>
  </si>
  <si>
    <t>=IF(
    [@factorHeader] = "",
    "",
    IF(
      IFERROR(
        INDEX(
          factorsConfigTable[minScore],
          MATCH([@index], factorsConfigTable[index], 0)
        ),#REF!
      ) = "",
      NA(),
      IFERROR(
        INDEX(
          factorsConfigTable[minScore],
          MATCH([@index], factorsConfigTable[index], 0)
        ),#REF!
      )
    )
  )</t>
  </si>
  <si>
    <t>=IF(
    [@factorHeader] = "",
    "",
    IF(
      IFERROR(
        INDEX(
          factorsConfigTable[maxScore],
          MATCH([@index], factorsConfigTable[index], 0)
        ),#REF!
      ) = "",
      NA(),
      IFERROR(
        INDEX(
          factorsConfigTable[maxScore],
          MATCH([@index], factorsConfigTable[index], 0)
        ),#REF!
      )
    )
  )</t>
  </si>
  <si>
    <t>=IF(
    [@behaviourHeader] = "",
    "",
    IF(
      IFERROR(
        INDEX(
          behaviourConfigTable[minScore],
          MATCH([@index], behaviourConfigTable[index], 0)
        ),#REF!
      ) = "",
      NA(),
      IFERROR(
        INDEX(
          behaviourConfigTable[minScore],
          MATCH([@index], behaviourConfigTable[index], 0)
        ),#REF!
      )
    )
  )</t>
  </si>
  <si>
    <t>=IF(
    [@behaviourHeader] = "",
    "",
    IF(
      IFERROR(
        INDEX(
          behaviourConfigTable[maxScore],
          MATCH([@index], behaviourConfigTable[index], 0)
        ),#REF!
      ) = "",
      NA(),
      IFERROR(
        INDEX(
          behaviourConfigTable[maxScore],
          MATCH([@index], behaviourConfigTable[index], 0)
        ),#REF!
      )
    )
  )</t>
  </si>
  <si>
    <t>=IF(
    [@sortedIndex] = "",
    "",
    IFERROR(
      INDEX(
        RANASBlocksTable[tag],
        MATCH(
          IFERROR(
            INDEX(
              factorsConfigTable[RANASBlock],
              MATCH([@sortedIndex], factorsConfigTable[index], 0)
            ),#REF!
          ),
          RANASBlocksTable[label],
          0
        )
      ),
      NA()
    )
  )</t>
  </si>
  <si>
    <t>=IF(
    [@sortedIndex] = "",
    "",
    IFNA(
      INDEX(
        RANASBlocksTable[langSpecLabel],
        MATCH([@RANASTag], RANASBlocksTable[tag], 0)
      ),
      IFERROR(
        INDEX(
          INDEX(
            UITranslationTable,
            0,
            IFERROR(
              MATCH(UILanguage, UITranslationTable[#Headers], 0),
              MATCH("English", UITranslationTable[#Headers], 0)
            )
          ),
          MATCH("noRANASBlock", UITranslationTable[tag], 0)
        ),#REF!
      ) &amp; ""
    )
  )</t>
  </si>
  <si>
    <t>=IF(
    [@tag] = "",
    "",
    IF(
      [@langSpecText] = "",
      IFERROR(
        INDEX(
          INDEX(
            UITranslationTable,
            0,
            IFERROR(
              MATCH(UILanguage, UITranslationTable[#Headers], 0),
              MATCH("English", UITranslationTable[#Headers], 0)
            )
          ),
          MATCH("noTranslation", UITranslationTable[tag], 0)
        ),#REF!
      ) &amp; "",
      [@langSpecText]
    )
  )</t>
  </si>
  <si>
    <t>=IF(
    [@sortedIndex] = "",
    "",
    [@displayedFactor] &amp; CHAR(10)
    &amp; SUBSTITUTE(
        IF(
          ISNA([@RANASTag]),
          "*",
          IF(
            INDEX(chartTranslationTable[langSpecText], MATCH([@RANASTag], chartTranslationTable[tag], 0)) = "",
            "*",
            "[*]"
          )
        ),
        "*",
        [@displayedRANASBlock]
      )
  )</t>
  </si>
  <si>
    <t>=IF(
    [@sortedIndex] = "",
    "",
    INDEX([numTotal], MATCH([@sortedIndex], [index], 0))
  )</t>
  </si>
  <si>
    <t>=IF(
    [@sortedIndex] = "",
    "",
    INDEX([nondoers], MATCH([@sortedIndex], [index], 0))
  )</t>
  </si>
  <si>
    <t>=IF(
    [@sortedIndex] = "",
    "",
    INDEX([doers], MATCH([@sortedIndex], [index], 0))
  )</t>
  </si>
  <si>
    <t>=IF(
    [@sortedIndex] = "",
    "",
    INDEX([difference], MATCH([@sortedIndex], [index], 0))
  )</t>
  </si>
  <si>
    <t>=AND(
    NOT(errorNoDataSheet),
    SUMPRODUCT(
      (factorsTable[displayConfig] = "yes") * ISNA(factorsTable[factorColNum])
    )
  )</t>
  </si>
  <si>
    <t>=AND(
    NOT(errorNoDataSheet),
    SUMPRODUCT(
      (factorsTable[displayConfig] &lt;&gt; "yes") * (factorsTable[displayConfig] &lt;&gt; "no") * (factorsTable[factorHeader] &lt;&gt; "")
    )
  )</t>
  </si>
  <si>
    <t>=AND(
    NOT(errorNoDataSheet),
    SUMPRODUCT(--ISNUMBER(factorsTable[factorColNum])),
    SUMPRODUCT(
      (factorsTable[displayConfig] = "yes") * ISNUMBER(factorsTable[factorColNum])
    ) = 0
  )</t>
  </si>
  <si>
    <t>behaviourInclude1</t>
  </si>
  <si>
    <t>=behaviourIncludeForIndex(1)</t>
  </si>
  <si>
    <t>behaviourInclude2</t>
  </si>
  <si>
    <t>=behaviourIncludeForIndex(2)</t>
  </si>
  <si>
    <t>behaviourInclude3</t>
  </si>
  <si>
    <t>=behaviourIncludeForIndex(3)</t>
  </si>
  <si>
    <t>behaviourInclude4</t>
  </si>
  <si>
    <t>=behaviourIncludeForIndex(4)</t>
  </si>
  <si>
    <t>behaviourInclude5</t>
  </si>
  <si>
    <t>=behaviourIncludeForIndex(5)</t>
  </si>
  <si>
    <t>behaviourMaxScore1</t>
  </si>
  <si>
    <t>=behaviourMaxScoreForIndex(1)</t>
  </si>
  <si>
    <t>behaviourMaxScore2</t>
  </si>
  <si>
    <t>=behaviourMaxScoreForIndex(2)</t>
  </si>
  <si>
    <t>behaviourMaxScore3</t>
  </si>
  <si>
    <t>=behaviourMaxScoreForIndex(3)</t>
  </si>
  <si>
    <t>behaviourMaxScore4</t>
  </si>
  <si>
    <t>=behaviourMaxScoreForIndex(4)</t>
  </si>
  <si>
    <t>behaviourMaxScore5</t>
  </si>
  <si>
    <t>=behaviourMaxScoreForIndex(5)</t>
  </si>
  <si>
    <t>behaviourMinScore1</t>
  </si>
  <si>
    <t>=behaviourMinScoreForIndex(1)</t>
  </si>
  <si>
    <t>behaviourMinScore2</t>
  </si>
  <si>
    <t>=behaviourMinScoreForIndex(2)</t>
  </si>
  <si>
    <t>behaviourMinScore3</t>
  </si>
  <si>
    <t>=behaviourMinScoreForIndex(3)</t>
  </si>
  <si>
    <t>behaviourMinScore4</t>
  </si>
  <si>
    <t>=behaviourMinScoreForIndex(4)</t>
  </si>
  <si>
    <t>behaviourMinScore5</t>
  </si>
  <si>
    <t>=behaviourMinScoreForIndex(5)</t>
  </si>
  <si>
    <t>=ISERROR(MATCH(UILanguage, UILanguageList, 0))</t>
  </si>
  <si>
    <t>NO EQUIVALENT FUNCTION; FORMULA MUST BE REPLACED IN EACH INSTANCE.
Example for named variable behaviourMaxScore1. For the others, replace the value 1 with the appropriate index.
=INDEX(behaviourTable[maxScore], MATCH(1, behaviourTable[index], 0))</t>
  </si>
  <si>
    <t>=AND(
    NOT(errorNoDataSheet),
    SUMPRODUCT(
      (factorsTable[displayConfig] = "yes")
      * (factorsTable[factorHeader] &lt;&gt; "")
      * IF(
           NOT(ISNUMBER(factorsTable[minScore]))
           + NOT(ISNUMBER(factorsTable[maxScore])),
           1,
           (factorsTable[minScore] &gt;= factorsTable[maxScore])
        )
    )
  )</t>
  </si>
  <si>
    <t>=AND(
    NOT(errorNoDataSheet),
    SUMPRODUCT(
      (behaviourTable[includeConfig] = "yes")
      * (behaviourTable[behaviourHeader] &lt;&gt; "")
      * IF(
           NOT(ISNUMBER(behaviourTable[minScore]))
           + NOT(ISNUMBER(behaviourTable[maxScore])),
           1,
           (behaviourTable[minScore] &gt;= behaviourTable[maxScore])
        )
    )
  )</t>
  </si>
  <si>
    <t>=OR(OR(factorsTable[minOutOfRange]), OR(factorsTable[maxOutOfRange]))</t>
  </si>
  <si>
    <t>=ISERROR(MATCH(chartLanguage, chartLanguageList, 0))</t>
  </si>
  <si>
    <t>=AND(
    NOT(errorNoDataSheet),
    SUMPRODUCT(--ISNA(factorsTable[RANASTag])) &gt; 0
  )</t>
  </si>
  <si>
    <t>=AND(
    NOT(errorNoDataSheet),
    IF(
      errorChartLanguage,
      0,
      SUMPRODUCT(
        (factorsTable[sortedIndex] &lt;&gt; "") * (factorsTable[langSpecFactor] = "")
      )
    )
  )</t>
  </si>
  <si>
    <t>Some translations of selected factors are missing for the chosen "Chart language" in the "RANAS factors" table (red cells). Please complete them.</t>
  </si>
  <si>
    <t>Certaines traductions de facteurs sélectionnés sont manquantes pour la «Langue des graphiques» choisie dans le tableau «Facteurs RANAS» (cellules rouges). Veuillez les compléter.</t>
  </si>
  <si>
    <t>=AND(
    NOT(errorNoDataSheet),
    IF(
      errorChartLanguage,
      0,
      SUMPRODUCT(
        (chartTranslationTable[tag] &lt;&gt; "") * (chartTranslationTable[langSpecText] = "")
      )
    )
  )</t>
  </si>
  <si>
    <t>=AND(
    NOT(errorNoDataSheet),
    ISERROR(MATCH(sortingMethod, sortMenuList, 0))
  )</t>
  </si>
  <si>
    <t>dataLastColNum</t>
  </si>
  <si>
    <t>dataHeaders</t>
  </si>
  <si>
    <t>=AND(
    NOT(errorNoDataSheet),
    NOT(
      ISNA(
        MATCH("* *", dataHeaders, 0)
      )
    )
  )</t>
  </si>
  <si>
    <t>=SUMPRODUCT(--(factorsTable[sortedIndex] &lt;&gt; ""))</t>
  </si>
  <si>
    <t>=IF(
    numFactors &lt;= numFactorsThreshold,
    numFactors,
    ROUNDUP(numFactors/2,0)
  )</t>
  </si>
  <si>
    <t>=IF(
    numFactors &lt;= numFactorsThreshold,
    0,
    ROUNDDOWN(numFactors/2,0)
  )</t>
  </si>
  <si>
    <t>=SUMPRODUCT(--(languageTable[languageList] &lt;&gt; ""))</t>
  </si>
  <si>
    <t>=XLOOKUP(sortingMethod, sortMenuTable[label], sortMenuTable[tag])</t>
  </si>
  <si>
    <t>=XLOOKUP("cutoffLevel", chartTranslationTable[tag], chartTranslationTable[displayedText])</t>
  </si>
  <si>
    <t>=XLOOKUP("behaviourScore", chartTranslationTable[tag], chartTranslationTable[displayedText])</t>
  </si>
  <si>
    <t>=INDEX(chartTranslationTable[displayedText], MATCH("meanScore", chartTranslationTable[tag], 0))
 &amp; " (0"
 &amp; UNICHAR(8209)
 &amp; "100%)"</t>
  </si>
  <si>
    <t>=XLOOKUP("meanScore", chartTranslationTable[tag], chartTranslationTable[displayedText])
 &amp; " (0"
 &amp; UNICHAR(8209)
 &amp; "100%)"</t>
  </si>
  <si>
    <t>=XLOOKUP("numResponses", chartTranslationTable[tag], chartTranslationTable[displayedText])</t>
  </si>
  <si>
    <t>=XLOOKUP("percentResponses", chartTranslationTable[tag], chartTranslationTable[displayedText])</t>
  </si>
  <si>
    <t>=IF(
    [@filteredIndex] = "",
    "",
    IF(
      [@index] = 1,
      CHAR(10),
     ""
    )
    &amp; [@index] &amp; ". "
    &amp; IFERROR(
        INDEX(
          INDEX(
            errorMessagesTable,
            0,
            IFERROR(
              MATCH(UILanguage, errorMessagesTable[#Headers], 0),
              MATCH("English", errorMessagesTable[#Headers], 0)
            )
          ),
          MATCH([@filteredIndex], [index], 0)
        ),#REF!
      ) &amp; ""
  )</t>
  </si>
  <si>
    <t>Data validation</t>
  </si>
  <si>
    <t>DVIntroUILanguage</t>
  </si>
  <si>
    <t>DVIntroChartLanguage</t>
  </si>
  <si>
    <t>DVConfigIncludeDisplay</t>
  </si>
  <si>
    <t>DVConfigMinMaxScore</t>
  </si>
  <si>
    <t>List
=RANASList</t>
  </si>
  <si>
    <t>Custom
=ISNUMBER(F16)</t>
  </si>
  <si>
    <t>List
=yesNoList</t>
  </si>
  <si>
    <t>List
=chartLanguageList</t>
  </si>
  <si>
    <t>List
=UILanguageList</t>
  </si>
  <si>
    <t>DVConfigRANASBlock</t>
  </si>
  <si>
    <t>DVCutoffLevel</t>
  </si>
  <si>
    <t>Whole number
Between 0 and 100</t>
  </si>
  <si>
    <t>DVAnalysisSorting</t>
  </si>
  <si>
    <t>List
=sortMenuList</t>
  </si>
  <si>
    <t>Conditional formatting</t>
  </si>
  <si>
    <t>CFIntroChartLanguage</t>
  </si>
  <si>
    <t>CFIntroUILanguage</t>
  </si>
  <si>
    <t>CFConfigBehaviourInclude</t>
  </si>
  <si>
    <t>CFConfigBehaviourNoneSelected</t>
  </si>
  <si>
    <t>CFConfigBehaviourHeader</t>
  </si>
  <si>
    <t>CFConfigBehaviourMinInvalid</t>
  </si>
  <si>
    <t>CFConfigBehaviourMaxInvalid</t>
  </si>
  <si>
    <t>CFConfigBehaviourMinOutOfRange</t>
  </si>
  <si>
    <t>CFConfigBehaviourMaxOutOfRange</t>
  </si>
  <si>
    <t>CFConfigFactorNoneSelected</t>
  </si>
  <si>
    <t>CFConfigFactorMinInvalid</t>
  </si>
  <si>
    <t>CFConfigFactorMaxInvalid</t>
  </si>
  <si>
    <t>CFConfigFactorMinOutOfRange</t>
  </si>
  <si>
    <t>CFConfigFactorMaxOutOfRange</t>
  </si>
  <si>
    <t>CFConfigFactorHeader</t>
  </si>
  <si>
    <t>CFConfigFactorDisplay</t>
  </si>
  <si>
    <t>CFConfigRANASBlockMissing</t>
  </si>
  <si>
    <t>CFConfigFactorTranslationMissing</t>
  </si>
  <si>
    <t>=AND(
    NOT(errorNoDataSheet),
    $C16 = yesLabel,
    $E16 &lt;&gt; "",
    ISNA(INDEX(behaviourColNumColumn, $D16))
  )</t>
  </si>
  <si>
    <t>=AND(
    NOT(errorNoDataSheet),
    ISNA(MATCH($C16, yesNoList, 0)),
    $E16 &lt;&gt; ""
  )</t>
  </si>
  <si>
    <t>=AND(
    NOT(errorNoDataSheet),
    $C16 &lt;&gt; yesLabel,
    ISNUMBER(INDEX(behaviourColNumColumn, $D16)),
    errorBehaviourNoneSelected
  )</t>
  </si>
  <si>
    <t>=AND(
    NOT(errorNoDataSheet),
    $C16 = yesLabel,
    $E16 &lt;&gt; "",
    (NOT(ISNUMBER($F16))
     + (ISNUMBER($G16) * ($F16 &gt;= $G16))
    )
  )</t>
  </si>
  <si>
    <t>=AND(
    NOT(errorNoDataSheet),
    $C16 = yesLabel,
    $E16 &lt;&gt; "",
    (NOT(ISNUMBER($G16))
     + (ISNUMBER($F16) * ($F16 &gt;= $G16))
    )
  )</t>
  </si>
  <si>
    <t>=INDEX(behaviourMinOutOfRangeColumn, $D16)</t>
  </si>
  <si>
    <t>=INDEX(behaviourMaxOutOfRangeColumn, $D16)</t>
  </si>
  <si>
    <t>=AND(
    NOT(errorNoDataSheet),
    $C39 = yesLabel,
    $E39 &lt;&gt; "",
    ISNA(INDEX(factorColNumColumn, $D39))
  )</t>
  </si>
  <si>
    <t>=AND(
    NOT(errorNoDataSheet),
    ISNA(MATCH($C39, yesNoList, 0)),
    $E39 &lt;&gt; ""
  )</t>
  </si>
  <si>
    <t>=AND(
    NOT(errorNoDataSheet),
    $C39 &lt;&gt; yesLabel,
    ISNUMBER(INDEX(factorColNumColumn, $D39)),
    errorFactorNoneSelected
  )</t>
  </si>
  <si>
    <t>=AND(
    NOT(errorNoDataSheet),
    $C39 = yesLabel,
    $E39 &lt;&gt; "",
    (NOT(ISNUMBER($F39))
     + (ISNUMBER($G39) * ($F39 &gt;= $G39))
    )
  )</t>
  </si>
  <si>
    <t>=AND(
    NOT(errorNoDataSheet),
    $C39 = yesLabel,
    $E39 &lt;&gt; "",
    (NOT(ISNUMBER($G39))
     + (ISNUMBER($F39) * ($F39 &gt;= $G39))
    )
  )</t>
  </si>
  <si>
    <t>=INDEX(factorsMinOutOfRangeColumn, $D39)</t>
  </si>
  <si>
    <t>=INDEX(factorsMaxOutOfRangeColumn, $D39)</t>
  </si>
  <si>
    <t>=AND(
    NOT(errorNoDataSheet),
    $C39 = yesLabel,
    $E39 &lt;&gt; "",
    ISNA(MATCH($I39, RANASList, 0))
  )</t>
  </si>
  <si>
    <t>=AND(
    NOT(errorNoDataSheet),
    $C39 = yesLabel,
    $E39 &lt;&gt; "",
    J$37 = chartLanguage,
    J39 = ""
  )</t>
  </si>
  <si>
    <t>CFConfigChartTranslationMissing</t>
  </si>
  <si>
    <t>CFCutoffLevel</t>
  </si>
  <si>
    <t>=AND(
    NOT(errorNoDataSheet),
    $P77 &lt;&gt; "",
    J$75 = chartLanguage,
    J77 = ""
  )</t>
  </si>
  <si>
    <t>CFCutoffLevelDecimal</t>
  </si>
  <si>
    <t>=MOD($H$6,1) &lt;&gt; 0</t>
  </si>
  <si>
    <t>=INDEX(cutoffLevelColumn, $C26) &lt;= cutoffLevel</t>
  </si>
  <si>
    <t>CFCutoffNonDoers</t>
  </si>
  <si>
    <t>CFCutoffDoers</t>
  </si>
  <si>
    <t>=INDEX(cutoffLevelColumn, $C26) &gt; cutoffLevel</t>
  </si>
  <si>
    <t>CFCutoffDoersNonDoers</t>
  </si>
  <si>
    <t>=(
    IF(
      $C26 = 1,
      -1,
      INDEX(cutoffLevelColumn, $C26 - 1)
    ) &lt; cutoffLevel
  )
* (
    IF(
      INDEX(cutoffLevelColumn, $C26) = 1,
      2,
      INDEX(cutoffLevelColumn, $C26)
    ) &gt; cutoffLevel
  )</t>
  </si>
  <si>
    <t>=AND(
    NOT(errorNoDataSheet),
    (cutoffLevel &lt; 0) + (cutoffLevel &gt; 1) + (MOD('Cutoff - Seuil'!$H$6, 1) &lt;&gt; 0)
  )</t>
  </si>
  <si>
    <t>=AND(
    NOT(errorNoDataSheet),
    (cutoffLevel &lt; 0) + (cutoffLevel &gt; 1) + (MOD($H$6, 1) &lt;&gt; 0)
  )</t>
  </si>
  <si>
    <t>=ISERROR(MATCH(sortingMethod, sortMenuList, 0))</t>
  </si>
  <si>
    <t>CFAnalysisDataSorting</t>
  </si>
  <si>
    <t>CFAnalysisRANASBlock</t>
  </si>
  <si>
    <t>=$E51 = "risks"</t>
  </si>
  <si>
    <t>SheetNameForReference</t>
  </si>
  <si>
    <t>=LAMBDA(reference,defaultName,
    LET(
      cellAddress,
      CELL(localAddressParameter,reference),
      sheetName,
      IFERROR(
        SUBSTITUTE(
          TEXTBEFORE(
            TEXTAFTER(cellAddress, "]", -1),
            IF(
              LEFT(cellAddress) = "'",
              "'!",
              "!"
            ),
            -1
          ),
          "''",
          "'"
        ),
        defaultName
      ),
      sheetName
    )
  )</t>
  </si>
  <si>
    <t>NO EQUIVALENT FUNCTION; FORMULA MUST BE REPLACED IN EACH INSTANCE.
Example for named variable sheetNameHiddenTables. For the others, replace the arguments with the appropriate values.
=IFERROR(
    SUBSTITUTE(
      REPLACE(
        LEFT(
          CELL(localAddressParameter, behaviourTable),
          MATCH(
            2,
            1/(MID(CELL(localAddressParameter, behaviourTable), ROW($1:$1000), 1) = "!")
          ) - IF(LEFT(CELL(localAddressParameter, behaviourTable), 1) = "'", 2, 1)
        ),
        1,
        MATCH(
          2,
          1/(MID(CELL(localAddressParameter, behaviourTable), ROW($1:$1000), 1) = "]")
        ),
        ""
      ),
      "''",
      "'"
    ), "HiddenTables"
  )</t>
  </si>
  <si>
    <t>=INDEX(analysisChartTable[sortedDifference], 1)
 :INDEX(analysisChartTable[sortedDifference], numFactorsChart1)</t>
  </si>
  <si>
    <t>=INDEX(analysisChartTable[sortedDifference], numFactorsChart1 + 1)
 :INDEX(
    analysisChartTable[sortedDifference],
    numFactorsChart1
    + IF(
        numFactorsChart2 = 0,
        1,
        numFactorsChart2
      )
  )</t>
  </si>
  <si>
    <t>=INDEX(analysisChartTable[sortedDoers], 1)
 :INDEX(analysisChartTable[sortedDoers], numFactorsChart1)</t>
  </si>
  <si>
    <t>=INDEX(analysisChartTable[sortedDoers], numFactorsChart1 + 1)
 :INDEX(
    analysisChartTable[sortedDoers],
    numFactorsChart1
    + IF(
        numFactorsChart2 = 0,
        1,
        numFactorsChart2
      )
  )</t>
  </si>
  <si>
    <t>=INDEX(analysisChartTable[chartLabel], 1)
 :INDEX(analysisChartTable[chartLabel], numFactorsChart1)</t>
  </si>
  <si>
    <t>=INDEX(analysisChartTable[chartLabel], numFactorsChart1 + 1)
 :INDEX(
    analysisChartTable[chartLabel],
    numFactorsChart1
    + IF(
        numFactorsChart2 = 0,
        1,
        numFactorsChart2
      )
  )</t>
  </si>
  <si>
    <t>=INDEX(languageTable[languageList], 1)
 :INDEX(languageTable[languageList], numLanguages)</t>
  </si>
  <si>
    <t>=INDEX(analysisChartTable[sortedNondoers], 1)
 :INDEX(analysisChartTable[sortedNondoers], numFactorsChart1)</t>
  </si>
  <si>
    <t>=INDEX(analysisChartTable[sortedNondoers], numFactorsChart1 + 1)
 :INDEX(
    analysisChartTable[sortedNondoers],
    numFactorsChart1
    + IF(
        numFactorsChart2 = 0,
        1,
        numFactorsChart2
      )
  )</t>
  </si>
  <si>
    <t>=INDEX(behaviourTable[include], MATCH(1, behaviourTable[index], 0))</t>
  </si>
  <si>
    <t>=INDEX(behaviourTable[include], MATCH(2, behaviourTable[index], 0))</t>
  </si>
  <si>
    <t>=INDEX(behaviourTable[include], MATCH(3, behaviourTable[index], 0))</t>
  </si>
  <si>
    <t>=INDEX(behaviourTable[include], MATCH(4, behaviourTable[index], 0))</t>
  </si>
  <si>
    <t>=INDEX(behaviourTable[include], MATCH(5, behaviourTable[index], 0))</t>
  </si>
  <si>
    <t>=INDEX(behaviourTable[maxScore], MATCH(1, behaviourTable[index], 0))</t>
  </si>
  <si>
    <t>=INDEX(behaviourTable[maxScore], MATCH(2, behaviourTable[index], 0))</t>
  </si>
  <si>
    <t>=INDEX(behaviourTable[maxScore], MATCH(3, behaviourTable[index], 0))</t>
  </si>
  <si>
    <t>=INDEX(behaviourTable[maxScore], MATCH(4, behaviourTable[index], 0))</t>
  </si>
  <si>
    <t>=INDEX(behaviourTable[maxScore], MATCH(5, behaviourTable[index], 0))</t>
  </si>
  <si>
    <t>=INDEX(behaviourTable[minScore], MATCH(1, behaviourTable[index], 0))</t>
  </si>
  <si>
    <t>=INDEX(behaviourTable[minScore], MATCH(2, behaviourTable[index], 0))</t>
  </si>
  <si>
    <t>=INDEX(behaviourTable[minScore], MATCH(3, behaviourTable[index], 0))</t>
  </si>
  <si>
    <t>=INDEX(behaviourTable[minScore], MATCH(4, behaviourTable[index], 0))</t>
  </si>
  <si>
    <t>=INDEX(behaviourTable[minScore], MATCH(5, behaviourTable[index], 0))</t>
  </si>
  <si>
    <t>=IF(
    [@sortedIndex] = "",
    "",
    INDEX(
      INDEX(
        factorsConfigTable,
        0,
        MATCH(
          chartLanguage,
          languageHeadersList,
          0
        )
        + MATCH(factorsConfigTable[[#Headers],[lang1]], factorsConfigTable[#Headers], 0)
        - 1
      ),
      MATCH([@sortedIndex], factorsConfigTable[index], 0)
    ) &amp; ""
  )</t>
  </si>
  <si>
    <t>=INDEX(yesNoTable[label], MATCH("no", yesNoTable[tag], 0))</t>
  </si>
  <si>
    <t>=INDEX(yesNoTable[label], MATCH("yes", yesNoTable[tag], 0))</t>
  </si>
  <si>
    <t>MANUAL-ENTRY VARIABLES TABLE</t>
  </si>
  <si>
    <t>=UITranslationTable[[#Headers],[English]]
 :INDEX(UITranslationTable[#Headers], 1, COLUMNS(UITranslationTable[#Headers]))</t>
  </si>
  <si>
    <t>dataFirstRow</t>
  </si>
  <si>
    <t>=IFNA(
    MATCH("_uuid", dataHeaders, 0),
    IFNA(
      MATCH("instanceID", dataHeaders, 0),
      MATCH("*-"&amp;"instanceID", dataHeaders, 0)
    )
  )</t>
  </si>
  <si>
    <t>dataRefCol</t>
  </si>
  <si>
    <t>=IF(
    errorNoDataSheet,
    NA(),
    MAX(
    COLUMN(dataFirstRow)
    * (dataFirstRow &lt;&gt; "")
    )
  )</t>
  </si>
  <si>
    <t>BEHAVIOUR ARRAYS</t>
  </si>
  <si>
    <t>=NOT(
    ISREF(
      INDIRECT(ADDRESS(1, 1, 1, 0, sheetNameData), FALSE)
    )
  )</t>
  </si>
  <si>
    <t>=IF(
    ISNA(dataRefColNum),
    NA(),
    SUMPRODUCT(--(dataRefCol &lt;&gt; ""))
  )</t>
  </si>
  <si>
    <t>=LAMBDA(behaviourIndex,
    IF(
      ISNA(INDEX(dataRange,1,1)),
      NA(),
      LET(
        behaviourColNum,
        XLOOKUP(behaviourIndex, behaviourTable[index], behaviourTable[behaviourColNum]),
        behaviourData,
        IF(
          behaviourColNum = "",
          "",
          INDEX(dataRange, , behaviourColNum)
        ),
        behaviourData
      )
    )
  )</t>
  </si>
  <si>
    <t>=IF(
    INDEX(behaviourTable[behaviourColNum], MATCH(1, behaviourTable[index], 0)) = "",
    "",
    IF(
      ISNA(INDEX(dataRange,1,1)),
      NA(),
      INDEX(
        dataRange,
        ,
        INDEX(behaviourTable[behaviourColNum], MATCH(1, behaviourTable[index], 0))
      )
    )
  )</t>
  </si>
  <si>
    <t>=IF(
    INDEX(behaviourTable[behaviourColNum], MATCH(2, behaviourTable[index], 0)) = "",
    "",
    IF(
      ISNA(INDEX(dataRange,1,1)),
      NA(),
      INDEX(
        dataRange,
        ,
        INDEX(behaviourTable[behaviourColNum], MATCH(2, behaviourTable[index], 0))
      )
    )
  )</t>
  </si>
  <si>
    <t>=IF(
    INDEX(behaviourTable[behaviourColNum], MATCH(3, behaviourTable[index], 0)) = "",
    "",
    IF(
      ISNA(INDEX(dataRange,1,1)),
      NA(),
      INDEX(
        dataRange,
        ,
        INDEX(behaviourTable[behaviourColNum], MATCH(3, behaviourTable[index], 0))
      )
    )
  )</t>
  </si>
  <si>
    <t>=IF(
    INDEX(behaviourTable[behaviourColNum], MATCH(4, behaviourTable[index], 0)) = "",
    "",
    IF(
      ISNA(INDEX(dataRange,1,1)),
      NA(),
      INDEX(
        dataRange,
        ,
        INDEX(behaviourTable[behaviourColNum], MATCH(4, behaviourTable[index], 0))
      )
    )
  )</t>
  </si>
  <si>
    <t>=IF(
    INDEX(behaviourTable[behaviourColNum], MATCH(5, behaviourTable[index], 0)) = "",
    "",
    IF(
      ISNA(INDEX(dataRange,1,1)),
      NA(),
      INDEX(
        dataRange,
        ,
        INDEX(behaviourTable[behaviourColNum], MATCH(5, behaviourTable[index], 0))
      )
    )
  )</t>
  </si>
  <si>
    <t>=IF(
    OR(ISNA(numEntries), numEntries = 0),
    NA(),
    IF(
      INDIRECT(
        ADDRESS(2, 1, 1, 0, sheetNameData)
        &amp; ":"
        &amp; ADDRESS(numEntries + 1, dataLastColNum, 1, 0),
        FALSE
      ) = "",
      "",
      INDIRECT(
        ADDRESS(2, 1, 1, 0, sheetNameData)
        &amp; ":"
        &amp; ADDRESS(numEntries + 1, dataLastColNum, 1, 0),
        FALSE
      )
    )
  )</t>
  </si>
  <si>
    <t>NO EQUIVALENT FUNCTION; FORMULA MUST BE REPLACED IN EACH INSTANCE.
Example for named variable behaviourData1. For the others, replace the value 1 with the appropriate index.
=IF(
    INDEX(behaviourTable[behaviourColNum], MATCH(1, behaviourTable[index], 0)) = "",
    "",
    IF(
      ISNA(INDEX(dataRange,1,1)),
      NA(),
      INDEX(
        dataRange,
        ,
        INDEX(behaviourTable[behaviourColNum], MATCH(1, behaviourTable[index], 0))
      )
    )
  )</t>
  </si>
  <si>
    <t>=IF(
    [@behaviourHeader] = "",
    "",
    IF(
      ISNA(INDEX(dataRange,1,1)),
      NA(),
      MIN(INDEX(dataRange, , [@behaviourColNum]))
    )
  )</t>
  </si>
  <si>
    <t>=IF(
    [@behaviourHeader] = "",
    "",
    IF(
      ISNA(INDEX(dataRange,1,1)),
      NA(),
      MAX(INDEX(dataRange, , [@behaviourColNum]))
    )
  )</t>
  </si>
  <si>
    <t>=IF(
    [@behaviourHeader] = "",
    "",
    IF(
      ISERROR([@behaviourColNum]),
      IFERROR(
        INDEX(
          INDEX(
            UITranslationTable,
            0,
            IFERROR(
              MATCH(UILanguage, UITranslationTable[#Headers], 0),
              MATCH("English", UITranslationTable[#Headers], 0)
            )
          ),
          MATCH("dataNotFound", UITranslationTable[tag], 0)
        ),#REF!
      ) &amp; "",
      IF(
        ISNA(INDEX(dataRange,1,1)),
        NA(),
        SUMPRODUCT(--(INDEX(dataRange, , [@behaviourColNum]) &lt;&gt;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</si>
</sst>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
      <sz val="1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rgb="FF2DC8FF"/>
        <bgColor indexed="64"/>
      </patternFill>
    </fill>
  </fills>
  <borders count="5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
      <left/>
      <right style="medium">
        <color theme="0" tint="-4.9989318521683403E-2"/>
      </right>
      <top/>
      <bottom/>
      <diagonal/>
    </border>
    <border>
      <left style="medium">
        <color theme="1"/>
      </left>
      <right/>
      <top style="medium">
        <color theme="1"/>
      </top>
      <bottom/>
      <diagonal/>
    </border>
    <border>
      <left/>
      <right/>
      <top style="medium">
        <color theme="1"/>
      </top>
      <bottom/>
      <diagonal/>
    </border>
    <border>
      <left/>
      <right style="medium">
        <color theme="0" tint="-4.9989318521683403E-2"/>
      </right>
      <top style="medium">
        <color theme="1"/>
      </top>
      <bottom/>
      <diagonal/>
    </border>
    <border>
      <left style="medium">
        <color theme="1"/>
      </left>
      <right/>
      <top/>
      <bottom/>
      <diagonal/>
    </border>
    <border>
      <left style="medium">
        <color theme="1"/>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s>
  <cellStyleXfs count="7">
    <xf numFmtId="0" fontId="0" fillId="0" borderId="0"/>
    <xf numFmtId="0" fontId="2" fillId="0" borderId="0"/>
    <xf numFmtId="9" fontId="1" fillId="0" borderId="0" applyFont="0" applyFill="0" applyBorder="0" applyAlignment="0" applyProtection="0"/>
    <xf numFmtId="0" fontId="3" fillId="0" borderId="14">
      <protection locked="0" hidden="1"/>
    </xf>
    <xf numFmtId="0" fontId="14"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5" fillId="0" borderId="0" applyNumberFormat="0" applyFill="0" applyBorder="0" applyAlignment="0" applyProtection="0"/>
  </cellStyleXfs>
  <cellXfs count="302">
    <xf numFmtId="0" fontId="0" fillId="0" borderId="0" xfId="0"/>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0" fontId="4" fillId="4" borderId="0" xfId="0" applyFont="1" applyFill="1" applyBorder="1" applyAlignment="1" applyProtection="1">
      <alignment horizontal="left"/>
      <protection hidden="1"/>
    </xf>
    <xf numFmtId="0" fontId="4" fillId="4" borderId="27" xfId="0" applyFont="1" applyFill="1" applyBorder="1" applyAlignment="1" applyProtection="1">
      <alignment horizontal="left"/>
      <protection hidden="1"/>
    </xf>
    <xf numFmtId="0" fontId="4" fillId="4" borderId="28"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0" fillId="3" borderId="17" xfId="0" applyFont="1" applyFill="1" applyBorder="1" applyAlignment="1" applyProtection="1">
      <alignment horizontal="left"/>
      <protection locked="0"/>
    </xf>
    <xf numFmtId="0" fontId="10" fillId="3" borderId="20" xfId="0" applyFont="1" applyFill="1" applyBorder="1" applyAlignment="1" applyProtection="1">
      <alignment horizontal="left"/>
      <protection locked="0"/>
    </xf>
    <xf numFmtId="0" fontId="10" fillId="3" borderId="22" xfId="0" applyFont="1" applyFill="1" applyBorder="1" applyAlignment="1" applyProtection="1">
      <alignment horizontal="left"/>
      <protection locked="0"/>
    </xf>
    <xf numFmtId="0" fontId="4" fillId="4" borderId="32" xfId="0" applyFont="1" applyFill="1" applyBorder="1" applyAlignment="1" applyProtection="1">
      <alignment horizontal="left"/>
      <protection hidden="1"/>
    </xf>
    <xf numFmtId="0" fontId="3" fillId="3" borderId="33" xfId="0" applyFont="1" applyFill="1" applyBorder="1" applyAlignment="1" applyProtection="1">
      <alignment horizontal="left"/>
      <protection locked="0"/>
    </xf>
    <xf numFmtId="0" fontId="3" fillId="3" borderId="34" xfId="0" applyFont="1" applyFill="1" applyBorder="1" applyAlignment="1" applyProtection="1">
      <alignment horizontal="left"/>
      <protection locked="0"/>
    </xf>
    <xf numFmtId="0" fontId="3" fillId="3" borderId="34" xfId="0" applyNumberFormat="1" applyFont="1" applyFill="1" applyBorder="1" applyAlignment="1" applyProtection="1">
      <alignment horizontal="left"/>
      <protection locked="0"/>
    </xf>
    <xf numFmtId="0" fontId="3" fillId="3" borderId="35" xfId="0" applyNumberFormat="1" applyFont="1" applyFill="1" applyBorder="1" applyAlignment="1" applyProtection="1">
      <alignment horizontal="left"/>
      <protection locked="0"/>
    </xf>
    <xf numFmtId="0" fontId="3" fillId="3" borderId="36" xfId="0" applyNumberFormat="1" applyFont="1" applyFill="1" applyBorder="1" applyAlignment="1" applyProtection="1">
      <alignment horizontal="left"/>
      <protection locked="0"/>
    </xf>
    <xf numFmtId="0" fontId="4" fillId="3" borderId="37" xfId="0" applyFont="1" applyFill="1" applyBorder="1" applyAlignment="1" applyProtection="1">
      <alignment horizontal="left"/>
      <protection locked="0"/>
    </xf>
    <xf numFmtId="0" fontId="19" fillId="0" borderId="14" xfId="4" applyFont="1" applyFill="1" applyAlignment="1" applyProtection="1">
      <alignment horizontal="center" vertical="center" wrapText="1"/>
      <protection locked="0" hidden="1"/>
    </xf>
    <xf numFmtId="165" fontId="19" fillId="0" borderId="14" xfId="4" applyNumberFormat="1" applyFont="1" applyFill="1" applyBorder="1" applyAlignment="1" applyProtection="1">
      <alignment horizontal="center" vertical="center"/>
      <protection locked="0" hidden="1"/>
    </xf>
    <xf numFmtId="0" fontId="4" fillId="4" borderId="2" xfId="0" applyFont="1" applyFill="1" applyBorder="1" applyAlignment="1" applyProtection="1">
      <alignment horizontal="right" wrapText="1"/>
      <protection hidden="1"/>
    </xf>
    <xf numFmtId="0" fontId="11" fillId="4" borderId="2" xfId="0" applyFont="1" applyFill="1" applyBorder="1" applyAlignment="1" applyProtection="1">
      <alignment vertical="center" wrapText="1"/>
      <protection hidden="1"/>
    </xf>
    <xf numFmtId="0" fontId="12"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1" fillId="4" borderId="3" xfId="0" applyFont="1" applyFill="1" applyBorder="1" applyAlignment="1" applyProtection="1">
      <alignment vertical="center" wrapText="1"/>
      <protection hidden="1"/>
    </xf>
    <xf numFmtId="0" fontId="0" fillId="4" borderId="0" xfId="0" applyFill="1" applyBorder="1" applyProtection="1">
      <protection hidden="1"/>
    </xf>
    <xf numFmtId="0" fontId="11" fillId="4" borderId="0" xfId="0" applyFont="1" applyFill="1" applyBorder="1" applyAlignment="1" applyProtection="1">
      <alignment vertical="center" wrapText="1"/>
      <protection hidden="1"/>
    </xf>
    <xf numFmtId="0" fontId="12" fillId="4" borderId="0" xfId="0" applyFont="1" applyFill="1" applyBorder="1" applyAlignment="1" applyProtection="1">
      <alignment horizontal="right" vertical="center" indent="1"/>
      <protection hidden="1"/>
    </xf>
    <xf numFmtId="0" fontId="11" fillId="4" borderId="5" xfId="0" applyFont="1" applyFill="1" applyBorder="1" applyAlignment="1" applyProtection="1">
      <alignment vertical="center" wrapText="1"/>
      <protection hidden="1"/>
    </xf>
    <xf numFmtId="0" fontId="23" fillId="4" borderId="7" xfId="0" applyFont="1" applyFill="1" applyBorder="1" applyAlignment="1" applyProtection="1">
      <alignment vertical="center"/>
      <protection hidden="1"/>
    </xf>
    <xf numFmtId="0" fontId="11" fillId="4" borderId="7" xfId="0" applyFont="1" applyFill="1" applyBorder="1" applyAlignment="1" applyProtection="1">
      <alignment vertical="center" wrapText="1"/>
      <protection hidden="1"/>
    </xf>
    <xf numFmtId="0" fontId="12"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1"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25" fillId="4" borderId="5" xfId="6" applyFill="1" applyBorder="1" applyAlignment="1" applyProtection="1">
      <alignment horizontal="left" vertical="top" wrapText="1" indent="1"/>
      <protection hidden="1"/>
    </xf>
    <xf numFmtId="0" fontId="25" fillId="4" borderId="8" xfId="6" applyFill="1" applyBorder="1" applyAlignment="1" applyProtection="1">
      <alignment horizontal="left" vertical="top" wrapText="1" indent="1"/>
      <protection hidden="1"/>
    </xf>
    <xf numFmtId="0" fontId="3" fillId="0" borderId="14" xfId="4" applyFont="1" applyFill="1" applyAlignment="1" applyProtection="1">
      <alignment vertical="center" wrapText="1"/>
      <protection locked="0" hidden="1"/>
    </xf>
    <xf numFmtId="0" fontId="4" fillId="12" borderId="9" xfId="0" applyFont="1" applyFill="1" applyBorder="1" applyAlignment="1" applyProtection="1">
      <alignment horizontal="left"/>
      <protection hidden="1"/>
    </xf>
    <xf numFmtId="0" fontId="4" fillId="12" borderId="9" xfId="0" applyFont="1" applyFill="1" applyBorder="1" applyAlignment="1" applyProtection="1">
      <alignment horizontal="center"/>
      <protection hidden="1"/>
    </xf>
    <xf numFmtId="0" fontId="4" fillId="12" borderId="25" xfId="0" applyFont="1" applyFill="1" applyBorder="1" applyAlignment="1" applyProtection="1">
      <alignment horizontal="left"/>
      <protection hidden="1"/>
    </xf>
    <xf numFmtId="0" fontId="4" fillId="12"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3" fillId="4" borderId="0" xfId="0" applyFont="1" applyFill="1" applyBorder="1" applyAlignment="1" applyProtection="1">
      <alignment horizontal="left" vertical="top" wrapText="1"/>
      <protection hidden="1"/>
    </xf>
    <xf numFmtId="0" fontId="13"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6" fillId="4"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8"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0" fillId="4" borderId="0" xfId="0" applyFont="1" applyFill="1" applyBorder="1" applyProtection="1">
      <protection hidden="1"/>
    </xf>
    <xf numFmtId="0" fontId="30" fillId="4" borderId="0" xfId="0" applyNumberFormat="1" applyFont="1" applyFill="1" applyBorder="1" applyProtection="1">
      <protection hidden="1"/>
    </xf>
    <xf numFmtId="0" fontId="11"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2"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1" fillId="4" borderId="0" xfId="0" applyFont="1" applyFill="1" applyBorder="1" applyAlignment="1" applyProtection="1">
      <alignment horizontal="left"/>
      <protection hidden="1"/>
    </xf>
    <xf numFmtId="0" fontId="30" fillId="4" borderId="0" xfId="0" applyNumberFormat="1" applyFont="1" applyFill="1" applyBorder="1" applyAlignment="1" applyProtection="1">
      <alignment horizontal="center"/>
      <protection hidden="1"/>
    </xf>
    <xf numFmtId="0" fontId="32"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4" fillId="4" borderId="29" xfId="0" applyFont="1" applyFill="1" applyBorder="1" applyAlignment="1" applyProtection="1">
      <alignment horizontal="center"/>
      <protection locked="0"/>
    </xf>
    <xf numFmtId="0" fontId="14" fillId="4" borderId="30" xfId="0" applyFont="1" applyFill="1" applyBorder="1" applyAlignment="1" applyProtection="1">
      <alignment horizontal="center"/>
      <protection locked="0"/>
    </xf>
    <xf numFmtId="0" fontId="14" fillId="4" borderId="31" xfId="0" applyFont="1" applyFill="1" applyBorder="1" applyAlignment="1" applyProtection="1">
      <alignment horizontal="center"/>
      <protection locked="0"/>
    </xf>
    <xf numFmtId="0" fontId="15" fillId="4" borderId="0" xfId="0" applyFont="1" applyFill="1" applyBorder="1" applyAlignment="1" applyProtection="1">
      <alignment horizontal="left" vertical="center" wrapText="1" indent="2"/>
      <protection hidden="1"/>
    </xf>
    <xf numFmtId="0" fontId="13"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1" fillId="4" borderId="0" xfId="0" applyFont="1" applyFill="1" applyProtection="1">
      <protection hidden="1"/>
    </xf>
    <xf numFmtId="0" fontId="3" fillId="4" borderId="0" xfId="0" applyFont="1" applyFill="1" applyAlignment="1" applyProtection="1">
      <alignment horizontal="left" vertical="top" wrapText="1"/>
      <protection hidden="1"/>
    </xf>
    <xf numFmtId="0" fontId="28" fillId="4" borderId="0" xfId="0" applyFont="1" applyFill="1" applyBorder="1" applyAlignment="1" applyProtection="1">
      <alignment horizontal="center" vertical="center" wrapText="1"/>
      <protection hidden="1"/>
    </xf>
    <xf numFmtId="0" fontId="26"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3"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5" fillId="4" borderId="0" xfId="0" applyFont="1" applyFill="1" applyBorder="1" applyAlignment="1" applyProtection="1">
      <alignment horizontal="left"/>
      <protection hidden="1"/>
    </xf>
    <xf numFmtId="0" fontId="15" fillId="4" borderId="0" xfId="0" applyFont="1" applyFill="1" applyBorder="1" applyAlignment="1" applyProtection="1">
      <alignment horizontal="center"/>
      <protection hidden="1"/>
    </xf>
    <xf numFmtId="0" fontId="15" fillId="4" borderId="0" xfId="0" applyFont="1" applyFill="1" applyBorder="1" applyAlignment="1" applyProtection="1">
      <protection hidden="1"/>
    </xf>
    <xf numFmtId="0" fontId="15" fillId="4" borderId="0" xfId="0" applyFont="1" applyFill="1" applyAlignment="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38" xfId="0" applyFont="1" applyFill="1" applyBorder="1" applyAlignment="1" applyProtection="1">
      <alignment horizontal="left"/>
      <protection hidden="1"/>
    </xf>
    <xf numFmtId="0" fontId="3" fillId="0" borderId="39" xfId="0" applyFont="1" applyFill="1" applyBorder="1" applyAlignment="1" applyProtection="1">
      <alignment horizontal="center"/>
      <protection hidden="1"/>
    </xf>
    <xf numFmtId="0" fontId="3" fillId="0" borderId="40" xfId="0" applyFont="1" applyFill="1" applyBorder="1" applyAlignment="1" applyProtection="1">
      <alignment horizontal="center"/>
      <protection hidden="1"/>
    </xf>
    <xf numFmtId="0" fontId="3" fillId="0" borderId="40" xfId="0" applyNumberFormat="1" applyFont="1" applyFill="1" applyBorder="1" applyAlignment="1" applyProtection="1">
      <alignment horizontal="center"/>
      <protection hidden="1"/>
    </xf>
    <xf numFmtId="0" fontId="3" fillId="0" borderId="41" xfId="0" applyNumberFormat="1" applyFont="1" applyFill="1" applyBorder="1" applyAlignment="1" applyProtection="1">
      <alignment horizontal="center"/>
      <protection hidden="1"/>
    </xf>
    <xf numFmtId="164" fontId="3" fillId="9" borderId="9" xfId="2" applyNumberFormat="1" applyFont="1" applyFill="1" applyBorder="1" applyAlignment="1" applyProtection="1">
      <alignment horizontal="center"/>
      <protection hidden="1"/>
    </xf>
    <xf numFmtId="164" fontId="3" fillId="10" borderId="9" xfId="2"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0" fontId="3" fillId="8" borderId="39" xfId="0" applyFont="1" applyFill="1" applyBorder="1" applyProtection="1">
      <protection hidden="1"/>
    </xf>
    <xf numFmtId="164" fontId="3" fillId="8" borderId="39" xfId="2" applyNumberFormat="1" applyFont="1" applyFill="1" applyBorder="1" applyAlignment="1" applyProtection="1">
      <alignment horizontal="center"/>
      <protection hidden="1"/>
    </xf>
    <xf numFmtId="0" fontId="3" fillId="8" borderId="39" xfId="0" applyFont="1" applyFill="1" applyBorder="1" applyAlignment="1" applyProtection="1">
      <alignment horizontal="center"/>
      <protection hidden="1"/>
    </xf>
    <xf numFmtId="0" fontId="3" fillId="8" borderId="40" xfId="0" applyFont="1" applyFill="1" applyBorder="1" applyProtection="1">
      <protection hidden="1"/>
    </xf>
    <xf numFmtId="164" fontId="3" fillId="8" borderId="40" xfId="2" applyNumberFormat="1" applyFont="1" applyFill="1" applyBorder="1" applyAlignment="1" applyProtection="1">
      <alignment horizontal="center"/>
      <protection hidden="1"/>
    </xf>
    <xf numFmtId="0" fontId="3" fillId="8" borderId="40" xfId="0" applyFont="1" applyFill="1" applyBorder="1" applyAlignment="1" applyProtection="1">
      <alignment horizontal="center"/>
      <protection hidden="1"/>
    </xf>
    <xf numFmtId="0" fontId="3" fillId="8" borderId="41" xfId="0" applyFont="1" applyFill="1" applyBorder="1" applyProtection="1">
      <protection hidden="1"/>
    </xf>
    <xf numFmtId="164" fontId="3" fillId="8" borderId="41" xfId="2" applyNumberFormat="1" applyFont="1" applyFill="1" applyBorder="1" applyAlignment="1" applyProtection="1">
      <alignment horizontal="center"/>
      <protection hidden="1"/>
    </xf>
    <xf numFmtId="0" fontId="3" fillId="8" borderId="41" xfId="0" applyFont="1" applyFill="1" applyBorder="1" applyAlignment="1" applyProtection="1">
      <alignment horizontal="center"/>
      <protection hidden="1"/>
    </xf>
    <xf numFmtId="0" fontId="4" fillId="3" borderId="42" xfId="0" applyFont="1" applyFill="1" applyBorder="1" applyAlignment="1" applyProtection="1">
      <alignment horizontal="left"/>
      <protection locked="0"/>
    </xf>
    <xf numFmtId="0" fontId="4" fillId="3" borderId="43" xfId="0" applyFont="1" applyFill="1" applyBorder="1" applyAlignment="1" applyProtection="1">
      <alignment horizontal="left"/>
      <protection locked="0"/>
    </xf>
    <xf numFmtId="0" fontId="3" fillId="4" borderId="44"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45"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46"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47" xfId="0" applyFont="1" applyFill="1" applyBorder="1" applyAlignment="1" applyProtection="1">
      <alignment horizontal="center"/>
      <protection hidden="1"/>
    </xf>
    <xf numFmtId="0" fontId="4" fillId="4" borderId="48" xfId="0" applyFont="1" applyFill="1" applyBorder="1" applyAlignment="1" applyProtection="1">
      <alignment horizontal="center"/>
      <protection hidden="1"/>
    </xf>
    <xf numFmtId="0" fontId="4" fillId="4" borderId="49" xfId="0" applyFont="1" applyFill="1" applyBorder="1" applyAlignment="1" applyProtection="1">
      <alignment horizontal="center"/>
      <protection hidden="1"/>
    </xf>
    <xf numFmtId="0" fontId="3" fillId="6" borderId="9" xfId="0" applyFont="1" applyFill="1" applyBorder="1" applyAlignment="1" applyProtection="1">
      <alignment horizontal="center"/>
      <protection hidden="1"/>
    </xf>
    <xf numFmtId="0" fontId="4" fillId="4" borderId="48" xfId="0" applyNumberFormat="1" applyFont="1" applyFill="1" applyBorder="1" applyAlignment="1" applyProtection="1">
      <alignment horizontal="center"/>
      <protection hidden="1"/>
    </xf>
    <xf numFmtId="0" fontId="4" fillId="4" borderId="49" xfId="0" applyNumberFormat="1" applyFont="1" applyFill="1" applyBorder="1" applyAlignment="1" applyProtection="1">
      <alignment horizontal="center"/>
      <protection hidden="1"/>
    </xf>
    <xf numFmtId="0" fontId="3" fillId="4" borderId="47" xfId="0" applyFont="1" applyFill="1" applyBorder="1" applyAlignment="1" applyProtection="1">
      <alignment horizontal="center"/>
      <protection hidden="1"/>
    </xf>
    <xf numFmtId="0" fontId="3" fillId="4" borderId="48" xfId="0" applyFont="1" applyFill="1" applyBorder="1" applyAlignment="1" applyProtection="1">
      <alignment horizontal="center"/>
      <protection hidden="1"/>
    </xf>
    <xf numFmtId="0" fontId="3" fillId="4" borderId="49" xfId="0" applyFont="1" applyFill="1" applyBorder="1" applyAlignment="1" applyProtection="1">
      <alignment horizontal="center"/>
      <protection hidden="1"/>
    </xf>
    <xf numFmtId="0" fontId="0" fillId="5" borderId="0" xfId="0" quotePrefix="1" applyFill="1" applyAlignment="1" applyProtection="1">
      <alignment wrapText="1"/>
      <protection hidden="1"/>
    </xf>
    <xf numFmtId="0" fontId="0" fillId="4" borderId="0" xfId="0" quotePrefix="1" applyFill="1" applyAlignment="1" applyProtection="1">
      <protection hidden="1"/>
    </xf>
    <xf numFmtId="0" fontId="0" fillId="5" borderId="0" xfId="0" quotePrefix="1" applyFill="1" applyAlignment="1" applyProtection="1">
      <protection hidden="1"/>
    </xf>
    <xf numFmtId="0" fontId="13" fillId="4" borderId="0" xfId="0" applyFont="1" applyFill="1" applyAlignment="1" applyProtection="1">
      <alignment horizontal="left" vertical="top" indent="1"/>
      <protection hidden="1"/>
    </xf>
    <xf numFmtId="0" fontId="11" fillId="4" borderId="2"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11" fillId="4" borderId="3"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2"/>
      <protection hidden="1"/>
    </xf>
    <xf numFmtId="0" fontId="0" fillId="0" borderId="0" xfId="0" applyAlignment="1" applyProtection="1">
      <alignment horizontal="right"/>
      <protection hidden="1"/>
    </xf>
    <xf numFmtId="0" fontId="0" fillId="7" borderId="0" xfId="0" applyFill="1" applyProtection="1">
      <protection hidden="1"/>
    </xf>
    <xf numFmtId="0" fontId="33" fillId="5" borderId="0" xfId="0" applyFont="1" applyFill="1" applyProtection="1">
      <protection hidden="1"/>
    </xf>
    <xf numFmtId="0" fontId="0" fillId="0" borderId="0" xfId="0" applyFill="1" applyAlignment="1" applyProtection="1">
      <alignment wrapText="1"/>
      <protection hidden="1"/>
    </xf>
    <xf numFmtId="0" fontId="0" fillId="0" borderId="0" xfId="0" applyNumberFormat="1" applyProtection="1">
      <protection hidden="1"/>
    </xf>
    <xf numFmtId="0" fontId="0" fillId="0" borderId="0" xfId="0" quotePrefix="1" applyAlignment="1" applyProtection="1">
      <alignment wrapText="1"/>
      <protection hidden="1"/>
    </xf>
    <xf numFmtId="0" fontId="0" fillId="0" borderId="0" xfId="0" applyFont="1" applyProtection="1">
      <protection hidden="1"/>
    </xf>
    <xf numFmtId="0" fontId="9" fillId="0" borderId="0" xfId="0" applyFont="1" applyProtection="1">
      <protection hidden="1"/>
    </xf>
    <xf numFmtId="0" fontId="0" fillId="0" borderId="0" xfId="2" applyNumberFormat="1" applyFont="1" applyProtection="1">
      <protection hidden="1"/>
    </xf>
    <xf numFmtId="9" fontId="0" fillId="0" borderId="0" xfId="2" applyFont="1" applyProtection="1">
      <protection hidden="1"/>
    </xf>
    <xf numFmtId="2" fontId="0" fillId="0" borderId="0" xfId="0" applyNumberFormat="1" applyProtection="1">
      <protection hidden="1"/>
    </xf>
    <xf numFmtId="164" fontId="0" fillId="0" borderId="0" xfId="2" applyNumberFormat="1" applyFont="1" applyProtection="1">
      <protection hidden="1"/>
    </xf>
    <xf numFmtId="0" fontId="0" fillId="0" borderId="0" xfId="0" quotePrefix="1" applyNumberFormat="1" applyAlignment="1" applyProtection="1">
      <alignment wrapText="1"/>
      <protection hidden="1"/>
    </xf>
    <xf numFmtId="49" fontId="0" fillId="0" borderId="0" xfId="0" applyNumberFormat="1" applyFill="1" applyAlignment="1" applyProtection="1">
      <alignment wrapText="1"/>
      <protection hidden="1"/>
    </xf>
    <xf numFmtId="0" fontId="0" fillId="0" borderId="0" xfId="0" applyNumberFormat="1" applyAlignment="1" applyProtection="1">
      <alignment wrapText="1"/>
      <protection hidden="1"/>
    </xf>
    <xf numFmtId="0" fontId="0" fillId="0" borderId="0" xfId="0" quotePrefix="1" applyFill="1" applyAlignment="1" applyProtection="1">
      <alignment wrapText="1"/>
      <protection hidden="1"/>
    </xf>
    <xf numFmtId="0" fontId="0" fillId="0" borderId="0" xfId="0" applyAlignment="1" applyProtection="1">
      <protection hidden="1"/>
    </xf>
    <xf numFmtId="0" fontId="0" fillId="0" borderId="0" xfId="0" applyFill="1" applyAlignment="1" applyProtection="1">
      <alignment vertical="center"/>
      <protection hidden="1"/>
    </xf>
    <xf numFmtId="0" fontId="0" fillId="0" borderId="0" xfId="0" applyFill="1" applyAlignment="1" applyProtection="1">
      <alignment vertical="center" wrapText="1"/>
      <protection hidden="1"/>
    </xf>
    <xf numFmtId="0" fontId="0" fillId="0" borderId="0" xfId="0" quotePrefix="1" applyProtection="1">
      <protection hidden="1"/>
    </xf>
    <xf numFmtId="0" fontId="0" fillId="5" borderId="0" xfId="0" applyFill="1" applyAlignment="1" applyProtection="1">
      <alignment wrapText="1"/>
      <protection hidden="1"/>
    </xf>
    <xf numFmtId="0" fontId="11" fillId="4" borderId="1" xfId="0" applyFont="1" applyFill="1" applyBorder="1" applyAlignment="1" applyProtection="1">
      <alignment horizontal="left" vertical="center" wrapText="1" indent="1"/>
      <protection hidden="1"/>
    </xf>
    <xf numFmtId="0" fontId="11" fillId="2" borderId="2" xfId="0" applyFont="1" applyFill="1" applyBorder="1" applyAlignment="1" applyProtection="1">
      <alignment horizontal="left" vertical="center" wrapText="1" indent="1"/>
      <protection hidden="1"/>
    </xf>
    <xf numFmtId="0" fontId="25" fillId="4" borderId="4" xfId="6" applyFill="1" applyBorder="1" applyAlignment="1" applyProtection="1">
      <alignment horizontal="left" vertical="top" wrapText="1" indent="1"/>
      <protection hidden="1"/>
    </xf>
    <xf numFmtId="0" fontId="25" fillId="2" borderId="0" xfId="6" applyFill="1" applyBorder="1" applyAlignment="1" applyProtection="1">
      <alignment horizontal="left" vertical="top" wrapText="1" indent="1"/>
      <protection hidden="1"/>
    </xf>
    <xf numFmtId="0" fontId="11" fillId="4" borderId="4" xfId="0" applyFont="1" applyFill="1" applyBorder="1" applyAlignment="1" applyProtection="1">
      <alignment horizontal="left" vertical="center" wrapText="1" indent="1"/>
      <protection hidden="1"/>
    </xf>
    <xf numFmtId="0" fontId="11" fillId="2" borderId="0" xfId="0" applyFont="1" applyFill="1" applyBorder="1" applyAlignment="1" applyProtection="1">
      <alignment horizontal="left" vertical="center" wrapText="1" indent="1"/>
      <protection hidden="1"/>
    </xf>
    <xf numFmtId="0" fontId="25" fillId="4" borderId="6" xfId="6" applyFill="1" applyBorder="1" applyAlignment="1" applyProtection="1">
      <alignment horizontal="left" vertical="top" wrapText="1" indent="1"/>
      <protection hidden="1"/>
    </xf>
    <xf numFmtId="0" fontId="25" fillId="2" borderId="7" xfId="6" applyFill="1" applyBorder="1" applyAlignment="1" applyProtection="1">
      <alignment horizontal="left" vertical="top" wrapText="1" indent="1"/>
      <protection hidden="1"/>
    </xf>
    <xf numFmtId="0" fontId="25" fillId="4" borderId="7" xfId="6" applyFill="1" applyBorder="1" applyAlignment="1" applyProtection="1">
      <alignment vertical="top"/>
      <protection hidden="1"/>
    </xf>
    <xf numFmtId="0" fontId="25" fillId="2" borderId="7" xfId="6" applyFill="1" applyBorder="1" applyAlignment="1" applyProtection="1">
      <alignment vertical="top"/>
      <protection hidden="1"/>
    </xf>
    <xf numFmtId="0" fontId="11" fillId="4" borderId="2" xfId="0" applyFont="1" applyFill="1" applyBorder="1" applyAlignment="1" applyProtection="1">
      <alignment horizontal="left" vertical="center" wrapText="1"/>
      <protection hidden="1"/>
    </xf>
    <xf numFmtId="0" fontId="11" fillId="2" borderId="2" xfId="0" applyFont="1" applyFill="1" applyBorder="1" applyAlignment="1" applyProtection="1">
      <alignment horizontal="left" vertical="center" wrapText="1"/>
      <protection hidden="1"/>
    </xf>
    <xf numFmtId="0" fontId="11" fillId="2" borderId="0" xfId="0" applyFont="1" applyFill="1" applyBorder="1" applyAlignment="1" applyProtection="1">
      <alignment horizontal="left" vertical="center" wrapText="1"/>
      <protection hidden="1"/>
    </xf>
    <xf numFmtId="0" fontId="11" fillId="4" borderId="1" xfId="0" applyFont="1" applyFill="1" applyBorder="1" applyAlignment="1" applyProtection="1">
      <alignment horizontal="left" vertical="center" wrapText="1" indent="2"/>
      <protection hidden="1"/>
    </xf>
    <xf numFmtId="0" fontId="11" fillId="2" borderId="4" xfId="0" applyFont="1" applyFill="1" applyBorder="1" applyAlignment="1" applyProtection="1">
      <alignment horizontal="left" vertical="center" wrapText="1" indent="2"/>
      <protection hidden="1"/>
    </xf>
    <xf numFmtId="0" fontId="11" fillId="2" borderId="6" xfId="0" applyFont="1" applyFill="1" applyBorder="1" applyAlignment="1" applyProtection="1">
      <alignment horizontal="left" vertical="center" wrapText="1" indent="2"/>
      <protection hidden="1"/>
    </xf>
    <xf numFmtId="0" fontId="11" fillId="4" borderId="6" xfId="0" applyFont="1" applyFill="1" applyBorder="1" applyAlignment="1" applyProtection="1">
      <alignment horizontal="left" vertical="center" wrapText="1" indent="1"/>
      <protection hidden="1"/>
    </xf>
    <xf numFmtId="0" fontId="11"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7" fillId="4" borderId="0" xfId="0" applyFont="1" applyFill="1" applyAlignment="1" applyProtection="1">
      <alignment horizontal="center"/>
      <protection hidden="1"/>
    </xf>
    <xf numFmtId="0" fontId="24" fillId="4" borderId="0" xfId="0" applyFont="1" applyFill="1" applyAlignment="1" applyProtection="1">
      <alignment horizontal="center"/>
      <protection hidden="1"/>
    </xf>
    <xf numFmtId="0" fontId="24" fillId="2" borderId="0" xfId="0" applyFont="1" applyFill="1" applyAlignment="1" applyProtection="1">
      <alignment horizontal="center"/>
      <protection hidden="1"/>
    </xf>
    <xf numFmtId="0" fontId="13" fillId="4" borderId="0" xfId="0" applyFont="1" applyFill="1" applyAlignment="1" applyProtection="1">
      <alignment horizontal="left" vertical="top" indent="1"/>
      <protection hidden="1"/>
    </xf>
    <xf numFmtId="0" fontId="13" fillId="2" borderId="0" xfId="0" applyFont="1" applyFill="1" applyAlignment="1" applyProtection="1">
      <alignment horizontal="left" vertical="top" indent="1"/>
      <protection hidden="1"/>
    </xf>
    <xf numFmtId="0" fontId="12" fillId="4" borderId="1" xfId="0" applyFont="1" applyFill="1" applyBorder="1" applyAlignment="1" applyProtection="1">
      <alignment horizontal="right" vertical="center" wrapText="1" indent="1"/>
      <protection hidden="1"/>
    </xf>
    <xf numFmtId="0" fontId="12" fillId="2" borderId="4" xfId="0" applyFont="1" applyFill="1" applyBorder="1" applyAlignment="1" applyProtection="1">
      <alignment horizontal="right" vertical="center" wrapText="1" indent="1"/>
      <protection hidden="1"/>
    </xf>
    <xf numFmtId="0" fontId="12" fillId="2" borderId="6" xfId="0" applyFont="1" applyFill="1" applyBorder="1" applyAlignment="1" applyProtection="1">
      <alignment horizontal="right" vertical="center" wrapText="1" indent="1"/>
      <protection hidden="1"/>
    </xf>
    <xf numFmtId="0" fontId="11" fillId="4" borderId="2" xfId="0" applyFont="1" applyFill="1" applyBorder="1" applyAlignment="1" applyProtection="1">
      <alignment horizontal="left" vertical="center" wrapText="1" indent="2"/>
      <protection hidden="1"/>
    </xf>
    <xf numFmtId="0" fontId="11" fillId="2" borderId="0" xfId="0" applyFont="1" applyFill="1" applyBorder="1" applyAlignment="1" applyProtection="1">
      <alignment horizontal="left" vertical="center" wrapText="1" indent="2"/>
      <protection hidden="1"/>
    </xf>
    <xf numFmtId="0" fontId="11" fillId="2" borderId="7" xfId="0" applyFont="1" applyFill="1" applyBorder="1" applyAlignment="1" applyProtection="1">
      <alignment horizontal="left" vertical="center" wrapText="1" indent="2"/>
      <protection hidden="1"/>
    </xf>
    <xf numFmtId="0" fontId="20" fillId="4" borderId="2" xfId="0" applyFont="1" applyFill="1" applyBorder="1" applyAlignment="1" applyProtection="1">
      <alignment horizontal="left" vertical="center" wrapText="1"/>
      <protection hidden="1"/>
    </xf>
    <xf numFmtId="0" fontId="20" fillId="2" borderId="2" xfId="0" applyFont="1" applyFill="1" applyBorder="1" applyAlignment="1" applyProtection="1">
      <alignment horizontal="left" vertical="center" wrapText="1"/>
      <protection hidden="1"/>
    </xf>
    <xf numFmtId="0" fontId="13" fillId="4" borderId="0" xfId="0" applyFont="1" applyFill="1" applyBorder="1" applyAlignment="1" applyProtection="1">
      <alignment horizontal="center" vertical="top"/>
      <protection hidden="1"/>
    </xf>
    <xf numFmtId="0" fontId="13" fillId="2" borderId="0" xfId="0" applyFont="1" applyFill="1" applyBorder="1" applyAlignment="1" applyProtection="1">
      <alignment horizontal="center" vertical="top"/>
      <protection hidden="1"/>
    </xf>
    <xf numFmtId="0" fontId="19" fillId="0" borderId="51" xfId="4" applyFont="1" applyFill="1" applyBorder="1" applyAlignment="1" applyProtection="1">
      <alignment horizontal="left" vertical="top" wrapText="1" indent="1"/>
      <protection hidden="1"/>
    </xf>
    <xf numFmtId="0" fontId="19" fillId="0" borderId="52" xfId="4" applyFont="1" applyFill="1" applyBorder="1" applyAlignment="1" applyProtection="1">
      <alignment horizontal="left" vertical="top" wrapText="1" indent="1"/>
      <protection hidden="1"/>
    </xf>
    <xf numFmtId="0" fontId="19" fillId="0" borderId="53" xfId="4" applyFont="1" applyFill="1" applyBorder="1" applyAlignment="1" applyProtection="1">
      <alignment horizontal="left" vertical="top" wrapText="1" indent="1"/>
      <protection hidden="1"/>
    </xf>
    <xf numFmtId="0" fontId="19" fillId="0" borderId="54" xfId="4" applyFont="1" applyFill="1" applyBorder="1" applyAlignment="1" applyProtection="1">
      <alignment horizontal="left" vertical="top" wrapText="1" indent="1"/>
      <protection hidden="1"/>
    </xf>
    <xf numFmtId="0" fontId="19" fillId="0" borderId="0" xfId="4" applyFont="1" applyFill="1" applyBorder="1" applyAlignment="1" applyProtection="1">
      <alignment horizontal="left" vertical="top" wrapText="1" indent="1"/>
      <protection hidden="1"/>
    </xf>
    <xf numFmtId="0" fontId="19" fillId="0" borderId="50" xfId="4" applyFont="1" applyFill="1" applyBorder="1" applyAlignment="1" applyProtection="1">
      <alignment horizontal="left" vertical="top" wrapText="1" indent="1"/>
      <protection hidden="1"/>
    </xf>
    <xf numFmtId="0" fontId="19" fillId="0" borderId="55" xfId="4" applyFont="1" applyFill="1" applyBorder="1" applyAlignment="1" applyProtection="1">
      <alignment horizontal="left" vertical="top" wrapText="1" indent="1"/>
      <protection hidden="1"/>
    </xf>
    <xf numFmtId="0" fontId="19" fillId="0" borderId="56" xfId="4" applyFont="1" applyFill="1" applyBorder="1" applyAlignment="1" applyProtection="1">
      <alignment horizontal="left" vertical="top" wrapText="1" indent="1"/>
      <protection hidden="1"/>
    </xf>
    <xf numFmtId="0" fontId="19" fillId="0" borderId="57" xfId="4" applyFont="1" applyFill="1" applyBorder="1" applyAlignment="1" applyProtection="1">
      <alignment horizontal="left" vertical="top" wrapText="1" indent="1"/>
      <protection hidden="1"/>
    </xf>
    <xf numFmtId="0" fontId="13" fillId="4" borderId="0" xfId="0" applyFont="1" applyFill="1" applyAlignment="1" applyProtection="1">
      <alignment horizontal="center" vertical="top" wrapText="1"/>
      <protection hidden="1"/>
    </xf>
    <xf numFmtId="0" fontId="13" fillId="2" borderId="0" xfId="0" applyFont="1" applyFill="1" applyAlignment="1" applyProtection="1">
      <alignment horizontal="center" vertical="top" wrapText="1"/>
      <protection hidden="1"/>
    </xf>
    <xf numFmtId="0" fontId="12" fillId="4" borderId="0" xfId="0" applyFont="1" applyFill="1" applyBorder="1" applyAlignment="1" applyProtection="1">
      <alignment horizontal="left" vertical="center"/>
      <protection hidden="1"/>
    </xf>
    <xf numFmtId="0" fontId="12" fillId="2" borderId="0" xfId="0" applyFont="1" applyFill="1" applyBorder="1" applyAlignment="1" applyProtection="1">
      <alignment horizontal="left" vertical="center"/>
      <protection hidden="1"/>
    </xf>
    <xf numFmtId="0" fontId="12" fillId="2" borderId="26" xfId="0" applyFont="1" applyFill="1" applyBorder="1" applyAlignment="1" applyProtection="1">
      <alignment horizontal="left" vertical="center"/>
      <protection hidden="1"/>
    </xf>
    <xf numFmtId="0" fontId="14" fillId="4" borderId="0" xfId="0" applyFont="1" applyFill="1" applyBorder="1" applyAlignment="1" applyProtection="1">
      <alignment horizontal="left" vertical="center" wrapText="1" indent="2"/>
      <protection hidden="1"/>
    </xf>
    <xf numFmtId="0" fontId="14" fillId="2" borderId="0" xfId="0" applyFont="1" applyFill="1" applyBorder="1" applyAlignment="1" applyProtection="1">
      <alignment horizontal="left" vertical="center" wrapText="1" indent="2"/>
      <protection hidden="1"/>
    </xf>
    <xf numFmtId="0" fontId="21" fillId="4" borderId="0" xfId="0" applyFont="1" applyFill="1" applyBorder="1" applyAlignment="1" applyProtection="1">
      <alignment horizontal="left" vertical="center" wrapText="1" indent="1"/>
      <protection hidden="1"/>
    </xf>
    <xf numFmtId="0" fontId="21" fillId="2" borderId="0"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indent="1"/>
      <protection hidden="1"/>
    </xf>
    <xf numFmtId="0" fontId="14" fillId="2" borderId="0" xfId="0" applyFont="1" applyFill="1" applyBorder="1" applyAlignment="1" applyProtection="1">
      <alignment horizontal="left" vertical="center" wrapText="1" indent="1"/>
      <protection hidden="1"/>
    </xf>
    <xf numFmtId="0" fontId="19" fillId="0" borderId="17" xfId="3" applyFont="1" applyBorder="1" applyAlignment="1" applyProtection="1">
      <alignment horizontal="left" vertical="top" wrapText="1" indent="1"/>
      <protection hidden="1"/>
    </xf>
    <xf numFmtId="0" fontId="19" fillId="0" borderId="18" xfId="3" applyFont="1" applyBorder="1" applyAlignment="1" applyProtection="1">
      <alignment horizontal="left" vertical="top" wrapText="1" indent="1"/>
      <protection hidden="1"/>
    </xf>
    <xf numFmtId="0" fontId="19" fillId="0" borderId="19" xfId="3" applyFont="1" applyBorder="1" applyAlignment="1" applyProtection="1">
      <alignment horizontal="left" vertical="top" wrapText="1" indent="1"/>
      <protection hidden="1"/>
    </xf>
    <xf numFmtId="0" fontId="19" fillId="0" borderId="20" xfId="3" applyFont="1" applyBorder="1" applyAlignment="1" applyProtection="1">
      <alignment horizontal="left" vertical="top" wrapText="1" indent="1"/>
      <protection hidden="1"/>
    </xf>
    <xf numFmtId="0" fontId="19" fillId="0" borderId="11" xfId="3" applyFont="1" applyBorder="1" applyAlignment="1" applyProtection="1">
      <alignment horizontal="left" vertical="top" wrapText="1" indent="1"/>
      <protection hidden="1"/>
    </xf>
    <xf numFmtId="0" fontId="19" fillId="0" borderId="21" xfId="3" applyFont="1" applyBorder="1" applyAlignment="1" applyProtection="1">
      <alignment horizontal="left" vertical="top" wrapText="1" indent="1"/>
      <protection hidden="1"/>
    </xf>
    <xf numFmtId="0" fontId="19" fillId="0" borderId="22" xfId="3" applyFont="1" applyBorder="1" applyAlignment="1" applyProtection="1">
      <alignment horizontal="left" vertical="top" wrapText="1" indent="1"/>
      <protection hidden="1"/>
    </xf>
    <xf numFmtId="0" fontId="19" fillId="0" borderId="23" xfId="3" applyFont="1" applyBorder="1" applyAlignment="1" applyProtection="1">
      <alignment horizontal="left" vertical="top" wrapText="1" indent="1"/>
      <protection hidden="1"/>
    </xf>
    <xf numFmtId="0" fontId="19" fillId="0" borderId="24" xfId="3" applyFont="1" applyBorder="1" applyAlignment="1" applyProtection="1">
      <alignment horizontal="left" vertical="top" wrapText="1" indent="1"/>
      <protection hidden="1"/>
    </xf>
    <xf numFmtId="0" fontId="29" fillId="4" borderId="2" xfId="0" applyFont="1" applyFill="1" applyBorder="1" applyAlignment="1" applyProtection="1">
      <alignment horizontal="left" vertical="center" wrapText="1" indent="1"/>
      <protection hidden="1"/>
    </xf>
    <xf numFmtId="0" fontId="29" fillId="2" borderId="2"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left" vertical="center" wrapText="1"/>
      <protection hidden="1"/>
    </xf>
    <xf numFmtId="0" fontId="14" fillId="2" borderId="0" xfId="0" applyFont="1" applyFill="1" applyBorder="1" applyAlignment="1" applyProtection="1">
      <alignment horizontal="left" vertical="center" wrapText="1"/>
      <protection hidden="1"/>
    </xf>
    <xf numFmtId="0" fontId="21" fillId="4" borderId="0" xfId="0" applyFont="1" applyFill="1" applyBorder="1" applyAlignment="1" applyProtection="1">
      <alignment horizontal="left" vertical="center" wrapText="1"/>
      <protection hidden="1"/>
    </xf>
    <xf numFmtId="0" fontId="21" fillId="2" borderId="0" xfId="0" applyFont="1" applyFill="1" applyBorder="1" applyAlignment="1" applyProtection="1">
      <alignment horizontal="left" vertical="center" wrapText="1"/>
      <protection hidden="1"/>
    </xf>
    <xf numFmtId="0" fontId="11" fillId="4" borderId="0" xfId="0" applyFont="1" applyFill="1" applyBorder="1" applyAlignment="1" applyProtection="1">
      <alignment horizontal="left" vertical="center" wrapText="1" indent="2"/>
      <protection hidden="1"/>
    </xf>
    <xf numFmtId="0" fontId="16" fillId="4" borderId="0" xfId="0" applyFont="1" applyFill="1" applyBorder="1" applyAlignment="1" applyProtection="1">
      <alignment horizontal="left" vertical="center" wrapText="1" indent="1"/>
      <protection hidden="1"/>
    </xf>
    <xf numFmtId="0" fontId="16" fillId="4" borderId="26" xfId="0" applyFont="1" applyFill="1" applyBorder="1" applyAlignment="1" applyProtection="1">
      <alignment horizontal="left" vertical="center" wrapText="1" indent="1"/>
      <protection hidden="1"/>
    </xf>
    <xf numFmtId="0" fontId="18" fillId="4" borderId="0" xfId="0" applyFont="1" applyFill="1" applyBorder="1" applyAlignment="1" applyProtection="1">
      <alignment horizontal="left" vertical="center" wrapText="1"/>
      <protection hidden="1"/>
    </xf>
    <xf numFmtId="0" fontId="18" fillId="2" borderId="0" xfId="0" applyFont="1" applyFill="1" applyBorder="1" applyAlignment="1" applyProtection="1">
      <alignment horizontal="left" vertical="center" wrapText="1"/>
      <protection hidden="1"/>
    </xf>
    <xf numFmtId="0" fontId="18" fillId="2" borderId="7" xfId="0" applyFont="1" applyFill="1" applyBorder="1" applyAlignment="1" applyProtection="1">
      <alignment horizontal="left" vertical="center" wrapText="1"/>
      <protection hidden="1"/>
    </xf>
    <xf numFmtId="0" fontId="11" fillId="2" borderId="3" xfId="0" applyFont="1" applyFill="1" applyBorder="1" applyAlignment="1" applyProtection="1">
      <alignment horizontal="left" vertical="center" wrapText="1"/>
      <protection hidden="1"/>
    </xf>
    <xf numFmtId="0" fontId="12" fillId="4" borderId="7" xfId="0" applyFont="1" applyFill="1" applyBorder="1" applyAlignment="1" applyProtection="1">
      <alignment horizontal="left" vertical="center" wrapText="1"/>
      <protection hidden="1"/>
    </xf>
    <xf numFmtId="0" fontId="12" fillId="2" borderId="7" xfId="0" applyFont="1" applyFill="1" applyBorder="1" applyAlignment="1" applyProtection="1">
      <alignment horizontal="left" vertical="center" wrapText="1"/>
      <protection hidden="1"/>
    </xf>
    <xf numFmtId="0" fontId="12" fillId="2" borderId="8" xfId="0" applyFont="1" applyFill="1" applyBorder="1" applyAlignment="1" applyProtection="1">
      <alignment horizontal="left" vertical="center" wrapText="1"/>
      <protection hidden="1"/>
    </xf>
    <xf numFmtId="0" fontId="28" fillId="4" borderId="4" xfId="0" applyFont="1" applyFill="1" applyBorder="1" applyAlignment="1" applyProtection="1">
      <alignment horizontal="center" wrapText="1"/>
      <protection hidden="1"/>
    </xf>
    <xf numFmtId="0" fontId="28" fillId="2" borderId="0" xfId="0" applyFont="1" applyFill="1" applyBorder="1" applyAlignment="1" applyProtection="1">
      <alignment horizontal="center" wrapText="1"/>
      <protection hidden="1"/>
    </xf>
    <xf numFmtId="0" fontId="11" fillId="2" borderId="5" xfId="0" applyFont="1" applyFill="1" applyBorder="1" applyAlignment="1" applyProtection="1">
      <alignment horizontal="left" vertical="center" wrapText="1"/>
      <protection hidden="1"/>
    </xf>
    <xf numFmtId="0" fontId="26" fillId="4" borderId="4" xfId="0" applyFont="1" applyFill="1" applyBorder="1" applyAlignment="1" applyProtection="1">
      <alignment horizontal="center" vertical="top" wrapText="1"/>
      <protection hidden="1"/>
    </xf>
    <xf numFmtId="0" fontId="26" fillId="2" borderId="0" xfId="0" applyFont="1" applyFill="1" applyBorder="1" applyAlignment="1" applyProtection="1">
      <alignment horizontal="center" vertical="top" wrapText="1"/>
      <protection hidden="1"/>
    </xf>
    <xf numFmtId="0" fontId="26" fillId="2" borderId="4" xfId="0" applyFont="1" applyFill="1" applyBorder="1" applyAlignment="1" applyProtection="1">
      <alignment horizontal="center" vertical="top" wrapText="1"/>
      <protection hidden="1"/>
    </xf>
    <xf numFmtId="0" fontId="17" fillId="4" borderId="2" xfId="0" applyFont="1" applyFill="1" applyBorder="1" applyAlignment="1" applyProtection="1">
      <alignment horizontal="left" wrapText="1"/>
      <protection hidden="1"/>
    </xf>
    <xf numFmtId="0" fontId="17" fillId="2" borderId="2" xfId="0" applyFont="1" applyFill="1" applyBorder="1" applyAlignment="1" applyProtection="1">
      <alignment horizontal="left" wrapText="1"/>
      <protection hidden="1"/>
    </xf>
    <xf numFmtId="0" fontId="11" fillId="4" borderId="4" xfId="0" applyFont="1" applyFill="1" applyBorder="1" applyAlignment="1" applyProtection="1">
      <alignment horizontal="left" vertical="top" wrapText="1" indent="1"/>
      <protection hidden="1"/>
    </xf>
    <xf numFmtId="0" fontId="11" fillId="2" borderId="0" xfId="0" applyFont="1" applyFill="1" applyBorder="1" applyAlignment="1" applyProtection="1">
      <alignment horizontal="left" vertical="top" wrapText="1" indent="1"/>
      <protection hidden="1"/>
    </xf>
    <xf numFmtId="0" fontId="11" fillId="2" borderId="4" xfId="0" applyFont="1" applyFill="1" applyBorder="1" applyAlignment="1" applyProtection="1">
      <alignment horizontal="left" vertical="top" wrapText="1" indent="1"/>
      <protection hidden="1"/>
    </xf>
    <xf numFmtId="0" fontId="16" fillId="4" borderId="4" xfId="0" applyFont="1" applyFill="1" applyBorder="1" applyAlignment="1" applyProtection="1">
      <alignment horizontal="left" vertical="top" wrapText="1" indent="1"/>
      <protection hidden="1"/>
    </xf>
    <xf numFmtId="0" fontId="16" fillId="2" borderId="4" xfId="0" applyFont="1" applyFill="1" applyBorder="1" applyAlignment="1" applyProtection="1">
      <alignment horizontal="left" vertical="top" wrapText="1" indent="1"/>
      <protection hidden="1"/>
    </xf>
    <xf numFmtId="0" fontId="16" fillId="2" borderId="6" xfId="0" applyFont="1" applyFill="1" applyBorder="1" applyAlignment="1" applyProtection="1">
      <alignment horizontal="left" vertical="top" wrapText="1" indent="1"/>
      <protection hidden="1"/>
    </xf>
    <xf numFmtId="0" fontId="16" fillId="4" borderId="0" xfId="0" applyFont="1" applyFill="1" applyBorder="1" applyAlignment="1" applyProtection="1">
      <alignment vertical="top" wrapText="1"/>
      <protection hidden="1"/>
    </xf>
    <xf numFmtId="0" fontId="16" fillId="2" borderId="0" xfId="0" applyFont="1" applyFill="1" applyBorder="1" applyAlignment="1" applyProtection="1">
      <alignment vertical="top" wrapText="1"/>
      <protection hidden="1"/>
    </xf>
    <xf numFmtId="0" fontId="16" fillId="2" borderId="7" xfId="0" applyFont="1" applyFill="1" applyBorder="1" applyAlignment="1" applyProtection="1">
      <alignment vertical="top" wrapText="1"/>
      <protection hidden="1"/>
    </xf>
    <xf numFmtId="0" fontId="16" fillId="4" borderId="0" xfId="0" applyFont="1" applyFill="1" applyBorder="1" applyAlignment="1" applyProtection="1">
      <alignment horizontal="left" vertical="top" wrapText="1" indent="1"/>
      <protection hidden="1"/>
    </xf>
    <xf numFmtId="0" fontId="16" fillId="2" borderId="0" xfId="0" applyFont="1" applyFill="1" applyBorder="1" applyAlignment="1" applyProtection="1">
      <alignment horizontal="left" vertical="top" wrapText="1" indent="1"/>
      <protection hidden="1"/>
    </xf>
    <xf numFmtId="0" fontId="16" fillId="2" borderId="7" xfId="0" applyFont="1" applyFill="1" applyBorder="1" applyAlignment="1" applyProtection="1">
      <alignment horizontal="left" vertical="top" wrapText="1" indent="1"/>
      <protection hidden="1"/>
    </xf>
    <xf numFmtId="0" fontId="18" fillId="4" borderId="0" xfId="0" applyFont="1" applyFill="1" applyBorder="1" applyAlignment="1" applyProtection="1">
      <alignment horizontal="left" vertical="top" wrapText="1" indent="1"/>
      <protection hidden="1"/>
    </xf>
    <xf numFmtId="0" fontId="18" fillId="2" borderId="0" xfId="0" applyFont="1" applyFill="1" applyBorder="1" applyAlignment="1" applyProtection="1">
      <alignment horizontal="left" vertical="top" wrapText="1" indent="1"/>
      <protection hidden="1"/>
    </xf>
    <xf numFmtId="0" fontId="11" fillId="4" borderId="0" xfId="0" applyFont="1" applyFill="1" applyBorder="1" applyAlignment="1" applyProtection="1">
      <alignment horizontal="left" vertical="top" wrapText="1"/>
      <protection hidden="1"/>
    </xf>
    <xf numFmtId="0" fontId="11" fillId="2" borderId="0" xfId="0" applyFont="1" applyFill="1" applyBorder="1" applyAlignment="1" applyProtection="1">
      <alignment horizontal="left" vertical="top" wrapText="1"/>
      <protection hidden="1"/>
    </xf>
    <xf numFmtId="0" fontId="17" fillId="4"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cellXfs>
  <cellStyles count="7">
    <cellStyle name="Drop-down menu" xfId="3" xr:uid="{9A912496-A5B6-4AB7-9E70-7A281664DF24}"/>
    <cellStyle name="Hyperlink" xfId="6" builtinId="8"/>
    <cellStyle name="Normal" xfId="0" builtinId="0"/>
    <cellStyle name="Normal 2 2" xfId="1" xr:uid="{D3CB7531-AC80-44A9-8F0A-9EF96DF6C4DF}"/>
    <cellStyle name="Percent" xfId="2" builtinId="5"/>
    <cellStyle name="Recessed cell" xfId="4" xr:uid="{442E480E-0242-4153-8B88-F0C890411FB0}"/>
    <cellStyle name="Style 1" xfId="5" xr:uid="{A99BF108-B9D9-4E8C-8A74-C66DA5572B0E}"/>
  </cellStyles>
  <dxfs count="247">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numFmt numFmtId="166" formatCode="0.#&quot;%&quot;"/>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numFmt numFmtId="0" formatCode="General"/>
      <protection locked="1" hidden="1"/>
    </dxf>
    <dxf>
      <numFmt numFmtId="2" formatCode="0.00"/>
      <protection locked="1" hidden="1"/>
    </dxf>
    <dxf>
      <protection locked="1" hidden="1"/>
    </dxf>
    <dxf>
      <protection locked="1" hidden="1"/>
    </dxf>
    <dxf>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numFmt numFmtId="0" formatCode="General"/>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164" formatCode="0.0%"/>
      <protection locked="1" hidden="1"/>
    </dxf>
    <dxf>
      <numFmt numFmtId="164" formatCode="0.0%"/>
      <protection locked="1" hidden="1"/>
    </dxf>
    <dxf>
      <numFmt numFmtId="164" formatCode="0.0%"/>
      <protection locked="1" hidden="1"/>
    </dxf>
    <dxf>
      <numFmt numFmtId="0" formatCode="General"/>
      <protection locked="1" hidden="1"/>
    </dxf>
    <dxf>
      <numFmt numFmtId="164" formatCode="0.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font>
        <b val="0"/>
        <i val="0"/>
        <strike val="0"/>
        <condense val="0"/>
        <extend val="0"/>
        <outline val="0"/>
        <shadow val="0"/>
        <u val="none"/>
        <vertAlign val="baseline"/>
        <sz val="11"/>
        <color theme="1"/>
        <name val="Calibri"/>
        <family val="2"/>
        <scheme val="minor"/>
      </font>
      <protection locked="1" hidden="1"/>
    </dxf>
    <dxf>
      <font>
        <b val="0"/>
        <i val="0"/>
        <strike val="0"/>
        <condense val="0"/>
        <extend val="0"/>
        <outline val="0"/>
        <shadow val="0"/>
        <u val="none"/>
        <vertAlign val="baseline"/>
        <sz val="11"/>
        <color theme="1"/>
        <name val="Calibri"/>
        <family val="2"/>
        <scheme val="minor"/>
      </font>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protection locked="1" hidden="1"/>
    </dxf>
    <dxf>
      <protection locked="1" hidden="1"/>
    </dxf>
    <dxf>
      <fill>
        <patternFill patternType="none">
          <fgColor indexed="64"/>
          <bgColor auto="1"/>
        </patternFill>
      </fill>
      <alignment horizontal="general" vertical="bottom" textRotation="0" wrapText="1" indent="0" justifyLastLine="0" shrinkToFit="0" readingOrder="0"/>
      <protection locked="1" hidden="1"/>
    </dxf>
    <dxf>
      <fill>
        <patternFill patternType="none">
          <fgColor indexed="64"/>
          <bgColor auto="1"/>
        </patternFill>
      </fil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46"/>
      <tableStyleElement type="headerRow" dxfId="245"/>
      <tableStyleElement type="totalRow" dxfId="244"/>
      <tableStyleElement type="firstColumn" dxfId="243"/>
      <tableStyleElement type="lastColumn" dxfId="242"/>
      <tableStyleElement type="firstRowStripe" dxfId="241"/>
      <tableStyleElement type="firstColumnStripe" dxfId="240"/>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Non-doers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Doers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Behaviour score</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 of responses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Non-doers</c:v>
                </c:pt>
              </c:strCache>
            </c:strRef>
          </c:tx>
          <c:spPr>
            <a:solidFill>
              <a:schemeClr val="accent1"/>
            </a:solidFill>
            <a:ln>
              <a:noFill/>
            </a:ln>
            <a:effectLst/>
          </c:spPr>
          <c:invertIfNegative val="0"/>
          <c:val>
            <c:numRef>
              <c:f>'Cutoff - Seuil'!$K$26</c:f>
              <c:numCache>
                <c:formatCode>0.0%</c:formatCode>
                <c:ptCount val="1"/>
                <c:pt idx="0">
                  <c:v>0</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Doers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0</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Difference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0</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of responses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strRef>
              <c:f>[0]!chartFactorRange2</c:f>
            </c:strRef>
          </c:cat>
          <c:val>
            <c:numRef>
              <c:f>[0]!chartNondoersRange2</c:f>
              <c:numCache>
                <c:formatCode>0.0%</c:formatCode>
                <c:ptCount val="1"/>
                <c:pt idx="0">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strRef>
              <c:f>[0]!chartFactorRange2</c:f>
            </c:strRef>
          </c:cat>
          <c:val>
            <c:numRef>
              <c:f>[0]!chartDoersRange2</c:f>
              <c:numCache>
                <c:formatCode>0.0%</c:formatCode>
                <c:ptCount val="1"/>
                <c:pt idx="0">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strRef>
              <c:f>[0]!chartFactorRange2</c:f>
            </c:strRef>
          </c:cat>
          <c:val>
            <c:numRef>
              <c:f>[0]!chartDifferenceRange2</c:f>
              <c:numCache>
                <c:formatCode>0.0%</c:formatCode>
                <c:ptCount val="1"/>
                <c:pt idx="0">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strRef>
              <c:f>[0]!chartFactorRange1</c:f>
            </c:strRef>
          </c:cat>
          <c:val>
            <c:numRef>
              <c:f>[0]!chartNondoersRange1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strRef>
              <c:f>[0]!chartFactorRange1</c:f>
            </c:strRef>
          </c:cat>
          <c:val>
            <c:numRef>
              <c:f>[0]!chartDoersRange1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strRef>
              <c:f>[0]!chartFactorRange1</c:f>
            </c:strRef>
          </c:cat>
          <c:val>
            <c:numRef>
              <c:f>[0]!chartDifferenceRange1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369823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36982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 There are also (for the time being) two versions for each of those copies: an "Excel 365" version (only compatible with recent versions of Excel) and a "Legacy" version (compatible with older versions of Excel).</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variable in the "MANUAL-ENTRY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 if only producing "Excel 365" versions. Make </a:t>
          </a:r>
          <a:r>
            <a:rPr lang="en-GB" sz="1100" b="1" u="sng" baseline="0">
              <a:solidFill>
                <a:schemeClr val="dk1"/>
              </a:solidFill>
              <a:effectLst/>
              <a:latin typeface="+mn-lt"/>
              <a:ea typeface="+mn-ea"/>
              <a:cs typeface="+mn-cs"/>
            </a:rPr>
            <a:t>3</a:t>
          </a:r>
          <a:r>
            <a:rPr lang="en-GB" sz="1100" b="0" u="none" baseline="0">
              <a:solidFill>
                <a:schemeClr val="dk1"/>
              </a:solidFill>
              <a:effectLst/>
              <a:latin typeface="+mn-lt"/>
              <a:ea typeface="+mn-ea"/>
              <a:cs typeface="+mn-cs"/>
            </a:rPr>
            <a:t> copies if also producing "Legacy" versions from the same file.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"MANUAL-ENTRY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 Do the same with the third copy if also producing a "Legacy" version (and rename it with "(Legacy)").</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baseline="0">
              <a:solidFill>
                <a:schemeClr val="dk1"/>
              </a:solidFill>
              <a:effectLst/>
              <a:latin typeface="+mn-lt"/>
              <a:ea typeface="+mn-ea"/>
              <a:cs typeface="+mn-cs"/>
            </a:rPr>
            <a:t>If producing a "Legacy" version, replace all formulae that need it with their "Legacy" versions (in-sheet, Named Manager, CF and DV rules). Also </a:t>
          </a:r>
          <a:r>
            <a:rPr lang="en-GB" sz="1100" b="1" u="sng" baseline="0">
              <a:solidFill>
                <a:schemeClr val="dk1"/>
              </a:solidFill>
              <a:effectLst/>
              <a:latin typeface="+mn-lt"/>
              <a:ea typeface="+mn-ea"/>
              <a:cs typeface="+mn-cs"/>
            </a:rPr>
            <a:t>delete non-legacy objects from the Name Manager</a:t>
          </a:r>
          <a:r>
            <a:rPr lang="en-GB" sz="1100" b="0" baseline="0">
              <a:solidFill>
                <a:schemeClr val="dk1"/>
              </a:solidFill>
              <a:effectLst/>
              <a:latin typeface="+mn-lt"/>
              <a:ea typeface="+mn-ea"/>
              <a:cs typeface="+mn-cs"/>
            </a:rPr>
            <a:t> (user-defined functions using LAMBDA(), LET()), so that they don't generate warnings or errors in older Excel versions. In "Introduction" and "Configuration", replace "(Excel 365 version)" with "(Legacy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language-specific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of "chartTranslationTable" AFTER the thin black border (i.e., "tag" to "displayedText").</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Again, 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"dataCopy",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"dataCopy",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kumimoji="0" lang="en-GB" sz="1100" b="0" i="0" u="none" strike="noStrike" kern="0" cap="none" spc="0" normalizeH="0" baseline="0" noProof="0">
              <a:ln>
                <a:noFill/>
              </a:ln>
              <a:solidFill>
                <a:prstClr val="black"/>
              </a:solidFill>
              <a:effectLst/>
              <a:uLnTx/>
              <a:uFillTx/>
              <a:latin typeface="+mn-lt"/>
              <a:ea typeface="+mn-ea"/>
              <a:cs typeface="+mn-cs"/>
            </a:rPr>
            <a:t>Hide </a:t>
          </a:r>
          <a:r>
            <a:rPr lang="en-GB" sz="1100" baseline="0">
              <a:solidFill>
                <a:schemeClr val="dk1"/>
              </a:solidFill>
              <a:effectLst/>
              <a:latin typeface="+mn-lt"/>
              <a:ea typeface="+mn-ea"/>
              <a:cs typeface="+mn-cs"/>
            </a:rPr>
            <a:t>"dataCopy" and </a:t>
          </a:r>
          <a:r>
            <a:rPr kumimoji="0" lang="en-GB" sz="1100" b="0" i="0" u="none" strike="noStrike" kern="0" cap="none" spc="0" normalizeH="0" baseline="0" noProof="0">
              <a:ln>
                <a:noFill/>
              </a:ln>
              <a:solidFill>
                <a:prstClr val="black"/>
              </a:solidFill>
              <a:effectLst/>
              <a:uLnTx/>
              <a:uFillTx/>
              <a:latin typeface="+mn-lt"/>
              <a:ea typeface="+mn-ea"/>
              <a:cs typeface="+mn-cs"/>
            </a:rPr>
            <a:t>"HiddenTables" as "very hidden" via the VBA Editor: Alt+F11 (open VBA Editor) &gt; F4 (open Properties window) &gt; set the "Visible" property for these sheets to "2 - xlSheetVeryHidden". Since the workbook cannot be protected (see note below), this will at least make it more difficult to unhide these sheets, because they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sheets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6330" y="4085168"/>
          <a:ext cx="14527920" cy="836082"/>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853440</xdr:colOff>
      <xdr:row>20</xdr:row>
      <xdr:rowOff>365397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68261" y="84201"/>
          <a:ext cx="3468072" cy="402632"/>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5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245918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51742" y="89353"/>
          <a:ext cx="3463903" cy="397595"/>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2049" y="92601"/>
          <a:ext cx="3469618" cy="394232"/>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CM2:DV32" totalsRowShown="0" headerRowDxfId="239" dataDxfId="238">
  <autoFilter ref="CM2:DV32" xr:uid="{7CF5A421-5823-4B73-B189-B78612F8E60D}"/>
  <tableColumns count="36">
    <tableColumn id="1" xr3:uid="{82BC3950-7955-42C1-A626-044D10F72A7B}" name="index" dataDxfId="237">
      <calculatedColumnFormula array="1">ROW()-ROW(factorsTable[#Headers])</calculatedColumnFormula>
    </tableColumn>
    <tableColumn id="5" xr3:uid="{C334C763-0B79-40C4-8C84-35FFF71B9899}" name="factorHeader" dataDxfId="236">
      <calculatedColumnFormula array="1">KeepBlanksFunction(
    _xlfn.XLOOKUP(
      factorsTable[[#This Row],[index]],
      factorsConfigTable[index],
      factorsConfigTable[factorHeader],#REF!,
      0
    )
  )</calculatedColumnFormula>
    </tableColumn>
    <tableColumn id="9" xr3:uid="{5ADEB75C-70DD-4D3C-98E8-BB21F0C4BA10}" name="factorColNum" dataDxfId="235">
      <calculatedColumnFormula>IF(
    factorsTable[[#This Row],[factorHeader]] = "",
    "",
    _xlfn.IFNA(
      MATCH(factorsTable[[#This Row],[factorHeader]], dataHeaders, 0),
      _xlfn.IFNA(
        MATCH("*/" &amp; factorsTable[[#This Row],[factorHeader]], dataHeaders, 0),
        MATCH("*-" &amp; factorsTable[[#This Row],[factorHeader]], dataHeaders, 0)
      )
    )
  )</calculatedColumnFormula>
    </tableColumn>
    <tableColumn id="14" xr3:uid="{0A11D2CC-E16D-4DBE-8A92-2C4B94AA5636}" name="minScore" dataDxfId="234">
      <calculatedColumnFormula>IF(
    factorsTable[[#This Row],[factorHeader]] = "",
    "",
    _xlfn.LET(
      _xlpm.tableValue,
      _xlfn.XLOOKUP(
        factorsTable[[#This Row],[index]],
        factorsConfigTable[index],
        factorsConfigTable[minScore],#REF!,
        0
      ),
      _xlpm.storedValue,
      IF(
        _xlpm.tableValue = "",
        NA(),
        _xlpm.tableValue
      ),
      _xlpm.storedValue
    )
  )</calculatedColumnFormula>
    </tableColumn>
    <tableColumn id="15" xr3:uid="{568168DD-7F72-4643-9852-A444F53C3FE3}" name="maxScore" dataDxfId="233">
      <calculatedColumnFormula>IF(
    factorsTable[[#This Row],[factorHeader]] = "",
    "",
    _xlfn.LET(
      _xlpm.tableValue,
      _xlfn.XLOOKUP(
        factorsTable[[#This Row],[index]],
        factorsConfigTable[index],
        factorsConfigTable[maxScore],#REF!,
        0
      ),
      _xlpm.storedValue,
      IF(
        _xlpm.tableValue = "",
        NA(),
        _xlpm.tableValue
      ),
      _xlpm.storedValue
    )
  )</calculatedColumnFormula>
    </tableColumn>
    <tableColumn id="3" xr3:uid="{9299B28D-2017-439E-8B00-00DCA6FE13E9}" name="minValue" dataDxfId="232">
      <calculatedColumnFormula>IF(
    factorsTable[[#This Row],[factorHeader]] = "",
    "",
    IF(
      ISERROR(factorsTable[[#This Row],[factorColNum]]),
      NA(),
      IF(
        ISNA(INDEX(dataRange,1,1)),
        NA(),
        MIN(INDEX(dataRange, , factorsTable[[#This Row],[factorColNum]]))
      )
    )
  )</calculatedColumnFormula>
    </tableColumn>
    <tableColumn id="8" xr3:uid="{87D4DA42-E1CB-4BAA-AD75-046EE9E49A5E}" name="maxValue" dataDxfId="231">
      <calculatedColumnFormula>IF(
    factorsTable[[#This Row],[factorHeader]] = "",
    "",
    IF(
      ISERROR(factorsTable[[#This Row],[factorColNum]]),
      NA(),
      IF(
        ISNA(INDEX(dataRange,1,1)),
        NA(),
        MAX(INDEX(dataRange, , factorsTable[[#This Row],[factorColNum]]))
      )
    )
  )</calculatedColumnFormula>
    </tableColumn>
    <tableColumn id="16" xr3:uid="{26229385-59A4-45ED-BD26-502C90A4D6A0}" name="minOutOfRange" dataDxfId="230">
      <calculatedColumnFormula array="1">AND(
    NOT(errorNoDataSheet),
    factorsTable[[#This Row],[factorHeader]] &lt;&gt; "",
    NOT(ISERROR(factorsTable[[#This Row],[factorColNum]])),
    IFERROR(factorsTable[[#This Row],[display]], FALSE),
    IFERROR(factorsTable[[#This Row],[minValue]] &lt; factorsTable[[#This Row],[minScore]], FALSE)
  )</calculatedColumnFormula>
    </tableColumn>
    <tableColumn id="17" xr3:uid="{D02B2224-E8C8-4264-9E03-631D8856935E}" name="maxOutOfRange" dataDxfId="229">
      <calculatedColumnFormula array="1">AND(
    NOT(errorNoDataSheet),
    factorsTable[[#This Row],[factorHeader]] &lt;&gt; "",
    NOT(ISERROR(factorsTable[[#This Row],[factorColNum]])),
    IFERROR(factorsTable[[#This Row],[display]], FALSE),
    IFERROR(factorsTable[[#This Row],[maxValue]] &gt; factorsTable[[#This Row],[maxScore]], FALSE)
  )</calculatedColumnFormula>
    </tableColumn>
    <tableColumn id="10" xr3:uid="{7034CAAD-F9E3-4C5E-BFBC-10F69E82E55E}" name="numNondoers" dataDxfId="228">
      <calculatedColumnFormula array="1">IF(
    factorsTable[[#This Row],[factorHeader]] = "",
    "",
    IF(
      ISNA(INDEX(dataRange,1,1)),
      NA(),
      SUMPRODUCT(
          IF(isDoer = "", 0, NOT(isDoer))
        * (INDEX(dataRange, , factorsTable[[#This Row],[factorColNum]]) &lt;&gt; "")
      )
    )
  )</calculatedColumnFormula>
    </tableColumn>
    <tableColumn id="11" xr3:uid="{0B3445FB-3943-446B-84EF-E6F032B77EBC}" name="numDoers" dataDxfId="227">
      <calculatedColumnFormula array="1">IF(
    factorsTable[[#This Row],[factorHeader]] = "",
    "",
    IF(
      ISNA(INDEX(dataRange,1,1)),
      NA(),
      SUMPRODUCT(
          IF(isDoer = "", 0, isDoer)
        * (INDEX(dataRange, , factorsTable[[#This Row],[factorColNum]]) &lt;&gt; "")
      )
    )
  )</calculatedColumnFormula>
    </tableColumn>
    <tableColumn id="12" xr3:uid="{6194FB4A-EAE1-4EB2-91CC-BAEB08C55F79}" name="numTotal" dataDxfId="226">
      <calculatedColumnFormula array="1">IF(
    factorsTable[[#This Row],[factorHeader]] = "",
    "",
    IF(
      ISERROR(factorsTable[[#This Row],[factorColNum]]),
      UITranslateForValueTable("dataNotFound", UITranslationTable[tag], UITranslationTable[], UITranslationTable[#Headers]),
      factorsTable[[#This Row],[numDoers]] + factorsTable[[#This Row],[numNondoers]]
    )
  )</calculatedColumnFormula>
    </tableColumn>
    <tableColumn id="6" xr3:uid="{DC2441ED-25F7-4797-922A-27071D9A5F9B}" name="nondoers" dataDxfId="225">
      <calculatedColumnFormula array="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calculatedColumnFormula>
    </tableColumn>
    <tableColumn id="7" xr3:uid="{90E25F9A-68D3-4200-94FB-54A4734CD141}" name="doers" dataDxfId="224">
      <calculatedColumnFormula array="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calculatedColumnFormula>
    </tableColumn>
    <tableColumn id="4" xr3:uid="{23018A48-D49F-4352-A661-90DE45924ACF}" name="difference" dataDxfId="223">
      <calculatedColumnFormula>IF(
    factorsTable[[#This Row],[factorHeader]] = "",
    "",
    factorsTable[[#This Row],[doers]] - factorsTable[[#This Row],[nondoers]]
  )</calculatedColumnFormula>
    </tableColumn>
    <tableColumn id="2" xr3:uid="{00438B83-C38E-4558-A35F-4C6C6283246C}" name="displayConfig" dataDxfId="222">
      <calculatedColumnFormula>IF(
    factorsTable[[#This Row],[factorHeader]] = "",
    "",
    _xlfn.XLOOKUP(
      _xlfn.XLOOKUP(
        factorsTable[[#This Row],[index]],
        factorsConfigTable[index],
        factorsConfigTable[displayConfig],#REF!,
        0
      ),
      yesNoTable[label],
      yesNoTable[tag],
      "",
      0
    )
  )</calculatedColumnFormula>
    </tableColumn>
    <tableColumn id="18" xr3:uid="{18B128E5-4F26-4C09-85B4-EBFFB7C9392D}" name="display" dataDxfId="221">
      <calculatedColumnFormula>IF(
    factorsTable[[#This Row],[factorHeader]] = "",
    FALSE,
    IF(
      factorsTable[[#This Row],[displayConfig]] = "yes",
      TRUE,
      IF(
        factorsTable[[#This Row],[displayConfig]] = "no",
        FALSE,
        NA()
      )
    )
  )</calculatedColumnFormula>
    </tableColumn>
    <tableColumn id="19" xr3:uid="{BD9024DC-7C2F-475B-ACC4-8A5034D36271}" name="filteredIndex" dataDxfId="220">
      <calculatedColumnFormula array="1">FilterTrueColumn(factorsTable[[#This Row],[index]], factorsTable[index], factorsTable[filteredIndex], factorsTable[display])</calculatedColumnFormula>
    </tableColumn>
    <tableColumn id="35" xr3:uid="{52AD6342-D0B2-4EC7-9A4D-DB12CB75927D}" name="relDiff" dataDxfId="219">
      <calculatedColumnFormula>IF(
    factorsTable[[#This Row],[filteredIndex]] = "",
    "",
    _xlfn.IFNA(
      _xlfn.XLOOKUP(factorsTable[[#This Row],[filteredIndex]], factorsTable[index], factorsTable[difference]),
      -99
    )
  )</calculatedColumnFormula>
    </tableColumn>
    <tableColumn id="36" xr3:uid="{FF853AE2-5312-4BF5-B35B-1F9A2FB0ACA9}" name="absDiff" dataDxfId="218">
      <calculatedColumnFormula>IF(
    factorsTable[[#This Row],[filteredIndex]] = "",
    "",
    IF(
      factorsTable[[#This Row],[relDiff]] = -99,
      -99,
      ABS(factorsTable[[#This Row],[relDiff]])
    )
  )</calculatedColumnFormula>
    </tableColumn>
    <tableColumn id="37" xr3:uid="{08369B9A-20E9-432E-B1A7-396C8F770DC9}" name="RANASIndex" dataDxfId="217">
      <calculatedColumnFormula>IF(
    factorsTable[[#This Row],[filteredIndex]] = "",
    "",
    _xlfn.XLOOKUP(
      _xlfn.XLOOKUP(
        factorsTable[[#This Row],[filteredIndex]],
        factorsConfigTable[index],
        factorsConfigTable[RANASBlock],#REF!,
        0
      ),
      RANASBlocksTable[label],
      RANASBlocksTable[index],
      6,
      0
    )
  )</calculatedColumnFormula>
    </tableColumn>
    <tableColumn id="32" xr3:uid="{9E341CD6-683C-4366-ADB6-E5F93DBA0AE1}" name="relDiffRank" dataDxfId="216">
      <calculatedColumnFormula>IF(
    factorsTable[[#This Row],[filteredIndex]] = "",
    "",
    _xlfn.RANK.EQ(factorsTable[[#This Row],[relDiff]], factorsTable[relDiff], 0)
  )</calculatedColumnFormula>
    </tableColumn>
    <tableColumn id="31" xr3:uid="{0A5FAB1A-9422-407E-A938-D6D06FD3CD9F}" name="absDiffRank" dataDxfId="215">
      <calculatedColumnFormula>IF(
    factorsTable[[#This Row],[filteredIndex]] = "",
    "",
    _xlfn.RANK.EQ(factorsTable[[#This Row],[absDiff]], factorsTable[absDiff], 0)
  )</calculatedColumnFormula>
    </tableColumn>
    <tableColumn id="30" xr3:uid="{0DF5B1D8-1506-4D45-A9CD-5979C5718C18}" name="RANASRank" dataDxfId="214">
      <calculatedColumnFormula>IF(
    factorsTable[[#This Row],[filteredIndex]] = "",
    "",
    _xlfn.RANK.EQ(factorsTable[[#This Row],[RANASIndex]], factorsTable[RANASIndex], 1)
  )</calculatedColumnFormula>
    </tableColumn>
    <tableColumn id="38" xr3:uid="{13B86249-923F-4137-AB9E-07CD3E7F3FB7}" name="selectedRank" dataDxfId="213">
      <calculatedColumnFormula array="1">_xlfn.SWITCH(
    sortingMethodTag,
    "none", factorsTable[[#This Row],[filteredIndex]],
    "relDiff", factorsTable[[#This Row],[relDiffRank]],
    "absDiff", factorsTable[[#This Row],[absDiffRank]],
    "RANAS", factorsTable[[#This Row],[RANASRank]],
    factorsTable[[#This Row],[filteredIndex]]
  )</calculatedColumnFormula>
    </tableColumn>
    <tableColumn id="23" xr3:uid="{62BD2B63-0DCC-426B-A21E-D5A0544A9635}" name="uniqueRank" dataDxfId="212">
      <calculatedColumnFormula>IF(
    factorsTable[[#This Row],[filteredIndex]] = "",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211">
      <calculatedColumnFormula>IF(
    factorsTable[[#This Row],[filteredIndex]] = "",
    "",
    _xlfn.XLOOKUP(
      factorsTable[[#This Row],[index]],
      factorsTable[uniqueRank],
      factorsTable[filteredIndex],#REF!,
      0
    )
  )</calculatedColumnFormula>
    </tableColumn>
    <tableColumn id="21" xr3:uid="{EB7CE240-3840-4014-92DF-AF38D361033C}" name="langSpecFactor" dataDxfId="210">
      <calculatedColumnFormula array="1">IF(
    factorsTable[[#This Row],[sortedIndex]] = "",
    "",
    KeepBlanksFunction(
      _xlfn.XLOOKUP(
        factorsTable[[#This Row],[sortedIndex]],
        factorsConfigTable[index],
        INDEX(
          factorsConfigTable[],
          0,
          MATCH(
            chartLanguage,
            languageHeadersList,
            0
          )
          + MATCH(factorsConfigTable[[#Headers],[lang1]], factorsConfigTable[#Headers], 0)
          - 1
        ),#REF!,
        0
      )
    )
  )</calculatedColumnFormula>
    </tableColumn>
    <tableColumn id="22" xr3:uid="{3817E727-BEC8-4531-9AB7-D3DCA6BCC3BB}" name="displayedFactor" dataDxfId="209">
      <calculatedColumnFormula array="1">IF(
    factorsTable[[#This Row],[sortedIndex]] = "",
    "",
    IF(
      factorsTable[[#This Row],[langSpecFactor]] = "",
      UITranslateForValueTable("noTranslation", UITranslationTable[tag], UITranslationTable[], UITranslationTable[#Headers]),
      factorsTable[[#This Row],[langSpecFactor]]
    )
  )</calculatedColumnFormula>
    </tableColumn>
    <tableColumn id="34" xr3:uid="{904AAD75-D400-45A7-AB40-8F2F7CDF85C6}" name="RANASTag" dataDxfId="208">
      <calculatedColumnFormula>IF(
    factorsTable[[#This Row],[sortedIndex]] = "",
    "",
    _xlfn.XLOOKUP(
      _xlfn.XLOOKUP(
        factorsTable[[#This Row],[sortedIndex]],
        factorsConfigTable[index],
        factorsConfigTable[RANASBlock],#REF!,
        0
      ),
      RANASBlocksTable[label],
      RANASBlocksTable[tag],
      NA(),
      0
    )
  )</calculatedColumnFormula>
    </tableColumn>
    <tableColumn id="28" xr3:uid="{1B3A54FC-B133-42B0-8449-81B8DC66E8A9}" name="displayedRANASBlock" dataDxfId="207">
      <calculatedColumnFormula array="1">IF(
    factorsTable[[#This Row],[sortedIndex]] = "",
    "",
    _xlfn.IFNA(
      _xlfn.XLOOKUP(factorsTable[[#This Row],[RANASTag]], RANASBlocksTable[tag], RANASBlocksTable[langSpecLabel]),
      UITranslateForValueTable("noRANASBlock", UITranslationTable[tag], UITranslationTable[], UITranslationTable[#Headers])
    )
  )</calculatedColumnFormula>
    </tableColumn>
    <tableColumn id="24" xr3:uid="{0010B1FE-6B67-4704-88F3-8EB8057E0527}" name="chartLabel" dataDxfId="206">
      <calculatedColumnFormula>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calculatedColumnFormula>
    </tableColumn>
    <tableColumn id="25" xr3:uid="{0EC9F653-6B28-495B-B4E3-C653DA8D708C}" name="sortedNumTotal" dataDxfId="205">
      <calculatedColumnFormula>IF(
    factorsTable[[#This Row],[sortedIndex]] = "",
    "",
    _xlfn.XLOOKUP(factorsTable[[#This Row],[sortedIndex]], factorsTable[index], factorsTable[numTotal])
  )</calculatedColumnFormula>
    </tableColumn>
    <tableColumn id="29" xr3:uid="{C63C1D5F-847C-4F2F-A655-A9404A302B5C}" name="sortedNondoers" dataDxfId="204">
      <calculatedColumnFormula>IF(
    factorsTable[[#This Row],[sortedIndex]] = "",
    "",
    _xlfn.XLOOKUP(factorsTable[[#This Row],[sortedIndex]], factorsTable[index], factorsTable[nondoers])
  )</calculatedColumnFormula>
    </tableColumn>
    <tableColumn id="26" xr3:uid="{B3313D7F-936C-428E-A332-C62ACFDCFDB4}" name="sortedDoers" dataDxfId="203">
      <calculatedColumnFormula>IF(
    factorsTable[[#This Row],[sortedIndex]] = "",
    "",
    _xlfn.XLOOKUP(factorsTable[[#This Row],[sortedIndex]], factorsTable[index], factorsTable[doers])
  )</calculatedColumnFormula>
    </tableColumn>
    <tableColumn id="27" xr3:uid="{2E011E21-7BBF-4AA7-8219-246E6ABE2ECA}" name="sortedDifference" dataDxfId="202">
      <calculatedColumnFormula>IF(
    factorsTable[[#This Row],[sortedIndex]] = "",
    "",
    _xlfn.XLOOKUP(factorsTable[[#This Row],[sortedIndex]], factorsTable[index], factorsTable[difference])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headerRowDxfId="201" dataDxfId="200">
  <autoFilter ref="E2:H93" xr:uid="{E1A987BA-385B-43CF-8D75-8A20E76AD886}"/>
  <tableColumns count="4">
    <tableColumn id="3" xr3:uid="{17CAD664-B418-4D78-BD59-D4B5737AD7EE}" name="index" dataDxfId="199">
      <calculatedColumnFormula array="1">ROW()-ROW(UITranslationTable[#Headers])</calculatedColumnFormula>
    </tableColumn>
    <tableColumn id="4" xr3:uid="{03C503E5-E9D8-4551-A8B5-9FDA56521045}" name="tag" dataDxfId="198"/>
    <tableColumn id="1" xr3:uid="{ECDE7AEB-F368-44E7-BFCF-A5753FD7A477}" name="English" dataDxfId="197"/>
    <tableColumn id="2" xr3:uid="{946F114A-2EA8-47CB-BD50-78D857845A99}" name="Français" dataDxfId="196"/>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manualEntryVariablesTable" displayName="manualEntryVariablesTable" ref="S2:U9" totalsRowShown="0" headerRowDxfId="195" dataDxfId="194">
  <autoFilter ref="S2:U9" xr:uid="{14C4E278-58A9-4D09-BB20-6D25AF029CB5}"/>
  <tableColumns count="3">
    <tableColumn id="1" xr3:uid="{912A0017-B2A0-4A04-8A68-66A7A1E432D1}" name="index" dataDxfId="193">
      <calculatedColumnFormula array="1">ROW()-ROW(manualEntryVariablesTable[#Headers])</calculatedColumnFormula>
    </tableColumn>
    <tableColumn id="2" xr3:uid="{52453FB5-F9AE-4E53-B527-C38E684511CB}" name="name" dataDxfId="192"/>
    <tableColumn id="3" xr3:uid="{029DACD9-A350-4330-B274-0DE49C3615C4}" name="value" dataDxfId="191"/>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Y2:BK7" totalsRowShown="0" headerRowDxfId="190" dataDxfId="189">
  <autoFilter ref="AY2:BK7" xr:uid="{5FDE5A4B-2319-4FD1-AC15-9BE5A872EDDF}"/>
  <tableColumns count="13">
    <tableColumn id="1" xr3:uid="{DA0F2668-A103-4359-B616-FFC277054B9F}" name="index" dataDxfId="188">
      <calculatedColumnFormula array="1">ROW()-ROW(behaviourTable[#Headers])</calculatedColumnFormula>
    </tableColumn>
    <tableColumn id="3" xr3:uid="{49F46BD0-801C-4055-8591-0CFDACBD2D40}" name="behaviourHeader" dataDxfId="187">
      <calculatedColumnFormula array="1">KeepBlanksFunction(
    _xlfn.XLOOKUP(
      behaviourTable[[#This Row],[index]],
      behaviourConfigTable[index],
      behaviourConfigTable[behaviourHeader],#REF!,
      0
    )
  )</calculatedColumnFormula>
    </tableColumn>
    <tableColumn id="11" xr3:uid="{4860B4A1-8BF8-4F96-B9BF-FD4AF26F2F9A}" name="includeConfig" dataDxfId="186">
      <calculatedColumnFormula>IF(
    behaviourTable[[#This Row],[behaviourHeader]] = "",
    "",
    _xlfn.XLOOKUP(
      _xlfn.XLOOKUP(
        behaviourTable[[#This Row],[index]],
        behaviourConfigTable[index],
        behaviourConfigTable[includeConfig],#REF!,
        0
      ),
      yesNoTable[label],
      yesNoTable[tag],
      "",
      0
    )
  )</calculatedColumnFormula>
    </tableColumn>
    <tableColumn id="7" xr3:uid="{903BBE01-8B4D-4C5F-BDDD-C592210169B0}" name="include" dataDxfId="185">
      <calculatedColumnFormula>IF(
    behaviourTable[[#This Row],[behaviourHeader]] = "",
    FALSE,
    IF(
      behaviourTable[[#This Row],[includeConfig]] = "yes",
      TRUE,
      IF(
        behaviourTable[[#This Row],[includeConfig]] = "no",
        FALSE,
        NA()
      )
    )
  )</calculatedColumnFormula>
    </tableColumn>
    <tableColumn id="4" xr3:uid="{9878937E-978B-416D-B361-0E258C1B1556}" name="behaviourColNum" dataDxfId="184">
      <calculatedColumnFormula>IF(
    behaviourTable[[#This Row],[behaviourHeader]] = "",
    "",
    _xlfn.IFNA(
      MATCH(behaviourTable[[#This Row],[behaviourHeader]], dataHeaders, 0),
      _xlfn.IFNA(
        MATCH("*/" &amp; behaviourTable[[#This Row],[behaviourHeader]], dataHeaders, 0),
        MATCH("*-" &amp; behaviourTable[[#This Row],[behaviourHeader]], dataHeaders, 0)
      )
    )
  )</calculatedColumnFormula>
    </tableColumn>
    <tableColumn id="9" xr3:uid="{1696FAA8-5ACD-4FF4-A9A6-119C8FA14B41}" name="minScore" dataDxfId="183">
      <calculatedColumnFormula>IF(
    behaviourTable[[#This Row],[behaviourHeader]] = "",
    "",
    _xlfn.LET(
      _xlpm.tableValue,
      _xlfn.XLOOKUP(
        behaviourTable[[#This Row],[index]],
        behaviourConfigTable[index],
        behaviourConfigTable[minScore],#REF!,
        0
      ),
      _xlpm.storedValue,
      IF(
        _xlpm.tableValue = "",
        NA(),
        _xlpm.tableValue
      ),
      _xlpm.storedValue
    )
  )</calculatedColumnFormula>
    </tableColumn>
    <tableColumn id="10" xr3:uid="{478B80A2-9BB7-4CEE-973B-907ABC66097C}" name="maxScore" dataDxfId="182">
      <calculatedColumnFormula>IF(
    behaviourTable[[#This Row],[behaviourHeader]] = "",
    "",
    _xlfn.LET(
      _xlpm.tableValue,
      _xlfn.XLOOKUP(
        behaviourTable[[#This Row],[index]],
        behaviourConfigTable[index],
        behaviourConfigTable[maxScore],#REF!,
        0
      ),
      _xlpm.storedValue,
      IF(
        _xlpm.tableValue = "",
        NA(),
        _xlpm.tableValue
      ),
      _xlpm.storedValue
    )
  )</calculatedColumnFormula>
    </tableColumn>
    <tableColumn id="2" xr3:uid="{2442D8FE-2472-42CF-B04F-67F3F6C3F2EC}" name="minValue" dataDxfId="181">
      <calculatedColumnFormula>IF(
    behaviourTable[[#This Row],[behaviourHeader]] = "",
    "",
    MIN(behaviourDataForIndex(behaviourTable[[#This Row],[index]]))
  )</calculatedColumnFormula>
    </tableColumn>
    <tableColumn id="12" xr3:uid="{E08D2F4D-5983-4350-9C20-AF28D7B6127E}" name="maxValue" dataDxfId="180">
      <calculatedColumnFormula>IF(
    behaviourTable[[#This Row],[behaviourHeader]] = "",
    "",
    MAX(behaviourDataForIndex(behaviourTable[[#This Row],[index]]))
  )</calculatedColumnFormula>
    </tableColumn>
    <tableColumn id="13" xr3:uid="{911173CE-D06E-4A78-BDC9-715BBB20BECA}" name="minOutOfRange" dataDxfId="179">
      <calculatedColumnFormula array="1">AND(
    NOT(errorNoDataSheet),
    behaviourTable[[#This Row],[behaviourHeader]] &lt;&gt; "",
    NOT(ISERROR(behaviourTable[[#This Row],[behaviourColNum]])),
    IFERROR(behaviourTable[[#This Row],[include]], FALSE),
    IFERROR(behaviourTable[[#This Row],[minValue]] &lt; behaviourTable[[#This Row],[minScore]], FALSE)
  )</calculatedColumnFormula>
    </tableColumn>
    <tableColumn id="14" xr3:uid="{E1E7F99A-51A0-4D5A-ADED-F100F7E230FC}" name="maxOutOfRange" dataDxfId="178">
      <calculatedColumnFormula array="1">AND(
    NOT(errorNoDataSheet),
    behaviourTable[[#This Row],[behaviourHeader]] &lt;&gt; "",
    NOT(ISERROR(behaviourTable[[#This Row],[behaviourColNum]])),
    IFERROR(behaviourTable[[#This Row],[include]], FALSE),
    IFERROR(behaviourTable[[#This Row],[maxValue]] &gt; behaviourTable[[#This Row],[maxScore]], FALSE)
  )</calculatedColumnFormula>
    </tableColumn>
    <tableColumn id="5" xr3:uid="{A4F0FFD7-4D9A-4925-8656-F33ED8C27B89}" name="numResponses" dataDxfId="177">
      <calculatedColumnFormula array="1">IF(
    behaviourTable[[#This Row],[behaviourHeader]] = "",
    "",
    IF(
      ISERROR(behaviourTable[[#This Row],[behaviourColNum]]),
      UITranslateForValueTable("dataNotFound", UITranslationTable[tag], UITranslationTable[], UITranslationTable[#Headers]),
      SUMPRODUCT(--(behaviourDataForIndex(behaviourTable[[#This Row],[index]]) &lt;&gt; ""))
    )
  )</calculatedColumnFormula>
    </tableColumn>
    <tableColumn id="6" xr3:uid="{4707CFD5-D28C-4733-A0AE-D9614A3D98E6}" name="numBlanks" dataDxfId="176">
      <calculatedColumnFormula array="1">IF(
    behaviourTable[[#This Row],[behaviourHeader]] = "",
    "",
    IF(
      ISERROR(behaviourTable[[#This Row],[behaviourColNum]]),
      UITranslateForValueTable("dataNotFound", UITranslationTable[tag], UITranslationTable[], UITranslationTable[#Headers]),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W2:CB12" totalsRowShown="0" headerRowDxfId="175" dataDxfId="174">
  <autoFilter ref="BW2:CB12" xr:uid="{626C3707-EDFC-4B32-99EA-4581A83A4BC6}"/>
  <tableColumns count="6">
    <tableColumn id="1" xr3:uid="{7E5FC355-9944-4804-BFC7-5349A6B5424B}" name="index" dataDxfId="173" dataCellStyle="Percent">
      <calculatedColumnFormula array="1">ROW()-ROW(cutoffTable[#Headers])</calculatedColumnFormula>
    </tableColumn>
    <tableColumn id="7" xr3:uid="{7AB9D2B2-F8A1-4FC8-9BE6-857137E1B164}" name="cutoffLevel" dataDxfId="172" dataCellStyle="Percent"/>
    <tableColumn id="2" xr3:uid="{F1876B10-5AAD-47FC-BA19-E3F64A284499}" name="label" dataDxfId="171"/>
    <tableColumn id="3" xr3:uid="{3D08B3FA-BE94-4F05-8C7E-208F67B1368E}" name="numResponses" dataDxfId="170">
      <calculatedColumnFormula array="1">SUMPRODUCT(
    (behaviourScore &lt;&gt; "")
  * (behaviourScore &gt;= IF(cutoffTable[[#This Row],[index]] = 1, 0, INDEX(cutoffTable[cutoffLevel], cutoffTable[[#This Row],[index]]-1)))
  * IF(
      cutoffTable[[#This Row],[cutoffLevel]] = 1,
      behaviourScore &lt;= 1,
      behaviourScore &lt; cutoffTable[[#This Row],[cutoffLevel]]
    )
  )</calculatedColumnFormula>
    </tableColumn>
    <tableColumn id="4" xr3:uid="{9C1EEF13-B70A-466F-9372-1089744CB9D1}" name="numNondoersBin" dataDxfId="169">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&lt; cutoffLevel)
  )</calculatedColumnFormula>
    </tableColumn>
    <tableColumn id="5" xr3:uid="{31E07016-4269-467F-A5CF-C1E939DAD00E}" name="numDoersBin" dataDxfId="168">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&gt;= cutoffLevel)
  )</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CH2:CK3" totalsRowShown="0" headerRowDxfId="167" dataDxfId="166" dataCellStyle="Percent">
  <autoFilter ref="CH2:CK3" xr:uid="{8370E1FF-62B3-4C6A-BFCE-37C7A704AE2E}"/>
  <tableColumns count="4">
    <tableColumn id="4" xr3:uid="{A1DD797A-BD13-4265-B3BB-DEC48664BB26}" name="index" dataDxfId="165" dataCellStyle="Percent">
      <calculatedColumnFormula array="1">ROW()-ROW(doersNondoersTable[#Headers])</calculatedColumnFormula>
    </tableColumn>
    <tableColumn id="1" xr3:uid="{CE98A6BF-A591-490B-B7FF-95F0757BEC26}" name="percentNondoers" dataDxfId="164" dataCellStyle="Percent">
      <calculatedColumnFormula>SUM(cutoffTable[numNondoersBin]) / SUM(cutoffTable[numResponses])</calculatedColumnFormula>
    </tableColumn>
    <tableColumn id="2" xr3:uid="{4405B7FD-EADF-4B9D-8F61-ECF6DB7DD9D2}" name="percentDoers" dataDxfId="163" dataCellStyle="Percent">
      <calculatedColumnFormula>SUM(cutoffTable[numDoersBin]) / SUM(cutoffTable[numResponses])</calculatedColumnFormula>
    </tableColumn>
    <tableColumn id="3" xr3:uid="{26EBCF1F-F51C-47CB-8FDE-C0F16439573B}" name="difference" dataDxfId="162" dataCellStyle="Percent">
      <calculatedColumnFormula>doersNondoersTable[[#This Row],[percentDoers]] - 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J2:AL4" totalsRowShown="0" headerRowDxfId="161" dataDxfId="160">
  <autoFilter ref="AJ2:AL4" xr:uid="{3CB9BB5F-79E5-40A7-918D-2DAA96437C0C}"/>
  <tableColumns count="3">
    <tableColumn id="1" xr3:uid="{7BF02E13-E0BD-4B20-B095-39672FC2BC73}" name="index" dataDxfId="159">
      <calculatedColumnFormula array="1">ROW()-ROW(yesNoTable[#Headers])</calculatedColumnFormula>
    </tableColumn>
    <tableColumn id="2" xr3:uid="{21B32DDF-C526-4F99-9BEC-BF9E504269BD}" name="tag" dataDxfId="158"/>
    <tableColumn id="3" xr3:uid="{C36A9535-CE17-4A1D-A3B2-94720DE568F7}" name="label" dataDxfId="157"/>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N2:AQ7" totalsRowShown="0" headerRowDxfId="156" dataDxfId="155">
  <autoFilter ref="AN2:AQ7" xr:uid="{D09F1969-0E0C-4887-8029-F381EE40E627}"/>
  <tableColumns count="4">
    <tableColumn id="1" xr3:uid="{B60E233B-4CF5-4D31-B9A9-F2820E4C2F91}" name="index" dataDxfId="154">
      <calculatedColumnFormula array="1">ROW()-ROW(RANASBlocksTable[#Headers])</calculatedColumnFormula>
    </tableColumn>
    <tableColumn id="2" xr3:uid="{C24DA6E5-D528-4966-A411-051C61457E97}" name="tag" dataDxfId="153"/>
    <tableColumn id="3" xr3:uid="{DCDA070F-C663-438D-AA33-F480D39AF44C}" name="label" dataDxfId="152">
      <calculatedColumnFormula>_xlfn.XLOOKUP(RANASBlocksTable[[#This Row],[tag]], chartTranslationTable[tag], chartTranslationTable[lang1])
 &amp; " / "
 &amp; _xlfn.XLOOKUP(RANASBlocksTable[[#This Row],[tag]], chartTranslationTable[tag], chartTranslationTable[lang2])</calculatedColumnFormula>
    </tableColumn>
    <tableColumn id="4" xr3:uid="{96A5596B-F6F5-4CC3-9704-7FA7D258009B}" name="langSpecLabel" dataDxfId="151">
      <calculatedColumnFormula>_xlfn.XLOOKUP(RANASBlocksTable[[#This Row],[tag]], chartTranslationTable[tag], chartTranslationTable[displayedText])</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S2:AU6" totalsRowShown="0" headerRowDxfId="150" dataDxfId="149">
  <autoFilter ref="AS2:AU6" xr:uid="{46572049-63CB-4771-ADE3-A97A3C740CAE}"/>
  <tableColumns count="3">
    <tableColumn id="1" xr3:uid="{ACC44954-6B90-44FE-88E1-190E6A569A67}" name="index" dataDxfId="148">
      <calculatedColumnFormula array="1">ROW()-ROW(sortMenuTable[#Headers])</calculatedColumnFormula>
    </tableColumn>
    <tableColumn id="2" xr3:uid="{4D51B9A4-2B71-4841-B8D6-EA667254BD8B}" name="tag" dataDxfId="147"/>
    <tableColumn id="3" xr3:uid="{1D506C08-274F-4C63-9890-FC6BB8AB0B98}" name="label" dataDxfId="146"/>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Q22" totalsRowShown="0" headerRowDxfId="145" dataDxfId="144">
  <autoFilter ref="J2:Q22" xr:uid="{AB69D290-14F6-40FE-BED8-CCD81ECD108D}"/>
  <tableColumns count="8">
    <tableColumn id="1" xr3:uid="{3D127308-F44A-49E6-9F3C-C656E68E8ED1}" name="index" dataDxfId="143">
      <calculatedColumnFormula array="1">ROW()-ROW(errorMessagesTable[#Headers])</calculatedColumnFormula>
    </tableColumn>
    <tableColumn id="8" xr3:uid="{AA75FF76-EA7C-4094-83A5-B190354EF05A}" name="name" dataDxfId="142"/>
    <tableColumn id="2" xr3:uid="{FFA21826-123C-4CB7-9DF9-678C1EE3C288}" name="condition" dataDxfId="141"/>
    <tableColumn id="3" xr3:uid="{AC91FBF4-9C1F-4FA0-A6A4-FF295EDC8FCE}" name="English" dataDxfId="140"/>
    <tableColumn id="4" xr3:uid="{D4F08017-9763-449D-916C-76BCDA80CA8E}" name="Français" dataDxfId="139"/>
    <tableColumn id="5" xr3:uid="{E82D8A26-C0DB-40D7-A244-F53F76AF432C}" name="filteredIndex" dataDxfId="138">
      <calculatedColumnFormula array="1">FilterTrueColumn(errorMessagesTable[[#This Row],[index]], errorMessagesTable[index], errorMessagesTable[filteredIndex], errorMessagesTable[condition])</calculatedColumnFormula>
    </tableColumn>
    <tableColumn id="6" xr3:uid="{7B9D172B-977C-41C6-89D0-C603BCD7ECCB}" name="langSpecError" dataDxfId="137">
      <calculatedColumnFormula array="1">IF(
    errorMessagesTable[[#This Row],[filteredIndex]] = "",
    "",
    IF(
      errorMessagesTable[[#This Row],[index]] = 1,
      CHAR(10),
     ""
    )
    &amp; errorMessagesTable[[#This Row],[index]] &amp; ". "
    &amp; UITranslateForValueTable(errorMessagesTable[[#This Row],[filteredIndex]], errorMessagesTable[index], errorMessagesTable[], errorMessagesTable[#Headers])
  )</calculatedColumnFormula>
    </tableColumn>
    <tableColumn id="7" xr3:uid="{079D933C-40BE-4252-8C8A-7D0F8055F81D}" name="concatErrors" dataDxfId="136">
      <calculatedColumnFormula array="1">IF(
    errorMessagesTable[[#This Row],[filteredIndex]] = "",
    "",
    IF(
      errorMessagesTable[[#This Row],[index]] = 1,
      "",
      INDEX(errorMessagesTable[concatErrors], errorMessagesTable[[#This Row],[index]]-1)
      &amp; CHAR(10) &amp; CHAR(10)
    )
    &amp; INDEX(errorMessagesTable[langSpecError], errorMessagesTable[[#This Row],[index]])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AD2:AH7" totalsRowShown="0" headerRowDxfId="135" dataDxfId="134">
  <autoFilter ref="AD2:AH7" xr:uid="{E23C4FF4-8FD9-4D15-B4B0-8CA194D8A016}"/>
  <tableColumns count="5">
    <tableColumn id="1" xr3:uid="{9A98E7F9-13A5-4FB5-A569-F8A363E10403}" name="index" dataDxfId="133">
      <calculatedColumnFormula array="1">ROW()-ROW(languageTable[#Headers])</calculatedColumnFormula>
    </tableColumn>
    <tableColumn id="2" xr3:uid="{60B4F238-6219-48F8-A2CB-CD0410D91196}" name="languageHeaders" dataDxfId="132">
      <calculatedColumnFormula array="1">KeepBlanksFunction(INDEX(languageHeadersList, languageTable[[#This Row],[index]]))</calculatedColumnFormula>
    </tableColumn>
    <tableColumn id="5" xr3:uid="{A6991E2D-E892-482B-A043-A4CE9032B971}" name="hasValue" dataDxfId="131">
      <calculatedColumnFormula>languageTable[[#This Row],[languageHeaders]] &lt;&gt; ""</calculatedColumnFormula>
    </tableColumn>
    <tableColumn id="6" xr3:uid="{C425EB26-4BEF-4C04-82E8-AC8F24CD68F9}" name="filteredIndex" dataDxfId="130">
      <calculatedColumnFormula array="1">FilterTrueColumn(languageTable[[#This Row],[index]], languageTable[index], languageTable[filteredIndex], languageTable[hasValue])</calculatedColumnFormula>
    </tableColumn>
    <tableColumn id="4" xr3:uid="{98FCEBFB-8113-4BCC-81CD-7849AB1DB835}" name="languageList" dataDxfId="129">
      <calculatedColumnFormula array="1">IFERROR(
    INDEX(languageTable[languageHeaders], languageTable[[#This Row],[filteredIndex]]),
    ""
  )</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W2:AW4" totalsRowShown="0" headerRowDxfId="128" dataDxfId="127" tableBorderDxfId="126">
  <autoFilter ref="AW2:AW4" xr:uid="{58A35650-374D-4C03-A6DB-6A4E389D6F32}"/>
  <tableColumns count="1">
    <tableColumn id="1" xr3:uid="{51ECF4B0-F9CD-455D-B50C-D6D778696F7C}" name="YaxisLimits" dataDxfId="125"/>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2EECF3-DDE0-43E0-9DE9-A1D6AC8735DA}" name="structuredFormulaeTable" displayName="structuredFormulaeTable" ref="W2:AB118" totalsRowShown="0" headerRowDxfId="124" dataDxfId="123">
  <autoFilter ref="W2:AB118" xr:uid="{692EECF3-DDE0-43E0-9DE9-A1D6AC8735DA}"/>
  <tableColumns count="6">
    <tableColumn id="1" xr3:uid="{37BD9ACD-8233-46EE-A8D7-31FF3F136553}" name="index" dataDxfId="122">
      <calculatedColumnFormula array="1">ROW()-ROW(structuredFormulaeTable[#Headers])</calculatedColumnFormula>
    </tableColumn>
    <tableColumn id="2" xr3:uid="{55F52F71-A6B4-4919-A316-722AA9191F2E}" name="type" dataDxfId="121"/>
    <tableColumn id="3" xr3:uid="{A58F873E-CB71-4EB2-8AD9-A47999CE859E}" name="name" dataDxfId="120"/>
    <tableColumn id="6" xr3:uid="{40D80251-EECE-436D-9ECB-B9C599419170}" name="value" dataDxfId="119"/>
    <tableColumn id="4" xr3:uid="{7E2294D9-B3F7-4443-9687-4841AA820BF9}" name="formula" dataDxfId="118"/>
    <tableColumn id="5" xr3:uid="{1F5F45D8-BE4C-4548-B2D8-0A288947052A}" name="legacyFormula" dataDxfId="117"/>
  </tableColumns>
  <tableStyleInfo name="RANAS Analyser Hidden Table 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E0D271-5ED9-4A06-BB1A-D1ECD5DBA4D4}" name="recommendedCutoffTable" displayName="recommendedCutoffTable" ref="CD2:CF103" totalsRowShown="0" headerRowDxfId="116" dataDxfId="115">
  <autoFilter ref="CD2:CF103" xr:uid="{A4E0D271-5ED9-4A06-BB1A-D1ECD5DBA4D4}"/>
  <tableColumns count="3">
    <tableColumn id="1" xr3:uid="{2E51A376-278D-40B9-812B-617F78121C99}" name="index" dataDxfId="114">
      <calculatedColumnFormula array="1">ROW()-ROW(recommendedCutoffTable[#Headers])</calculatedColumnFormula>
    </tableColumn>
    <tableColumn id="2" xr3:uid="{5BA56D66-544B-4829-A150-88B6084D2F43}" name="cutoffLevel" dataDxfId="113">
      <calculatedColumnFormula>(recommendedCutoffTable[[#This Row],[index]] - 1) / 100</calculatedColumnFormula>
    </tableColumn>
    <tableColumn id="3" xr3:uid="{B46BA529-015C-4F0E-B5A1-02B39C0B4CD1}" name="absDiff" dataDxfId="112">
      <calculatedColumnFormula array="1">ABS(
    numScores
  - 2 * SUMPRODUCT((behaviourScore &lt;&gt; "") * (behaviourScore &lt; recommendedCutoffTable[[#This Row],[cutoffLevel]]))
  )</calculatedColumnFormula>
    </tableColumn>
  </tableColumns>
  <tableStyleInfo name="RANAS Analyser Hidden Table 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C38:N68" totalsRowShown="0" headerRowDxfId="111" dataDxfId="109" headerRowBorderDxfId="110" tableBorderDxfId="108">
  <autoFilter ref="C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 factorsTable[index], 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
    "",
    INDEX(
      INDEX(
        chartTranslationTable[],
        0,
        MATCH(
          IF(
            errorChartLanguage,
            "English",
            chartLanguage
          ),
          languageHeadersList,
          0
        )
        + MATCH(chartTranslationTable[[#Headers],[lang1]], chartTranslationTable[#Headers], 0)
        - 1
      ),
      chartTranslationTable[[#This Row],[index]]
    ) &amp; ""
  )</calculatedColumnFormula>
    </tableColumn>
    <tableColumn id="9" xr3:uid="{898CF4B2-0371-4A7C-B4CD-1EE331BD1E68}" name="displayedText" dataDxfId="83">
      <calculatedColumnFormula array="1">IF(
    chartTranslationTable[[#This Row],[tag]] = "",
    "",
    IF(
      chartTranslationTable[[#This Row],[langSpecText]] = "",
      UITranslateForValueTable("noTranslation", UITranslationTable[tag], UITranslationTable[], UITranslationTable[#Headers]),
      chartTranslationTable[[#This Row],[langSpecText]]
    )
  )</calculatedColumnFormula>
    </tableColumn>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 - numScores</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C15:I20" totalsRowShown="0" headerRowDxfId="77" dataDxfId="75" headerRowBorderDxfId="76" tableBorderDxfId="74">
  <autoFilter ref="C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8A7B52-7A59-4B9C-AD27-994C30519632}" name="includeConfig" dataDxfId="73"/>
    <tableColumn id="2" xr3:uid="{49CBA26E-5C7F-47E8-A14C-035629D59FF4}" name="index" dataDxfId="72">
      <calculatedColumnFormula array="1">ROW()-ROW(behaviourConfigTable[#Headers])</calculatedColumnFormula>
    </tableColumn>
    <tableColumn id="3" xr3:uid="{9E321BEB-12BF-410B-A0B8-571168D7CB6E}" name="behaviourHeader" dataDxfId="71"/>
    <tableColumn id="4" xr3:uid="{96B46EBA-0C69-4555-AD13-7D7AF6FF76D9}" name="minScore" dataDxfId="70"/>
    <tableColumn id="5" xr3:uid="{866F458D-33A6-47DD-B1E4-BAFE3681229F}" name="maxScore" dataDxfId="69"/>
    <tableColumn id="6" xr3:uid="{B0F89DAF-D367-4343-8FA7-C52681D5973D}" name="numResponses" dataDxfId="68">
      <calculatedColumnFormula>_xlfn.XLOOKUP(behaviourConfigTable[[#This Row],[index]], behaviourTable[index], behaviourTable[numResponses])</calculatedColumnFormula>
    </tableColumn>
    <tableColumn id="7" xr3:uid="{FC9843CC-967E-4330-BBCB-FF1375BCDA4C}" name="numBlanks" dataDxfId="67">
      <calculatedColumnFormula>_xlfn.XLOOKUP(behaviourConfigTable[[#This Row],[index]], behaviourTable[index], behaviourTable[numBlanks])</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6" dataDxfId="64" headerRowBorderDxfId="65">
  <tableColumns count="5">
    <tableColumn id="1" xr3:uid="{4CB45C51-CB69-4CC1-B338-FF7F101C0FDD}" name="index" dataDxfId="63">
      <calculatedColumnFormula array="1">ROW()-ROW(cutoffChartTable[#Headers])</calculatedColumnFormula>
    </tableColumn>
    <tableColumn id="2" xr3:uid="{0DB2BC85-F6F4-49BC-80BE-1AEE8BC2AE66}" name="label" dataDxfId="62">
      <calculatedColumnFormula>_xlfn.XLOOKUP(cutoffChartTable[[#This Row],[index]], cutoffTable[index], cutoffTable[label])</calculatedColumnFormula>
    </tableColumn>
    <tableColumn id="3" xr3:uid="{1C850F94-CAA9-4191-8D8A-85A8048CCA90}" name="numResponses" dataDxfId="61">
      <calculatedColumnFormula>_xlfn.XLOOKUP(cutoffChartTable[[#This Row],[index]], cutoffTable[index], cutoffTable[numResponses])</calculatedColumnFormula>
    </tableColumn>
    <tableColumn id="4" xr3:uid="{C4768E52-01B5-4D13-9707-17AD7B461447}" name="numNondoersBin" dataDxfId="60">
      <calculatedColumnFormula>_xlfn.XLOOKUP(cutoffChartTable[[#This Row],[index]], cutoffTable[index], cutoffTable[numNondoersBin])</calculatedColumnFormula>
    </tableColumn>
    <tableColumn id="5" xr3:uid="{D194BD99-D6D8-48CB-AA7E-9C7F48284702}" name="numDoersBin" dataDxfId="59">
      <calculatedColumnFormula>_xlfn.XLOOKUP(cutoffChartTable[[#This Row],[index]], cutoffTable[index], cutoffTable[numDoersBin])</calculatedColumnFormula>
    </tableColumn>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8" dataDxfId="56" headerRowBorderDxfId="57">
  <tableColumns count="4">
    <tableColumn id="1" xr3:uid="{1614890C-8CFE-49D2-AC79-A06A96C249C1}" name="index" dataDxfId="55"/>
    <tableColumn id="2" xr3:uid="{A96518A4-4144-403E-A144-B1156ED17703}" name="percentNondoers" dataDxfId="54" dataCellStyle="Percent">
      <calculatedColumnFormula>_xlfn.XLOOKUP(doersNondoersChartTable[[#This Row],[index]], doersNondoersTable[index], doersNondoersTable[percentNondoers])</calculatedColumnFormula>
    </tableColumn>
    <tableColumn id="3" xr3:uid="{52331AC1-DDEC-4492-B14D-59610AA44305}" name="percentDoers" dataDxfId="53" dataCellStyle="Percent">
      <calculatedColumnFormula>_xlfn.XLOOKUP(doersNondoersChartTable[[#This Row],[index]], doersNondoersTable[index], doersNondoersTable[percentDoers])</calculatedColumnFormula>
    </tableColumn>
    <tableColumn id="4" xr3:uid="{304F33DB-9E7C-4AE3-B895-B43D2DD3C077}" name="difference" dataDxfId="52" dataCellStyle="Percent">
      <calculatedColumnFormula>_xlfn.XLOOKUP(doersNondoersChartTable[[#This Row],[index]], doersNondoersTable[index], doersNondoersTable[difference])</calculatedColumnFormula>
    </tableColumn>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1" dataDxfId="49" headerRowBorderDxfId="50">
  <tableColumns count="9">
    <tableColumn id="7" xr3:uid="{73A9F968-C223-45AF-9B43-D37C15C90BDA}" name="index" dataDxfId="48">
      <calculatedColumnFormula array="1">ROW()-ROW(analysisChartTable[#Headers])</calculatedColumnFormula>
    </tableColumn>
    <tableColumn id="6" xr3:uid="{24D8732E-0D42-456B-A89F-B6F2988575FD}" name="chartLabel" dataDxfId="47">
      <calculatedColumnFormula>_xlfn.XLOOKUP(analysisChartTable[[#This Row],[index]], factorsTable[index], factorsTable[chartLabel])</calculatedColumnFormula>
    </tableColumn>
    <tableColumn id="9" xr3:uid="{E584D00C-BD4D-4805-BD0C-15F1ECDB3164}" name="RANASTag" dataDxfId="46">
      <calculatedColumnFormula>_xlfn.XLOOKUP(analysisChartTable[[#This Row],[index]], factorsTable[index], factorsTable[RANASTag])</calculatedColumnFormula>
    </tableColumn>
    <tableColumn id="1" xr3:uid="{D7B991BD-4644-4836-A962-8B6228469595}" name="displayedFactor" dataDxfId="45">
      <calculatedColumnFormula>_xlfn.XLOOKUP(analysisChartTable[[#This Row],[index]], factorsTable[index], factorsTable[displayedFactor])</calculatedColumnFormula>
    </tableColumn>
    <tableColumn id="8" xr3:uid="{948C760D-3BFA-4038-9E7E-26D392A9ABAD}" name="displayedRANASBlock" dataDxfId="44">
      <calculatedColumnFormula>_xlfn.XLOOKUP(analysisChartTable[[#This Row],[index]], factorsTable[index], factorsTable[displayedRANASBlock])</calculatedColumnFormula>
    </tableColumn>
    <tableColumn id="2" xr3:uid="{6FF69577-BFF1-4BAB-A33F-8907707E7F23}" name="sortedNondoers" dataDxfId="43" dataCellStyle="Percent">
      <calculatedColumnFormula>_xlfn.XLOOKUP(analysisChartTable[[#This Row],[index]], factorsTable[index], factorsTable[sortedNondoers])</calculatedColumnFormula>
    </tableColumn>
    <tableColumn id="3" xr3:uid="{AAA2ADF6-CA6C-4194-A2EA-95548C570799}" name="sortedDoers" dataDxfId="42" dataCellStyle="Percent">
      <calculatedColumnFormula>_xlfn.XLOOKUP(analysisChartTable[[#This Row],[index]], factorsTable[index], factorsTable[sortedDoers])</calculatedColumnFormula>
    </tableColumn>
    <tableColumn id="4" xr3:uid="{225894AD-DD7A-493E-A5EC-B5B242433372}" name="sortedDifference" dataDxfId="41" dataCellStyle="Percent">
      <calculatedColumnFormula>_xlfn.XLOOKUP(analysisChartTable[[#This Row],[index]], factorsTable[index], factorsTable[sortedDifference])</calculatedColumnFormula>
    </tableColumn>
    <tableColumn id="5" xr3:uid="{0EF07200-BD5E-4F9F-9DDA-0A2E76BC4044}" name="sortedNumTotal" dataDxfId="40">
      <calculatedColumnFormula>_xlfn.XLOOKUP(analysisChartTable[[#This Row],[index]], factorsTable[index], 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2-04T20:03:45.22" personId="{5D3AF245-2A3F-4AAD-90B1-868E92451BE0}" id="{642E0654-908C-444E-B518-0916D3BF50B9}">
    <text>Copy of the first row of the "data" sheet, up to column 'maxColNum'. Used to eventually define dataHeaders and dataRange.</text>
  </threadedComment>
  <threadedComment ref="A4" dT="2026-02-04T20:23:44.08" personId="{5D3AF245-2A3F-4AAD-90B1-868E92451BE0}" id="{6C44E4F4-0698-4275-8CC6-863951580E48}">
    <text>Copy (down to row 'maxRowNum') of the data column from the "data" sheet that serves as an index for the survey submissions. Used to count the total number of data entries.</text>
  </threadedComment>
  <threadedComment ref="C4" dT="2026-02-04T20:11:26.84" personId="{5D3AF245-2A3F-4AAD-90B1-868E92451BE0}" id="{3F594EE3-B120-4423-93D2-26576404B3DB}">
    <text>Copy of the row of column headers in the "data" sheet. Used in various formula to look up / reference column headers.</text>
  </threadedComment>
  <threadedComment ref="C5" dT="2026-02-04T22:36:56.02" personId="{5D3AF245-2A3F-4AAD-90B1-868E92451BE0}" id="{79BD005D-9F85-49B3-8F64-CAA0A13BDEFF}">
    <text>Copy of the range of the "data" sheet from row 2 (i.e., without the column headers) and 'numEntries'-row high, and from columns 1 to dataLastColNum. Used to then reference data columns with the INDEX() function.</text>
  </threadedComment>
  <threadedComment ref="C6" dT="2026-01-09T14:36:51.16" personId="{5D3AF245-2A3F-4AAD-90B1-868E92451BE0}" id="{BECC8FE3-2FC4-4C87-AA48-5F5B24B15A35}">
    <text>Legacy version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6-01-09T14:36:51.16" personId="{5D3AF245-2A3F-4AAD-90B1-868E92451BE0}" id="{39E6F978-3C84-41CD-A7D0-97EAFDDCED97}">
    <text>Legacy version</text>
  </threadedComment>
  <threadedComment ref="P1" dT="2026-01-09T14:36:51.16" personId="{5D3AF245-2A3F-4AAD-90B1-868E92451BE0}" id="{BBD831BC-6DBE-4E41-8B1E-3111352333B8}">
    <text>Legacy version</text>
  </threadedComment>
  <threadedComment ref="S1" dT="2023-02-27T05:26:28.24" personId="{5D3AF245-2A3F-4AAD-90B1-868E92451BE0}" id="{38C86FA5-742F-4C4C-B63F-FFE18671B4F8}">
    <text>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ext>
  </threadedComment>
  <threadedComment ref="Q2" dT="2023-02-28T21:36:36.05" personId="{5D3AF245-2A3F-4AAD-90B1-868E92451BE0}" id="{0CF385CD-78A4-4D17-BD9F-9F454DA9DC1A}">
    <text>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ext>
  </threadedComment>
  <threadedComment ref="AB2" dT="2026-01-08T10:36:06.68" personId="{5D3AF245-2A3F-4AAD-90B1-868E92451BE0}" id="{FA99D751-4424-4719-B4F2-AA71785A3DE4}">
    <text>This column contains the formulae that should replace those in the "formula" column in the "Legacy" version of the file.</text>
  </threadedComment>
  <threadedComment ref="BM2" dT="2026-01-09T14:36:51.16" personId="{5D3AF245-2A3F-4AAD-90B1-868E92451BE0}" id="{C1D74717-9E3A-49D1-90BE-1473D382D71B}">
    <text>Legacy version</text>
  </threadedComment>
  <threadedComment ref="BN2" dT="2026-01-09T14:36:51.16" personId="{5D3AF245-2A3F-4AAD-90B1-868E92451BE0}" id="{147FD3D0-9ECF-453D-A2C3-68A746F7A623}">
    <text>Legacy version</text>
  </threadedComment>
  <threadedComment ref="BO2" dT="2026-01-09T14:36:51.16" personId="{5D3AF245-2A3F-4AAD-90B1-868E92451BE0}" id="{B683A297-2ED4-4146-B01E-9A17A755844B}">
    <text>Legacy version</text>
  </threadedComment>
  <threadedComment ref="BP2" dT="2026-01-09T14:36:51.16" personId="{5D3AF245-2A3F-4AAD-90B1-868E92451BE0}" id="{3F80F0C2-C9D4-4865-905C-3A4FA27C3A23}">
    <text>Legacy version</text>
  </threadedComment>
  <threadedComment ref="BQ2" dT="2026-01-09T14:36:51.16" personId="{5D3AF245-2A3F-4AAD-90B1-868E92451BE0}" id="{67BB9B8F-1554-431D-9876-BACFAA44CCE2}">
    <text>Legacy version</text>
  </threadedComment>
  <threadedComment ref="T3" dT="2026-01-07T11:14:25.42" personId="{5D3AF245-2A3F-4AAD-90B1-868E92451BE0}" id="{7B30AC4B-A213-4136-836D-7C16FEE2FD13}">
    <text>Name of the "data" sheet, used in UI text and to reference the data columns. Its value (currently "data") is hard-coded in the "Manual-entry variables table" and can be changed there if wanted.</text>
  </threadedComment>
  <threadedComment ref="Y3" dT="2026-01-13T17:48:06.21" personId="{5D3AF245-2A3F-4AAD-90B1-868E92451BE0}" id="{7C0EDA3B-30AE-489A-8FA0-C8643C6FDB18}">
    <text>User-defined function that takes as argument a "behaviourIndex" and returns the corresponding data column from dataRange.</text>
  </threadedComment>
  <threadedComment ref="BM3" dT="2026-02-04T22:43:41.86" personId="{5D3AF245-2A3F-4AAD-90B1-868E92451BE0}" id="{66853D4F-F89F-4E32-AC13-26DC354E4FC9}">
    <text>Copy of the "data" column for behaviour header #1. Used to simplify formulae.</text>
  </threadedComment>
  <threadedComment ref="BN3" dT="2026-02-04T22:43:41.86" personId="{5D3AF245-2A3F-4AAD-90B1-868E92451BE0}" id="{182165B5-26F6-4F81-8E85-1DC77B044D16}">
    <text>Copy of the "data" column for behaviour header #2. Used to simplify formulae.</text>
  </threadedComment>
  <threadedComment ref="BO3" dT="2026-02-04T22:43:41.86" personId="{5D3AF245-2A3F-4AAD-90B1-868E92451BE0}" id="{3386F9D7-AF8D-4721-8A64-9206E9EAD5C5}">
    <text>Copy of the "data" column for behaviour header #3. Used to simplify formulae.</text>
  </threadedComment>
  <threadedComment ref="BP3" dT="2026-02-04T22:43:41.86" personId="{5D3AF245-2A3F-4AAD-90B1-868E92451BE0}" id="{6F6D2AF2-3646-4E7D-B4E4-37DC032D7DCF}">
    <text>Copy of the "data" column for behaviour header #4. Used to simplify formulae.</text>
  </threadedComment>
  <threadedComment ref="BQ3" dT="2026-02-04T22:43:41.86" personId="{5D3AF245-2A3F-4AAD-90B1-868E92451BE0}" id="{27F75A60-E649-42E2-99F4-B0C513C2107C}">
    <text>Copy of the "data" column for behaviour header #5. Used to simplify formulae.</text>
  </threadedComment>
  <threadedComment ref="BR3" dT="2026-02-04T22:46:12.32" personId="{5D3AF245-2A3F-4AAD-90B1-868E92451BE0}" id="{D1457836-9247-487C-997C-ED15C9A5819C}">
    <text>Array containing the numerator of the behaviour score for each data entry. It is computed on its own to simplify the overall formula for the behaviour score.</text>
  </threadedComment>
  <threadedComment ref="BS3" dT="2026-02-04T22:46:38.04" personId="{5D3AF245-2A3F-4AAD-90B1-868E92451BE0}" id="{1400722F-15C4-48B1-A517-E579917D6EC0}">
    <text>Array containing the denominator of the behaviour score for each data entry. It is computed on its own to simplify the overall formula for the behaviour score.</text>
  </threadedComment>
  <threadedComment ref="BT3" dT="2026-02-04T22:47:01.45" personId="{5D3AF245-2A3F-4AAD-90B1-868E92451BE0}" id="{8C48700E-31ED-4FB7-964A-A27A91D2807F}">
    <text>Array containing the normalized behaviour score (0-100%) for each data entry for which a score can be computed.</text>
  </threadedComment>
  <threadedComment ref="BU3" dT="2026-01-16T14:23:13.33" personId="{5D3AF245-2A3F-4AAD-90B1-868E92451BE0}" id="{ED77F99E-76D8-4872-9F5C-0F0146EEBF56}">
    <text>Array containing a TRUE/FALSE value for each data entry, indicating a doer/non-doer, or an empty value if a behaviour score cannot be computed.</text>
  </threadedComment>
  <threadedComment ref="T4" dT="2026-01-07T11:16:35.69" personId="{5D3AF245-2A3F-4AAD-90B1-868E92451BE0}" id="{3BEF204C-2584-4591-9B34-6AD9FD391CC5}">
    <text>Version number of the RANAS Analyser. Set in the "HiddenTables" sheet and used in various places.</text>
  </threadedComment>
  <threadedComment ref="Y4" dT="2026-01-13T17:48:06.21" personId="{5D3AF245-2A3F-4AAD-90B1-868E92451BE0}" id="{5D1BC0D0-EA03-4732-8325-CAC25158754F}">
    <text>User-defined function that takes as argument a "behaviourIndex" and returns the corresponding "include" value from behaviourTable. Used to simplify formulae.</text>
  </threadedComment>
  <threadedComment ref="T5" dT="2026-01-07T11:17:00.68" personId="{5D3AF245-2A3F-4AAD-90B1-868E92451BE0}" id="{C1E92698-CDF4-4626-9560-1E7560AB8D3D}">
    <text>Permanent link to the webpage that hosts the reference version of this file available to the public (plus possibly documentation and archived versions).</text>
  </threadedComment>
  <threadedComment ref="Y5" dT="2026-01-13T17:48:06.21" personId="{5D3AF245-2A3F-4AAD-90B1-868E92451BE0}" id="{CB05F824-A649-4013-8CFB-A7519B734B18}">
    <text>User-defined function that takes as argument a "behaviourIndex" and returns the corresponding "maxScore" value from behaviourTable. Used to simplify formulae.</text>
  </threadedComment>
  <threadedComment ref="T6" dT="2026-01-07T11:17:25.23" personId="{5D3AF245-2A3F-4AAD-90B1-868E92451BE0}" id="{056945A4-78A6-4F8F-B2C5-B191DCB18BFE}">
    <text>Link to the RANAS website.</text>
  </threadedComment>
  <threadedComment ref="Y6" dT="2026-01-13T17:48:06.21" personId="{5D3AF245-2A3F-4AAD-90B1-868E92451BE0}" id="{6DC96BFF-B3D6-46B1-8D38-5EA4AB8BD543}">
    <text>User-defined function that takes as argument a "behaviourIndex" and returns the corresponding "minScore" value from behaviourTable. Used to simplify formulae.</text>
  </threadedComment>
  <threadedComment ref="T7" dT="2026-01-07T11:17:50.84" personId="{5D3AF245-2A3F-4AAD-90B1-868E92451BE0}" id="{642A9713-8C2F-44C4-8481-0F64559453E8}">
    <text>Maximum number of rows allowed in the "data" sheet (used to prevent slow calculations).</text>
  </threadedComment>
  <threadedComment ref="Y7" dT="2026-01-09T13:36:12.50" personId="{5D3AF245-2A3F-4AAD-90B1-868E92451BE0}" id="{8028B8F5-12DE-412E-B03F-538113D6F08F}">
    <text>User-defined function to be used in an Excel table. The table contains an index column and a column with TRUE/FALSE values. The function is entered in a filteredIndexCol column and returns the list of indices corresponding to TRUE values, without blanks.</text>
  </threadedComment>
  <threadedComment ref="T8" dT="2026-01-07T11:18:05.52" personId="{5D3AF245-2A3F-4AAD-90B1-868E92451BE0}" id="{E6311091-327B-4EB1-8DB1-BF2EF6D42508}">
    <text>Maximum number of columns allowed in the "data" sheet (used to prevent slow calculations).</text>
  </threadedComment>
  <threadedComment ref="Y8" dT="2025-07-20T19:29:01.41" personId="{5D3AF245-2A3F-4AAD-90B1-868E92451BE0}" id="{AB114D5E-8F5A-426D-A437-3853E174B4FF}">
    <text>User-defined function that takes as argument any value and returns that same value, even if it is blank (i.e. the empty string "" or from an empty cell). Used to keep empty values as such, e.g. to prevent the XLOOKUP of an empty cell being converted to 0.</text>
  </threadedComment>
  <threadedComment ref="Y8" dT="2025-11-20T14:02:27.01" personId="{5D3AF245-2A3F-4AAD-90B1-868E92451BE0}" id="{50CCE661-3D11-454C-A688-FA002255D931}" parentId="{AB114D5E-8F5A-426D-A437-3853E174B4FF}">
    <text>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ext>
  </threadedComment>
  <threadedComment ref="T9" dT="2026-01-07T14:26:22.79" personId="{5D3AF245-2A3F-4AAD-90B1-868E92451BE0}" id="{08C4D84F-9FD3-4C12-BA3E-9D1DE87ECB99}">
    <text>If the number of factors selected for display by the user is less than or equal to this threshold, all factors will be displayed in the first chart. If it is above the threshold, the factors will be evenly split across both charts.</text>
  </threadedComment>
  <threadedComment ref="Y9" dT="2026-01-26T20:11:06.95" personId="{5D3AF245-2A3F-4AAD-90B1-868E92451BE0}" id="{C6EF09CE-66FC-420A-9DB2-24EB149724A7}">
    <text>User-defined function that takes as arguments a "reference" on a worksheet (e.g., cell address, named range) and a "defaultName", and returns the name of that worksheet (or the defaultName).</text>
  </threadedComment>
  <threadedComment ref="AB9" dT="2026-01-16T17:30:04.27" personId="{5D3AF245-2A3F-4AAD-90B1-868E92451BE0}" id="{B7EB3A7C-296A-4B23-A576-77E53F899698}">
    <text>For an explanation for the use of MATCH() with 1/(MID...) to find the last match in the string, see this link where the same strategy is used:
https://exceljet.net/formulas/lookup-latest-price</text>
    <extLst>
      <x:ext xmlns:xltc2="http://schemas.microsoft.com/office/spreadsheetml/2020/threadedcomments2" uri="{F7C98A9C-CBB3-438F-8F68-D28B6AF4A901}">
        <xltc2:checksum>619791977</xltc2:checksum>
        <xltc2:hyperlink startIndex="143" length="49" url="https://exceljet.net/formulas/lookup-latest-price"/>
      </x:ext>
    </extLst>
  </threadedComment>
  <threadedComment ref="AE9" dT="2026-01-09T14:36:51.16" personId="{5D3AF245-2A3F-4AAD-90B1-868E92451BE0}" id="{137C8FC4-AF6C-45E3-B2C8-AE3BE30F10E9}">
    <text>Legacy version</text>
  </threadedComment>
  <threadedComment ref="AG9" dT="2026-01-09T14:36:51.16" personId="{5D3AF245-2A3F-4AAD-90B1-868E92451BE0}" id="{0EF8A64D-BC06-4E49-ADA5-514829E8355A}">
    <text>Legacy version</text>
  </threadedComment>
  <threadedComment ref="AP9" dT="2026-01-09T14:36:51.16" personId="{5D3AF245-2A3F-4AAD-90B1-868E92451BE0}" id="{37375FA1-022D-4780-AE17-17184A876CCF}">
    <text>Legacy version</text>
  </threadedComment>
  <threadedComment ref="AQ9" dT="2026-01-09T14:36:51.16" personId="{5D3AF245-2A3F-4AAD-90B1-868E92451BE0}" id="{696FC813-9452-43F5-9B07-B25C73CC8152}">
    <text>Legacy version</text>
  </threadedComment>
  <threadedComment ref="AZ9" dT="2026-01-09T14:36:51.16" personId="{5D3AF245-2A3F-4AAD-90B1-868E92451BE0}" id="{0EA9F409-7F70-408C-8B40-A2753E65D588}">
    <text>Legacy version</text>
  </threadedComment>
  <threadedComment ref="BA9" dT="2026-01-09T14:36:51.16" personId="{5D3AF245-2A3F-4AAD-90B1-868E92451BE0}" id="{3E47D23E-F675-4CBA-968E-26EDF8823513}">
    <text>Legacy version</text>
  </threadedComment>
  <threadedComment ref="BD9" dT="2026-01-09T14:36:51.16" personId="{5D3AF245-2A3F-4AAD-90B1-868E92451BE0}" id="{551A561B-2DCB-4801-8052-FE795B3244CB}">
    <text>Legacy version</text>
  </threadedComment>
  <threadedComment ref="BE9" dT="2026-01-09T14:36:51.16" personId="{5D3AF245-2A3F-4AAD-90B1-868E92451BE0}" id="{D1C10C29-B0EA-46F1-A01E-46EFABEF5D51}">
    <text>Legacy version</text>
  </threadedComment>
  <threadedComment ref="BF9" dT="2026-01-09T14:36:51.16" personId="{5D3AF245-2A3F-4AAD-90B1-868E92451BE0}" id="{99B71060-9919-4866-B80C-342391F7441F}">
    <text>Legacy version</text>
  </threadedComment>
  <threadedComment ref="BG9" dT="2026-01-09T14:36:51.16" personId="{5D3AF245-2A3F-4AAD-90B1-868E92451BE0}" id="{D59BEEB3-68F4-4FA3-8443-1CBA6C475507}">
    <text>Legacy version</text>
  </threadedComment>
  <threadedComment ref="BJ9" dT="2026-01-09T14:36:51.16" personId="{5D3AF245-2A3F-4AAD-90B1-868E92451BE0}" id="{D2577CAA-09DA-4035-AFF6-A1A925BDB61E}">
    <text>Legacy version</text>
  </threadedComment>
  <threadedComment ref="BK9" dT="2026-01-09T14:36:51.16" personId="{5D3AF245-2A3F-4AAD-90B1-868E92451BE0}" id="{23E12202-66A6-463D-955A-38450B307E0D}">
    <text>Legacy version</text>
  </threadedComment>
  <threadedComment ref="Y10" dT="2026-01-08T15:51:19.02" personId="{5D3AF245-2A3F-4AAD-90B1-868E92451BE0}" id="{CBE2BC9A-1F21-4A1D-AAFE-EDCADD10E0DA}">
    <text>User-defined function that takes as arguments a "value" and references to a translation table (reference column, table itself, and table header), and returns the translation of that value into the selected UI language.</text>
  </threadedComment>
  <threadedComment ref="Y11" dT="2026-01-27T14:35:24.77" personId="{5D3AF245-2A3F-4AAD-90B1-868E92451BE0}" id="{FF68B974-7419-4BC2-B43C-2DDBF67903C2}">
    <text>Value of the "include" parameter for behaviour header #1, combining the user selection in the "Include?" column and whether a data header for that question is defined or not. Used to simplify formulae.</text>
  </threadedComment>
  <threadedComment ref="Y12" dT="2026-01-27T14:35:24.77" personId="{5D3AF245-2A3F-4AAD-90B1-868E92451BE0}" id="{C7B745AE-F254-4B1D-AE90-BBCD690A5D5C}">
    <text>Value of the "include" parameter for behaviour header #2, combining the user selection in the "Include?" column and whether a data header for that question is defined or not. Used to simplify formulae.</text>
  </threadedComment>
  <threadedComment ref="Y13" dT="2026-01-27T14:35:24.77" personId="{5D3AF245-2A3F-4AAD-90B1-868E92451BE0}" id="{7B7AF2D4-8C72-4E2E-8C0D-767D1839A0CF}">
    <text>Value of the "include" parameter for behaviour header #3, combining the user selection in the "Include?" column and whether a data header for that question is defined or not. Used to simplify formulae.</text>
  </threadedComment>
  <threadedComment ref="Y14" dT="2026-01-27T14:35:24.77" personId="{5D3AF245-2A3F-4AAD-90B1-868E92451BE0}" id="{E6DB978E-E1C8-48FF-9945-B7C966618BAD}">
    <text>Value of the "include" parameter for behaviour header #4, combining the user selection in the "Include?" column and whether a data header for that question is defined or not. Used to simplify formulae.</text>
  </threadedComment>
  <threadedComment ref="Y15" dT="2026-01-27T14:35:24.77" personId="{5D3AF245-2A3F-4AAD-90B1-868E92451BE0}" id="{5FA0289D-9367-4DE5-9F5C-6E6087B2AF36}">
    <text>Value of the "include" parameter for behaviour header #5, combining the user selection in the "Include?" column and whether a data header for that question is defined or not. Used to simplify formulae.</text>
  </threadedComment>
  <threadedComment ref="Y16" dT="2026-01-27T15:09:22.35" personId="{5D3AF245-2A3F-4AAD-90B1-868E92451BE0}" id="{069E79A2-8650-4DCC-9FB2-91D4E9692E77}">
    <text>Reference to the maximum score for behaviour header #1. Used to simplify formulae.</text>
  </threadedComment>
  <threadedComment ref="Y17" dT="2026-01-27T15:09:22.35" personId="{5D3AF245-2A3F-4AAD-90B1-868E92451BE0}" id="{B9A10C44-0FAD-4F37-B36C-EC48DF08F035}">
    <text>Reference to the maximum score for behaviour header #2. Used to simplify formulae.</text>
  </threadedComment>
  <threadedComment ref="Y18" dT="2026-01-27T15:09:22.35" personId="{5D3AF245-2A3F-4AAD-90B1-868E92451BE0}" id="{B7AC37A0-A4A5-4D6E-8DA5-A3AA096A1CD7}">
    <text>Reference to the maximum score for behaviour header #3. Used to simplify formulae.</text>
  </threadedComment>
  <threadedComment ref="Y19" dT="2026-01-27T15:09:22.35" personId="{5D3AF245-2A3F-4AAD-90B1-868E92451BE0}" id="{7681F98F-BA2F-4A93-82EE-B4B6184663E7}">
    <text>Reference to the maximum score for behaviour header #4. Used to simplify formulae.</text>
  </threadedComment>
  <threadedComment ref="Y20" dT="2026-01-27T15:09:22.35" personId="{5D3AF245-2A3F-4AAD-90B1-868E92451BE0}" id="{A54C0B2F-E66A-4DC0-8D93-ACC628DEE982}">
    <text>Reference to the maximum score for behaviour header #5. Used to simplify formulae.</text>
  </threadedComment>
  <threadedComment ref="Y21" dT="2026-01-27T15:14:22.31" personId="{5D3AF245-2A3F-4AAD-90B1-868E92451BE0}" id="{61C1D618-FBEB-4B53-AF51-A6383E6ECD64}">
    <text>Reference to the minimum score for behaviour header #1. Used to simplify formulae.</text>
  </threadedComment>
  <threadedComment ref="Y22" dT="2026-01-27T15:14:22.31" personId="{5D3AF245-2A3F-4AAD-90B1-868E92451BE0}" id="{4F8EC9CC-41AD-4070-82C6-6BC77148DA2F}">
    <text>Reference to the minimum score for behaviour header #2. Used to simplify formulae.</text>
  </threadedComment>
  <threadedComment ref="Y23" dT="2026-01-27T15:14:22.31" personId="{5D3AF245-2A3F-4AAD-90B1-868E92451BE0}" id="{6E273767-BDEA-4A32-B36C-30AB1F7F23E4}">
    <text>Reference to the minimum score for behaviour header #3. Used to simplify formulae.</text>
  </threadedComment>
  <threadedComment ref="Y24" dT="2026-01-27T15:14:22.31" personId="{5D3AF245-2A3F-4AAD-90B1-868E92451BE0}" id="{D089B2D2-7239-491C-880E-0D381B82E98B}">
    <text>Reference to the minimum score for behaviour header #4. Used to simplify formulae.</text>
  </threadedComment>
  <threadedComment ref="Y25" dT="2026-01-27T15:14:22.31" personId="{5D3AF245-2A3F-4AAD-90B1-868E92451BE0}" id="{0BB4B623-2B26-4B74-BC84-1ECA6D9A74E5}">
    <text>Reference to the minimum score for behaviour header #5. Used to simplify formulae.</text>
  </threadedComment>
  <threadedComment ref="Y26" dT="2026-01-27T13:09:53.11" personId="{5D3AF245-2A3F-4AAD-90B1-868E92451BE0}" id="{B37F5880-FC94-4A10-A839-9DBF44F1621D}">
    <text>List of "Difference" values for the first chart in the "Analysis" sheet, defined as a dynamic named range to include only the number of factors defined by "numFactorsChart1".</text>
  </threadedComment>
  <threadedComment ref="Y27" dT="2026-01-27T13:18:04.66" personId="{5D3AF245-2A3F-4AAD-90B1-868E92451BE0}" id="{79AFA561-4FC7-42D1-8F8B-DC2A23C007C4}">
    <text>List of "Difference" values for the second chart in the "Analysis" sheet, defined as a dynamic named range to include only the number of factors defined by "numFactorsChart2".</text>
  </threadedComment>
  <threadedComment ref="Y28" dT="2026-01-27T13:19:55.33" personId="{5D3AF245-2A3F-4AAD-90B1-868E92451BE0}" id="{30D27FDA-2F44-4607-9CA3-4F3260F09905}">
    <text>List of "Doers" values for the first chart in the "Analysis" sheet, defined as a dynamic named range to include only the number of factors defined by "numFactorsChart1".</text>
  </threadedComment>
  <threadedComment ref="Y29" dT="2026-01-27T13:23:12.06" personId="{5D3AF245-2A3F-4AAD-90B1-868E92451BE0}" id="{C2CE5CB3-64A7-4FB0-8B0C-43DB64F8CC19}">
    <text>List of "Doers" values for the second chart in the "Analysis" sheet, defined as a dynamic named range to include only the number of factors defined by "numFactorsChart2".</text>
  </threadedComment>
  <threadedComment ref="Y30" dT="2026-01-27T13:29:52.24" personId="{5D3AF245-2A3F-4AAD-90B1-868E92451BE0}" id="{55A0EB8F-A113-47F0-81DB-8D5E8793BCAA}">
    <text>List of "Factor" values for the first chart in the "Analysis" sheet, defined as a dynamic named range to include only the number of factors defined by "numFactorsChart1".</text>
  </threadedComment>
  <threadedComment ref="Y31" dT="2026-01-27T13:30:23.30" personId="{5D3AF245-2A3F-4AAD-90B1-868E92451BE0}" id="{4C49E352-E88B-4329-BDAC-50FEE4297B25}">
    <text>List of "Factor" values for the second chart in the "Analysis" sheet, defined as a dynamic named range to include only the number of factors defined by "numFactorsChart2".</text>
  </threadedComment>
  <threadedComment ref="Y32" dT="2026-01-27T13:36:57.76" personId="{5D3AF245-2A3F-4AAD-90B1-868E92451BE0}" id="{BEDC556C-09DF-4A70-ABC5-8A7A8D720EFD}">
    <text>List of languages that the user can choose from for text elements in the charts. It starts with the languages already available for the user interface (UI), followed by languages that the user can define in the "Configuration" tab.</text>
  </threadedComment>
  <threadedComment ref="Y33" dT="2026-01-27T13:42:41.98" personId="{5D3AF245-2A3F-4AAD-90B1-868E92451BE0}" id="{64898062-36E6-45FA-BBD7-0F6344739EC5}">
    <text>List of "Non-doers" values for the first chart in the "Analysis" sheet, defined as a dynamic named range to include only the number of factors defined by "numFactorsChart1".</text>
  </threadedComment>
  <threadedComment ref="Y34" dT="2026-01-27T13:43:08.05" personId="{5D3AF245-2A3F-4AAD-90B1-868E92451BE0}" id="{21AED473-6BF6-4329-B639-FC160108CCFD}">
    <text>List of "Non-doers" values for the second chart in the "Analysis" sheet, defined as a dynamic named range to include only the number of factors defined by "numFactorsChart2".</text>
  </threadedComment>
  <threadedComment ref="CN34" dT="2026-01-09T14:36:51.16" personId="{5D3AF245-2A3F-4AAD-90B1-868E92451BE0}" id="{343F2EB5-57A6-4C8D-A3F3-E9B8E0BBE862}">
    <text>Legacy version</text>
  </threadedComment>
  <threadedComment ref="CP34" dT="2026-01-09T14:36:51.16" personId="{5D3AF245-2A3F-4AAD-90B1-868E92451BE0}" id="{994267E3-3361-4824-B4A3-30F5E5D59019}">
    <text>Legacy version</text>
  </threadedComment>
  <threadedComment ref="CQ34" dT="2026-01-09T14:36:51.16" personId="{5D3AF245-2A3F-4AAD-90B1-868E92451BE0}" id="{D4A4D34B-5EE5-43AF-97C8-F95147B19289}">
    <text>Legacy version</text>
  </threadedComment>
  <threadedComment ref="CX34" dT="2026-01-09T14:36:51.16" personId="{5D3AF245-2A3F-4AAD-90B1-868E92451BE0}" id="{8357C38D-C22E-493C-B7E3-7BDF57F9A627}">
    <text>Legacy version</text>
  </threadedComment>
  <threadedComment ref="DB34" dT="2026-01-09T14:36:51.16" personId="{5D3AF245-2A3F-4AAD-90B1-868E92451BE0}" id="{01B6D153-1091-43BE-8750-4818FF608602}">
    <text>Legacy version</text>
  </threadedComment>
  <threadedComment ref="DD34" dT="2026-01-09T14:36:51.16" personId="{5D3AF245-2A3F-4AAD-90B1-868E92451BE0}" id="{542614EF-4E61-43DB-B965-327B07EFA70D}">
    <text>Legacy version</text>
  </threadedComment>
  <threadedComment ref="DE34" dT="2026-01-09T14:36:51.16" personId="{5D3AF245-2A3F-4AAD-90B1-868E92451BE0}" id="{BAF157BD-7CBA-495D-842C-F1622F67F52F}">
    <text>Legacy version</text>
  </threadedComment>
  <threadedComment ref="DG34" dT="2026-01-09T14:36:51.16" personId="{5D3AF245-2A3F-4AAD-90B1-868E92451BE0}" id="{AAF340A8-69FE-4884-BFA9-28F6DC56FB6D}">
    <text>Legacy version</text>
  </threadedComment>
  <threadedComment ref="DK34" dT="2026-01-09T14:36:51.16" personId="{5D3AF245-2A3F-4AAD-90B1-868E92451BE0}" id="{758CCC2C-7031-4F18-AA27-22795F830487}">
    <text>Legacy version</text>
  </threadedComment>
  <threadedComment ref="DM34" dT="2026-01-09T14:36:51.16" personId="{5D3AF245-2A3F-4AAD-90B1-868E92451BE0}" id="{5358B228-A2E0-4877-A34B-42B5C277DDA7}">
    <text>Legacy version</text>
  </threadedComment>
  <threadedComment ref="DN34" dT="2026-01-09T14:36:51.16" personId="{5D3AF245-2A3F-4AAD-90B1-868E92451BE0}" id="{F1A10D28-1D9D-4779-B879-39DB213B5C02}">
    <text>Legacy version</text>
  </threadedComment>
  <threadedComment ref="DO34" dT="2026-01-09T14:36:51.16" personId="{5D3AF245-2A3F-4AAD-90B1-868E92451BE0}" id="{CE1D0935-7D3B-40B0-873F-43F1536A4A98}">
    <text>Legacy version</text>
  </threadedComment>
  <threadedComment ref="DP34" dT="2026-01-09T14:36:51.16" personId="{5D3AF245-2A3F-4AAD-90B1-868E92451BE0}" id="{48281D58-DC50-4E69-890E-E31654A3982D}">
    <text>Legacy version</text>
  </threadedComment>
  <threadedComment ref="DQ34" dT="2026-01-09T14:36:51.16" personId="{5D3AF245-2A3F-4AAD-90B1-868E92451BE0}" id="{6775F86F-7A02-46F0-9A62-861834EB7FD9}">
    <text>Legacy version</text>
  </threadedComment>
  <threadedComment ref="DR34" dT="2026-01-09T14:36:51.16" personId="{5D3AF245-2A3F-4AAD-90B1-868E92451BE0}" id="{3FCA4CB4-4C73-499A-A5BF-0CE3AFE94B58}">
    <text>Legacy version</text>
  </threadedComment>
  <threadedComment ref="DS34" dT="2026-01-09T14:36:51.16" personId="{5D3AF245-2A3F-4AAD-90B1-868E92451BE0}" id="{774982DB-0BFC-42DE-80B0-309BC14D86BC}">
    <text>Legacy version</text>
  </threadedComment>
  <threadedComment ref="DT34" dT="2026-01-09T14:36:51.16" personId="{5D3AF245-2A3F-4AAD-90B1-868E92451BE0}" id="{56FDB060-5736-4CE6-8729-A0A1A1D541BB}">
    <text>Legacy version</text>
  </threadedComment>
  <threadedComment ref="DU34" dT="2026-01-09T14:36:51.16" personId="{5D3AF245-2A3F-4AAD-90B1-868E92451BE0}" id="{B8CADD6B-7EBB-43FB-A3C4-32DF9A625650}">
    <text>Legacy version</text>
  </threadedComment>
  <threadedComment ref="DV34" dT="2026-01-09T14:36:51.16" personId="{5D3AF245-2A3F-4AAD-90B1-868E92451BE0}" id="{F41DA8C5-C198-4E74-82C2-D3B151C97384}">
    <text>Legacy version</text>
  </threadedComment>
  <threadedComment ref="Y35" dT="2026-01-07T14:10:05.99" personId="{5D3AF245-2A3F-4AAD-90B1-868E92451BE0}" id="{48BC226F-FD01-45D2-B60B-B5C969AFB89B}">
    <text>Recommended cutoff level that minimizes the absolute difference between the number of doers and the number of non-doers.</text>
  </threadedComment>
  <threadedComment ref="AB35" dT="2026-01-16T17:30:04.27" personId="{5D3AF245-2A3F-4AAD-90B1-868E92451BE0}" id="{1FC628A3-BD28-40B4-BB5E-DA52123B1EFC}">
    <text>For an explanation for the use of LOOKUP() to find the last match in an array, see this link:
https://exceljet.net/formulas/lookup-latest-price</text>
    <extLst>
      <x:ext xmlns:xltc2="http://schemas.microsoft.com/office/spreadsheetml/2020/threadedcomments2" uri="{F7C98A9C-CBB3-438F-8F68-D28B6AF4A901}">
        <xltc2:checksum>41752812</xltc2:checksum>
        <xltc2:hyperlink startIndex="94" length="49" url="https://exceljet.net/formulas/lookup-latest-price"/>
      </x:ext>
    </extLst>
  </threadedComment>
  <threadedComment ref="Y36" dT="2026-01-08T17:25:09.73" personId="{5D3AF245-2A3F-4AAD-90B1-868E92451BE0}" id="{231D4EA3-8C4C-428C-A7BC-96D26254D798}">
    <text>Column number of the last non-empty cell (up to maxColNum) in dataFirstRow. Used to define dataHeaders.</text>
  </threadedComment>
  <threadedComment ref="Y37" dT="2026-01-07T11:27:55.11" personId="{5D3AF245-2A3F-4AAD-90B1-868E92451BE0}" id="{54CCF8C4-939A-4969-9C71-D43B5659856B}">
    <text>Column number of the data column that serves as an index for the survey submissions. Used to copy that column (as dataRefCol) and count the total number of data entries.</text>
  </threadedComment>
  <threadedComment ref="AA37" dT="2026-01-07T11:38:32.15" personId="{5D3AF245-2A3F-4AAD-90B1-868E92451BE0}" id="{3EA9EAB6-464C-40FF-A29C-5AC5F2CF62A3}">
    <text>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ext>
  </threadedComment>
  <threadedComment ref="Y38" dT="2026-01-27T15:20:26.86" personId="{5D3AF245-2A3F-4AAD-90B1-868E92451BE0}" id="{9FBCCA0B-0F3E-4D10-B107-0F855F175A52}">
    <text>Union of all yellow user-editable areas in the tables of the "Configuration" sheet. Used as a shortcut to quickly select them with "Go To..." and define their "locked/hidden" settings. /!\ If these areas change, check if the range resized accordingly /!\</text>
  </threadedComment>
  <threadedComment ref="Y39" dT="2026-01-10T17:53:59.79" personId="{5D3AF245-2A3F-4AAD-90B1-868E92451BE0}" id="{1ED1FFBF-B238-4A39-A3E3-7CCB2BA2EEE9}">
    <text>Error that evaluates to TRUE if any selected behaviour header in behaviourConfigTable is not found in the "data" sheet.</text>
  </threadedComment>
  <threadedComment ref="Y40" dT="2026-01-12T13:36:47.18" personId="{5D3AF245-2A3F-4AAD-90B1-868E92451BE0}" id="{1BCD0FF1-DA5D-4539-B94C-19746D52FE99}">
    <text>Error that evaluates to TRUE if the "Include?" value for a non-empty behaviour header in behaviourConfigTable is missing or invalid.</text>
  </threadedComment>
  <threadedComment ref="Y41" dT="2026-01-12T19:43:39.68" personId="{5D3AF245-2A3F-4AAD-90B1-868E92451BE0}" id="{DB77FBFE-A695-4012-850B-37FA9B88E51C}">
    <text>Error that evaluates to TRUE if a min. or max. score for a selected, non-empty behaviour header in behaviourConfigTable is missing or invalid (e.g., min &gt;= max).</text>
  </threadedComment>
  <threadedComment ref="Y42" dT="2026-01-12T17:12:08.01" personId="{5D3AF245-2A3F-4AAD-90B1-868E92451BE0}" id="{4199D389-F3F7-4C37-85DB-77F36C5CEE14}">
    <text>Error that evaluates to TRUE if none of the valid behaviour headers in behaviourConfigTable (i.e. headers successfully found in the "data" sheet) is selected in the "Include?" column.</text>
  </threadedComment>
  <threadedComment ref="Y43" dT="2026-01-13T07:52:57.14" personId="{5D3AF245-2A3F-4AAD-90B1-868E92451BE0}" id="{736B03EB-F22F-4F8F-AE7B-DD9DDFD55729}">
    <text>Error that evaluates to TRUE if any value in the "data" sheet for the selected behaviour headers falls outside of the corresponding "Min. score"-"Max. score" range defined in behaviourConfigTable.</text>
  </threadedComment>
  <threadedComment ref="Y44" dT="2026-01-20T18:20:38.59" personId="{5D3AF245-2A3F-4AAD-90B1-868E92451BE0}" id="{E948A971-AEFD-4E80-BF50-D017BABD9D29}">
    <text>Error that evaluates to TRUE if the selected chartLanguage is not from the allowed chartLanguageList.</text>
  </threadedComment>
  <threadedComment ref="Y45" dT="2026-01-21T16:39:16.55" personId="{5D3AF245-2A3F-4AAD-90B1-868E92451BE0}" id="{17B9A7AA-8B5C-47F6-A1CE-B38EA8D2E485}">
    <text>Error that evaluates to TRUE if the translation into chartLanguage for any entry in chartTranslationTable is missing.</text>
  </threadedComment>
  <threadedComment ref="Y46" dT="2026-01-21T22:25:51.86" personId="{5D3AF245-2A3F-4AAD-90B1-868E92451BE0}" id="{14283CDC-D4F3-4C5C-A3BB-E8763029DBAB}">
    <text>Error that evaluates to TRUE if the value entered for cutoffLevel is invalid (i.e., not an integer between 0 and 100%).</text>
  </threadedComment>
  <threadedComment ref="AA46" dT="2026-01-26T12:28:29.35" personId="{5D3AF245-2A3F-4AAD-90B1-868E92451BE0}" id="{CE1B0804-00CA-4D76-95CC-70BA8827023F}">
    <text>The test for the whole number is done on the cell itself rather than 100*cutoffLevel, because otherwise rounding errors with the MOD() function can produce false positives.</text>
  </threadedComment>
  <threadedComment ref="Y47" dT="2026-01-09T15:24:34.56" personId="{5D3AF245-2A3F-4AAD-90B1-868E92451BE0}" id="{18BBC9C1-6A69-4400-AD5D-2FBCFBFBA785}">
    <text>Error that evaluates to TRUE if any space character is found in the first row of the "data" sheet. Spaces in column headers could cause problems when referencing those columns.</text>
  </threadedComment>
  <threadedComment ref="Y48" dT="2026-01-21T22:33:24.44" personId="{5D3AF245-2A3F-4AAD-90B1-868E92451BE0}" id="{6C98878A-7F5F-45FC-A412-F804D6DAA995}">
    <text>Error that evaluates to TRUE if the selected sortingMethod is not from the allowed sortMenuList.</text>
  </threadedComment>
  <threadedComment ref="Y49" dT="2026-01-20T16:54:12.61" personId="{5D3AF245-2A3F-4AAD-90B1-868E92451BE0}" id="{7A4E84DF-9EA5-4DBE-BA23-31D8CA68311D}">
    <text>Error that evaluates to TRUE if the "Display?" value for a non-empty factor header in factorConfigTable is missing or invalid.</text>
  </threadedComment>
  <threadedComment ref="Y50" dT="2026-01-20T16:43:49.45" personId="{5D3AF245-2A3F-4AAD-90B1-868E92451BE0}" id="{6327AD21-F5E2-4AA8-99D5-F06E2C68A509}">
    <text>Error that evaluates to TRUE if any selected factor header in factorConfigTable is not found in the "data" sheet.</text>
  </threadedComment>
  <threadedComment ref="Y51" dT="2026-01-20T17:58:05.87" personId="{5D3AF245-2A3F-4AAD-90B1-868E92451BE0}" id="{278C3B32-19EA-42D2-A788-E923A8488E96}">
    <text>Error that evaluates to TRUE if a min. or max. score for a selected, non-empty factor header in factorConfigTable is missing or invalid (e.g., min &gt;= max).</text>
  </threadedComment>
  <threadedComment ref="Y52" dT="2026-01-20T17:05:14.09" personId="{5D3AF245-2A3F-4AAD-90B1-868E92451BE0}" id="{01C52DD6-00F8-4D6C-B072-6B0E9824E8FF}">
    <text>Error that evaluates to TRUE if none of the valid factor headers in factorConfigTable (i.e. headers successfully found in the "data" sheet) is selected in the "Display?" column.</text>
  </threadedComment>
  <threadedComment ref="Y53" dT="2026-01-20T18:15:06.05" personId="{5D3AF245-2A3F-4AAD-90B1-868E92451BE0}" id="{DE2D93FE-8BD9-4A7F-88F1-9C72626ABAAD}">
    <text>Error that evaluates to TRUE if any value in the "data" sheet for the selected factor headers falls outside of the corresponding "Min. score"-"Max. score" range defined in factorConfigTable.</text>
  </threadedComment>
  <threadedComment ref="Y54" dT="2026-01-21T13:41:21.89" personId="{5D3AF245-2A3F-4AAD-90B1-868E92451BE0}" id="{A539FC2A-A770-47B3-B74C-8A171C72BC85}">
    <text>Error that evaluates to TRUE if the translation into chartLanguage for a selected, non-empty factor header in factorConfigTable is missing.</text>
  </threadedComment>
  <threadedComment ref="Y55" dT="2026-01-07T14:52:16.25" personId="{5D3AF245-2A3F-4AAD-90B1-868E92451BE0}" id="{E1A5970E-EE85-4A4E-9903-F00D568C51F7}">
    <text>List of error messages displayed to the user in the "Configuration" sheet, concatenated from a list of possible messages defined in the hidden "Error messages" table.</text>
  </threadedComment>
  <threadedComment ref="Y56" dT="2026-01-09T09:30:28.02" personId="{5D3AF245-2A3F-4AAD-90B1-868E92451BE0}" id="{AC6C909B-7866-422D-82E8-C6A96A224936}">
    <text>Error that evaluates to TRUE if none of the predefined headers for a reference column is found in the "data" sheet.</text>
  </threadedComment>
  <threadedComment ref="Y57" dT="2026-01-09T09:20:18.63" personId="{5D3AF245-2A3F-4AAD-90B1-868E92451BE0}" id="{AF6E7DC9-01F5-4F75-A174-D8B1DB671270}">
    <text>Error that evaluates to TRUE if the "data" sheet does not exist.</text>
  </threadedComment>
  <threadedComment ref="Y58" dT="2026-01-20T22:46:29.25" personId="{5D3AF245-2A3F-4AAD-90B1-868E92451BE0}" id="{7591502D-8F1C-493C-8B3F-9806BD17D2AF}">
    <text>Error that evaluates to TRUE if a RANAS block for a selected, non-empty factor header in factorConfigTable is missing or invalid.</text>
  </threadedComment>
  <threadedComment ref="Y59" dT="2026-01-09T09:18:27.33" personId="{5D3AF245-2A3F-4AAD-90B1-868E92451BE0}" id="{59345150-73A7-4AFE-860F-BDB68B001667}">
    <text>Error that evaluates to TRUE if the selected UILanguage is not from the allowed UILanguageList.</text>
  </threadedComment>
  <threadedComment ref="Y60" dT="2026-01-07T14:44:46.08" personId="{5D3AF245-2A3F-4AAD-90B1-868E92451BE0}" id="{303A217B-0797-4C81-9D61-BBE0A1E6C70D}">
    <text>Translation of "Behaviour score" into the chartLanguage selected by the user. Used mostly for the axis label on the chart, which can accept a named variable, but not a complex formula.</text>
  </threadedComment>
  <threadedComment ref="Y61" dT="2026-01-07T14:44:07.59" personId="{5D3AF245-2A3F-4AAD-90B1-868E92451BE0}" id="{850F4624-7EC3-460F-AFEC-32934209FD8C}">
    <text>Translation of "Cutoff level" into the chartLanguage selected by the user. Used mostly for the axis label on the chart, which can accept a named variable, but not a complex formula.</text>
  </threadedComment>
  <threadedComment ref="Y62" dT="2026-01-07T14:47:01.58" personId="{5D3AF245-2A3F-4AAD-90B1-868E92451BE0}" id="{F4BC9FE4-A5D3-49D9-8CA6-C4731DC09A31}">
    <text>Translation of "Normalized mean score" into the chartLanguage selected by the user. Used mostly for the axis label on the chart, which can accept a named variable, but not a complex formula.</text>
  </threadedComment>
  <threadedComment ref="AA62" dT="2023-02-25T04:21:27.96" personId="{5D3AF245-2A3F-4AAD-90B1-868E92451BE0}" id="{A7BAF418-6AFA-4735-AF91-43C5DE25FB15}">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 ref="AB62" dT="2026-01-12T16:49:31.64" personId="{5D3AF245-2A3F-4AAD-90B1-868E92451BE0}" id="{6D2BDB2D-DEF7-4BD0-B302-C5B450709BED}">
    <text>Note: Using the function UNICHAR() in this formula could make it incompatible with Excel versions prior to 2013. Find an alternative (e.g., just use a regular hyphen) if this turns out to be a problem.</text>
  </threadedComment>
  <threadedComment ref="Y63" dT="2026-01-07T14:50:02.83" personId="{5D3AF245-2A3F-4AAD-90B1-868E92451BE0}" id="{DECBFD3E-B119-43A3-8C16-48BE13D1DA62}">
    <text>Translation of "# of responses" into the chartLanguage selected by the user. Used mostly for the axis label on the chart, which can accept a named variable, but not a complex formula.</text>
  </threadedComment>
  <threadedComment ref="Y64" dT="2026-01-07T14:50:59.79" personId="{5D3AF245-2A3F-4AAD-90B1-868E92451BE0}" id="{CBD9C711-5209-416C-8A94-54CD0ED95062}">
    <text>Translation of "% of responses" into the chartLanguage selected by the user. Used mostly for the axis label on the chart, which can accept a named variable, but not a complex formula.</text>
  </threadedComment>
  <threadedComment ref="Y65" dT="2026-01-27T17:51:28.34" personId="{5D3AF245-2A3F-4AAD-90B1-868E92451BE0}" id="{3428773C-B63D-401E-B7F9-7955C0E75568}">
    <text>List of the user-interface + user-defined languages in the header of the "Factors configuration table". Used to compute the "chartLanguageList" and to look up various text values in the selected chartLanguage.</text>
  </threadedComment>
  <threadedComment ref="Y66" dT="2026-01-07T11:13:42.79" personId="{5D3AF245-2A3F-4AAD-90B1-868E92451BE0}" id="{B3C2F7E7-D905-488E-959F-71514EBA8466}">
    <text>Local equivalent of the "address" parameter for the CELL() function, which is specific to the language version of Excel. CELL() is used to dynamically reference the sheets' names, in case they change in the future.</text>
  </threadedComment>
  <threadedComment ref="AA66" dT="2023-02-27T02:54:44.34" personId="{5D3AF245-2A3F-4AAD-90B1-868E92451BE0}" id="{BDFD382D-8813-439A-8635-35E286C727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Y67" dT="2026-01-07T14:40:30.72" personId="{5D3AF245-2A3F-4AAD-90B1-868E92451BE0}" id="{63EC71EC-6CC4-403B-BC02-E2EE9D085CC6}">
    <text>Maximum doers/non-doers difference (in absolute value) used to define the lower and upper limits of the colour scale in Conditional formatting for the "Difference" column of the "analysisChartTable".</text>
  </threadedComment>
  <threadedComment ref="Y68" dT="2026-01-27T18:06:47.08" personId="{5D3AF245-2A3F-4AAD-90B1-868E92451BE0}" id="{8E5387EE-F35C-4C99-B5A2-501661974AE7}">
    <text>Reference to the label meaning "no" in the drop-down menus of the "Include?" and "Display?" columns of the "Behaviour" and "Factors" configuration tables. Used in UI text.</text>
  </threadedComment>
  <threadedComment ref="Y69" dT="2026-01-07T14:00:40.92" personId="{5D3AF245-2A3F-4AAD-90B1-868E92451BE0}" id="{98EFA81E-B26B-4162-BF70-4BBA624CECE4}">
    <text>Number of entries in the "data" sheet. It is counted as the number of values in the "index" column dataRefCol.</text>
  </threadedComment>
  <threadedComment ref="Y70" dT="2026-01-07T14:16:38.98" personId="{5D3AF245-2A3F-4AAD-90B1-868E92451BE0}" id="{6987FA74-F492-4B7C-99EF-65FE22D4256E}">
    <text>Number of factors selected for display by the user in the Configuration tab (up to 30). Used to calculate the number of factors displayed in each chart of the "Analysis" sheet ("numFactorsChart1" and "numFactorsChart2").</text>
  </threadedComment>
  <threadedComment ref="Y71" dT="2026-01-07T14:24:50.65" personId="{5D3AF245-2A3F-4AAD-90B1-868E92451BE0}" id="{0E5A0A8E-AF58-40CB-BAF5-BF37AA6895DC}">
    <text>Number of factors that will be displayed in the first chart of the "Analysis" sheet. It depends on "numFactors" and "numFactorsThreshold" in order to split the factors across both charts. Used to define a dynamic range for the chart data.</text>
  </threadedComment>
  <threadedComment ref="Y72" dT="2026-01-07T14:27:30.39" personId="{5D3AF245-2A3F-4AAD-90B1-868E92451BE0}" id="{9C2EF22F-7719-45E7-A51A-43194BFC951E}">
    <text>Number of factors that will be displayed in the second chart of the "Analysis" sheet. It depends on "numFactors" and "numFactorsThreshold" in order to split the factors across both charts. Used to define a dynamic range for the chart data.</text>
  </threadedComment>
  <threadedComment ref="Y73" dT="2026-01-07T14:31:54.60" personId="{5D3AF245-2A3F-4AAD-90B1-868E92451BE0}" id="{F8EA8679-A5A3-4E64-B223-C85FD6BD4DCD}">
    <text>Number of languages available to display chart/table text (it includes the UI + the user-defined languages). Used mostly to define a dynamic range for the "Chart language" drop-down menu.</text>
  </threadedComment>
  <threadedComment ref="Y74" dT="2026-01-07T14:05:01.19" personId="{5D3AF245-2A3F-4AAD-90B1-868E92451BE0}" id="{80D50726-EF2C-4C67-9FBB-E23389320578}">
    <text>Number of scores, i.e. number of "data" entries having at least one non-empty value among the selected "behaviour" questions and for which a behaviour score can be computed.</text>
  </threadedComment>
  <threadedComment ref="Y75" dT="2026-01-27T23:01:04.70" personId="{5D3AF245-2A3F-4AAD-90B1-868E92451BE0}" id="{EC282725-E97D-4442-A25E-96E89D8860B6}">
    <text>List of RANAS blocks in (currently) both UI languages (English, Français) used in drop-down menus in the "Factors configuration table".</text>
  </threadedComment>
  <threadedComment ref="Y76" dT="2026-01-07T11:16:08.31" personId="{5D3AF245-2A3F-4AAD-90B1-868E92451BE0}" id="{D7D70823-CDCD-482A-8D64-14AAA174D567}">
    <text>Dynamic reference to the "Analysis" sheet name (in case it changes in the future), used mostly in UI text.</text>
  </threadedComment>
  <threadedComment ref="Y77" dT="2026-01-07T11:15:23.66" personId="{5D3AF245-2A3F-4AAD-90B1-868E92451BE0}" id="{D7107A38-D6DB-469A-8C87-CE953DC74C5C}">
    <text>Dynamic reference to the "Configuration" sheet name (in case it changes in the future), used mostly in UI text.</text>
  </threadedComment>
  <threadedComment ref="Y78" dT="2026-01-07T11:15:54.85" personId="{5D3AF245-2A3F-4AAD-90B1-868E92451BE0}" id="{38B92C36-2D09-4392-B5D0-AB22DF93AA64}">
    <text>Dynamic reference to the "Cutoff" sheet name (in case it changes in the future), used mostly in UI text.</text>
  </threadedComment>
  <threadedComment ref="Y79" dT="2026-01-07T11:14:56.54" personId="{5D3AF245-2A3F-4AAD-90B1-868E92451BE0}" id="{07A2D467-7B27-4D0F-A15A-9EF144A70C0D}">
    <text>Dynamic reference to the "HiddenTables" sheet name (in case it changes in the future).</text>
  </threadedComment>
  <threadedComment ref="AA79" dT="2023-02-27T02:54:44.34" personId="{5D3AF245-2A3F-4AAD-90B1-868E92451BE0}" id="{920D1D5A-2398-4BA7-B424-F90D035B6A6A}">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Y80" dT="2026-01-07T11:15:12.27" personId="{5D3AF245-2A3F-4AAD-90B1-868E92451BE0}" id="{99D08BBB-6A83-48E4-92DF-884E316E478F}">
    <text>Dynamic reference to the "Introduction" sheet name (in case it changes in the future), used mostly in UI text.</text>
  </threadedComment>
  <threadedComment ref="Y81" dT="2026-01-07T14:43:07.22" personId="{5D3AF245-2A3F-4AAD-90B1-868E92451BE0}" id="{CA9389B5-559B-4E70-9A1A-9063BF203F27}">
    <text>Tag associated with the selected sorting method for the data in the "Factors analysis chart". Used to simplify the formula that sorts the data according to the selected method.</text>
  </threadedComment>
  <threadedComment ref="Y82" dT="2026-01-28T12:17:07.12" personId="{5D3AF245-2A3F-4AAD-90B1-868E92451BE0}" id="{52CA9CC3-2DD0-427C-849D-AA85538CB280}">
    <text>List of sorting options for the "Factors analysis chart". Using symbols to make it (sort of) language-independent, so the options must be described in the UI language next to the menu.</text>
  </threadedComment>
  <threadedComment ref="Y83" dT="2026-01-28T12:27:01.86" personId="{5D3AF245-2A3F-4AAD-90B1-868E92451BE0}" id="{581ECF05-C743-4C62-BBE0-89915C1748BD}">
    <text>List of available languages for the user interface. New languages must be added as new columns in UITranslationTable, errorMessagesTable, factorsConfigTable and chartTranslationTable, completed with all corresponding translations.</text>
  </threadedComment>
  <threadedComment ref="Y84" dT="2026-01-27T18:10:32.10" personId="{5D3AF245-2A3F-4AAD-90B1-868E92451BE0}" id="{2C6136A3-2FA2-4040-B462-4804885A4F56}">
    <text>Reference to the label meaning "yes" in the drop-down menus of the "Include?" and "Display?" columns of the "Behaviour" and "Factors" configuration tables.  Used in UI text and conditional formatting rules.</text>
  </threadedComment>
  <threadedComment ref="Y85" dT="2026-01-28T13:19:06.00" personId="{5D3AF245-2A3F-4AAD-90B1-868E92451BE0}" id="{1B90EA43-A512-4D8C-AED7-B8CCEAA8D002}">
    <text>List of yes/no values (check mark/cross mark) used in drop-down menus in the "Behaviour configuration table" and "Factors configuration table" to include behaviour questions/factors in the behaviour score/analysis chart.</text>
  </threadedComment>
  <threadedComment ref="AA112" dT="2026-01-26T12:28:29.35" personId="{5D3AF245-2A3F-4AAD-90B1-868E92451BE0}" id="{CAE2CE7C-DC90-4E8B-8BFF-5771B8010C60}">
    <text>The test for the whole number is done on the cell itself rather than on 100*cutoffLevel, because otherwise rounding errors with the MOD() function can produce false positives.</text>
  </threadedComment>
  <threadedComment ref="Y113" dT="2026-01-26T11:19:14.46" personId="{5D3AF245-2A3F-4AAD-90B1-868E92451BE0}" id="{C13CC2AB-4B99-40A8-9566-82F95A04CE16}">
    <text>This CF rule displays a decimal digit to the cutoff level value (e.g., 56.7%) to highlight that the entered value is not a whole number.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drawing" Target="../drawings/drawing1.xml"/><Relationship Id="rId16"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microsoft.com/office/2017/10/relationships/threadedComment" Target="../threadedComments/threadedComment2.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7F1E-25AA-4AE8-99EF-6E049206A1C6}">
  <sheetPr codeName="Sheet5"/>
  <dimension ref="A1:D6"/>
  <sheetViews>
    <sheetView workbookViewId="0">
      <selection activeCell="C7" sqref="C7"/>
    </sheetView>
  </sheetViews>
  <sheetFormatPr defaultRowHeight="14.4" customHeight="1" x14ac:dyDescent="0.3"/>
  <cols>
    <col min="1" max="1" width="14.21875" style="9" customWidth="1"/>
    <col min="2" max="2" width="11.33203125" style="1" bestFit="1" customWidth="1"/>
    <col min="3" max="3" width="13.5546875" style="1" customWidth="1"/>
    <col min="4" max="16384" width="8.88671875" style="1"/>
  </cols>
  <sheetData>
    <row r="1" spans="1:4" ht="14.4" customHeight="1" x14ac:dyDescent="0.3">
      <c r="A1" s="74" t="s">
        <v>670</v>
      </c>
    </row>
    <row r="2" spans="1:4" ht="14.4" customHeight="1" x14ac:dyDescent="0.3">
      <c r="A2" s="9" t="e" cm="1">
        <f t="array" aca="1" ref="A2" ca="1">INDIRECT(
    ADDRESS(1, 1, 1, 0, sheetNameData)
    &amp; ":"
    &amp; ADDRESS(1, maxColNum, 1, 0),
    FALSE
  ) &amp; ""</f>
        <v>#REF!</v>
      </c>
    </row>
    <row r="4" spans="1:4" ht="14.4" customHeight="1" x14ac:dyDescent="0.3">
      <c r="A4" s="74" t="s">
        <v>672</v>
      </c>
      <c r="C4" s="62" t="s">
        <v>557</v>
      </c>
      <c r="D4" s="1" t="e" cm="1">
        <f t="array" aca="1" ref="D4" ca="1">IF(
    errorNoDataSheet,
    NA(),
    INDEX(dataFirstRow, 1, 1)
    :INDEX(dataFirstRow, 1, dataLastColNum)
  )</f>
        <v>#N/A</v>
      </c>
    </row>
    <row r="5" spans="1:4" ht="14.4" customHeight="1" x14ac:dyDescent="0.3">
      <c r="A5" s="9" t="e" cm="1">
        <f t="array" aca="1" ref="A5" ca="1">IF(
    ISNA(dataRefColNum),
    NA(),
    INDIRECT(
      ADDRESS(2, dataRefColNum, 1, 0, sheetNameData)
      &amp; ":"
      &amp; ADDRESS(maxRowNum, dataRefColNum, 1, 0),
      FALSE
    ) &amp; ""
  )</f>
        <v>#N/A</v>
      </c>
      <c r="C5" s="62" t="s">
        <v>426</v>
      </c>
      <c r="D5" s="1" t="e" cm="1">
        <f t="array" aca="1" ref="D5" ca="1">IF(
    OR(ISNA(numEntries), numEntries = 0),
    NA(),
    KeepBlanksFunction(
      INDIRECT(
        ADDRESS(2, 1, 1, 0, sheetNameData)
        &amp; ":"
        &amp; ADDRESS(numEntries + 1, dataLastColNum, 1, 0),
        FALSE
      )
    )
  )</f>
        <v>#N/A</v>
      </c>
    </row>
    <row r="6" spans="1:4" ht="14.4" customHeight="1" x14ac:dyDescent="0.3">
      <c r="C6" s="164" t="s">
        <v>683</v>
      </c>
    </row>
  </sheetData>
  <sheetProtection algorithmName="SHA-512" hashValue="fKP9rAYExLv9B074cZ2XlO1HxvA5yd6bLjrPs3nViZjbQm979zyy7asewnLdj/P6pPIquzkeSoLdUfiFR575Mg==" saltValue="kVDBMbsm+rUnoU+sLQul1g==" spinCount="100000" sheet="1" objects="1" scenarios="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V118"/>
  <sheetViews>
    <sheetView topLeftCell="A33" zoomScaleNormal="100" workbookViewId="0">
      <selection activeCell="J24" sqref="J24"/>
    </sheetView>
  </sheetViews>
  <sheetFormatPr defaultRowHeight="14.4" customHeight="1" x14ac:dyDescent="0.3"/>
  <cols>
    <col min="1" max="4" width="20.6640625" style="1" customWidth="1"/>
    <col min="5" max="5" width="8.5546875" style="1" customWidth="1"/>
    <col min="6" max="8" width="20.6640625" style="1" customWidth="1"/>
    <col min="9" max="10" width="8.88671875" style="1"/>
    <col min="11" max="11" width="27.33203125" style="1" bestFit="1" customWidth="1"/>
    <col min="12" max="12" width="11.109375" style="1" customWidth="1"/>
    <col min="13" max="14" width="20.88671875" style="1" customWidth="1"/>
    <col min="15" max="15" width="14.33203125" style="1" customWidth="1"/>
    <col min="16" max="17" width="14.6640625" style="1" customWidth="1"/>
    <col min="18" max="19" width="8.88671875" style="1"/>
    <col min="20" max="20" width="25" style="1" bestFit="1" customWidth="1"/>
    <col min="21" max="21" width="30.77734375" style="1" customWidth="1"/>
    <col min="22" max="23" width="8.88671875" style="1"/>
    <col min="24" max="24" width="21" style="1" bestFit="1" customWidth="1"/>
    <col min="25" max="25" width="31.88671875" style="1" bestFit="1" customWidth="1"/>
    <col min="26" max="26" width="25.6640625" style="1" customWidth="1"/>
    <col min="27" max="27" width="19.21875" style="1" customWidth="1"/>
    <col min="28" max="28" width="16.21875" style="1" customWidth="1"/>
    <col min="29" max="30" width="8.88671875" style="1"/>
    <col min="31" max="31" width="17.6640625" style="1" bestFit="1" customWidth="1"/>
    <col min="32" max="32" width="10.88671875" style="1" bestFit="1" customWidth="1"/>
    <col min="33" max="33" width="13.88671875" style="1" bestFit="1" customWidth="1"/>
    <col min="34" max="34" width="13.6640625" style="1" bestFit="1" customWidth="1"/>
    <col min="35" max="37" width="8.88671875" style="1"/>
    <col min="38" max="38" width="8.33203125" style="1" customWidth="1"/>
    <col min="39" max="40" width="8.88671875" style="1"/>
    <col min="41" max="41" width="12.5546875" style="1" bestFit="1" customWidth="1"/>
    <col min="42" max="42" width="27.109375" style="1" bestFit="1" customWidth="1"/>
    <col min="43" max="43" width="17.44140625" style="1" customWidth="1"/>
    <col min="44" max="46" width="8.88671875" style="1"/>
    <col min="47" max="47" width="14.109375" style="1" customWidth="1"/>
    <col min="48" max="48" width="8.88671875" style="1" customWidth="1"/>
    <col min="49" max="49" width="14.109375" style="1" customWidth="1"/>
    <col min="50" max="51" width="8.88671875" style="1"/>
    <col min="52" max="52" width="17.44140625" style="1" customWidth="1"/>
    <col min="53" max="53" width="14.6640625" style="1" bestFit="1" customWidth="1"/>
    <col min="54" max="54" width="9.88671875" style="1" customWidth="1"/>
    <col min="55" max="55" width="18.33203125" style="1" customWidth="1"/>
    <col min="56" max="59" width="11.6640625" style="1" customWidth="1"/>
    <col min="60" max="60" width="16.88671875" style="1" bestFit="1" customWidth="1"/>
    <col min="61" max="61" width="17.21875" style="1" bestFit="1" customWidth="1"/>
    <col min="62" max="62" width="16" style="1" bestFit="1" customWidth="1"/>
    <col min="63" max="63" width="12.5546875" style="1" bestFit="1" customWidth="1"/>
    <col min="64" max="64" width="8.88671875" style="1"/>
    <col min="65" max="69" width="14.77734375" style="1" customWidth="1"/>
    <col min="70" max="70" width="24.33203125" style="1" bestFit="1" customWidth="1"/>
    <col min="71" max="71" width="26.33203125" style="1" bestFit="1" customWidth="1"/>
    <col min="72" max="72" width="14.5546875" style="1" bestFit="1" customWidth="1"/>
    <col min="73" max="75" width="8.88671875" style="1"/>
    <col min="76" max="76" width="12.88671875" style="1" customWidth="1"/>
    <col min="77" max="77" width="8.88671875" style="1"/>
    <col min="78" max="78" width="16" style="1" bestFit="1" customWidth="1"/>
    <col min="79" max="79" width="18.33203125" style="1" bestFit="1" customWidth="1"/>
    <col min="80" max="80" width="14.6640625" style="1" bestFit="1" customWidth="1"/>
    <col min="81" max="82" width="8.88671875" style="1"/>
    <col min="83" max="83" width="12.6640625" style="1" customWidth="1"/>
    <col min="84" max="84" width="15.33203125" style="1" customWidth="1"/>
    <col min="85" max="86" width="8.88671875" style="1"/>
    <col min="87" max="87" width="19.33203125" style="1" customWidth="1"/>
    <col min="88" max="88" width="14.44140625" style="1" bestFit="1" customWidth="1"/>
    <col min="89" max="89" width="11.6640625" style="1" bestFit="1" customWidth="1"/>
    <col min="90" max="90" width="8.88671875" style="1"/>
    <col min="91" max="91" width="8.6640625" style="1" customWidth="1"/>
    <col min="92" max="92" width="16.6640625" style="1" bestFit="1" customWidth="1"/>
    <col min="93" max="93" width="15" style="1" bestFit="1" customWidth="1"/>
    <col min="94" max="94" width="11.109375" style="1" bestFit="1" customWidth="1"/>
    <col min="95" max="95" width="11.88671875" style="1" bestFit="1" customWidth="1"/>
    <col min="96" max="97" width="11.88671875" style="1" customWidth="1"/>
    <col min="98" max="98" width="16.88671875" style="1" bestFit="1" customWidth="1"/>
    <col min="99" max="99" width="17.21875" style="1" bestFit="1" customWidth="1"/>
    <col min="100" max="100" width="15.6640625" style="1" bestFit="1" customWidth="1"/>
    <col min="101" max="102" width="12" style="1" bestFit="1" customWidth="1"/>
    <col min="103" max="103" width="12.6640625" style="1" bestFit="1" customWidth="1"/>
    <col min="104" max="104" width="14.5546875" style="1" bestFit="1" customWidth="1"/>
    <col min="105" max="105" width="12.6640625" style="1" bestFit="1" customWidth="1"/>
    <col min="106" max="106" width="14.5546875" style="1" bestFit="1" customWidth="1"/>
    <col min="107" max="107" width="13.88671875" style="1" customWidth="1"/>
    <col min="108" max="108" width="14.5546875" style="1" bestFit="1" customWidth="1"/>
    <col min="109" max="110" width="13.88671875" style="1" customWidth="1"/>
    <col min="111" max="111" width="13.77734375" style="1" bestFit="1" customWidth="1"/>
    <col min="112" max="112" width="12.5546875" style="1" bestFit="1" customWidth="1"/>
    <col min="113" max="114" width="13.33203125" style="1" bestFit="1" customWidth="1"/>
    <col min="115" max="115" width="14.33203125" style="1" bestFit="1" customWidth="1"/>
    <col min="116" max="116" width="13.33203125" style="1" bestFit="1" customWidth="1"/>
    <col min="117" max="117" width="13.21875" style="1" bestFit="1" customWidth="1"/>
    <col min="118" max="118" width="16.33203125" style="1" customWidth="1"/>
    <col min="119" max="119" width="17.33203125" style="1" customWidth="1"/>
    <col min="120" max="120" width="12.6640625" style="1" customWidth="1"/>
    <col min="121" max="121" width="21.88671875" style="1" bestFit="1" customWidth="1"/>
    <col min="122" max="122" width="12.33203125" style="1" customWidth="1"/>
    <col min="123" max="123" width="17" style="1" bestFit="1" customWidth="1"/>
    <col min="124" max="124" width="17.33203125" style="1" bestFit="1" customWidth="1"/>
    <col min="125" max="125" width="13.33203125" style="1" bestFit="1" customWidth="1"/>
    <col min="126" max="126" width="17.33203125" style="1" bestFit="1" customWidth="1"/>
    <col min="127" max="127" width="8.88671875" style="1" customWidth="1"/>
    <col min="128" max="128" width="8.88671875" style="1"/>
    <col min="129" max="133" width="8.88671875" style="1" customWidth="1"/>
    <col min="134" max="134" width="8.88671875" style="1"/>
    <col min="135" max="135" width="8.88671875" style="1" customWidth="1"/>
    <col min="136" max="16384" width="8.88671875" style="1"/>
  </cols>
  <sheetData>
    <row r="1" spans="5:126" ht="14.4" customHeight="1" x14ac:dyDescent="0.3">
      <c r="E1" s="1" t="s">
        <v>37</v>
      </c>
      <c r="J1" s="1" t="s">
        <v>175</v>
      </c>
      <c r="O1" s="164" t="s">
        <v>451</v>
      </c>
      <c r="P1" s="164" t="s">
        <v>570</v>
      </c>
      <c r="S1" s="1" t="s">
        <v>668</v>
      </c>
      <c r="W1" s="1" t="s">
        <v>419</v>
      </c>
      <c r="AD1" s="12" t="s">
        <v>47</v>
      </c>
      <c r="AE1" s="12"/>
      <c r="AF1" s="12"/>
      <c r="AH1" s="12"/>
      <c r="AJ1" s="1" t="s">
        <v>121</v>
      </c>
      <c r="AN1" s="1" t="s">
        <v>127</v>
      </c>
      <c r="AS1" s="1" t="s">
        <v>139</v>
      </c>
      <c r="AW1" s="12" t="s">
        <v>184</v>
      </c>
      <c r="AY1" s="1" t="s">
        <v>95</v>
      </c>
      <c r="BM1" s="1" t="s">
        <v>674</v>
      </c>
      <c r="BW1" s="1" t="s">
        <v>97</v>
      </c>
      <c r="CD1" s="1" t="s">
        <v>490</v>
      </c>
      <c r="CH1" s="1" t="s">
        <v>32</v>
      </c>
      <c r="CM1" s="1" t="s">
        <v>94</v>
      </c>
      <c r="CQ1" s="173"/>
      <c r="CR1" s="173"/>
      <c r="CS1" s="173"/>
      <c r="CT1" s="173"/>
      <c r="CU1" s="173"/>
      <c r="CV1" s="173"/>
      <c r="CX1" s="12"/>
      <c r="DE1" s="12"/>
      <c r="DF1" s="12"/>
      <c r="DG1" s="12"/>
      <c r="DH1" s="12"/>
      <c r="DI1" s="12"/>
      <c r="DJ1" s="12"/>
    </row>
    <row r="2" spans="5:126" ht="14.4" customHeight="1" x14ac:dyDescent="0.3">
      <c r="E2" s="1" t="s">
        <v>1</v>
      </c>
      <c r="F2" s="1" t="s">
        <v>12</v>
      </c>
      <c r="G2" s="1" t="s">
        <v>3</v>
      </c>
      <c r="H2" s="1" t="s">
        <v>5</v>
      </c>
      <c r="J2" s="1" t="s">
        <v>1</v>
      </c>
      <c r="K2" s="1" t="s">
        <v>0</v>
      </c>
      <c r="L2" s="1" t="s">
        <v>176</v>
      </c>
      <c r="M2" s="1" t="s">
        <v>3</v>
      </c>
      <c r="N2" s="1" t="s">
        <v>5</v>
      </c>
      <c r="O2" s="1" t="s">
        <v>149</v>
      </c>
      <c r="P2" s="1" t="s">
        <v>177</v>
      </c>
      <c r="Q2" s="174" t="s">
        <v>417</v>
      </c>
      <c r="S2" s="1" t="s">
        <v>1</v>
      </c>
      <c r="T2" s="1" t="s">
        <v>0</v>
      </c>
      <c r="U2" s="1" t="s">
        <v>29</v>
      </c>
      <c r="W2" s="1" t="s">
        <v>1</v>
      </c>
      <c r="X2" s="1" t="s">
        <v>406</v>
      </c>
      <c r="Y2" s="1" t="s">
        <v>0</v>
      </c>
      <c r="Z2" s="1" t="s">
        <v>29</v>
      </c>
      <c r="AA2" s="1" t="s">
        <v>398</v>
      </c>
      <c r="AB2" s="175" t="s">
        <v>407</v>
      </c>
      <c r="AD2" s="12" t="s">
        <v>1</v>
      </c>
      <c r="AE2" s="12" t="s">
        <v>44</v>
      </c>
      <c r="AF2" s="12" t="s">
        <v>150</v>
      </c>
      <c r="AG2" s="12" t="s">
        <v>149</v>
      </c>
      <c r="AH2" s="12" t="s">
        <v>43</v>
      </c>
      <c r="AJ2" s="1" t="s">
        <v>1</v>
      </c>
      <c r="AK2" s="1" t="s">
        <v>12</v>
      </c>
      <c r="AL2" s="1" t="s">
        <v>98</v>
      </c>
      <c r="AN2" s="1" t="s">
        <v>1</v>
      </c>
      <c r="AO2" s="1" t="s">
        <v>12</v>
      </c>
      <c r="AP2" s="1" t="s">
        <v>98</v>
      </c>
      <c r="AQ2" s="1" t="s">
        <v>20</v>
      </c>
      <c r="AS2" s="1" t="s">
        <v>1</v>
      </c>
      <c r="AT2" s="1" t="s">
        <v>12</v>
      </c>
      <c r="AU2" s="1" t="s">
        <v>98</v>
      </c>
      <c r="AW2" s="11" t="s">
        <v>173</v>
      </c>
      <c r="AY2" s="1" t="s">
        <v>1</v>
      </c>
      <c r="AZ2" s="1" t="s">
        <v>65</v>
      </c>
      <c r="BA2" s="1" t="s">
        <v>147</v>
      </c>
      <c r="BB2" s="1" t="s">
        <v>146</v>
      </c>
      <c r="BC2" s="1" t="s">
        <v>96</v>
      </c>
      <c r="BD2" s="1" t="s">
        <v>66</v>
      </c>
      <c r="BE2" s="1" t="s">
        <v>67</v>
      </c>
      <c r="BF2" s="1" t="s">
        <v>296</v>
      </c>
      <c r="BG2" s="1" t="s">
        <v>297</v>
      </c>
      <c r="BH2" s="1" t="s">
        <v>457</v>
      </c>
      <c r="BI2" s="1" t="s">
        <v>458</v>
      </c>
      <c r="BJ2" s="1" t="s">
        <v>35</v>
      </c>
      <c r="BK2" s="1" t="s">
        <v>79</v>
      </c>
      <c r="BM2" s="164" t="s">
        <v>678</v>
      </c>
      <c r="BN2" s="164" t="s">
        <v>679</v>
      </c>
      <c r="BO2" s="164" t="s">
        <v>680</v>
      </c>
      <c r="BP2" s="164" t="s">
        <v>681</v>
      </c>
      <c r="BQ2" s="164" t="s">
        <v>682</v>
      </c>
      <c r="BW2" s="1" t="s">
        <v>1</v>
      </c>
      <c r="BX2" s="1" t="s">
        <v>39</v>
      </c>
      <c r="BY2" s="1" t="s">
        <v>98</v>
      </c>
      <c r="BZ2" s="1" t="s">
        <v>35</v>
      </c>
      <c r="CA2" s="1" t="s">
        <v>298</v>
      </c>
      <c r="CB2" s="1" t="s">
        <v>299</v>
      </c>
      <c r="CD2" s="1" t="s">
        <v>1</v>
      </c>
      <c r="CE2" s="1" t="s">
        <v>39</v>
      </c>
      <c r="CF2" s="1" t="s">
        <v>99</v>
      </c>
      <c r="CH2" s="1" t="s">
        <v>1</v>
      </c>
      <c r="CI2" s="1" t="s">
        <v>110</v>
      </c>
      <c r="CJ2" s="1" t="s">
        <v>111</v>
      </c>
      <c r="CK2" s="1" t="s">
        <v>26</v>
      </c>
      <c r="CM2" s="1" t="s">
        <v>1</v>
      </c>
      <c r="CN2" s="1" t="s">
        <v>55</v>
      </c>
      <c r="CO2" s="1" t="s">
        <v>57</v>
      </c>
      <c r="CP2" s="1" t="s">
        <v>66</v>
      </c>
      <c r="CQ2" s="1" t="s">
        <v>67</v>
      </c>
      <c r="CR2" s="1" t="s">
        <v>296</v>
      </c>
      <c r="CS2" s="1" t="s">
        <v>297</v>
      </c>
      <c r="CT2" s="1" t="s">
        <v>457</v>
      </c>
      <c r="CU2" s="1" t="s">
        <v>458</v>
      </c>
      <c r="CV2" s="1" t="s">
        <v>28</v>
      </c>
      <c r="CW2" s="1" t="s">
        <v>27</v>
      </c>
      <c r="CX2" s="1" t="s">
        <v>33</v>
      </c>
      <c r="CY2" s="1" t="s">
        <v>25</v>
      </c>
      <c r="CZ2" s="1" t="s">
        <v>24</v>
      </c>
      <c r="DA2" s="1" t="s">
        <v>26</v>
      </c>
      <c r="DB2" s="1" t="s">
        <v>183</v>
      </c>
      <c r="DC2" s="1" t="s">
        <v>148</v>
      </c>
      <c r="DD2" s="1" t="s">
        <v>149</v>
      </c>
      <c r="DE2" s="1" t="s">
        <v>141</v>
      </c>
      <c r="DF2" s="1" t="s">
        <v>99</v>
      </c>
      <c r="DG2" s="1" t="s">
        <v>171</v>
      </c>
      <c r="DH2" s="1" t="s">
        <v>165</v>
      </c>
      <c r="DI2" s="1" t="s">
        <v>166</v>
      </c>
      <c r="DJ2" s="1" t="s">
        <v>167</v>
      </c>
      <c r="DK2" s="1" t="s">
        <v>302</v>
      </c>
      <c r="DL2" s="1" t="s">
        <v>303</v>
      </c>
      <c r="DM2" s="1" t="s">
        <v>151</v>
      </c>
      <c r="DN2" s="1" t="s">
        <v>152</v>
      </c>
      <c r="DO2" s="1" t="s">
        <v>153</v>
      </c>
      <c r="DP2" s="1" t="s">
        <v>164</v>
      </c>
      <c r="DQ2" s="1" t="s">
        <v>157</v>
      </c>
      <c r="DR2" s="1" t="s">
        <v>19</v>
      </c>
      <c r="DS2" s="1" t="s">
        <v>160</v>
      </c>
      <c r="DT2" s="1" t="s">
        <v>161</v>
      </c>
      <c r="DU2" s="1" t="s">
        <v>162</v>
      </c>
      <c r="DV2" s="1" t="s">
        <v>163</v>
      </c>
    </row>
    <row r="3" spans="5:126" ht="14.4" customHeight="1" x14ac:dyDescent="0.3">
      <c r="E3" s="9" cm="1">
        <f t="array" ref="E3">ROW()-ROW(UITranslationTable[#Headers])</f>
        <v>1</v>
      </c>
      <c r="F3" s="9" t="s">
        <v>21</v>
      </c>
      <c r="G3" s="176" t="s">
        <v>22</v>
      </c>
      <c r="H3" s="176" t="s">
        <v>23</v>
      </c>
      <c r="J3" s="1" cm="1">
        <f t="array" ref="J3">ROW()-ROW(errorMessagesTable[#Headers])</f>
        <v>1</v>
      </c>
      <c r="K3" s="1" t="s">
        <v>428</v>
      </c>
      <c r="L3" s="1" t="b" cm="1">
        <f t="array" ref="L3">errorUILanguage</f>
        <v>0</v>
      </c>
      <c r="M3" s="9"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s="9" t="str" cm="1">
        <f t="array" aca="1" ref="N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O3" s="1" cm="1">
        <f t="array" aca="1" ref="O3" ca="1">FilterTrueColumn(errorMessagesTable[[#This Row],[index]], errorMessagesTable[index], errorMessagesTable[filteredIndex], errorMessagesTable[condition])</f>
        <v>2</v>
      </c>
      <c r="P3" s="9" t="str" cm="1">
        <f t="array" aca="1" ref="P3"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xml:space="preserve">
1. The "data" sheet cannot be found. Make sure you have imported your data file as a new spreadsheet in this Excel workbook and renamed that sheet "data" (without quotes).</v>
      </c>
      <c r="Q3" s="9" t="str" cm="1">
        <f t="array" aca="1" ref="Q3" ca="1">IF(
    errorMessagesTable[[#This Row],[filteredIndex]] = "",
    "",
    IF(
      errorMessagesTable[[#This Row],[index]] = 1,
      "",
      INDEX(errorMessagesTable[concatErrors], errorMessagesTable[[#This Row],[index]]-1)
      &amp; CHAR(10) &amp; CHAR(10)
    )
    &amp; INDEX(errorMessagesTable[langSpecError], errorMessagesTable[[#This Row],[index]])
  )</f>
        <v xml:space="preserve">
1. The "data" sheet cannot be found. Make sure you have imported your data file as a new spreadsheet in this Excel workbook and renamed that sheet "data" (without quotes).</v>
      </c>
      <c r="S3" s="177" cm="1">
        <f t="array" ref="S3">ROW()-ROW(manualEntryVariablesTable[#Headers])</f>
        <v>1</v>
      </c>
      <c r="T3" s="1" t="s">
        <v>280</v>
      </c>
      <c r="U3" s="176" t="s">
        <v>281</v>
      </c>
      <c r="W3" s="177" cm="1">
        <f t="array" ref="W3">ROW()-ROW(structuredFormulaeTable[#Headers])</f>
        <v>1</v>
      </c>
      <c r="X3" s="1" t="s">
        <v>423</v>
      </c>
      <c r="Y3" s="1" t="s">
        <v>473</v>
      </c>
      <c r="AA3" s="178" t="s">
        <v>677</v>
      </c>
      <c r="AB3" s="178" t="s">
        <v>684</v>
      </c>
      <c r="AD3" s="12" cm="1">
        <f t="array" ref="AD3">ROW()-ROW(languageTable[#Headers])</f>
        <v>1</v>
      </c>
      <c r="AE3" s="12" t="str" cm="1">
        <f t="array" ref="AE3">KeepBlanksFunction(INDEX(languageHeadersList, languageTable[[#This Row],[index]]))</f>
        <v>English</v>
      </c>
      <c r="AF3" s="12" t="b">
        <f>languageTable[[#This Row],[languageHeaders]] &lt;&gt; ""</f>
        <v>1</v>
      </c>
      <c r="AG3" s="12" cm="1">
        <f t="array" ref="AG3">FilterTrueColumn(languageTable[[#This Row],[index]], languageTable[index], languageTable[filteredIndex], languageTable[hasValue])</f>
        <v>1</v>
      </c>
      <c r="AH3" s="12" t="str" cm="1">
        <f t="array" ref="AH3">IFERROR(
    INDEX(languageTable[languageHeaders], languageTable[[#This Row],[filteredIndex]]),
    ""
  )</f>
        <v>English</v>
      </c>
      <c r="AJ3" s="1" cm="1">
        <f t="array" ref="AJ3">ROW()-ROW(yesNoTable[#Headers])</f>
        <v>1</v>
      </c>
      <c r="AK3" s="1" t="s">
        <v>122</v>
      </c>
      <c r="AL3" s="179" t="s">
        <v>124</v>
      </c>
      <c r="AN3" s="1" cm="1">
        <f t="array" ref="AN3">ROW()-ROW(RANASBlocksTable[#Headers])</f>
        <v>1</v>
      </c>
      <c r="AO3" s="1" t="s">
        <v>130</v>
      </c>
      <c r="AP3" s="1" t="str">
        <f>_xlfn.XLOOKUP(RANASBlocksTable[[#This Row],[tag]], chartTranslationTable[tag], chartTranslationTable[lang1])
 &amp; " / "
 &amp; _xlfn.XLOOKUP(RANASBlocksTable[[#This Row],[tag]], chartTranslationTable[tag], chartTranslationTable[lang2])</f>
        <v>Risks / Risques</v>
      </c>
      <c r="AQ3" s="1" t="str">
        <f>_xlfn.XLOOKUP(RANASBlocksTable[[#This Row],[tag]], chartTranslationTable[tag], chartTranslationTable[displayedText])</f>
        <v>Risks</v>
      </c>
      <c r="AS3" s="1" cm="1">
        <f t="array" ref="AS3">ROW()-ROW(sortMenuTable[#Headers])</f>
        <v>1</v>
      </c>
      <c r="AT3" s="1" t="s">
        <v>140</v>
      </c>
      <c r="AU3" s="180" t="s">
        <v>142</v>
      </c>
      <c r="AV3" s="180"/>
      <c r="AW3" s="12" cm="1">
        <f t="array" ref="AW3">MIN(
    MIN(
      IFERROR(analysisChartTable[sortedDifference], 0)
    ),
    0
  )</f>
        <v>0</v>
      </c>
      <c r="AY3" s="1" cm="1">
        <f t="array" ref="AY3">ROW()-ROW(behaviourTable[#Headers])</f>
        <v>1</v>
      </c>
      <c r="AZ3" s="1" t="str" cm="1">
        <f t="array" ref="AZ3">KeepBlanksFunction(
    _xlfn.XLOOKUP(
      behaviourTable[[#This Row],[index]],
      behaviourConfigTable[index],
      behaviourConfigTable[behaviourHeader],#REF!,
      0
    )
  )</f>
        <v/>
      </c>
      <c r="BA3" s="1" t="str">
        <f>IF(
    behaviourTable[[#This Row],[behaviourHeader]] = "",
    "",
    _xlfn.XLOOKUP(
      _xlfn.XLOOKUP(
        behaviourTable[[#This Row],[index]],
        behaviourConfigTable[index],
        behaviourConfigTable[includeConfig],#REF!,
        0
      ),
      yesNoTable[label],
      yesNoTable[tag],
      "",
      0
    )
  )</f>
        <v/>
      </c>
      <c r="BB3" s="1" t="b">
        <f>IF(
    behaviourTable[[#This Row],[behaviourHeader]] = "",
    FALSE,
    IF(
      behaviourTable[[#This Row],[includeConfig]] = "yes",
      TRUE,
      IF(
        behaviourTable[[#This Row],[includeConfig]] = "no",
        FALSE,
        NA()
      )
    )
  )</f>
        <v>0</v>
      </c>
      <c r="BC3" s="1" t="str">
        <f>IF(
    behaviourTable[[#This Row],[behaviourHeader]] = "",
    "",
    _xlfn.IFNA(
      MATCH(behaviourTable[[#This Row],[behaviourHeader]], dataHeaders, 0),
      _xlfn.IFNA(
        MATCH("*/" &amp; behaviourTable[[#This Row],[behaviourHeader]], dataHeaders, 0),
        MATCH("*-" &amp; behaviourTable[[#This Row],[behaviourHeader]], dataHeaders, 0)
      )
    )
  )</f>
        <v/>
      </c>
      <c r="BD3" s="1" t="str">
        <f>IF(
    behaviourTable[[#This Row],[behaviourHeader]] = "",
    "",
    _xlfn.LET(
      _xlpm.tableValue,
      _xlfn.XLOOKUP(
        behaviourTable[[#This Row],[index]],
        behaviourConfigTable[index],
        behaviourConfigTable[minScore],#REF!,
        0
      ),
      _xlpm.storedValue,
      IF(
        _xlpm.tableValue = "",
        NA(),
        _xlpm.tableValue
      ),
      _xlpm.storedValue
    )
  )</f>
        <v/>
      </c>
      <c r="BE3" s="1" t="str">
        <f>IF(
    behaviourTable[[#This Row],[behaviourHeader]] = "",
    "",
    _xlfn.LET(
      _xlpm.tableValue,
      _xlfn.XLOOKUP(
        behaviourTable[[#This Row],[index]],
        behaviourConfigTable[index],
        behaviourConfigTable[maxScore],#REF!,
        0
      ),
      _xlpm.storedValue,
      IF(
        _xlpm.tableValue = "",
        NA(),
        _xlpm.tableValue
      ),
      _xlpm.storedValue
    )
  )</f>
        <v/>
      </c>
      <c r="BF3" s="1" t="str">
        <f>IF(
    behaviourTable[[#This Row],[behaviourHeader]] = "",
    "",
    MIN(behaviourDataForIndex(behaviourTable[[#This Row],[index]]))
  )</f>
        <v/>
      </c>
      <c r="BG3" s="1" t="str">
        <f>IF(
    behaviourTable[[#This Row],[behaviourHeader]] = "",
    "",
    MAX(behaviourDataForIndex(behaviourTable[[#This Row],[index]]))
  )</f>
        <v/>
      </c>
      <c r="BH3" s="178" t="b" cm="1">
        <f t="array" aca="1" ref="BH3" ca="1">AND(
    NOT(errorNoDataSheet),
    behaviourTable[[#This Row],[behaviourHeader]] &lt;&gt; "",
    NOT(ISERROR(behaviourTable[[#This Row],[behaviourColNum]])),
    IFERROR(behaviourTable[[#This Row],[include]], FALSE),
    IFERROR(behaviourTable[[#This Row],[minValue]] &lt; behaviourTable[[#This Row],[minScore]], FALSE)
  )</f>
        <v>0</v>
      </c>
      <c r="BI3" s="1" t="b" cm="1">
        <f t="array" aca="1" ref="BI3" ca="1">AND(
    NOT(errorNoDataSheet),
    behaviourTable[[#This Row],[behaviourHeader]] &lt;&gt; "",
    NOT(ISERROR(behaviourTable[[#This Row],[behaviourColNum]])),
    IFERROR(behaviourTable[[#This Row],[include]], FALSE),
    IFERROR(behaviourTable[[#This Row],[maxValue]] &gt; behaviourTable[[#This Row],[maxScore]], FALSE)
  )</f>
        <v>0</v>
      </c>
      <c r="BJ3" s="1" t="str" cm="1">
        <f t="array" ref="BJ3">IF(
    behaviourTable[[#This Row],[behaviourHeader]] = "",
    "",
    IF(
      ISERROR(behaviourTable[[#This Row],[behaviourColNum]]),
      UITranslateForValueTable("dataNotFound", UITranslationTable[tag], UITranslationTable[], UITranslationTable[#Headers]),
      SUMPRODUCT(--(behaviourDataForIndex(behaviourTable[[#This Row],[index]]) &lt;&gt; ""))
    )
  )</f>
        <v/>
      </c>
      <c r="BK3" s="1" t="str" cm="1">
        <f t="array" ref="BK3">IF(
    behaviourTable[[#This Row],[behaviourHeader]] = "",
    "",
    IF(
      ISERROR(behaviourTable[[#This Row],[behaviourColNum]]),
      UITranslateForValueTable("dataNotFound", UITranslationTable[tag], UITranslationTable[], UITranslationTable[#Headers]),
      numEntries - behaviourTable[[#This Row],[numResponses]]
    )
  )</f>
        <v/>
      </c>
      <c r="BM3" s="62" t="s">
        <v>468</v>
      </c>
      <c r="BN3" s="62" t="s">
        <v>469</v>
      </c>
      <c r="BO3" s="62" t="s">
        <v>470</v>
      </c>
      <c r="BP3" s="62" t="s">
        <v>471</v>
      </c>
      <c r="BQ3" s="62" t="s">
        <v>472</v>
      </c>
      <c r="BR3" s="62" t="s">
        <v>466</v>
      </c>
      <c r="BS3" s="62" t="s">
        <v>467</v>
      </c>
      <c r="BT3" s="62" t="s">
        <v>104</v>
      </c>
      <c r="BU3" s="62" t="s">
        <v>112</v>
      </c>
      <c r="BW3" s="181" cm="1">
        <f t="array" ref="BW3">ROW()-ROW(cutoffTable[#Headers])</f>
        <v>1</v>
      </c>
      <c r="BX3" s="182">
        <v>0.1</v>
      </c>
      <c r="BY3" s="1" t="s">
        <v>286</v>
      </c>
      <c r="BZ3" s="1" cm="1">
        <f t="array" ref="BZ3">SUMPRODUCT(
    (behaviourScore &lt;&gt; "")
  * (behaviourScore &gt;= IF(cutoffTable[[#This Row],[index]] = 1, 0, INDEX(cutoffTable[cutoffLevel], cutoffTable[[#This Row],[index]]-1)))
  * IF(
      cutoffTable[[#This Row],[cutoffLevel]] = 1,
      behaviourScore &lt;= 1,
      behaviourScore &lt; cutoffTable[[#This Row],[cutoffLevel]]
    )
  )</f>
        <v>0</v>
      </c>
      <c r="CA3" s="1" cm="1">
        <f t="array" ref="CA3">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3" s="1" cm="1">
        <f t="array" ref="CB3">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3" s="1" cm="1">
        <f t="array" ref="CD3">ROW()-ROW(recommendedCutoffTable[#Headers])</f>
        <v>1</v>
      </c>
      <c r="CE3" s="183">
        <f>(recommendedCutoffTable[[#This Row],[index]] - 1) / 100</f>
        <v>0</v>
      </c>
      <c r="CF3" s="1" cm="1">
        <f t="array" ref="CF3">ABS(
    numScores
  - 2 * SUMPRODUCT((behaviourScore &lt;&gt; "") * (behaviourScore &lt; recommendedCutoffTable[[#This Row],[cutoffLevel]]))
  )</f>
        <v>0</v>
      </c>
      <c r="CH3" s="181" cm="1">
        <f t="array" ref="CH3">ROW()-ROW(doersNondoersTable[#Headers])</f>
        <v>1</v>
      </c>
      <c r="CI3" s="184" t="e">
        <f>SUM(cutoffTable[numNondoersBin]) / SUM(cutoffTable[numResponses])</f>
        <v>#DIV/0!</v>
      </c>
      <c r="CJ3" s="184" t="e">
        <f>SUM(cutoffTable[numDoersBin]) / SUM(cutoffTable[numResponses])</f>
        <v>#DIV/0!</v>
      </c>
      <c r="CK3" s="184" t="e">
        <f>doersNondoersTable[[#This Row],[percentDoers]] - doersNondoersTable[[#This Row],[percentNondoers]]</f>
        <v>#DIV/0!</v>
      </c>
      <c r="CM3" s="1" cm="1">
        <f t="array" ref="CM3">ROW()-ROW(factorsTable[#Headers])</f>
        <v>1</v>
      </c>
      <c r="CN3" s="1" t="str" cm="1">
        <f t="array" ref="CN3">KeepBlanksFunction(
    _xlfn.XLOOKUP(
      factorsTable[[#This Row],[index]],
      factorsConfigTable[index],
      factorsConfigTable[factorHeader],#REF!,
      0
    )
  )</f>
        <v/>
      </c>
      <c r="CO3" s="12" t="str">
        <f>IF(
    factorsTable[[#This Row],[factorHeader]] = "",
    "",
    _xlfn.IFNA(
      MATCH(factorsTable[[#This Row],[factorHeader]], dataHeaders, 0),
      _xlfn.IFNA(
        MATCH("*/" &amp; factorsTable[[#This Row],[factorHeader]], dataHeaders, 0),
        MATCH("*-" &amp; factorsTable[[#This Row],[factorHeader]], dataHeaders, 0)
      )
    )
  )</f>
        <v/>
      </c>
      <c r="CP3" s="1" t="str">
        <f>IF(
    factorsTable[[#This Row],[factorHeader]] = "",
    "",
    _xlfn.LET(
      _xlpm.tableValue,
      _xlfn.XLOOKUP(
        factorsTable[[#This Row],[index]],
        factorsConfigTable[index],
        factorsConfigTable[minScore],#REF!,
        0
      ),
      _xlpm.storedValue,
      IF(
        _xlpm.tableValue = "",
        NA(),
        _xlpm.tableValue
      ),
      _xlpm.storedValue
    )
  )</f>
        <v/>
      </c>
      <c r="CQ3" s="1" t="str">
        <f>IF(
    factorsTable[[#This Row],[factorHeader]] = "",
    "",
    _xlfn.LET(
      _xlpm.tableValue,
      _xlfn.XLOOKUP(
        factorsTable[[#This Row],[index]],
        factorsConfigTable[index],
        factorsConfigTable[maxScore],#REF!,
        0
      ),
      _xlpm.storedValue,
      IF(
        _xlpm.tableValue = "",
        NA(),
        _xlpm.tableValue
      ),
      _xlpm.storedValue
    )
  )</f>
        <v/>
      </c>
      <c r="CR3" s="1" t="str">
        <f>IF(
    factorsTable[[#This Row],[factorHeader]] = "",
    "",
    IF(
      ISERROR(factorsTable[[#This Row],[factorColNum]]),
      NA(),
      IF(
        ISNA(INDEX(dataRange,1,1)),
        NA(),
        MIN(INDEX(dataRange, , factorsTable[[#This Row],[factorColNum]]))
      )
    )
  )</f>
        <v/>
      </c>
      <c r="CS3" s="1" t="str">
        <f>IF(
    factorsTable[[#This Row],[factorHeader]] = "",
    "",
    IF(
      ISERROR(factorsTable[[#This Row],[factorColNum]]),
      NA(),
      IF(
        ISNA(INDEX(dataRange,1,1)),
        NA(),
        MAX(INDEX(dataRange, , factorsTable[[#This Row],[factorColNum]]))
      )
    )
  )</f>
        <v/>
      </c>
      <c r="CT3" s="1" t="b" cm="1">
        <f t="array" aca="1" ref="CT3" ca="1">AND(
    NOT(errorNoDataSheet),
    factorsTable[[#This Row],[factorHeader]] &lt;&gt; "",
    NOT(ISERROR(factorsTable[[#This Row],[factorColNum]])),
    IFERROR(factorsTable[[#This Row],[display]], FALSE),
    IFERROR(factorsTable[[#This Row],[minValue]] &lt; factorsTable[[#This Row],[minScore]], FALSE)
  )</f>
        <v>0</v>
      </c>
      <c r="CU3" s="1" t="b" cm="1">
        <f t="array" aca="1" ref="CU3" ca="1">AND(
    NOT(errorNoDataSheet),
    factorsTable[[#This Row],[factorHeader]] &lt;&gt; "",
    NOT(ISERROR(factorsTable[[#This Row],[factorColNum]])),
    IFERROR(factorsTable[[#This Row],[display]], FALSE),
    IFERROR(factorsTable[[#This Row],[maxValue]] &gt; factorsTable[[#This Row],[maxScore]], FALSE)
  )</f>
        <v>0</v>
      </c>
      <c r="CV3" s="1" t="str" cm="1">
        <f t="array" ref="CV3">IF(
    factorsTable[[#This Row],[factorHeader]] = "",
    "",
    IF(
      ISNA(INDEX(dataRange,1,1)),
      NA(),
      SUMPRODUCT(
          IF(isDoer = "", 0, NOT(isDoer))
        * (INDEX(dataRange, , factorsTable[[#This Row],[factorColNum]]) &lt;&gt; "")
      )
    )
  )</f>
        <v/>
      </c>
      <c r="CW3" s="1" t="str" cm="1">
        <f t="array" ref="CW3">IF(
    factorsTable[[#This Row],[factorHeader]] = "",
    "",
    IF(
      ISNA(INDEX(dataRange,1,1)),
      NA(),
      SUMPRODUCT(
          IF(isDoer = "", 0, isDoer)
        * (INDEX(dataRange, , factorsTable[[#This Row],[factorColNum]]) &lt;&gt; "")
      )
    )
  )</f>
        <v/>
      </c>
      <c r="CX3" s="1" t="str" cm="1">
        <f t="array" ref="CX3">IF(
    factorsTable[[#This Row],[factorHeader]] = "",
    "",
    IF(
      ISERROR(factorsTable[[#This Row],[factorColNum]]),
      UITranslateForValueTable("dataNotFound", UITranslationTable[tag], UITranslationTable[], UITranslationTable[#Headers]),
      factorsTable[[#This Row],[numDoers]] + factorsTable[[#This Row],[numNondoers]]
    )
  )</f>
        <v/>
      </c>
      <c r="CY3" s="1" t="str" cm="1">
        <f t="array" ref="CY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 s="1" t="str" cm="1">
        <f t="array" ref="CZ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 s="1" t="str">
        <f>IF(
    factorsTable[[#This Row],[factorHeader]] = "",
    "",
    factorsTable[[#This Row],[doers]] - factorsTable[[#This Row],[nondoers]]
  )</f>
        <v/>
      </c>
      <c r="DB3" s="1" t="str">
        <f>IF(
    factorsTable[[#This Row],[factorHeader]] = "",
    "",
    _xlfn.XLOOKUP(
      _xlfn.XLOOKUP(
        factorsTable[[#This Row],[index]],
        factorsConfigTable[index],
        factorsConfigTable[displayConfig],#REF!,
        0
      ),
      yesNoTable[label],
      yesNoTable[tag],
      "",
      0
    )
  )</f>
        <v/>
      </c>
      <c r="DC3" s="177" t="b">
        <f>IF(
    factorsTable[[#This Row],[factorHeader]] = "",
    FALSE,
    IF(
      factorsTable[[#This Row],[displayConfig]] = "yes",
      TRUE,
      IF(
        factorsTable[[#This Row],[displayConfig]] = "no",
        FALSE,
        NA()
      )
    )
  )</f>
        <v>0</v>
      </c>
      <c r="DD3" s="185" t="str" cm="1">
        <f t="array" ref="DD3">FilterTrueColumn(factorsTable[[#This Row],[index]], factorsTable[index], factorsTable[filteredIndex], factorsTable[display])</f>
        <v/>
      </c>
      <c r="DE3" s="177" t="str">
        <f>IF(
    factorsTable[[#This Row],[filteredIndex]] = "",
    "",
    _xlfn.IFNA(
      _xlfn.XLOOKUP(factorsTable[[#This Row],[filteredIndex]], factorsTable[index], factorsTable[difference]),
      -99
    )
  )</f>
        <v/>
      </c>
      <c r="DF3" s="177" t="str">
        <f>IF(
    factorsTable[[#This Row],[filteredIndex]] = "",
    "",
    IF(
      factorsTable[[#This Row],[relDiff]] = -99,
      -99,
      ABS(factorsTable[[#This Row],[relDiff]])
    )
  )</f>
        <v/>
      </c>
      <c r="DG3" s="177" t="str">
        <f>IF(
    factorsTable[[#This Row],[filteredIndex]] = "",
    "",
    _xlfn.XLOOKUP(
      _xlfn.XLOOKUP(
        factorsTable[[#This Row],[filteredIndex]],
        factorsConfigTable[index],
        factorsConfigTable[RANASBlock],#REF!,
        0
      ),
      RANASBlocksTable[label],
      RANASBlocksTable[index],
      6,
      0
    )
  )</f>
        <v/>
      </c>
      <c r="DH3" s="177" t="str">
        <f>IF(
    factorsTable[[#This Row],[filteredIndex]] = "",
    "",
    _xlfn.RANK.EQ(factorsTable[[#This Row],[relDiff]], factorsTable[relDiff], 0)
  )</f>
        <v/>
      </c>
      <c r="DI3" s="177" t="str">
        <f>IF(
    factorsTable[[#This Row],[filteredIndex]] = "",
    "",
    _xlfn.RANK.EQ(factorsTable[[#This Row],[absDiff]], factorsTable[absDiff], 0)
  )</f>
        <v/>
      </c>
      <c r="DJ3" s="177" t="str">
        <f>IF(
    factorsTable[[#This Row],[filteredIndex]] = "",
    "",
    _xlfn.RANK.EQ(factorsTable[[#This Row],[RANASIndex]], factorsTable[RANASIndex], 1)
  )</f>
        <v/>
      </c>
      <c r="DK3" s="177" t="str" cm="1">
        <f t="array" ref="DK3">_xlfn.SWITCH(
    sortingMethodTag,
    "none", factorsTable[[#This Row],[filteredIndex]],
    "relDiff", factorsTable[[#This Row],[relDiffRank]],
    "absDiff", factorsTable[[#This Row],[absDiffRank]],
    "RANAS", factorsTable[[#This Row],[RANASRank]],
    factorsTable[[#This Row],[filteredIndex]]
  )</f>
        <v/>
      </c>
      <c r="DL3" s="177" t="str">
        <f>IF(
    factorsTable[[#This Row],[filteredIndex]] = "",
    "",
    factorsTable[[#This Row],[selectedRank]]
      + COUNTIF(INDEX(factorsTable[selectedRank], 1):INDEX(factorsTable[selectedRank], factorsTable[[#This Row],[index]]), factorsTable[[#This Row],[selectedRank]])
      - 1
  )</f>
        <v/>
      </c>
      <c r="DM3" s="177" t="str">
        <f>IF(
    factorsTable[[#This Row],[filteredIndex]] = "",
    "",
    _xlfn.XLOOKUP(
      factorsTable[[#This Row],[index]],
      factorsTable[uniqueRank],
      factorsTable[filteredIndex],#REF!,
      0
    )
  )</f>
        <v/>
      </c>
      <c r="DN3" s="177" t="str" cm="1">
        <f t="array" ref="DN3">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 s="177" t="str" cm="1">
        <f t="array" ref="DO3">IF(
    factorsTable[[#This Row],[sortedIndex]] = "",
    "",
    IF(
      factorsTable[[#This Row],[langSpecFactor]] = "",
      UITranslateForValueTable("noTranslation", UITranslationTable[tag], UITranslationTable[], UITranslationTable[#Headers]),
      factorsTable[[#This Row],[langSpecFactor]]
    )
  )</f>
        <v/>
      </c>
      <c r="DP3" s="177" t="str">
        <f>IF(
    factorsTable[[#This Row],[sortedIndex]] = "",
    "",
    _xlfn.XLOOKUP(
      _xlfn.XLOOKUP(
        factorsTable[[#This Row],[sortedIndex]],
        factorsConfigTable[index],
        factorsConfigTable[RANASBlock],#REF!,
        0
      ),
      RANASBlocksTable[label],
      RANASBlocksTable[tag],
      NA(),
      0
    )
  )</f>
        <v/>
      </c>
      <c r="DQ3" s="177" t="str" cm="1">
        <f t="array" ref="DQ3">IF(
    factorsTable[[#This Row],[sortedIndex]] = "",
    "",
    _xlfn.IFNA(
      _xlfn.XLOOKUP(factorsTable[[#This Row],[RANASTag]], RANASBlocksTable[tag], RANASBlocksTable[langSpecLabel]),
      UITranslateForValueTable("noRANASBlock", UITranslationTable[tag], UITranslationTable[], UITranslationTable[#Headers])
    )
  )</f>
        <v/>
      </c>
      <c r="DR3"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 s="177" t="str">
        <f>IF(
    factorsTable[[#This Row],[sortedIndex]] = "",
    "",
    _xlfn.XLOOKUP(factorsTable[[#This Row],[sortedIndex]], factorsTable[index], factorsTable[numTotal])
  )</f>
        <v/>
      </c>
      <c r="DT3" s="177" t="str">
        <f>IF(
    factorsTable[[#This Row],[sortedIndex]] = "",
    "",
    _xlfn.XLOOKUP(factorsTable[[#This Row],[sortedIndex]], factorsTable[index], factorsTable[nondoers])
  )</f>
        <v/>
      </c>
      <c r="DU3" s="177" t="str">
        <f>IF(
    factorsTable[[#This Row],[sortedIndex]] = "",
    "",
    _xlfn.XLOOKUP(factorsTable[[#This Row],[sortedIndex]], factorsTable[index], factorsTable[doers])
  )</f>
        <v/>
      </c>
      <c r="DV3" s="177" t="str">
        <f>IF(
    factorsTable[[#This Row],[sortedIndex]] = "",
    "",
    _xlfn.XLOOKUP(factorsTable[[#This Row],[sortedIndex]], factorsTable[index], factorsTable[difference])
  )</f>
        <v/>
      </c>
    </row>
    <row r="4" spans="5:126" ht="14.4" customHeight="1" x14ac:dyDescent="0.3">
      <c r="E4" s="9" cm="1">
        <f t="array" ref="E4">ROW()-ROW(UITranslationTable[#Headers])</f>
        <v>2</v>
      </c>
      <c r="F4" s="9" t="s">
        <v>154</v>
      </c>
      <c r="G4" s="176" t="s">
        <v>155</v>
      </c>
      <c r="H4" s="176" t="s">
        <v>156</v>
      </c>
      <c r="J4" s="1" cm="1">
        <f t="array" ref="J4">ROW()-ROW(errorMessagesTable[#Headers])</f>
        <v>2</v>
      </c>
      <c r="K4" s="1" t="s">
        <v>427</v>
      </c>
      <c r="L4" s="1" t="b" cm="1">
        <f t="array" aca="1" ref="L4" ca="1">errorNoDataSheet</f>
        <v>1</v>
      </c>
      <c r="M4" s="9" t="str" cm="1">
        <f t="array" ref="M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N4" s="9" t="str" cm="1">
        <f t="array" ref="N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O4" s="1" t="str" cm="1">
        <f t="array" aca="1" ref="O4" ca="1">FilterTrueColumn(errorMessagesTable[[#This Row],[index]], errorMessagesTable[index], errorMessagesTable[filteredIndex], errorMessagesTable[condition])</f>
        <v/>
      </c>
      <c r="P4" s="9" t="str" cm="1">
        <f t="array" aca="1" ref="P4"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4" s="9" t="str" cm="1">
        <f t="array" aca="1" ref="Q4" ca="1">IF(
    errorMessagesTable[[#This Row],[filteredIndex]] = "",
    "",
    IF(
      errorMessagesTable[[#This Row],[index]] = 1,
      "",
      INDEX(errorMessagesTable[concatErrors], errorMessagesTable[[#This Row],[index]]-1)
      &amp; CHAR(10) &amp; CHAR(10)
    )
    &amp; INDEX(errorMessagesTable[langSpecError], errorMessagesTable[[#This Row],[index]])
  )</f>
        <v/>
      </c>
      <c r="S4" s="177" cm="1">
        <f t="array" ref="S4">ROW()-ROW(manualEntryVariablesTable[#Headers])</f>
        <v>2</v>
      </c>
      <c r="T4" s="1" t="s">
        <v>304</v>
      </c>
      <c r="U4" s="186" t="s">
        <v>397</v>
      </c>
      <c r="W4" s="177" cm="1">
        <f t="array" ref="W4">ROW()-ROW(structuredFormulaeTable[#Headers])</f>
        <v>2</v>
      </c>
      <c r="X4" s="1" t="s">
        <v>423</v>
      </c>
      <c r="Y4" s="1" t="s">
        <v>475</v>
      </c>
      <c r="AA4" s="178" t="s">
        <v>478</v>
      </c>
      <c r="AB4" s="178" t="s">
        <v>479</v>
      </c>
      <c r="AD4" s="12" cm="1">
        <f t="array" ref="AD4">ROW()-ROW(languageTable[#Headers])</f>
        <v>2</v>
      </c>
      <c r="AE4" s="12" t="str" cm="1">
        <f t="array" ref="AE4">KeepBlanksFunction(INDEX(languageHeadersList, languageTable[[#This Row],[index]]))</f>
        <v>Français</v>
      </c>
      <c r="AF4" s="12" t="b">
        <f>languageTable[[#This Row],[languageHeaders]] &lt;&gt; ""</f>
        <v>1</v>
      </c>
      <c r="AG4" s="12" cm="1">
        <f t="array" ref="AG4">FilterTrueColumn(languageTable[[#This Row],[index]], languageTable[index], languageTable[filteredIndex], languageTable[hasValue])</f>
        <v>2</v>
      </c>
      <c r="AH4" s="12" t="str" cm="1">
        <f t="array" ref="AH4">IFERROR(
    INDEX(languageTable[languageHeaders], languageTable[[#This Row],[filteredIndex]]),
    ""
  )</f>
        <v>Français</v>
      </c>
      <c r="AJ4" s="1" cm="1">
        <f t="array" ref="AJ4">ROW()-ROW(yesNoTable[#Headers])</f>
        <v>2</v>
      </c>
      <c r="AK4" s="1" t="s">
        <v>123</v>
      </c>
      <c r="AL4" s="1" t="s">
        <v>125</v>
      </c>
      <c r="AN4" s="1" cm="1">
        <f t="array" ref="AN4">ROW()-ROW(RANASBlocksTable[#Headers])</f>
        <v>2</v>
      </c>
      <c r="AO4" s="1" t="s">
        <v>132</v>
      </c>
      <c r="AP4" s="1" t="str">
        <f>_xlfn.XLOOKUP(RANASBlocksTable[[#This Row],[tag]], chartTranslationTable[tag], chartTranslationTable[lang1])
 &amp; " / "
 &amp; _xlfn.XLOOKUP(RANASBlocksTable[[#This Row],[tag]], chartTranslationTable[tag], chartTranslationTable[lang2])</f>
        <v>Attitudes / Attitudes</v>
      </c>
      <c r="AQ4" s="1" t="str">
        <f>_xlfn.XLOOKUP(RANASBlocksTable[[#This Row],[tag]], chartTranslationTable[tag], chartTranslationTable[displayedText])</f>
        <v>Attitudes</v>
      </c>
      <c r="AS4" s="1" cm="1">
        <f t="array" ref="AS4">ROW()-ROW(sortMenuTable[#Headers])</f>
        <v>2</v>
      </c>
      <c r="AT4" s="1" t="s">
        <v>141</v>
      </c>
      <c r="AU4" s="1" t="s">
        <v>143</v>
      </c>
      <c r="AW4" s="12">
        <v>1</v>
      </c>
      <c r="AY4" s="1" cm="1">
        <f t="array" ref="AY4">ROW()-ROW(behaviourTable[#Headers])</f>
        <v>2</v>
      </c>
      <c r="AZ4" s="1" t="str" cm="1">
        <f t="array" ref="AZ4">KeepBlanksFunction(
    _xlfn.XLOOKUP(
      behaviourTable[[#This Row],[index]],
      behaviourConfigTable[index],
      behaviourConfigTable[behaviourHeader],#REF!,
      0
    )
  )</f>
        <v/>
      </c>
      <c r="BA4" s="1" t="str">
        <f>IF(
    behaviourTable[[#This Row],[behaviourHeader]] = "",
    "",
    _xlfn.XLOOKUP(
      _xlfn.XLOOKUP(
        behaviourTable[[#This Row],[index]],
        behaviourConfigTable[index],
        behaviourConfigTable[includeConfig],#REF!,
        0
      ),
      yesNoTable[label],
      yesNoTable[tag],
      "",
      0
    )
  )</f>
        <v/>
      </c>
      <c r="BB4" s="1" t="b">
        <f>IF(
    behaviourTable[[#This Row],[behaviourHeader]] = "",
    FALSE,
    IF(
      behaviourTable[[#This Row],[includeConfig]] = "yes",
      TRUE,
      IF(
        behaviourTable[[#This Row],[includeConfig]] = "no",
        FALSE,
        NA()
      )
    )
  )</f>
        <v>0</v>
      </c>
      <c r="BC4" s="1" t="str">
        <f>IF(
    behaviourTable[[#This Row],[behaviourHeader]] = "",
    "",
    _xlfn.IFNA(
      MATCH(behaviourTable[[#This Row],[behaviourHeader]], dataHeaders, 0),
      _xlfn.IFNA(
        MATCH("*/" &amp; behaviourTable[[#This Row],[behaviourHeader]], dataHeaders, 0),
        MATCH("*-" &amp; behaviourTable[[#This Row],[behaviourHeader]], dataHeaders, 0)
      )
    )
  )</f>
        <v/>
      </c>
      <c r="BD4" s="1" t="str">
        <f>IF(
    behaviourTable[[#This Row],[behaviourHeader]] = "",
    "",
    _xlfn.LET(
      _xlpm.tableValue,
      _xlfn.XLOOKUP(
        behaviourTable[[#This Row],[index]],
        behaviourConfigTable[index],
        behaviourConfigTable[minScore],#REF!,
        0
      ),
      _xlpm.storedValue,
      IF(
        _xlpm.tableValue = "",
        NA(),
        _xlpm.tableValue
      ),
      _xlpm.storedValue
    )
  )</f>
        <v/>
      </c>
      <c r="BE4" s="1" t="str">
        <f>IF(
    behaviourTable[[#This Row],[behaviourHeader]] = "",
    "",
    _xlfn.LET(
      _xlpm.tableValue,
      _xlfn.XLOOKUP(
        behaviourTable[[#This Row],[index]],
        behaviourConfigTable[index],
        behaviourConfigTable[maxScore],#REF!,
        0
      ),
      _xlpm.storedValue,
      IF(
        _xlpm.tableValue = "",
        NA(),
        _xlpm.tableValue
      ),
      _xlpm.storedValue
    )
  )</f>
        <v/>
      </c>
      <c r="BF4" s="1" t="str">
        <f>IF(
    behaviourTable[[#This Row],[behaviourHeader]] = "",
    "",
    MIN(behaviourDataForIndex(behaviourTable[[#This Row],[index]]))
  )</f>
        <v/>
      </c>
      <c r="BG4" s="1" t="str">
        <f>IF(
    behaviourTable[[#This Row],[behaviourHeader]] = "",
    "",
    MAX(behaviourDataForIndex(behaviourTable[[#This Row],[index]]))
  )</f>
        <v/>
      </c>
      <c r="BH4" s="1" t="b" cm="1">
        <f t="array" aca="1" ref="BH4" ca="1">AND(
    NOT(errorNoDataSheet),
    behaviourTable[[#This Row],[behaviourHeader]] &lt;&gt; "",
    NOT(ISERROR(behaviourTable[[#This Row],[behaviourColNum]])),
    IFERROR(behaviourTable[[#This Row],[include]], FALSE),
    IFERROR(behaviourTable[[#This Row],[minValue]] &lt; behaviourTable[[#This Row],[minScore]], FALSE)
  )</f>
        <v>0</v>
      </c>
      <c r="BI4" s="1" t="b" cm="1">
        <f t="array" aca="1" ref="BI4" ca="1">AND(
    NOT(errorNoDataSheet),
    behaviourTable[[#This Row],[behaviourHeader]] &lt;&gt; "",
    NOT(ISERROR(behaviourTable[[#This Row],[behaviourColNum]])),
    IFERROR(behaviourTable[[#This Row],[include]], FALSE),
    IFERROR(behaviourTable[[#This Row],[maxValue]] &gt; behaviourTable[[#This Row],[maxScore]], FALSE)
  )</f>
        <v>0</v>
      </c>
      <c r="BJ4" s="1" t="str" cm="1">
        <f t="array" ref="BJ4">IF(
    behaviourTable[[#This Row],[behaviourHeader]] = "",
    "",
    IF(
      ISERROR(behaviourTable[[#This Row],[behaviourColNum]]),
      UITranslateForValueTable("dataNotFound", UITranslationTable[tag], UITranslationTable[], UITranslationTable[#Headers]),
      SUMPRODUCT(--(behaviourDataForIndex(behaviourTable[[#This Row],[index]]) &lt;&gt; ""))
    )
  )</f>
        <v/>
      </c>
      <c r="BK4" s="1" t="str" cm="1">
        <f t="array" ref="BK4">IF(
    behaviourTable[[#This Row],[behaviourHeader]] = "",
    "",
    IF(
      ISERROR(behaviourTable[[#This Row],[behaviourColNum]]),
      UITranslateForValueTable("dataNotFound", UITranslationTable[tag], UITranslationTable[], UITranslationTable[#Headers]),
      numEntries - behaviourTable[[#This Row],[numResponses]]
    )
  )</f>
        <v/>
      </c>
      <c r="BM4" s="178" t="e" cm="1">
        <f t="array" aca="1" ref="BM4" ca="1">behaviourDataForIndex(1)</f>
        <v>#N/A</v>
      </c>
      <c r="BN4" s="1" t="e" cm="1">
        <f t="array" aca="1" ref="BN4" ca="1">behaviourDataForIndex(2)</f>
        <v>#N/A</v>
      </c>
      <c r="BO4" s="1" t="e" cm="1">
        <f t="array" aca="1" ref="BO4" ca="1">behaviourDataForIndex(3)</f>
        <v>#N/A</v>
      </c>
      <c r="BP4" s="1" t="e" cm="1">
        <f t="array" aca="1" ref="BP4" ca="1">behaviourDataForIndex(4)</f>
        <v>#N/A</v>
      </c>
      <c r="BQ4" s="1" t="e" cm="1">
        <f t="array" aca="1" ref="BQ4" ca="1">behaviourDataForIndex(5)</f>
        <v>#N/A</v>
      </c>
      <c r="BR4" s="1" cm="1">
        <f t="array" ref="BR4">IF(behaviourInclude1,
    IF(behaviourData1 &lt;&gt; "",
      (behaviourData1 - behaviourMinScore1) / (behaviourMaxScore1 - behaviourMinScore1),
      0),
    0)
+ IF(behaviourInclude2,
    IF(behaviourData2 &lt;&gt; "",
      (behaviourData2 - behaviourMinScore2) / (behaviourMaxScore2 - behaviourMinScore2),
      0),
    0)
+ IF(behaviourInclude3,
    IF(behaviourData3 &lt;&gt; "",
      (behaviourData3 - behaviourMinScore3) / (behaviourMaxScore3 - behaviourMinScore3),
      0),
    0)
+ IF(behaviourInclude4,
    IF(behaviourData4 &lt;&gt; "",
      (behaviourData4 - behaviourMinScore4) / (behaviourMaxScore4 - behaviourMinScore4),
      0),
    0)
+ IF(behaviourInclude5,
    IF(behaviourData5 &lt;&gt; "",
      (behaviourData5 - behaviourMinScore5) / (behaviourMaxScore5 - behaviourMinScore5),
      0),
    0)</f>
        <v>0</v>
      </c>
      <c r="BS4" s="1" cm="1">
        <f t="array" ref="BS4">IF(behaviourInclude1, --(behaviourData1 &lt;&gt; ""), 0)
+ IF(behaviourInclude2, --(behaviourData2 &lt;&gt; ""), 0)
+ IF(behaviourInclude3, --(behaviourData3 &lt;&gt; ""), 0)
+ IF(behaviourInclude4, --(behaviourData4 &lt;&gt; ""), 0)
+ IF(behaviourInclude5, --(behaviourData5 &lt;&gt; ""), 0)</f>
        <v>0</v>
      </c>
      <c r="BT4" s="1" t="str" cm="1">
        <f t="array" ref="BT4">IF(
    behaviourScoreDenominator = 0,
    "",
    behaviourScoreNumerator / behaviourScoreDenominator
  )</f>
        <v/>
      </c>
      <c r="BU4" s="1" t="str" cm="1">
        <f t="array" ref="BU4">IF(
    behaviourScore = "",
    "",
    behaviourScore &gt;= cutoffLevel
  )</f>
        <v/>
      </c>
      <c r="BW4" s="181" cm="1">
        <f t="array" ref="BW4">ROW()-ROW(cutoffTable[#Headers])</f>
        <v>2</v>
      </c>
      <c r="BX4" s="182">
        <v>0.2</v>
      </c>
      <c r="BY4" s="1" t="s">
        <v>287</v>
      </c>
      <c r="BZ4" s="1" cm="1">
        <f t="array" ref="BZ4">SUMPRODUCT(
    (behaviourScore &lt;&gt; "")
  * (behaviourScore &gt;= IF(cutoffTable[[#This Row],[index]] = 1, 0, INDEX(cutoffTable[cutoffLevel], cutoffTable[[#This Row],[index]]-1)))
  * IF(
      cutoffTable[[#This Row],[cutoffLevel]] = 1,
      behaviourScore &lt;= 1,
      behaviourScore &lt; cutoffTable[[#This Row],[cutoffLevel]]
    )
  )</f>
        <v>0</v>
      </c>
      <c r="CA4" s="1" cm="1">
        <f t="array" ref="CA4">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4" s="1" cm="1">
        <f t="array" ref="CB4">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4" s="1" cm="1">
        <f t="array" ref="CD4">ROW()-ROW(recommendedCutoffTable[#Headers])</f>
        <v>2</v>
      </c>
      <c r="CE4" s="183">
        <f>(recommendedCutoffTable[[#This Row],[index]] - 1) / 100</f>
        <v>0.01</v>
      </c>
      <c r="CF4" s="1" cm="1">
        <f t="array" ref="CF4">ABS(
    numScores
  - 2 * SUMPRODUCT((behaviourScore &lt;&gt; "") * (behaviourScore &lt; recommendedCutoffTable[[#This Row],[cutoffLevel]]))
  )</f>
        <v>0</v>
      </c>
      <c r="CM4" s="1" cm="1">
        <f t="array" ref="CM4">ROW()-ROW(factorsTable[#Headers])</f>
        <v>2</v>
      </c>
      <c r="CN4" s="1" t="str" cm="1">
        <f t="array" ref="CN4">KeepBlanksFunction(
    _xlfn.XLOOKUP(
      factorsTable[[#This Row],[index]],
      factorsConfigTable[index],
      factorsConfigTable[factorHeader],#REF!,
      0
    )
  )</f>
        <v/>
      </c>
      <c r="CO4" s="1" t="str">
        <f>IF(
    factorsTable[[#This Row],[factorHeader]] = "",
    "",
    _xlfn.IFNA(
      MATCH(factorsTable[[#This Row],[factorHeader]], dataHeaders, 0),
      _xlfn.IFNA(
        MATCH("*/" &amp; factorsTable[[#This Row],[factorHeader]], dataHeaders, 0),
        MATCH("*-" &amp; factorsTable[[#This Row],[factorHeader]], dataHeaders, 0)
      )
    )
  )</f>
        <v/>
      </c>
      <c r="CP4" s="1" t="str">
        <f>IF(
    factorsTable[[#This Row],[factorHeader]] = "",
    "",
    _xlfn.LET(
      _xlpm.tableValue,
      _xlfn.XLOOKUP(
        factorsTable[[#This Row],[index]],
        factorsConfigTable[index],
        factorsConfigTable[minScore],#REF!,
        0
      ),
      _xlpm.storedValue,
      IF(
        _xlpm.tableValue = "",
        NA(),
        _xlpm.tableValue
      ),
      _xlpm.storedValue
    )
  )</f>
        <v/>
      </c>
      <c r="CQ4" s="1" t="str">
        <f>IF(
    factorsTable[[#This Row],[factorHeader]] = "",
    "",
    _xlfn.LET(
      _xlpm.tableValue,
      _xlfn.XLOOKUP(
        factorsTable[[#This Row],[index]],
        factorsConfigTable[index],
        factorsConfigTable[maxScore],#REF!,
        0
      ),
      _xlpm.storedValue,
      IF(
        _xlpm.tableValue = "",
        NA(),
        _xlpm.tableValue
      ),
      _xlpm.storedValue
    )
  )</f>
        <v/>
      </c>
      <c r="CR4" s="1" t="str">
        <f>IF(
    factorsTable[[#This Row],[factorHeader]] = "",
    "",
    IF(
      ISERROR(factorsTable[[#This Row],[factorColNum]]),
      NA(),
      IF(
        ISNA(INDEX(dataRange,1,1)),
        NA(),
        MIN(INDEX(dataRange, , factorsTable[[#This Row],[factorColNum]]))
      )
    )
  )</f>
        <v/>
      </c>
      <c r="CS4" s="1" t="str">
        <f>IF(
    factorsTable[[#This Row],[factorHeader]] = "",
    "",
    IF(
      ISERROR(factorsTable[[#This Row],[factorColNum]]),
      NA(),
      IF(
        ISNA(INDEX(dataRange,1,1)),
        NA(),
        MAX(INDEX(dataRange, , factorsTable[[#This Row],[factorColNum]]))
      )
    )
  )</f>
        <v/>
      </c>
      <c r="CT4" s="1" t="b" cm="1">
        <f t="array" aca="1" ref="CT4" ca="1">AND(
    NOT(errorNoDataSheet),
    factorsTable[[#This Row],[factorHeader]] &lt;&gt; "",
    NOT(ISERROR(factorsTable[[#This Row],[factorColNum]])),
    IFERROR(factorsTable[[#This Row],[display]], FALSE),
    IFERROR(factorsTable[[#This Row],[minValue]] &lt; factorsTable[[#This Row],[minScore]], FALSE)
  )</f>
        <v>0</v>
      </c>
      <c r="CU4" s="1" t="b" cm="1">
        <f t="array" aca="1" ref="CU4" ca="1">AND(
    NOT(errorNoDataSheet),
    factorsTable[[#This Row],[factorHeader]] &lt;&gt; "",
    NOT(ISERROR(factorsTable[[#This Row],[factorColNum]])),
    IFERROR(factorsTable[[#This Row],[display]], FALSE),
    IFERROR(factorsTable[[#This Row],[maxValue]] &gt; factorsTable[[#This Row],[maxScore]], FALSE)
  )</f>
        <v>0</v>
      </c>
      <c r="CV4" s="1" t="str" cm="1">
        <f t="array" ref="CV4">IF(
    factorsTable[[#This Row],[factorHeader]] = "",
    "",
    IF(
      ISNA(INDEX(dataRange,1,1)),
      NA(),
      SUMPRODUCT(
          IF(isDoer = "", 0, NOT(isDoer))
        * (INDEX(dataRange, , factorsTable[[#This Row],[factorColNum]]) &lt;&gt; "")
      )
    )
  )</f>
        <v/>
      </c>
      <c r="CW4" s="1" t="str" cm="1">
        <f t="array" ref="CW4">IF(
    factorsTable[[#This Row],[factorHeader]] = "",
    "",
    IF(
      ISNA(INDEX(dataRange,1,1)),
      NA(),
      SUMPRODUCT(
          IF(isDoer = "", 0, isDoer)
        * (INDEX(dataRange, , factorsTable[[#This Row],[factorColNum]]) &lt;&gt; "")
      )
    )
  )</f>
        <v/>
      </c>
      <c r="CX4" s="1" t="str" cm="1">
        <f t="array" ref="CX4">IF(
    factorsTable[[#This Row],[factorHeader]] = "",
    "",
    IF(
      ISERROR(factorsTable[[#This Row],[factorColNum]]),
      UITranslateForValueTable("dataNotFound", UITranslationTable[tag], UITranslationTable[], UITranslationTable[#Headers]),
      factorsTable[[#This Row],[numDoers]] + factorsTable[[#This Row],[numNondoers]]
    )
  )</f>
        <v/>
      </c>
      <c r="CY4" s="1" t="str" cm="1">
        <f t="array" ref="CY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4" s="1" t="str" cm="1">
        <f t="array" ref="CZ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4" s="1" t="str">
        <f>IF(
    factorsTable[[#This Row],[factorHeader]] = "",
    "",
    factorsTable[[#This Row],[doers]] - factorsTable[[#This Row],[nondoers]]
  )</f>
        <v/>
      </c>
      <c r="DB4" s="1" t="str">
        <f>IF(
    factorsTable[[#This Row],[factorHeader]] = "",
    "",
    _xlfn.XLOOKUP(
      _xlfn.XLOOKUP(
        factorsTable[[#This Row],[index]],
        factorsConfigTable[index],
        factorsConfigTable[displayConfig],#REF!,
        0
      ),
      yesNoTable[label],
      yesNoTable[tag],
      "",
      0
    )
  )</f>
        <v/>
      </c>
      <c r="DC4" s="177" t="b">
        <f>IF(
    factorsTable[[#This Row],[factorHeader]] = "",
    FALSE,
    IF(
      factorsTable[[#This Row],[displayConfig]] = "yes",
      TRUE,
      IF(
        factorsTable[[#This Row],[displayConfig]] = "no",
        FALSE,
        NA()
      )
    )
  )</f>
        <v>0</v>
      </c>
      <c r="DD4" s="177" t="str" cm="1">
        <f t="array" ref="DD4">FilterTrueColumn(factorsTable[[#This Row],[index]], factorsTable[index], factorsTable[filteredIndex], factorsTable[display])</f>
        <v/>
      </c>
      <c r="DE4" s="177" t="str">
        <f>IF(
    factorsTable[[#This Row],[filteredIndex]] = "",
    "",
    _xlfn.IFNA(
      _xlfn.XLOOKUP(factorsTable[[#This Row],[filteredIndex]], factorsTable[index], factorsTable[difference]),
      -99
    )
  )</f>
        <v/>
      </c>
      <c r="DF4" s="177" t="str">
        <f>IF(
    factorsTable[[#This Row],[filteredIndex]] = "",
    "",
    IF(
      factorsTable[[#This Row],[relDiff]] = -99,
      -99,
      ABS(factorsTable[[#This Row],[relDiff]])
    )
  )</f>
        <v/>
      </c>
      <c r="DG4" s="177" t="str">
        <f>IF(
    factorsTable[[#This Row],[filteredIndex]] = "",
    "",
    _xlfn.XLOOKUP(
      _xlfn.XLOOKUP(
        factorsTable[[#This Row],[filteredIndex]],
        factorsConfigTable[index],
        factorsConfigTable[RANASBlock],#REF!,
        0
      ),
      RANASBlocksTable[label],
      RANASBlocksTable[index],
      6,
      0
    )
  )</f>
        <v/>
      </c>
      <c r="DH4" s="177" t="str">
        <f>IF(
    factorsTable[[#This Row],[filteredIndex]] = "",
    "",
    _xlfn.RANK.EQ(factorsTable[[#This Row],[relDiff]], factorsTable[relDiff], 0)
  )</f>
        <v/>
      </c>
      <c r="DI4" s="177" t="str">
        <f>IF(
    factorsTable[[#This Row],[filteredIndex]] = "",
    "",
    _xlfn.RANK.EQ(factorsTable[[#This Row],[absDiff]], factorsTable[absDiff], 0)
  )</f>
        <v/>
      </c>
      <c r="DJ4" s="177" t="str">
        <f>IF(
    factorsTable[[#This Row],[filteredIndex]] = "",
    "",
    _xlfn.RANK.EQ(factorsTable[[#This Row],[RANASIndex]], factorsTable[RANASIndex], 1)
  )</f>
        <v/>
      </c>
      <c r="DK4" s="177" t="str" cm="1">
        <f t="array" ref="DK4">_xlfn.SWITCH(
    sortingMethodTag,
    "none", factorsTable[[#This Row],[filteredIndex]],
    "relDiff", factorsTable[[#This Row],[relDiffRank]],
    "absDiff", factorsTable[[#This Row],[absDiffRank]],
    "RANAS", factorsTable[[#This Row],[RANASRank]],
    factorsTable[[#This Row],[filteredIndex]]
  )</f>
        <v/>
      </c>
      <c r="DL4" s="177" t="str">
        <f>IF(
    factorsTable[[#This Row],[filteredIndex]] = "",
    "",
    factorsTable[[#This Row],[selectedRank]]
      + COUNTIF(INDEX(factorsTable[selectedRank], 1):INDEX(factorsTable[selectedRank], factorsTable[[#This Row],[index]]), factorsTable[[#This Row],[selectedRank]])
      - 1
  )</f>
        <v/>
      </c>
      <c r="DM4" s="177" t="str">
        <f>IF(
    factorsTable[[#This Row],[filteredIndex]] = "",
    "",
    _xlfn.XLOOKUP(
      factorsTable[[#This Row],[index]],
      factorsTable[uniqueRank],
      factorsTable[filteredIndex],#REF!,
      0
    )
  )</f>
        <v/>
      </c>
      <c r="DN4" s="177" t="str" cm="1">
        <f t="array" ref="DN4">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4" s="177" t="str" cm="1">
        <f t="array" ref="DO4">IF(
    factorsTable[[#This Row],[sortedIndex]] = "",
    "",
    IF(
      factorsTable[[#This Row],[langSpecFactor]] = "",
      UITranslateForValueTable("noTranslation", UITranslationTable[tag], UITranslationTable[], UITranslationTable[#Headers]),
      factorsTable[[#This Row],[langSpecFactor]]
    )
  )</f>
        <v/>
      </c>
      <c r="DP4" s="177" t="str">
        <f>IF(
    factorsTable[[#This Row],[sortedIndex]] = "",
    "",
    _xlfn.XLOOKUP(
      _xlfn.XLOOKUP(
        factorsTable[[#This Row],[sortedIndex]],
        factorsConfigTable[index],
        factorsConfigTable[RANASBlock],#REF!,
        0
      ),
      RANASBlocksTable[label],
      RANASBlocksTable[tag],
      NA(),
      0
    )
  )</f>
        <v/>
      </c>
      <c r="DQ4" s="177" t="str" cm="1">
        <f t="array" ref="DQ4">IF(
    factorsTable[[#This Row],[sortedIndex]] = "",
    "",
    _xlfn.IFNA(
      _xlfn.XLOOKUP(factorsTable[[#This Row],[RANASTag]], RANASBlocksTable[tag], RANASBlocksTable[langSpecLabel]),
      UITranslateForValueTable("noRANASBlock", UITranslationTable[tag], UITranslationTable[], UITranslationTable[#Headers])
    )
  )</f>
        <v/>
      </c>
      <c r="DR4"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4" s="177" t="str">
        <f>IF(
    factorsTable[[#This Row],[sortedIndex]] = "",
    "",
    _xlfn.XLOOKUP(factorsTable[[#This Row],[sortedIndex]], factorsTable[index], factorsTable[numTotal])
  )</f>
        <v/>
      </c>
      <c r="DT4" s="177" t="str">
        <f>IF(
    factorsTable[[#This Row],[sortedIndex]] = "",
    "",
    _xlfn.XLOOKUP(factorsTable[[#This Row],[sortedIndex]], factorsTable[index], factorsTable[nondoers])
  )</f>
        <v/>
      </c>
      <c r="DU4" s="177" t="str">
        <f>IF(
    factorsTable[[#This Row],[sortedIndex]] = "",
    "",
    _xlfn.XLOOKUP(factorsTable[[#This Row],[sortedIndex]], factorsTable[index], factorsTable[doers])
  )</f>
        <v/>
      </c>
      <c r="DV4" s="177" t="str">
        <f>IF(
    factorsTable[[#This Row],[sortedIndex]] = "",
    "",
    _xlfn.XLOOKUP(factorsTable[[#This Row],[sortedIndex]], factorsTable[index], factorsTable[difference])
  )</f>
        <v/>
      </c>
    </row>
    <row r="5" spans="5:126" ht="14.4" customHeight="1" x14ac:dyDescent="0.3">
      <c r="E5" s="9" cm="1">
        <f t="array" ref="E5">ROW()-ROW(UITranslationTable[#Headers])</f>
        <v>3</v>
      </c>
      <c r="F5" s="9" t="s">
        <v>178</v>
      </c>
      <c r="G5" s="176" t="s">
        <v>179</v>
      </c>
      <c r="H5" s="176" t="s">
        <v>180</v>
      </c>
      <c r="J5" s="1" cm="1">
        <f t="array" ref="J5">ROW()-ROW(errorMessagesTable[#Headers])</f>
        <v>3</v>
      </c>
      <c r="K5" s="1" t="s">
        <v>429</v>
      </c>
      <c r="L5" s="1" t="b" cm="1">
        <f t="array" aca="1" ref="L5" ca="1">errorNoDataRefCol</f>
        <v>0</v>
      </c>
      <c r="M5" s="9" t="str" cm="1">
        <f t="array" ref="M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N5" s="9" t="str" cm="1">
        <f t="array" ref="N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O5" s="1" t="str" cm="1">
        <f t="array" aca="1" ref="O5" ca="1">FilterTrueColumn(errorMessagesTable[[#This Row],[index]], errorMessagesTable[index], errorMessagesTable[filteredIndex], errorMessagesTable[condition])</f>
        <v/>
      </c>
      <c r="P5" s="9" t="str" cm="1">
        <f t="array" aca="1" ref="P5"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5" s="9" t="str" cm="1">
        <f t="array" aca="1" ref="Q5" ca="1">IF(
    errorMessagesTable[[#This Row],[filteredIndex]] = "",
    "",
    IF(
      errorMessagesTable[[#This Row],[index]] = 1,
      "",
      INDEX(errorMessagesTable[concatErrors], errorMessagesTable[[#This Row],[index]]-1)
      &amp; CHAR(10) &amp; CHAR(10)
    )
    &amp; INDEX(errorMessagesTable[langSpecError], errorMessagesTable[[#This Row],[index]])
  )</f>
        <v/>
      </c>
      <c r="S5" s="177" cm="1">
        <f t="array" ref="S5">ROW()-ROW(manualEntryVariablesTable[#Headers])</f>
        <v>3</v>
      </c>
      <c r="T5" s="1" t="s">
        <v>323</v>
      </c>
      <c r="U5" s="186" t="s">
        <v>489</v>
      </c>
      <c r="W5" s="177" cm="1">
        <f t="array" ref="W5">ROW()-ROW(structuredFormulaeTable[#Headers])</f>
        <v>3</v>
      </c>
      <c r="X5" s="1" t="s">
        <v>423</v>
      </c>
      <c r="Y5" s="1" t="s">
        <v>477</v>
      </c>
      <c r="AA5" s="178" t="s">
        <v>481</v>
      </c>
      <c r="AB5" s="178" t="s">
        <v>545</v>
      </c>
      <c r="AD5" s="12" cm="1">
        <f t="array" ref="AD5">ROW()-ROW(languageTable[#Headers])</f>
        <v>3</v>
      </c>
      <c r="AE5" s="12" t="str" cm="1">
        <f t="array" ref="AE5">KeepBlanksFunction(INDEX(languageHeadersList, languageTable[[#This Row],[index]]))</f>
        <v/>
      </c>
      <c r="AF5" s="12" t="b">
        <f>languageTable[[#This Row],[languageHeaders]] &lt;&gt; ""</f>
        <v>0</v>
      </c>
      <c r="AG5" s="12" t="str" cm="1">
        <f t="array" ref="AG5">FilterTrueColumn(languageTable[[#This Row],[index]], languageTable[index], languageTable[filteredIndex], languageTable[hasValue])</f>
        <v/>
      </c>
      <c r="AH5" s="12" t="str" cm="1">
        <f t="array" ref="AH5">IFERROR(
    INDEX(languageTable[languageHeaders], languageTable[[#This Row],[filteredIndex]]),
    ""
  )</f>
        <v/>
      </c>
      <c r="AN5" s="1" cm="1">
        <f t="array" ref="AN5">ROW()-ROW(RANASBlocksTable[#Headers])</f>
        <v>3</v>
      </c>
      <c r="AO5" s="1" t="s">
        <v>133</v>
      </c>
      <c r="AP5" s="1" t="str">
        <f>_xlfn.XLOOKUP(RANASBlocksTable[[#This Row],[tag]], chartTranslationTable[tag], chartTranslationTable[lang1])
 &amp; " / "
 &amp; _xlfn.XLOOKUP(RANASBlocksTable[[#This Row],[tag]], chartTranslationTable[tag], chartTranslationTable[lang2])</f>
        <v>Norms / Normes</v>
      </c>
      <c r="AQ5" s="1" t="str">
        <f>_xlfn.XLOOKUP(RANASBlocksTable[[#This Row],[tag]], chartTranslationTable[tag], chartTranslationTable[displayedText])</f>
        <v>Norms</v>
      </c>
      <c r="AS5" s="1" cm="1">
        <f t="array" ref="AS5">ROW()-ROW(sortMenuTable[#Headers])</f>
        <v>3</v>
      </c>
      <c r="AT5" s="1" t="s">
        <v>99</v>
      </c>
      <c r="AU5" s="1" t="s">
        <v>126</v>
      </c>
      <c r="AY5" s="1" cm="1">
        <f t="array" ref="AY5">ROW()-ROW(behaviourTable[#Headers])</f>
        <v>3</v>
      </c>
      <c r="AZ5" s="1" t="str" cm="1">
        <f t="array" ref="AZ5">KeepBlanksFunction(
    _xlfn.XLOOKUP(
      behaviourTable[[#This Row],[index]],
      behaviourConfigTable[index],
      behaviourConfigTable[behaviourHeader],#REF!,
      0
    )
  )</f>
        <v/>
      </c>
      <c r="BA5" s="1" t="str">
        <f>IF(
    behaviourTable[[#This Row],[behaviourHeader]] = "",
    "",
    _xlfn.XLOOKUP(
      _xlfn.XLOOKUP(
        behaviourTable[[#This Row],[index]],
        behaviourConfigTable[index],
        behaviourConfigTable[includeConfig],#REF!,
        0
      ),
      yesNoTable[label],
      yesNoTable[tag],
      "",
      0
    )
  )</f>
        <v/>
      </c>
      <c r="BB5" s="1" t="b">
        <f>IF(
    behaviourTable[[#This Row],[behaviourHeader]] = "",
    FALSE,
    IF(
      behaviourTable[[#This Row],[includeConfig]] = "yes",
      TRUE,
      IF(
        behaviourTable[[#This Row],[includeConfig]] = "no",
        FALSE,
        NA()
      )
    )
  )</f>
        <v>0</v>
      </c>
      <c r="BC5" s="1" t="str">
        <f>IF(
    behaviourTable[[#This Row],[behaviourHeader]] = "",
    "",
    _xlfn.IFNA(
      MATCH(behaviourTable[[#This Row],[behaviourHeader]], dataHeaders, 0),
      _xlfn.IFNA(
        MATCH("*/" &amp; behaviourTable[[#This Row],[behaviourHeader]], dataHeaders, 0),
        MATCH("*-" &amp; behaviourTable[[#This Row],[behaviourHeader]], dataHeaders, 0)
      )
    )
  )</f>
        <v/>
      </c>
      <c r="BD5" s="1" t="str">
        <f>IF(
    behaviourTable[[#This Row],[behaviourHeader]] = "",
    "",
    _xlfn.LET(
      _xlpm.tableValue,
      _xlfn.XLOOKUP(
        behaviourTable[[#This Row],[index]],
        behaviourConfigTable[index],
        behaviourConfigTable[minScore],#REF!,
        0
      ),
      _xlpm.storedValue,
      IF(
        _xlpm.tableValue = "",
        NA(),
        _xlpm.tableValue
      ),
      _xlpm.storedValue
    )
  )</f>
        <v/>
      </c>
      <c r="BE5" s="1" t="str">
        <f>IF(
    behaviourTable[[#This Row],[behaviourHeader]] = "",
    "",
    _xlfn.LET(
      _xlpm.tableValue,
      _xlfn.XLOOKUP(
        behaviourTable[[#This Row],[index]],
        behaviourConfigTable[index],
        behaviourConfigTable[maxScore],#REF!,
        0
      ),
      _xlpm.storedValue,
      IF(
        _xlpm.tableValue = "",
        NA(),
        _xlpm.tableValue
      ),
      _xlpm.storedValue
    )
  )</f>
        <v/>
      </c>
      <c r="BF5" s="1" t="str">
        <f>IF(
    behaviourTable[[#This Row],[behaviourHeader]] = "",
    "",
    MIN(behaviourDataForIndex(behaviourTable[[#This Row],[index]]))
  )</f>
        <v/>
      </c>
      <c r="BG5" s="1" t="str">
        <f>IF(
    behaviourTable[[#This Row],[behaviourHeader]] = "",
    "",
    MAX(behaviourDataForIndex(behaviourTable[[#This Row],[index]]))
  )</f>
        <v/>
      </c>
      <c r="BH5" s="1" t="b" cm="1">
        <f t="array" aca="1" ref="BH5" ca="1">AND(
    NOT(errorNoDataSheet),
    behaviourTable[[#This Row],[behaviourHeader]] &lt;&gt; "",
    NOT(ISERROR(behaviourTable[[#This Row],[behaviourColNum]])),
    IFERROR(behaviourTable[[#This Row],[include]], FALSE),
    IFERROR(behaviourTable[[#This Row],[minValue]] &lt; behaviourTable[[#This Row],[minScore]], FALSE)
  )</f>
        <v>0</v>
      </c>
      <c r="BI5" s="1" t="b" cm="1">
        <f t="array" aca="1" ref="BI5" ca="1">AND(
    NOT(errorNoDataSheet),
    behaviourTable[[#This Row],[behaviourHeader]] &lt;&gt; "",
    NOT(ISERROR(behaviourTable[[#This Row],[behaviourColNum]])),
    IFERROR(behaviourTable[[#This Row],[include]], FALSE),
    IFERROR(behaviourTable[[#This Row],[maxValue]] &gt; behaviourTable[[#This Row],[maxScore]], FALSE)
  )</f>
        <v>0</v>
      </c>
      <c r="BJ5" s="1" t="str" cm="1">
        <f t="array" ref="BJ5">IF(
    behaviourTable[[#This Row],[behaviourHeader]] = "",
    "",
    IF(
      ISERROR(behaviourTable[[#This Row],[behaviourColNum]]),
      UITranslateForValueTable("dataNotFound", UITranslationTable[tag], UITranslationTable[], UITranslationTable[#Headers]),
      SUMPRODUCT(--(behaviourDataForIndex(behaviourTable[[#This Row],[index]]) &lt;&gt; ""))
    )
  )</f>
        <v/>
      </c>
      <c r="BK5" s="1" t="str" cm="1">
        <f t="array" ref="BK5">IF(
    behaviourTable[[#This Row],[behaviourHeader]] = "",
    "",
    IF(
      ISERROR(behaviourTable[[#This Row],[behaviourColNum]]),
      UITranslateForValueTable("dataNotFound", UITranslationTable[tag], UITranslationTable[], UITranslationTable[#Headers]),
      numEntries - behaviourTable[[#This Row],[numResponses]]
    )
  )</f>
        <v/>
      </c>
      <c r="BW5" s="181" cm="1">
        <f t="array" ref="BW5">ROW()-ROW(cutoffTable[#Headers])</f>
        <v>3</v>
      </c>
      <c r="BX5" s="182">
        <v>0.3</v>
      </c>
      <c r="BY5" s="1" t="s">
        <v>288</v>
      </c>
      <c r="BZ5" s="1" cm="1">
        <f t="array" ref="BZ5">SUMPRODUCT(
    (behaviourScore &lt;&gt; "")
  * (behaviourScore &gt;= IF(cutoffTable[[#This Row],[index]] = 1, 0, INDEX(cutoffTable[cutoffLevel], cutoffTable[[#This Row],[index]]-1)))
  * IF(
      cutoffTable[[#This Row],[cutoffLevel]] = 1,
      behaviourScore &lt;= 1,
      behaviourScore &lt; cutoffTable[[#This Row],[cutoffLevel]]
    )
  )</f>
        <v>0</v>
      </c>
      <c r="CA5" s="1" cm="1">
        <f t="array" ref="CA5">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5" s="1" cm="1">
        <f t="array" ref="CB5">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5" s="1" cm="1">
        <f t="array" ref="CD5">ROW()-ROW(recommendedCutoffTable[#Headers])</f>
        <v>3</v>
      </c>
      <c r="CE5" s="183">
        <f>(recommendedCutoffTable[[#This Row],[index]] - 1) / 100</f>
        <v>0.02</v>
      </c>
      <c r="CF5" s="1" cm="1">
        <f t="array" ref="CF5">ABS(
    numScores
  - 2 * SUMPRODUCT((behaviourScore &lt;&gt; "") * (behaviourScore &lt; recommendedCutoffTable[[#This Row],[cutoffLevel]]))
  )</f>
        <v>0</v>
      </c>
      <c r="CM5" s="1" cm="1">
        <f t="array" ref="CM5">ROW()-ROW(factorsTable[#Headers])</f>
        <v>3</v>
      </c>
      <c r="CN5" s="1" t="str" cm="1">
        <f t="array" ref="CN5">KeepBlanksFunction(
    _xlfn.XLOOKUP(
      factorsTable[[#This Row],[index]],
      factorsConfigTable[index],
      factorsConfigTable[factorHeader],#REF!,
      0
    )
  )</f>
        <v/>
      </c>
      <c r="CO5" s="1" t="str">
        <f>IF(
    factorsTable[[#This Row],[factorHeader]] = "",
    "",
    _xlfn.IFNA(
      MATCH(factorsTable[[#This Row],[factorHeader]], dataHeaders, 0),
      _xlfn.IFNA(
        MATCH("*/" &amp; factorsTable[[#This Row],[factorHeader]], dataHeaders, 0),
        MATCH("*-" &amp; factorsTable[[#This Row],[factorHeader]], dataHeaders, 0)
      )
    )
  )</f>
        <v/>
      </c>
      <c r="CP5" s="1" t="str">
        <f>IF(
    factorsTable[[#This Row],[factorHeader]] = "",
    "",
    _xlfn.LET(
      _xlpm.tableValue,
      _xlfn.XLOOKUP(
        factorsTable[[#This Row],[index]],
        factorsConfigTable[index],
        factorsConfigTable[minScore],#REF!,
        0
      ),
      _xlpm.storedValue,
      IF(
        _xlpm.tableValue = "",
        NA(),
        _xlpm.tableValue
      ),
      _xlpm.storedValue
    )
  )</f>
        <v/>
      </c>
      <c r="CQ5" s="1" t="str">
        <f>IF(
    factorsTable[[#This Row],[factorHeader]] = "",
    "",
    _xlfn.LET(
      _xlpm.tableValue,
      _xlfn.XLOOKUP(
        factorsTable[[#This Row],[index]],
        factorsConfigTable[index],
        factorsConfigTable[maxScore],#REF!,
        0
      ),
      _xlpm.storedValue,
      IF(
        _xlpm.tableValue = "",
        NA(),
        _xlpm.tableValue
      ),
      _xlpm.storedValue
    )
  )</f>
        <v/>
      </c>
      <c r="CR5" s="1" t="str">
        <f>IF(
    factorsTable[[#This Row],[factorHeader]] = "",
    "",
    IF(
      ISERROR(factorsTable[[#This Row],[factorColNum]]),
      NA(),
      IF(
        ISNA(INDEX(dataRange,1,1)),
        NA(),
        MIN(INDEX(dataRange, , factorsTable[[#This Row],[factorColNum]]))
      )
    )
  )</f>
        <v/>
      </c>
      <c r="CS5" s="1" t="str">
        <f>IF(
    factorsTable[[#This Row],[factorHeader]] = "",
    "",
    IF(
      ISERROR(factorsTable[[#This Row],[factorColNum]]),
      NA(),
      IF(
        ISNA(INDEX(dataRange,1,1)),
        NA(),
        MAX(INDEX(dataRange, , factorsTable[[#This Row],[factorColNum]]))
      )
    )
  )</f>
        <v/>
      </c>
      <c r="CT5" s="1" t="b" cm="1">
        <f t="array" aca="1" ref="CT5" ca="1">AND(
    NOT(errorNoDataSheet),
    factorsTable[[#This Row],[factorHeader]] &lt;&gt; "",
    NOT(ISERROR(factorsTable[[#This Row],[factorColNum]])),
    IFERROR(factorsTable[[#This Row],[display]], FALSE),
    IFERROR(factorsTable[[#This Row],[minValue]] &lt; factorsTable[[#This Row],[minScore]], FALSE)
  )</f>
        <v>0</v>
      </c>
      <c r="CU5" s="1" t="b" cm="1">
        <f t="array" aca="1" ref="CU5" ca="1">AND(
    NOT(errorNoDataSheet),
    factorsTable[[#This Row],[factorHeader]] &lt;&gt; "",
    NOT(ISERROR(factorsTable[[#This Row],[factorColNum]])),
    IFERROR(factorsTable[[#This Row],[display]], FALSE),
    IFERROR(factorsTable[[#This Row],[maxValue]] &gt; factorsTable[[#This Row],[maxScore]], FALSE)
  )</f>
        <v>0</v>
      </c>
      <c r="CV5" s="1" t="str" cm="1">
        <f t="array" ref="CV5">IF(
    factorsTable[[#This Row],[factorHeader]] = "",
    "",
    IF(
      ISNA(INDEX(dataRange,1,1)),
      NA(),
      SUMPRODUCT(
          IF(isDoer = "", 0, NOT(isDoer))
        * (INDEX(dataRange, , factorsTable[[#This Row],[factorColNum]]) &lt;&gt; "")
      )
    )
  )</f>
        <v/>
      </c>
      <c r="CW5" s="1" t="str" cm="1">
        <f t="array" ref="CW5">IF(
    factorsTable[[#This Row],[factorHeader]] = "",
    "",
    IF(
      ISNA(INDEX(dataRange,1,1)),
      NA(),
      SUMPRODUCT(
          IF(isDoer = "", 0, isDoer)
        * (INDEX(dataRange, , factorsTable[[#This Row],[factorColNum]]) &lt;&gt; "")
      )
    )
  )</f>
        <v/>
      </c>
      <c r="CX5" s="1" t="str" cm="1">
        <f t="array" ref="CX5">IF(
    factorsTable[[#This Row],[factorHeader]] = "",
    "",
    IF(
      ISERROR(factorsTable[[#This Row],[factorColNum]]),
      UITranslateForValueTable("dataNotFound", UITranslationTable[tag], UITranslationTable[], UITranslationTable[#Headers]),
      factorsTable[[#This Row],[numDoers]] + factorsTable[[#This Row],[numNondoers]]
    )
  )</f>
        <v/>
      </c>
      <c r="CY5" s="1" t="str" cm="1">
        <f t="array" ref="CY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5" s="1" t="str" cm="1">
        <f t="array" ref="CZ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5" s="1" t="str">
        <f>IF(
    factorsTable[[#This Row],[factorHeader]] = "",
    "",
    factorsTable[[#This Row],[doers]] - factorsTable[[#This Row],[nondoers]]
  )</f>
        <v/>
      </c>
      <c r="DB5" s="1" t="str">
        <f>IF(
    factorsTable[[#This Row],[factorHeader]] = "",
    "",
    _xlfn.XLOOKUP(
      _xlfn.XLOOKUP(
        factorsTable[[#This Row],[index]],
        factorsConfigTable[index],
        factorsConfigTable[displayConfig],#REF!,
        0
      ),
      yesNoTable[label],
      yesNoTable[tag],
      "",
      0
    )
  )</f>
        <v/>
      </c>
      <c r="DC5" s="177" t="b">
        <f>IF(
    factorsTable[[#This Row],[factorHeader]] = "",
    FALSE,
    IF(
      factorsTable[[#This Row],[displayConfig]] = "yes",
      TRUE,
      IF(
        factorsTable[[#This Row],[displayConfig]] = "no",
        FALSE,
        NA()
      )
    )
  )</f>
        <v>0</v>
      </c>
      <c r="DD5" s="177" t="str" cm="1">
        <f t="array" ref="DD5">FilterTrueColumn(factorsTable[[#This Row],[index]], factorsTable[index], factorsTable[filteredIndex], factorsTable[display])</f>
        <v/>
      </c>
      <c r="DE5" s="177" t="str">
        <f>IF(
    factorsTable[[#This Row],[filteredIndex]] = "",
    "",
    _xlfn.IFNA(
      _xlfn.XLOOKUP(factorsTable[[#This Row],[filteredIndex]], factorsTable[index], factorsTable[difference]),
      -99
    )
  )</f>
        <v/>
      </c>
      <c r="DF5" s="177" t="str">
        <f>IF(
    factorsTable[[#This Row],[filteredIndex]] = "",
    "",
    IF(
      factorsTable[[#This Row],[relDiff]] = -99,
      -99,
      ABS(factorsTable[[#This Row],[relDiff]])
    )
  )</f>
        <v/>
      </c>
      <c r="DG5" s="177" t="str">
        <f>IF(
    factorsTable[[#This Row],[filteredIndex]] = "",
    "",
    _xlfn.XLOOKUP(
      _xlfn.XLOOKUP(
        factorsTable[[#This Row],[filteredIndex]],
        factorsConfigTable[index],
        factorsConfigTable[RANASBlock],#REF!,
        0
      ),
      RANASBlocksTable[label],
      RANASBlocksTable[index],
      6,
      0
    )
  )</f>
        <v/>
      </c>
      <c r="DH5" s="177" t="str">
        <f>IF(
    factorsTable[[#This Row],[filteredIndex]] = "",
    "",
    _xlfn.RANK.EQ(factorsTable[[#This Row],[relDiff]], factorsTable[relDiff], 0)
  )</f>
        <v/>
      </c>
      <c r="DI5" s="177" t="str">
        <f>IF(
    factorsTable[[#This Row],[filteredIndex]] = "",
    "",
    _xlfn.RANK.EQ(factorsTable[[#This Row],[absDiff]], factorsTable[absDiff], 0)
  )</f>
        <v/>
      </c>
      <c r="DJ5" s="177" t="str">
        <f>IF(
    factorsTable[[#This Row],[filteredIndex]] = "",
    "",
    _xlfn.RANK.EQ(factorsTable[[#This Row],[RANASIndex]], factorsTable[RANASIndex], 1)
  )</f>
        <v/>
      </c>
      <c r="DK5" s="177" t="str" cm="1">
        <f t="array" ref="DK5">_xlfn.SWITCH(
    sortingMethodTag,
    "none", factorsTable[[#This Row],[filteredIndex]],
    "relDiff", factorsTable[[#This Row],[relDiffRank]],
    "absDiff", factorsTable[[#This Row],[absDiffRank]],
    "RANAS", factorsTable[[#This Row],[RANASRank]],
    factorsTable[[#This Row],[filteredIndex]]
  )</f>
        <v/>
      </c>
      <c r="DL5" s="177" t="str">
        <f>IF(
    factorsTable[[#This Row],[filteredIndex]] = "",
    "",
    factorsTable[[#This Row],[selectedRank]]
      + COUNTIF(INDEX(factorsTable[selectedRank], 1):INDEX(factorsTable[selectedRank], factorsTable[[#This Row],[index]]), factorsTable[[#This Row],[selectedRank]])
      - 1
  )</f>
        <v/>
      </c>
      <c r="DM5" s="177" t="str">
        <f>IF(
    factorsTable[[#This Row],[filteredIndex]] = "",
    "",
    _xlfn.XLOOKUP(
      factorsTable[[#This Row],[index]],
      factorsTable[uniqueRank],
      factorsTable[filteredIndex],#REF!,
      0
    )
  )</f>
        <v/>
      </c>
      <c r="DN5" s="177" t="str" cm="1">
        <f t="array" ref="DN5">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5" s="177" t="str" cm="1">
        <f t="array" ref="DO5">IF(
    factorsTable[[#This Row],[sortedIndex]] = "",
    "",
    IF(
      factorsTable[[#This Row],[langSpecFactor]] = "",
      UITranslateForValueTable("noTranslation", UITranslationTable[tag], UITranslationTable[], UITranslationTable[#Headers]),
      factorsTable[[#This Row],[langSpecFactor]]
    )
  )</f>
        <v/>
      </c>
      <c r="DP5" s="177" t="str">
        <f>IF(
    factorsTable[[#This Row],[sortedIndex]] = "",
    "",
    _xlfn.XLOOKUP(
      _xlfn.XLOOKUP(
        factorsTable[[#This Row],[sortedIndex]],
        factorsConfigTable[index],
        factorsConfigTable[RANASBlock],#REF!,
        0
      ),
      RANASBlocksTable[label],
      RANASBlocksTable[tag],
      NA(),
      0
    )
  )</f>
        <v/>
      </c>
      <c r="DQ5" s="177" t="str" cm="1">
        <f t="array" ref="DQ5">IF(
    factorsTable[[#This Row],[sortedIndex]] = "",
    "",
    _xlfn.IFNA(
      _xlfn.XLOOKUP(factorsTable[[#This Row],[RANASTag]], RANASBlocksTable[tag], RANASBlocksTable[langSpecLabel]),
      UITranslateForValueTable("noRANASBlock", UITranslationTable[tag], UITranslationTable[], UITranslationTable[#Headers])
    )
  )</f>
        <v/>
      </c>
      <c r="DR5"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5" s="177" t="str">
        <f>IF(
    factorsTable[[#This Row],[sortedIndex]] = "",
    "",
    _xlfn.XLOOKUP(factorsTable[[#This Row],[sortedIndex]], factorsTable[index], factorsTable[numTotal])
  )</f>
        <v/>
      </c>
      <c r="DT5" s="177" t="str">
        <f>IF(
    factorsTable[[#This Row],[sortedIndex]] = "",
    "",
    _xlfn.XLOOKUP(factorsTable[[#This Row],[sortedIndex]], factorsTable[index], factorsTable[nondoers])
  )</f>
        <v/>
      </c>
      <c r="DU5" s="177" t="str">
        <f>IF(
    factorsTable[[#This Row],[sortedIndex]] = "",
    "",
    _xlfn.XLOOKUP(factorsTable[[#This Row],[sortedIndex]], factorsTable[index], factorsTable[doers])
  )</f>
        <v/>
      </c>
      <c r="DV5" s="177" t="str">
        <f>IF(
    factorsTable[[#This Row],[sortedIndex]] = "",
    "",
    _xlfn.XLOOKUP(factorsTable[[#This Row],[sortedIndex]], factorsTable[index], factorsTable[difference])
  )</f>
        <v/>
      </c>
    </row>
    <row r="6" spans="5:126" ht="14.4" customHeight="1" x14ac:dyDescent="0.3">
      <c r="E6" s="187" cm="1">
        <f t="array" ref="E6">ROW()-ROW(UITranslationTable[#Headers])</f>
        <v>4</v>
      </c>
      <c r="F6" s="9"/>
      <c r="G6" s="176"/>
      <c r="H6" s="176"/>
      <c r="J6" s="1" cm="1">
        <f t="array" ref="J6">ROW()-ROW(errorMessagesTable[#Headers])</f>
        <v>4</v>
      </c>
      <c r="K6" s="1" t="s">
        <v>430</v>
      </c>
      <c r="L6" s="12" t="b" cm="1">
        <f t="array" aca="1" ref="L6" ca="1">errorDataHeaderSpace</f>
        <v>0</v>
      </c>
      <c r="M6" s="9" t="str" cm="1">
        <f t="array" ref="M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N6" s="9" t="str" cm="1">
        <f t="array" ref="N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O6" s="1" t="str" cm="1">
        <f t="array" aca="1" ref="O6" ca="1">FilterTrueColumn(errorMessagesTable[[#This Row],[index]], errorMessagesTable[index], errorMessagesTable[filteredIndex], errorMessagesTable[condition])</f>
        <v/>
      </c>
      <c r="P6" s="9" t="str" cm="1">
        <f t="array" aca="1" ref="P6"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6" s="9" t="str" cm="1">
        <f t="array" aca="1" ref="Q6" ca="1">IF(
    errorMessagesTable[[#This Row],[filteredIndex]] = "",
    "",
    IF(
      errorMessagesTable[[#This Row],[index]] = 1,
      "",
      INDEX(errorMessagesTable[concatErrors], errorMessagesTable[[#This Row],[index]]-1)
      &amp; CHAR(10) &amp; CHAR(10)
    )
    &amp; INDEX(errorMessagesTable[langSpecError], errorMessagesTable[[#This Row],[index]])
  )</f>
        <v/>
      </c>
      <c r="S6" s="177" cm="1">
        <f t="array" ref="S6">ROW()-ROW(manualEntryVariablesTable[#Headers])</f>
        <v>4</v>
      </c>
      <c r="T6" s="1" t="s">
        <v>329</v>
      </c>
      <c r="U6" s="186" t="s">
        <v>330</v>
      </c>
      <c r="W6" s="177" cm="1">
        <f t="array" ref="W6">ROW()-ROW(structuredFormulaeTable[#Headers])</f>
        <v>4</v>
      </c>
      <c r="X6" s="1" t="s">
        <v>423</v>
      </c>
      <c r="Y6" s="1" t="s">
        <v>476</v>
      </c>
      <c r="AA6" s="178" t="s">
        <v>480</v>
      </c>
      <c r="AB6" s="178" t="s">
        <v>482</v>
      </c>
      <c r="AD6" s="12" cm="1">
        <f t="array" ref="AD6">ROW()-ROW(languageTable[#Headers])</f>
        <v>4</v>
      </c>
      <c r="AE6" s="12" t="str" cm="1">
        <f t="array" ref="AE6">KeepBlanksFunction(INDEX(languageHeadersList, languageTable[[#This Row],[index]]))</f>
        <v/>
      </c>
      <c r="AF6" s="12" t="b">
        <f>languageTable[[#This Row],[languageHeaders]] &lt;&gt; ""</f>
        <v>0</v>
      </c>
      <c r="AG6" s="12" t="str" cm="1">
        <f t="array" ref="AG6">FilterTrueColumn(languageTable[[#This Row],[index]], languageTable[index], languageTable[filteredIndex], languageTable[hasValue])</f>
        <v/>
      </c>
      <c r="AH6" s="12" t="str" cm="1">
        <f t="array" ref="AH6">IFERROR(
    INDEX(languageTable[languageHeaders], languageTable[[#This Row],[filteredIndex]]),
    ""
  )</f>
        <v/>
      </c>
      <c r="AN6" s="1" cm="1">
        <f t="array" ref="AN6">ROW()-ROW(RANASBlocksTable[#Headers])</f>
        <v>4</v>
      </c>
      <c r="AO6" s="1" t="s">
        <v>135</v>
      </c>
      <c r="AP6" s="1" t="str">
        <f>_xlfn.XLOOKUP(RANASBlocksTable[[#This Row],[tag]], chartTranslationTable[tag], chartTranslationTable[lang1])
 &amp; " / "
 &amp; _xlfn.XLOOKUP(RANASBlocksTable[[#This Row],[tag]], chartTranslationTable[tag], chartTranslationTable[lang2])</f>
        <v>Abilities / Capacités</v>
      </c>
      <c r="AQ6" s="1" t="str">
        <f>_xlfn.XLOOKUP(RANASBlocksTable[[#This Row],[tag]], chartTranslationTable[tag], chartTranslationTable[displayedText])</f>
        <v>Abilities</v>
      </c>
      <c r="AS6" s="1" cm="1">
        <f t="array" ref="AS6">ROW()-ROW(sortMenuTable[#Headers])</f>
        <v>4</v>
      </c>
      <c r="AT6" s="1" t="s">
        <v>118</v>
      </c>
      <c r="AU6" s="1" t="s">
        <v>118</v>
      </c>
      <c r="AY6" s="1" cm="1">
        <f t="array" ref="AY6">ROW()-ROW(behaviourTable[#Headers])</f>
        <v>4</v>
      </c>
      <c r="AZ6" s="1" t="str" cm="1">
        <f t="array" ref="AZ6">KeepBlanksFunction(
    _xlfn.XLOOKUP(
      behaviourTable[[#This Row],[index]],
      behaviourConfigTable[index],
      behaviourConfigTable[behaviourHeader],#REF!,
      0
    )
  )</f>
        <v/>
      </c>
      <c r="BA6" s="1" t="str">
        <f>IF(
    behaviourTable[[#This Row],[behaviourHeader]] = "",
    "",
    _xlfn.XLOOKUP(
      _xlfn.XLOOKUP(
        behaviourTable[[#This Row],[index]],
        behaviourConfigTable[index],
        behaviourConfigTable[includeConfig],#REF!,
        0
      ),
      yesNoTable[label],
      yesNoTable[tag],
      "",
      0
    )
  )</f>
        <v/>
      </c>
      <c r="BB6" s="1" t="b">
        <f>IF(
    behaviourTable[[#This Row],[behaviourHeader]] = "",
    FALSE,
    IF(
      behaviourTable[[#This Row],[includeConfig]] = "yes",
      TRUE,
      IF(
        behaviourTable[[#This Row],[includeConfig]] = "no",
        FALSE,
        NA()
      )
    )
  )</f>
        <v>0</v>
      </c>
      <c r="BC6" s="1" t="str">
        <f>IF(
    behaviourTable[[#This Row],[behaviourHeader]] = "",
    "",
    _xlfn.IFNA(
      MATCH(behaviourTable[[#This Row],[behaviourHeader]], dataHeaders, 0),
      _xlfn.IFNA(
        MATCH("*/" &amp; behaviourTable[[#This Row],[behaviourHeader]], dataHeaders, 0),
        MATCH("*-" &amp; behaviourTable[[#This Row],[behaviourHeader]], dataHeaders, 0)
      )
    )
  )</f>
        <v/>
      </c>
      <c r="BD6" s="1" t="str">
        <f>IF(
    behaviourTable[[#This Row],[behaviourHeader]] = "",
    "",
    _xlfn.LET(
      _xlpm.tableValue,
      _xlfn.XLOOKUP(
        behaviourTable[[#This Row],[index]],
        behaviourConfigTable[index],
        behaviourConfigTable[minScore],#REF!,
        0
      ),
      _xlpm.storedValue,
      IF(
        _xlpm.tableValue = "",
        NA(),
        _xlpm.tableValue
      ),
      _xlpm.storedValue
    )
  )</f>
        <v/>
      </c>
      <c r="BE6" s="1" t="str">
        <f>IF(
    behaviourTable[[#This Row],[behaviourHeader]] = "",
    "",
    _xlfn.LET(
      _xlpm.tableValue,
      _xlfn.XLOOKUP(
        behaviourTable[[#This Row],[index]],
        behaviourConfigTable[index],
        behaviourConfigTable[maxScore],#REF!,
        0
      ),
      _xlpm.storedValue,
      IF(
        _xlpm.tableValue = "",
        NA(),
        _xlpm.tableValue
      ),
      _xlpm.storedValue
    )
  )</f>
        <v/>
      </c>
      <c r="BF6" s="1" t="str">
        <f>IF(
    behaviourTable[[#This Row],[behaviourHeader]] = "",
    "",
    MIN(behaviourDataForIndex(behaviourTable[[#This Row],[index]]))
  )</f>
        <v/>
      </c>
      <c r="BG6" s="1" t="str">
        <f>IF(
    behaviourTable[[#This Row],[behaviourHeader]] = "",
    "",
    MAX(behaviourDataForIndex(behaviourTable[[#This Row],[index]]))
  )</f>
        <v/>
      </c>
      <c r="BH6" s="1" t="b" cm="1">
        <f t="array" aca="1" ref="BH6" ca="1">AND(
    NOT(errorNoDataSheet),
    behaviourTable[[#This Row],[behaviourHeader]] &lt;&gt; "",
    NOT(ISERROR(behaviourTable[[#This Row],[behaviourColNum]])),
    IFERROR(behaviourTable[[#This Row],[include]], FALSE),
    IFERROR(behaviourTable[[#This Row],[minValue]] &lt; behaviourTable[[#This Row],[minScore]], FALSE)
  )</f>
        <v>0</v>
      </c>
      <c r="BI6" s="1" t="b" cm="1">
        <f t="array" aca="1" ref="BI6" ca="1">AND(
    NOT(errorNoDataSheet),
    behaviourTable[[#This Row],[behaviourHeader]] &lt;&gt; "",
    NOT(ISERROR(behaviourTable[[#This Row],[behaviourColNum]])),
    IFERROR(behaviourTable[[#This Row],[include]], FALSE),
    IFERROR(behaviourTable[[#This Row],[maxValue]] &gt; behaviourTable[[#This Row],[maxScore]], FALSE)
  )</f>
        <v>0</v>
      </c>
      <c r="BJ6" s="1" t="str" cm="1">
        <f t="array" ref="BJ6">IF(
    behaviourTable[[#This Row],[behaviourHeader]] = "",
    "",
    IF(
      ISERROR(behaviourTable[[#This Row],[behaviourColNum]]),
      UITranslateForValueTable("dataNotFound", UITranslationTable[tag], UITranslationTable[], UITranslationTable[#Headers]),
      SUMPRODUCT(--(behaviourDataForIndex(behaviourTable[[#This Row],[index]]) &lt;&gt; ""))
    )
  )</f>
        <v/>
      </c>
      <c r="BK6" s="1" t="str" cm="1">
        <f t="array" ref="BK6">IF(
    behaviourTable[[#This Row],[behaviourHeader]] = "",
    "",
    IF(
      ISERROR(behaviourTable[[#This Row],[behaviourColNum]]),
      UITranslateForValueTable("dataNotFound", UITranslationTable[tag], UITranslationTable[], UITranslationTable[#Headers]),
      numEntries - behaviourTable[[#This Row],[numResponses]]
    )
  )</f>
        <v/>
      </c>
      <c r="BW6" s="181" cm="1">
        <f t="array" ref="BW6">ROW()-ROW(cutoffTable[#Headers])</f>
        <v>4</v>
      </c>
      <c r="BX6" s="182">
        <v>0.4</v>
      </c>
      <c r="BY6" s="1" t="s">
        <v>289</v>
      </c>
      <c r="BZ6" s="1" cm="1">
        <f t="array" ref="BZ6">SUMPRODUCT(
    (behaviourScore &lt;&gt; "")
  * (behaviourScore &gt;= IF(cutoffTable[[#This Row],[index]] = 1, 0, INDEX(cutoffTable[cutoffLevel], cutoffTable[[#This Row],[index]]-1)))
  * IF(
      cutoffTable[[#This Row],[cutoffLevel]] = 1,
      behaviourScore &lt;= 1,
      behaviourScore &lt; cutoffTable[[#This Row],[cutoffLevel]]
    )
  )</f>
        <v>0</v>
      </c>
      <c r="CA6" s="1" cm="1">
        <f t="array" ref="CA6">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6" s="1" cm="1">
        <f t="array" ref="CB6">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6" s="1" cm="1">
        <f t="array" ref="CD6">ROW()-ROW(recommendedCutoffTable[#Headers])</f>
        <v>4</v>
      </c>
      <c r="CE6" s="183">
        <f>(recommendedCutoffTable[[#This Row],[index]] - 1) / 100</f>
        <v>0.03</v>
      </c>
      <c r="CF6" s="1" cm="1">
        <f t="array" ref="CF6">ABS(
    numScores
  - 2 * SUMPRODUCT((behaviourScore &lt;&gt; "") * (behaviourScore &lt; recommendedCutoffTable[[#This Row],[cutoffLevel]]))
  )</f>
        <v>0</v>
      </c>
      <c r="CM6" s="1" cm="1">
        <f t="array" ref="CM6">ROW()-ROW(factorsTable[#Headers])</f>
        <v>4</v>
      </c>
      <c r="CN6" s="1" t="str" cm="1">
        <f t="array" ref="CN6">KeepBlanksFunction(
    _xlfn.XLOOKUP(
      factorsTable[[#This Row],[index]],
      factorsConfigTable[index],
      factorsConfigTable[factorHeader],#REF!,
      0
    )
  )</f>
        <v/>
      </c>
      <c r="CO6" s="1" t="str">
        <f>IF(
    factorsTable[[#This Row],[factorHeader]] = "",
    "",
    _xlfn.IFNA(
      MATCH(factorsTable[[#This Row],[factorHeader]], dataHeaders, 0),
      _xlfn.IFNA(
        MATCH("*/" &amp; factorsTable[[#This Row],[factorHeader]], dataHeaders, 0),
        MATCH("*-" &amp; factorsTable[[#This Row],[factorHeader]], dataHeaders, 0)
      )
    )
  )</f>
        <v/>
      </c>
      <c r="CP6" s="1" t="str">
        <f>IF(
    factorsTable[[#This Row],[factorHeader]] = "",
    "",
    _xlfn.LET(
      _xlpm.tableValue,
      _xlfn.XLOOKUP(
        factorsTable[[#This Row],[index]],
        factorsConfigTable[index],
        factorsConfigTable[minScore],#REF!,
        0
      ),
      _xlpm.storedValue,
      IF(
        _xlpm.tableValue = "",
        NA(),
        _xlpm.tableValue
      ),
      _xlpm.storedValue
    )
  )</f>
        <v/>
      </c>
      <c r="CQ6" s="1" t="str">
        <f>IF(
    factorsTable[[#This Row],[factorHeader]] = "",
    "",
    _xlfn.LET(
      _xlpm.tableValue,
      _xlfn.XLOOKUP(
        factorsTable[[#This Row],[index]],
        factorsConfigTable[index],
        factorsConfigTable[maxScore],#REF!,
        0
      ),
      _xlpm.storedValue,
      IF(
        _xlpm.tableValue = "",
        NA(),
        _xlpm.tableValue
      ),
      _xlpm.storedValue
    )
  )</f>
        <v/>
      </c>
      <c r="CR6" s="1" t="str">
        <f>IF(
    factorsTable[[#This Row],[factorHeader]] = "",
    "",
    IF(
      ISERROR(factorsTable[[#This Row],[factorColNum]]),
      NA(),
      IF(
        ISNA(INDEX(dataRange,1,1)),
        NA(),
        MIN(INDEX(dataRange, , factorsTable[[#This Row],[factorColNum]]))
      )
    )
  )</f>
        <v/>
      </c>
      <c r="CS6" s="1" t="str">
        <f>IF(
    factorsTable[[#This Row],[factorHeader]] = "",
    "",
    IF(
      ISERROR(factorsTable[[#This Row],[factorColNum]]),
      NA(),
      IF(
        ISNA(INDEX(dataRange,1,1)),
        NA(),
        MAX(INDEX(dataRange, , factorsTable[[#This Row],[factorColNum]]))
      )
    )
  )</f>
        <v/>
      </c>
      <c r="CT6" s="1" t="b" cm="1">
        <f t="array" aca="1" ref="CT6" ca="1">AND(
    NOT(errorNoDataSheet),
    factorsTable[[#This Row],[factorHeader]] &lt;&gt; "",
    NOT(ISERROR(factorsTable[[#This Row],[factorColNum]])),
    IFERROR(factorsTable[[#This Row],[display]], FALSE),
    IFERROR(factorsTable[[#This Row],[minValue]] &lt; factorsTable[[#This Row],[minScore]], FALSE)
  )</f>
        <v>0</v>
      </c>
      <c r="CU6" s="1" t="b" cm="1">
        <f t="array" aca="1" ref="CU6" ca="1">AND(
    NOT(errorNoDataSheet),
    factorsTable[[#This Row],[factorHeader]] &lt;&gt; "",
    NOT(ISERROR(factorsTable[[#This Row],[factorColNum]])),
    IFERROR(factorsTable[[#This Row],[display]], FALSE),
    IFERROR(factorsTable[[#This Row],[maxValue]] &gt; factorsTable[[#This Row],[maxScore]], FALSE)
  )</f>
        <v>0</v>
      </c>
      <c r="CV6" s="1" t="str" cm="1">
        <f t="array" ref="CV6">IF(
    factorsTable[[#This Row],[factorHeader]] = "",
    "",
    IF(
      ISNA(INDEX(dataRange,1,1)),
      NA(),
      SUMPRODUCT(
          IF(isDoer = "", 0, NOT(isDoer))
        * (INDEX(dataRange, , factorsTable[[#This Row],[factorColNum]]) &lt;&gt; "")
      )
    )
  )</f>
        <v/>
      </c>
      <c r="CW6" s="1" t="str" cm="1">
        <f t="array" ref="CW6">IF(
    factorsTable[[#This Row],[factorHeader]] = "",
    "",
    IF(
      ISNA(INDEX(dataRange,1,1)),
      NA(),
      SUMPRODUCT(
          IF(isDoer = "", 0, isDoer)
        * (INDEX(dataRange, , factorsTable[[#This Row],[factorColNum]]) &lt;&gt; "")
      )
    )
  )</f>
        <v/>
      </c>
      <c r="CX6" s="1" t="str" cm="1">
        <f t="array" ref="CX6">IF(
    factorsTable[[#This Row],[factorHeader]] = "",
    "",
    IF(
      ISERROR(factorsTable[[#This Row],[factorColNum]]),
      UITranslateForValueTable("dataNotFound", UITranslationTable[tag], UITranslationTable[], UITranslationTable[#Headers]),
      factorsTable[[#This Row],[numDoers]] + factorsTable[[#This Row],[numNondoers]]
    )
  )</f>
        <v/>
      </c>
      <c r="CY6" s="1" t="str" cm="1">
        <f t="array" ref="CY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6" s="1" t="str" cm="1">
        <f t="array" ref="CZ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6" s="1" t="str">
        <f>IF(
    factorsTable[[#This Row],[factorHeader]] = "",
    "",
    factorsTable[[#This Row],[doers]] - factorsTable[[#This Row],[nondoers]]
  )</f>
        <v/>
      </c>
      <c r="DB6" s="1" t="str">
        <f>IF(
    factorsTable[[#This Row],[factorHeader]] = "",
    "",
    _xlfn.XLOOKUP(
      _xlfn.XLOOKUP(
        factorsTable[[#This Row],[index]],
        factorsConfigTable[index],
        factorsConfigTable[displayConfig],#REF!,
        0
      ),
      yesNoTable[label],
      yesNoTable[tag],
      "",
      0
    )
  )</f>
        <v/>
      </c>
      <c r="DC6" s="177" t="b">
        <f>IF(
    factorsTable[[#This Row],[factorHeader]] = "",
    FALSE,
    IF(
      factorsTable[[#This Row],[displayConfig]] = "yes",
      TRUE,
      IF(
        factorsTable[[#This Row],[displayConfig]] = "no",
        FALSE,
        NA()
      )
    )
  )</f>
        <v>0</v>
      </c>
      <c r="DD6" s="177" t="str" cm="1">
        <f t="array" ref="DD6">FilterTrueColumn(factorsTable[[#This Row],[index]], factorsTable[index], factorsTable[filteredIndex], factorsTable[display])</f>
        <v/>
      </c>
      <c r="DE6" s="177" t="str">
        <f>IF(
    factorsTable[[#This Row],[filteredIndex]] = "",
    "",
    _xlfn.IFNA(
      _xlfn.XLOOKUP(factorsTable[[#This Row],[filteredIndex]], factorsTable[index], factorsTable[difference]),
      -99
    )
  )</f>
        <v/>
      </c>
      <c r="DF6" s="177" t="str">
        <f>IF(
    factorsTable[[#This Row],[filteredIndex]] = "",
    "",
    IF(
      factorsTable[[#This Row],[relDiff]] = -99,
      -99,
      ABS(factorsTable[[#This Row],[relDiff]])
    )
  )</f>
        <v/>
      </c>
      <c r="DG6" s="177" t="str">
        <f>IF(
    factorsTable[[#This Row],[filteredIndex]] = "",
    "",
    _xlfn.XLOOKUP(
      _xlfn.XLOOKUP(
        factorsTable[[#This Row],[filteredIndex]],
        factorsConfigTable[index],
        factorsConfigTable[RANASBlock],#REF!,
        0
      ),
      RANASBlocksTable[label],
      RANASBlocksTable[index],
      6,
      0
    )
  )</f>
        <v/>
      </c>
      <c r="DH6" s="177" t="str">
        <f>IF(
    factorsTable[[#This Row],[filteredIndex]] = "",
    "",
    _xlfn.RANK.EQ(factorsTable[[#This Row],[relDiff]], factorsTable[relDiff], 0)
  )</f>
        <v/>
      </c>
      <c r="DI6" s="177" t="str">
        <f>IF(
    factorsTable[[#This Row],[filteredIndex]] = "",
    "",
    _xlfn.RANK.EQ(factorsTable[[#This Row],[absDiff]], factorsTable[absDiff], 0)
  )</f>
        <v/>
      </c>
      <c r="DJ6" s="177" t="str">
        <f>IF(
    factorsTable[[#This Row],[filteredIndex]] = "",
    "",
    _xlfn.RANK.EQ(factorsTable[[#This Row],[RANASIndex]], factorsTable[RANASIndex], 1)
  )</f>
        <v/>
      </c>
      <c r="DK6" s="177" t="str" cm="1">
        <f t="array" ref="DK6">_xlfn.SWITCH(
    sortingMethodTag,
    "none", factorsTable[[#This Row],[filteredIndex]],
    "relDiff", factorsTable[[#This Row],[relDiffRank]],
    "absDiff", factorsTable[[#This Row],[absDiffRank]],
    "RANAS", factorsTable[[#This Row],[RANASRank]],
    factorsTable[[#This Row],[filteredIndex]]
  )</f>
        <v/>
      </c>
      <c r="DL6" s="177" t="str">
        <f>IF(
    factorsTable[[#This Row],[filteredIndex]] = "",
    "",
    factorsTable[[#This Row],[selectedRank]]
      + COUNTIF(INDEX(factorsTable[selectedRank], 1):INDEX(factorsTable[selectedRank], factorsTable[[#This Row],[index]]), factorsTable[[#This Row],[selectedRank]])
      - 1
  )</f>
        <v/>
      </c>
      <c r="DM6" s="177" t="str">
        <f>IF(
    factorsTable[[#This Row],[filteredIndex]] = "",
    "",
    _xlfn.XLOOKUP(
      factorsTable[[#This Row],[index]],
      factorsTable[uniqueRank],
      factorsTable[filteredIndex],#REF!,
      0
    )
  )</f>
        <v/>
      </c>
      <c r="DN6" s="177" t="str" cm="1">
        <f t="array" ref="DN6">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6" s="177" t="str" cm="1">
        <f t="array" ref="DO6">IF(
    factorsTable[[#This Row],[sortedIndex]] = "",
    "",
    IF(
      factorsTable[[#This Row],[langSpecFactor]] = "",
      UITranslateForValueTable("noTranslation", UITranslationTable[tag], UITranslationTable[], UITranslationTable[#Headers]),
      factorsTable[[#This Row],[langSpecFactor]]
    )
  )</f>
        <v/>
      </c>
      <c r="DP6" s="177" t="str">
        <f>IF(
    factorsTable[[#This Row],[sortedIndex]] = "",
    "",
    _xlfn.XLOOKUP(
      _xlfn.XLOOKUP(
        factorsTable[[#This Row],[sortedIndex]],
        factorsConfigTable[index],
        factorsConfigTable[RANASBlock],#REF!,
        0
      ),
      RANASBlocksTable[label],
      RANASBlocksTable[tag],
      NA(),
      0
    )
  )</f>
        <v/>
      </c>
      <c r="DQ6" s="177" t="str" cm="1">
        <f t="array" ref="DQ6">IF(
    factorsTable[[#This Row],[sortedIndex]] = "",
    "",
    _xlfn.IFNA(
      _xlfn.XLOOKUP(factorsTable[[#This Row],[RANASTag]], RANASBlocksTable[tag], RANASBlocksTable[langSpecLabel]),
      UITranslateForValueTable("noRANASBlock", UITranslationTable[tag], UITranslationTable[], UITranslationTable[#Headers])
    )
  )</f>
        <v/>
      </c>
      <c r="DR6"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6" s="177" t="str">
        <f>IF(
    factorsTable[[#This Row],[sortedIndex]] = "",
    "",
    _xlfn.XLOOKUP(factorsTable[[#This Row],[sortedIndex]], factorsTable[index], factorsTable[numTotal])
  )</f>
        <v/>
      </c>
      <c r="DT6" s="177" t="str">
        <f>IF(
    factorsTable[[#This Row],[sortedIndex]] = "",
    "",
    _xlfn.XLOOKUP(factorsTable[[#This Row],[sortedIndex]], factorsTable[index], factorsTable[nondoers])
  )</f>
        <v/>
      </c>
      <c r="DU6" s="177" t="str">
        <f>IF(
    factorsTable[[#This Row],[sortedIndex]] = "",
    "",
    _xlfn.XLOOKUP(factorsTable[[#This Row],[sortedIndex]], factorsTable[index], factorsTable[doers])
  )</f>
        <v/>
      </c>
      <c r="DV6" s="177" t="str">
        <f>IF(
    factorsTable[[#This Row],[sortedIndex]] = "",
    "",
    _xlfn.XLOOKUP(factorsTable[[#This Row],[sortedIndex]], factorsTable[index], factorsTable[difference])
  )</f>
        <v/>
      </c>
    </row>
    <row r="7" spans="5:126" ht="14.4" customHeight="1" x14ac:dyDescent="0.3">
      <c r="E7" s="9" cm="1">
        <f t="array" ref="E7">ROW()-ROW(UITranslationTable[#Headers])</f>
        <v>5</v>
      </c>
      <c r="F7" s="176" t="s">
        <v>308</v>
      </c>
      <c r="G7" s="176" t="s">
        <v>60</v>
      </c>
      <c r="H7" s="176" t="s">
        <v>61</v>
      </c>
      <c r="J7" s="1" cm="1">
        <f t="array" ref="J7">ROW()-ROW(errorMessagesTable[#Headers])</f>
        <v>5</v>
      </c>
      <c r="K7" s="1" t="s">
        <v>431</v>
      </c>
      <c r="L7" s="1" t="b" cm="1">
        <f t="array" aca="1" ref="L7" ca="1">errorBehaviourHeader</f>
        <v>0</v>
      </c>
      <c r="M7" s="176" t="str" cm="1">
        <f t="array" ref="M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N7" s="176" t="str" cm="1">
        <f t="array" ref="N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O7" s="1" t="str" cm="1">
        <f t="array" aca="1" ref="O7" ca="1">FilterTrueColumn(errorMessagesTable[[#This Row],[index]], errorMessagesTable[index], errorMessagesTable[filteredIndex], errorMessagesTable[condition])</f>
        <v/>
      </c>
      <c r="P7" s="9" t="str" cm="1">
        <f t="array" aca="1" ref="P7"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7" s="9" t="str" cm="1">
        <f t="array" aca="1" ref="Q7" ca="1">IF(
    errorMessagesTable[[#This Row],[filteredIndex]] = "",
    "",
    IF(
      errorMessagesTable[[#This Row],[index]] = 1,
      "",
      INDEX(errorMessagesTable[concatErrors], errorMessagesTable[[#This Row],[index]]-1)
      &amp; CHAR(10) &amp; CHAR(10)
    )
    &amp; INDEX(errorMessagesTable[langSpecError], errorMessagesTable[[#This Row],[index]])
  )</f>
        <v/>
      </c>
      <c r="S7" s="1" cm="1">
        <f t="array" ref="S7">ROW()-ROW(manualEntryVariablesTable[#Headers])</f>
        <v>5</v>
      </c>
      <c r="T7" s="1" t="s">
        <v>30</v>
      </c>
      <c r="U7" s="9">
        <v>1000</v>
      </c>
      <c r="W7" s="177" cm="1">
        <f t="array" ref="W7">ROW()-ROW(structuredFormulaeTable[#Headers])</f>
        <v>5</v>
      </c>
      <c r="X7" s="1" t="s">
        <v>423</v>
      </c>
      <c r="Y7" s="1" t="s">
        <v>447</v>
      </c>
      <c r="AA7" s="178" t="s">
        <v>448</v>
      </c>
      <c r="AB7" s="178" t="s">
        <v>474</v>
      </c>
      <c r="AD7" s="12" cm="1">
        <f t="array" ref="AD7">ROW()-ROW(languageTable[#Headers])</f>
        <v>5</v>
      </c>
      <c r="AE7" s="12" t="str" cm="1">
        <f t="array" ref="AE7">KeepBlanksFunction(INDEX(languageHeadersList, languageTable[[#This Row],[index]]))</f>
        <v/>
      </c>
      <c r="AF7" s="12" t="b">
        <f>languageTable[[#This Row],[languageHeaders]] &lt;&gt; ""</f>
        <v>0</v>
      </c>
      <c r="AG7" s="12" t="str" cm="1">
        <f t="array" ref="AG7">FilterTrueColumn(languageTable[[#This Row],[index]], languageTable[index], languageTable[filteredIndex], languageTable[hasValue])</f>
        <v/>
      </c>
      <c r="AH7" s="12" t="str" cm="1">
        <f t="array" ref="AH7">IFERROR(
    INDEX(languageTable[languageHeaders], languageTable[[#This Row],[filteredIndex]]),
    ""
  )</f>
        <v/>
      </c>
      <c r="AN7" s="1" cm="1">
        <f t="array" ref="AN7">ROW()-ROW(RANASBlocksTable[#Headers])</f>
        <v>5</v>
      </c>
      <c r="AO7" s="1" t="s">
        <v>137</v>
      </c>
      <c r="AP7" s="1" t="str">
        <f>_xlfn.XLOOKUP(RANASBlocksTable[[#This Row],[tag]], chartTranslationTable[tag], chartTranslationTable[lang1])
 &amp; " / "
 &amp; _xlfn.XLOOKUP(RANASBlocksTable[[#This Row],[tag]], chartTranslationTable[tag], chartTranslationTable[lang2])</f>
        <v>Self-regulation / Autorégulation</v>
      </c>
      <c r="AQ7" s="1" t="str">
        <f>_xlfn.XLOOKUP(RANASBlocksTable[[#This Row],[tag]], chartTranslationTable[tag], chartTranslationTable[displayedText])</f>
        <v>Self-regulation</v>
      </c>
      <c r="AY7" s="1" cm="1">
        <f t="array" ref="AY7">ROW()-ROW(behaviourTable[#Headers])</f>
        <v>5</v>
      </c>
      <c r="AZ7" s="1" t="str" cm="1">
        <f t="array" ref="AZ7">KeepBlanksFunction(
    _xlfn.XLOOKUP(
      behaviourTable[[#This Row],[index]],
      behaviourConfigTable[index],
      behaviourConfigTable[behaviourHeader],#REF!,
      0
    )
  )</f>
        <v/>
      </c>
      <c r="BA7" s="1" t="str">
        <f>IF(
    behaviourTable[[#This Row],[behaviourHeader]] = "",
    "",
    _xlfn.XLOOKUP(
      _xlfn.XLOOKUP(
        behaviourTable[[#This Row],[index]],
        behaviourConfigTable[index],
        behaviourConfigTable[includeConfig],#REF!,
        0
      ),
      yesNoTable[label],
      yesNoTable[tag],
      "",
      0
    )
  )</f>
        <v/>
      </c>
      <c r="BB7" s="1" t="b">
        <f>IF(
    behaviourTable[[#This Row],[behaviourHeader]] = "",
    FALSE,
    IF(
      behaviourTable[[#This Row],[includeConfig]] = "yes",
      TRUE,
      IF(
        behaviourTable[[#This Row],[includeConfig]] = "no",
        FALSE,
        NA()
      )
    )
  )</f>
        <v>0</v>
      </c>
      <c r="BC7" s="1" t="str">
        <f>IF(
    behaviourTable[[#This Row],[behaviourHeader]] = "",
    "",
    _xlfn.IFNA(
      MATCH(behaviourTable[[#This Row],[behaviourHeader]], dataHeaders, 0),
      _xlfn.IFNA(
        MATCH("*/" &amp; behaviourTable[[#This Row],[behaviourHeader]], dataHeaders, 0),
        MATCH("*-" &amp; behaviourTable[[#This Row],[behaviourHeader]], dataHeaders, 0)
      )
    )
  )</f>
        <v/>
      </c>
      <c r="BD7" s="1" t="str">
        <f>IF(
    behaviourTable[[#This Row],[behaviourHeader]] = "",
    "",
    _xlfn.LET(
      _xlpm.tableValue,
      _xlfn.XLOOKUP(
        behaviourTable[[#This Row],[index]],
        behaviourConfigTable[index],
        behaviourConfigTable[minScore],#REF!,
        0
      ),
      _xlpm.storedValue,
      IF(
        _xlpm.tableValue = "",
        NA(),
        _xlpm.tableValue
      ),
      _xlpm.storedValue
    )
  )</f>
        <v/>
      </c>
      <c r="BE7" s="1" t="str">
        <f>IF(
    behaviourTable[[#This Row],[behaviourHeader]] = "",
    "",
    _xlfn.LET(
      _xlpm.tableValue,
      _xlfn.XLOOKUP(
        behaviourTable[[#This Row],[index]],
        behaviourConfigTable[index],
        behaviourConfigTable[maxScore],#REF!,
        0
      ),
      _xlpm.storedValue,
      IF(
        _xlpm.tableValue = "",
        NA(),
        _xlpm.tableValue
      ),
      _xlpm.storedValue
    )
  )</f>
        <v/>
      </c>
      <c r="BF7" s="1" t="str">
        <f>IF(
    behaviourTable[[#This Row],[behaviourHeader]] = "",
    "",
    MIN(behaviourDataForIndex(behaviourTable[[#This Row],[index]]))
  )</f>
        <v/>
      </c>
      <c r="BG7" s="1" t="str">
        <f>IF(
    behaviourTable[[#This Row],[behaviourHeader]] = "",
    "",
    MAX(behaviourDataForIndex(behaviourTable[[#This Row],[index]]))
  )</f>
        <v/>
      </c>
      <c r="BH7" s="1" t="b" cm="1">
        <f t="array" aca="1" ref="BH7" ca="1">AND(
    NOT(errorNoDataSheet),
    behaviourTable[[#This Row],[behaviourHeader]] &lt;&gt; "",
    NOT(ISERROR(behaviourTable[[#This Row],[behaviourColNum]])),
    IFERROR(behaviourTable[[#This Row],[include]], FALSE),
    IFERROR(behaviourTable[[#This Row],[minValue]] &lt; behaviourTable[[#This Row],[minScore]], FALSE)
  )</f>
        <v>0</v>
      </c>
      <c r="BI7" s="1" t="b" cm="1">
        <f t="array" aca="1" ref="BI7" ca="1">AND(
    NOT(errorNoDataSheet),
    behaviourTable[[#This Row],[behaviourHeader]] &lt;&gt; "",
    NOT(ISERROR(behaviourTable[[#This Row],[behaviourColNum]])),
    IFERROR(behaviourTable[[#This Row],[include]], FALSE),
    IFERROR(behaviourTable[[#This Row],[maxValue]] &gt; behaviourTable[[#This Row],[maxScore]], FALSE)
  )</f>
        <v>0</v>
      </c>
      <c r="BJ7" s="1" t="str" cm="1">
        <f t="array" ref="BJ7">IF(
    behaviourTable[[#This Row],[behaviourHeader]] = "",
    "",
    IF(
      ISERROR(behaviourTable[[#This Row],[behaviourColNum]]),
      UITranslateForValueTable("dataNotFound", UITranslationTable[tag], UITranslationTable[], UITranslationTable[#Headers]),
      SUMPRODUCT(--(behaviourDataForIndex(behaviourTable[[#This Row],[index]]) &lt;&gt; ""))
    )
  )</f>
        <v/>
      </c>
      <c r="BK7" s="1" t="str" cm="1">
        <f t="array" ref="BK7">IF(
    behaviourTable[[#This Row],[behaviourHeader]] = "",
    "",
    IF(
      ISERROR(behaviourTable[[#This Row],[behaviourColNum]]),
      UITranslateForValueTable("dataNotFound", UITranslationTable[tag], UITranslationTable[], UITranslationTable[#Headers]),
      numEntries - behaviourTable[[#This Row],[numResponses]]
    )
  )</f>
        <v/>
      </c>
      <c r="BW7" s="181" cm="1">
        <f t="array" ref="BW7">ROW()-ROW(cutoffTable[#Headers])</f>
        <v>5</v>
      </c>
      <c r="BX7" s="182">
        <v>0.5</v>
      </c>
      <c r="BY7" s="1" t="s">
        <v>290</v>
      </c>
      <c r="BZ7" s="1" cm="1">
        <f t="array" ref="BZ7">SUMPRODUCT(
    (behaviourScore &lt;&gt; "")
  * (behaviourScore &gt;= IF(cutoffTable[[#This Row],[index]] = 1, 0, INDEX(cutoffTable[cutoffLevel], cutoffTable[[#This Row],[index]]-1)))
  * IF(
      cutoffTable[[#This Row],[cutoffLevel]] = 1,
      behaviourScore &lt;= 1,
      behaviourScore &lt; cutoffTable[[#This Row],[cutoffLevel]]
    )
  )</f>
        <v>0</v>
      </c>
      <c r="CA7" s="1" cm="1">
        <f t="array" ref="CA7">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7" s="1" cm="1">
        <f t="array" ref="CB7">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7" s="1" cm="1">
        <f t="array" ref="CD7">ROW()-ROW(recommendedCutoffTable[#Headers])</f>
        <v>5</v>
      </c>
      <c r="CE7" s="183">
        <f>(recommendedCutoffTable[[#This Row],[index]] - 1) / 100</f>
        <v>0.04</v>
      </c>
      <c r="CF7" s="1" cm="1">
        <f t="array" ref="CF7">ABS(
    numScores
  - 2 * SUMPRODUCT((behaviourScore &lt;&gt; "") * (behaviourScore &lt; recommendedCutoffTable[[#This Row],[cutoffLevel]]))
  )</f>
        <v>0</v>
      </c>
      <c r="CM7" s="1" cm="1">
        <f t="array" ref="CM7">ROW()-ROW(factorsTable[#Headers])</f>
        <v>5</v>
      </c>
      <c r="CN7" s="1" t="str" cm="1">
        <f t="array" ref="CN7">KeepBlanksFunction(
    _xlfn.XLOOKUP(
      factorsTable[[#This Row],[index]],
      factorsConfigTable[index],
      factorsConfigTable[factorHeader],#REF!,
      0
    )
  )</f>
        <v/>
      </c>
      <c r="CO7" s="1" t="str">
        <f>IF(
    factorsTable[[#This Row],[factorHeader]] = "",
    "",
    _xlfn.IFNA(
      MATCH(factorsTable[[#This Row],[factorHeader]], dataHeaders, 0),
      _xlfn.IFNA(
        MATCH("*/" &amp; factorsTable[[#This Row],[factorHeader]], dataHeaders, 0),
        MATCH("*-" &amp; factorsTable[[#This Row],[factorHeader]], dataHeaders, 0)
      )
    )
  )</f>
        <v/>
      </c>
      <c r="CP7" s="1" t="str">
        <f>IF(
    factorsTable[[#This Row],[factorHeader]] = "",
    "",
    _xlfn.LET(
      _xlpm.tableValue,
      _xlfn.XLOOKUP(
        factorsTable[[#This Row],[index]],
        factorsConfigTable[index],
        factorsConfigTable[minScore],#REF!,
        0
      ),
      _xlpm.storedValue,
      IF(
        _xlpm.tableValue = "",
        NA(),
        _xlpm.tableValue
      ),
      _xlpm.storedValue
    )
  )</f>
        <v/>
      </c>
      <c r="CQ7" s="1" t="str">
        <f>IF(
    factorsTable[[#This Row],[factorHeader]] = "",
    "",
    _xlfn.LET(
      _xlpm.tableValue,
      _xlfn.XLOOKUP(
        factorsTable[[#This Row],[index]],
        factorsConfigTable[index],
        factorsConfigTable[maxScore],#REF!,
        0
      ),
      _xlpm.storedValue,
      IF(
        _xlpm.tableValue = "",
        NA(),
        _xlpm.tableValue
      ),
      _xlpm.storedValue
    )
  )</f>
        <v/>
      </c>
      <c r="CR7" s="1" t="str">
        <f>IF(
    factorsTable[[#This Row],[factorHeader]] = "",
    "",
    IF(
      ISERROR(factorsTable[[#This Row],[factorColNum]]),
      NA(),
      IF(
        ISNA(INDEX(dataRange,1,1)),
        NA(),
        MIN(INDEX(dataRange, , factorsTable[[#This Row],[factorColNum]]))
      )
    )
  )</f>
        <v/>
      </c>
      <c r="CS7" s="1" t="str">
        <f>IF(
    factorsTable[[#This Row],[factorHeader]] = "",
    "",
    IF(
      ISERROR(factorsTable[[#This Row],[factorColNum]]),
      NA(),
      IF(
        ISNA(INDEX(dataRange,1,1)),
        NA(),
        MAX(INDEX(dataRange, , factorsTable[[#This Row],[factorColNum]]))
      )
    )
  )</f>
        <v/>
      </c>
      <c r="CT7" s="1" t="b" cm="1">
        <f t="array" aca="1" ref="CT7" ca="1">AND(
    NOT(errorNoDataSheet),
    factorsTable[[#This Row],[factorHeader]] &lt;&gt; "",
    NOT(ISERROR(factorsTable[[#This Row],[factorColNum]])),
    IFERROR(factorsTable[[#This Row],[display]], FALSE),
    IFERROR(factorsTable[[#This Row],[minValue]] &lt; factorsTable[[#This Row],[minScore]], FALSE)
  )</f>
        <v>0</v>
      </c>
      <c r="CU7" s="1" t="b" cm="1">
        <f t="array" aca="1" ref="CU7" ca="1">AND(
    NOT(errorNoDataSheet),
    factorsTable[[#This Row],[factorHeader]] &lt;&gt; "",
    NOT(ISERROR(factorsTable[[#This Row],[factorColNum]])),
    IFERROR(factorsTable[[#This Row],[display]], FALSE),
    IFERROR(factorsTable[[#This Row],[maxValue]] &gt; factorsTable[[#This Row],[maxScore]], FALSE)
  )</f>
        <v>0</v>
      </c>
      <c r="CV7" s="1" t="str" cm="1">
        <f t="array" ref="CV7">IF(
    factorsTable[[#This Row],[factorHeader]] = "",
    "",
    IF(
      ISNA(INDEX(dataRange,1,1)),
      NA(),
      SUMPRODUCT(
          IF(isDoer = "", 0, NOT(isDoer))
        * (INDEX(dataRange, , factorsTable[[#This Row],[factorColNum]]) &lt;&gt; "")
      )
    )
  )</f>
        <v/>
      </c>
      <c r="CW7" s="1" t="str" cm="1">
        <f t="array" ref="CW7">IF(
    factorsTable[[#This Row],[factorHeader]] = "",
    "",
    IF(
      ISNA(INDEX(dataRange,1,1)),
      NA(),
      SUMPRODUCT(
          IF(isDoer = "", 0, isDoer)
        * (INDEX(dataRange, , factorsTable[[#This Row],[factorColNum]]) &lt;&gt; "")
      )
    )
  )</f>
        <v/>
      </c>
      <c r="CX7" s="1" t="str" cm="1">
        <f t="array" ref="CX7">IF(
    factorsTable[[#This Row],[factorHeader]] = "",
    "",
    IF(
      ISERROR(factorsTable[[#This Row],[factorColNum]]),
      UITranslateForValueTable("dataNotFound", UITranslationTable[tag], UITranslationTable[], UITranslationTable[#Headers]),
      factorsTable[[#This Row],[numDoers]] + factorsTable[[#This Row],[numNondoers]]
    )
  )</f>
        <v/>
      </c>
      <c r="CY7" s="1" t="str" cm="1">
        <f t="array" ref="CY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7" s="1" t="str" cm="1">
        <f t="array" ref="CZ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7" s="1" t="str">
        <f>IF(
    factorsTable[[#This Row],[factorHeader]] = "",
    "",
    factorsTable[[#This Row],[doers]] - factorsTable[[#This Row],[nondoers]]
  )</f>
        <v/>
      </c>
      <c r="DB7" s="1" t="str">
        <f>IF(
    factorsTable[[#This Row],[factorHeader]] = "",
    "",
    _xlfn.XLOOKUP(
      _xlfn.XLOOKUP(
        factorsTable[[#This Row],[index]],
        factorsConfigTable[index],
        factorsConfigTable[displayConfig],#REF!,
        0
      ),
      yesNoTable[label],
      yesNoTable[tag],
      "",
      0
    )
  )</f>
        <v/>
      </c>
      <c r="DC7" s="177" t="b">
        <f>IF(
    factorsTable[[#This Row],[factorHeader]] = "",
    FALSE,
    IF(
      factorsTable[[#This Row],[displayConfig]] = "yes",
      TRUE,
      IF(
        factorsTable[[#This Row],[displayConfig]] = "no",
        FALSE,
        NA()
      )
    )
  )</f>
        <v>0</v>
      </c>
      <c r="DD7" s="177" t="str" cm="1">
        <f t="array" ref="DD7">FilterTrueColumn(factorsTable[[#This Row],[index]], factorsTable[index], factorsTable[filteredIndex], factorsTable[display])</f>
        <v/>
      </c>
      <c r="DE7" s="177" t="str">
        <f>IF(
    factorsTable[[#This Row],[filteredIndex]] = "",
    "",
    _xlfn.IFNA(
      _xlfn.XLOOKUP(factorsTable[[#This Row],[filteredIndex]], factorsTable[index], factorsTable[difference]),
      -99
    )
  )</f>
        <v/>
      </c>
      <c r="DF7" s="177" t="str">
        <f>IF(
    factorsTable[[#This Row],[filteredIndex]] = "",
    "",
    IF(
      factorsTable[[#This Row],[relDiff]] = -99,
      -99,
      ABS(factorsTable[[#This Row],[relDiff]])
    )
  )</f>
        <v/>
      </c>
      <c r="DG7" s="177" t="str">
        <f>IF(
    factorsTable[[#This Row],[filteredIndex]] = "",
    "",
    _xlfn.XLOOKUP(
      _xlfn.XLOOKUP(
        factorsTable[[#This Row],[filteredIndex]],
        factorsConfigTable[index],
        factorsConfigTable[RANASBlock],#REF!,
        0
      ),
      RANASBlocksTable[label],
      RANASBlocksTable[index],
      6,
      0
    )
  )</f>
        <v/>
      </c>
      <c r="DH7" s="177" t="str">
        <f>IF(
    factorsTable[[#This Row],[filteredIndex]] = "",
    "",
    _xlfn.RANK.EQ(factorsTable[[#This Row],[relDiff]], factorsTable[relDiff], 0)
  )</f>
        <v/>
      </c>
      <c r="DI7" s="177" t="str">
        <f>IF(
    factorsTable[[#This Row],[filteredIndex]] = "",
    "",
    _xlfn.RANK.EQ(factorsTable[[#This Row],[absDiff]], factorsTable[absDiff], 0)
  )</f>
        <v/>
      </c>
      <c r="DJ7" s="177" t="str">
        <f>IF(
    factorsTable[[#This Row],[filteredIndex]] = "",
    "",
    _xlfn.RANK.EQ(factorsTable[[#This Row],[RANASIndex]], factorsTable[RANASIndex], 1)
  )</f>
        <v/>
      </c>
      <c r="DK7" s="177" t="str" cm="1">
        <f t="array" ref="DK7">_xlfn.SWITCH(
    sortingMethodTag,
    "none", factorsTable[[#This Row],[filteredIndex]],
    "relDiff", factorsTable[[#This Row],[relDiffRank]],
    "absDiff", factorsTable[[#This Row],[absDiffRank]],
    "RANAS", factorsTable[[#This Row],[RANASRank]],
    factorsTable[[#This Row],[filteredIndex]]
  )</f>
        <v/>
      </c>
      <c r="DL7" s="177" t="str">
        <f>IF(
    factorsTable[[#This Row],[filteredIndex]] = "",
    "",
    factorsTable[[#This Row],[selectedRank]]
      + COUNTIF(INDEX(factorsTable[selectedRank], 1):INDEX(factorsTable[selectedRank], factorsTable[[#This Row],[index]]), factorsTable[[#This Row],[selectedRank]])
      - 1
  )</f>
        <v/>
      </c>
      <c r="DM7" s="177" t="str">
        <f>IF(
    factorsTable[[#This Row],[filteredIndex]] = "",
    "",
    _xlfn.XLOOKUP(
      factorsTable[[#This Row],[index]],
      factorsTable[uniqueRank],
      factorsTable[filteredIndex],#REF!,
      0
    )
  )</f>
        <v/>
      </c>
      <c r="DN7" s="177" t="str" cm="1">
        <f t="array" ref="DN7">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7" s="177" t="str" cm="1">
        <f t="array" ref="DO7">IF(
    factorsTable[[#This Row],[sortedIndex]] = "",
    "",
    IF(
      factorsTable[[#This Row],[langSpecFactor]] = "",
      UITranslateForValueTable("noTranslation", UITranslationTable[tag], UITranslationTable[], UITranslationTable[#Headers]),
      factorsTable[[#This Row],[langSpecFactor]]
    )
  )</f>
        <v/>
      </c>
      <c r="DP7" s="177" t="str">
        <f>IF(
    factorsTable[[#This Row],[sortedIndex]] = "",
    "",
    _xlfn.XLOOKUP(
      _xlfn.XLOOKUP(
        factorsTable[[#This Row],[sortedIndex]],
        factorsConfigTable[index],
        factorsConfigTable[RANASBlock],#REF!,
        0
      ),
      RANASBlocksTable[label],
      RANASBlocksTable[tag],
      NA(),
      0
    )
  )</f>
        <v/>
      </c>
      <c r="DQ7" s="177" t="str" cm="1">
        <f t="array" ref="DQ7">IF(
    factorsTable[[#This Row],[sortedIndex]] = "",
    "",
    _xlfn.IFNA(
      _xlfn.XLOOKUP(factorsTable[[#This Row],[RANASTag]], RANASBlocksTable[tag], RANASBlocksTable[langSpecLabel]),
      UITranslateForValueTable("noRANASBlock", UITranslationTable[tag], UITranslationTable[], UITranslationTable[#Headers])
    )
  )</f>
        <v/>
      </c>
      <c r="DR7"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7" s="177" t="str">
        <f>IF(
    factorsTable[[#This Row],[sortedIndex]] = "",
    "",
    _xlfn.XLOOKUP(factorsTable[[#This Row],[sortedIndex]], factorsTable[index], factorsTable[numTotal])
  )</f>
        <v/>
      </c>
      <c r="DT7" s="177" t="str">
        <f>IF(
    factorsTable[[#This Row],[sortedIndex]] = "",
    "",
    _xlfn.XLOOKUP(factorsTable[[#This Row],[sortedIndex]], factorsTable[index], factorsTable[nondoers])
  )</f>
        <v/>
      </c>
      <c r="DU7" s="177" t="str">
        <f>IF(
    factorsTable[[#This Row],[sortedIndex]] = "",
    "",
    _xlfn.XLOOKUP(factorsTable[[#This Row],[sortedIndex]], factorsTable[index], factorsTable[doers])
  )</f>
        <v/>
      </c>
      <c r="DV7" s="177" t="str">
        <f>IF(
    factorsTable[[#This Row],[sortedIndex]] = "",
    "",
    _xlfn.XLOOKUP(factorsTable[[#This Row],[sortedIndex]], factorsTable[index], factorsTable[difference])
  )</f>
        <v/>
      </c>
    </row>
    <row r="8" spans="5:126" ht="14.4" customHeight="1" x14ac:dyDescent="0.3">
      <c r="E8" s="9" cm="1">
        <f t="array" ref="E8">ROW()-ROW(UITranslationTable[#Headers])</f>
        <v>6</v>
      </c>
      <c r="F8" s="9" t="s">
        <v>309</v>
      </c>
      <c r="G8" s="176" t="s">
        <v>34</v>
      </c>
      <c r="H8" s="176" t="s">
        <v>62</v>
      </c>
      <c r="J8" s="1" cm="1">
        <f t="array" ref="J8">ROW()-ROW(errorMessagesTable[#Headers])</f>
        <v>6</v>
      </c>
      <c r="K8" s="1" t="s">
        <v>432</v>
      </c>
      <c r="L8" s="178" t="b" cm="1">
        <f t="array" aca="1" ref="L8" ca="1">errorBehaviourInclude</f>
        <v>0</v>
      </c>
      <c r="M8" s="176" t="s">
        <v>249</v>
      </c>
      <c r="N8" s="176" t="s">
        <v>253</v>
      </c>
      <c r="O8" s="1" t="str" cm="1">
        <f t="array" aca="1" ref="O8" ca="1">FilterTrueColumn(errorMessagesTable[[#This Row],[index]], errorMessagesTable[index], errorMessagesTable[filteredIndex], errorMessagesTable[condition])</f>
        <v/>
      </c>
      <c r="P8" s="9" t="str" cm="1">
        <f t="array" aca="1" ref="P8"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8" s="9" t="str" cm="1">
        <f t="array" aca="1" ref="Q8" ca="1">IF(
    errorMessagesTable[[#This Row],[filteredIndex]] = "",
    "",
    IF(
      errorMessagesTable[[#This Row],[index]] = 1,
      "",
      INDEX(errorMessagesTable[concatErrors], errorMessagesTable[[#This Row],[index]]-1)
      &amp; CHAR(10) &amp; CHAR(10)
    )
    &amp; INDEX(errorMessagesTable[langSpecError], errorMessagesTable[[#This Row],[index]])
  )</f>
        <v/>
      </c>
      <c r="S8" s="1" cm="1">
        <f t="array" ref="S8">ROW()-ROW(manualEntryVariablesTable[#Headers])</f>
        <v>6</v>
      </c>
      <c r="T8" s="1" t="s">
        <v>31</v>
      </c>
      <c r="U8" s="9">
        <v>1000</v>
      </c>
      <c r="W8" s="177" cm="1">
        <f t="array" ref="W8">ROW()-ROW(structuredFormulaeTable[#Headers])</f>
        <v>6</v>
      </c>
      <c r="X8" s="1" t="s">
        <v>423</v>
      </c>
      <c r="Y8" s="1" t="s">
        <v>422</v>
      </c>
      <c r="AA8" s="178" t="s">
        <v>421</v>
      </c>
      <c r="AB8" s="178" t="s">
        <v>453</v>
      </c>
      <c r="BW8" s="181" cm="1">
        <f t="array" ref="BW8">ROW()-ROW(cutoffTable[#Headers])</f>
        <v>6</v>
      </c>
      <c r="BX8" s="182">
        <v>0.6</v>
      </c>
      <c r="BY8" s="1" t="s">
        <v>291</v>
      </c>
      <c r="BZ8" s="177" cm="1">
        <f t="array" ref="BZ8">SUMPRODUCT(
    (behaviourScore &lt;&gt; "")
  * (behaviourScore &gt;= IF(cutoffTable[[#This Row],[index]] = 1, 0, INDEX(cutoffTable[cutoffLevel], cutoffTable[[#This Row],[index]]-1)))
  * IF(
      cutoffTable[[#This Row],[cutoffLevel]] = 1,
      behaviourScore &lt;= 1,
      behaviourScore &lt; cutoffTable[[#This Row],[cutoffLevel]]
    )
  )</f>
        <v>0</v>
      </c>
      <c r="CA8" s="177" cm="1">
        <f t="array" ref="CA8">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8" s="177" cm="1">
        <f t="array" ref="CB8">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8" s="1" cm="1">
        <f t="array" ref="CD8">ROW()-ROW(recommendedCutoffTable[#Headers])</f>
        <v>6</v>
      </c>
      <c r="CE8" s="183">
        <f>(recommendedCutoffTable[[#This Row],[index]] - 1) / 100</f>
        <v>0.05</v>
      </c>
      <c r="CF8" s="1" cm="1">
        <f t="array" ref="CF8">ABS(
    numScores
  - 2 * SUMPRODUCT((behaviourScore &lt;&gt; "") * (behaviourScore &lt; recommendedCutoffTable[[#This Row],[cutoffLevel]]))
  )</f>
        <v>0</v>
      </c>
      <c r="CM8" s="1" cm="1">
        <f t="array" ref="CM8">ROW()-ROW(factorsTable[#Headers])</f>
        <v>6</v>
      </c>
      <c r="CN8" s="1" t="str" cm="1">
        <f t="array" ref="CN8">KeepBlanksFunction(
    _xlfn.XLOOKUP(
      factorsTable[[#This Row],[index]],
      factorsConfigTable[index],
      factorsConfigTable[factorHeader],#REF!,
      0
    )
  )</f>
        <v/>
      </c>
      <c r="CO8" s="1" t="str">
        <f>IF(
    factorsTable[[#This Row],[factorHeader]] = "",
    "",
    _xlfn.IFNA(
      MATCH(factorsTable[[#This Row],[factorHeader]], dataHeaders, 0),
      _xlfn.IFNA(
        MATCH("*/" &amp; factorsTable[[#This Row],[factorHeader]], dataHeaders, 0),
        MATCH("*-" &amp; factorsTable[[#This Row],[factorHeader]], dataHeaders, 0)
      )
    )
  )</f>
        <v/>
      </c>
      <c r="CP8" s="1" t="str">
        <f>IF(
    factorsTable[[#This Row],[factorHeader]] = "",
    "",
    _xlfn.LET(
      _xlpm.tableValue,
      _xlfn.XLOOKUP(
        factorsTable[[#This Row],[index]],
        factorsConfigTable[index],
        factorsConfigTable[minScore],#REF!,
        0
      ),
      _xlpm.storedValue,
      IF(
        _xlpm.tableValue = "",
        NA(),
        _xlpm.tableValue
      ),
      _xlpm.storedValue
    )
  )</f>
        <v/>
      </c>
      <c r="CQ8" s="1" t="str">
        <f>IF(
    factorsTable[[#This Row],[factorHeader]] = "",
    "",
    _xlfn.LET(
      _xlpm.tableValue,
      _xlfn.XLOOKUP(
        factorsTable[[#This Row],[index]],
        factorsConfigTable[index],
        factorsConfigTable[maxScore],#REF!,
        0
      ),
      _xlpm.storedValue,
      IF(
        _xlpm.tableValue = "",
        NA(),
        _xlpm.tableValue
      ),
      _xlpm.storedValue
    )
  )</f>
        <v/>
      </c>
      <c r="CR8" s="1" t="str">
        <f>IF(
    factorsTable[[#This Row],[factorHeader]] = "",
    "",
    IF(
      ISERROR(factorsTable[[#This Row],[factorColNum]]),
      NA(),
      IF(
        ISNA(INDEX(dataRange,1,1)),
        NA(),
        MIN(INDEX(dataRange, , factorsTable[[#This Row],[factorColNum]]))
      )
    )
  )</f>
        <v/>
      </c>
      <c r="CS8" s="1" t="str">
        <f>IF(
    factorsTable[[#This Row],[factorHeader]] = "",
    "",
    IF(
      ISERROR(factorsTable[[#This Row],[factorColNum]]),
      NA(),
      IF(
        ISNA(INDEX(dataRange,1,1)),
        NA(),
        MAX(INDEX(dataRange, , factorsTable[[#This Row],[factorColNum]]))
      )
    )
  )</f>
        <v/>
      </c>
      <c r="CT8" s="1" t="b" cm="1">
        <f t="array" aca="1" ref="CT8" ca="1">AND(
    NOT(errorNoDataSheet),
    factorsTable[[#This Row],[factorHeader]] &lt;&gt; "",
    NOT(ISERROR(factorsTable[[#This Row],[factorColNum]])),
    IFERROR(factorsTable[[#This Row],[display]], FALSE),
    IFERROR(factorsTable[[#This Row],[minValue]] &lt; factorsTable[[#This Row],[minScore]], FALSE)
  )</f>
        <v>0</v>
      </c>
      <c r="CU8" s="1" t="b" cm="1">
        <f t="array" aca="1" ref="CU8" ca="1">AND(
    NOT(errorNoDataSheet),
    factorsTable[[#This Row],[factorHeader]] &lt;&gt; "",
    NOT(ISERROR(factorsTable[[#This Row],[factorColNum]])),
    IFERROR(factorsTable[[#This Row],[display]], FALSE),
    IFERROR(factorsTable[[#This Row],[maxValue]] &gt; factorsTable[[#This Row],[maxScore]], FALSE)
  )</f>
        <v>0</v>
      </c>
      <c r="CV8" s="1" t="str" cm="1">
        <f t="array" ref="CV8">IF(
    factorsTable[[#This Row],[factorHeader]] = "",
    "",
    IF(
      ISNA(INDEX(dataRange,1,1)),
      NA(),
      SUMPRODUCT(
          IF(isDoer = "", 0, NOT(isDoer))
        * (INDEX(dataRange, , factorsTable[[#This Row],[factorColNum]]) &lt;&gt; "")
      )
    )
  )</f>
        <v/>
      </c>
      <c r="CW8" s="1" t="str" cm="1">
        <f t="array" ref="CW8">IF(
    factorsTable[[#This Row],[factorHeader]] = "",
    "",
    IF(
      ISNA(INDEX(dataRange,1,1)),
      NA(),
      SUMPRODUCT(
          IF(isDoer = "", 0, isDoer)
        * (INDEX(dataRange, , factorsTable[[#This Row],[factorColNum]]) &lt;&gt; "")
      )
    )
  )</f>
        <v/>
      </c>
      <c r="CX8" s="1" t="str" cm="1">
        <f t="array" ref="CX8">IF(
    factorsTable[[#This Row],[factorHeader]] = "",
    "",
    IF(
      ISERROR(factorsTable[[#This Row],[factorColNum]]),
      UITranslateForValueTable("dataNotFound", UITranslationTable[tag], UITranslationTable[], UITranslationTable[#Headers]),
      factorsTable[[#This Row],[numDoers]] + factorsTable[[#This Row],[numNondoers]]
    )
  )</f>
        <v/>
      </c>
      <c r="CY8" s="1" t="str" cm="1">
        <f t="array" ref="CY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8" s="1" t="str" cm="1">
        <f t="array" ref="CZ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8" s="1" t="str">
        <f>IF(
    factorsTable[[#This Row],[factorHeader]] = "",
    "",
    factorsTable[[#This Row],[doers]] - factorsTable[[#This Row],[nondoers]]
  )</f>
        <v/>
      </c>
      <c r="DB8" s="1" t="str">
        <f>IF(
    factorsTable[[#This Row],[factorHeader]] = "",
    "",
    _xlfn.XLOOKUP(
      _xlfn.XLOOKUP(
        factorsTable[[#This Row],[index]],
        factorsConfigTable[index],
        factorsConfigTable[displayConfig],#REF!,
        0
      ),
      yesNoTable[label],
      yesNoTable[tag],
      "",
      0
    )
  )</f>
        <v/>
      </c>
      <c r="DC8" s="177" t="b">
        <f>IF(
    factorsTable[[#This Row],[factorHeader]] = "",
    FALSE,
    IF(
      factorsTable[[#This Row],[displayConfig]] = "yes",
      TRUE,
      IF(
        factorsTable[[#This Row],[displayConfig]] = "no",
        FALSE,
        NA()
      )
    )
  )</f>
        <v>0</v>
      </c>
      <c r="DD8" s="177" t="str" cm="1">
        <f t="array" ref="DD8">FilterTrueColumn(factorsTable[[#This Row],[index]], factorsTable[index], factorsTable[filteredIndex], factorsTable[display])</f>
        <v/>
      </c>
      <c r="DE8" s="177" t="str">
        <f>IF(
    factorsTable[[#This Row],[filteredIndex]] = "",
    "",
    _xlfn.IFNA(
      _xlfn.XLOOKUP(factorsTable[[#This Row],[filteredIndex]], factorsTable[index], factorsTable[difference]),
      -99
    )
  )</f>
        <v/>
      </c>
      <c r="DF8" s="177" t="str">
        <f>IF(
    factorsTable[[#This Row],[filteredIndex]] = "",
    "",
    IF(
      factorsTable[[#This Row],[relDiff]] = -99,
      -99,
      ABS(factorsTable[[#This Row],[relDiff]])
    )
  )</f>
        <v/>
      </c>
      <c r="DG8" s="177" t="str">
        <f>IF(
    factorsTable[[#This Row],[filteredIndex]] = "",
    "",
    _xlfn.XLOOKUP(
      _xlfn.XLOOKUP(
        factorsTable[[#This Row],[filteredIndex]],
        factorsConfigTable[index],
        factorsConfigTable[RANASBlock],#REF!,
        0
      ),
      RANASBlocksTable[label],
      RANASBlocksTable[index],
      6,
      0
    )
  )</f>
        <v/>
      </c>
      <c r="DH8" s="177" t="str">
        <f>IF(
    factorsTable[[#This Row],[filteredIndex]] = "",
    "",
    _xlfn.RANK.EQ(factorsTable[[#This Row],[relDiff]], factorsTable[relDiff], 0)
  )</f>
        <v/>
      </c>
      <c r="DI8" s="177" t="str">
        <f>IF(
    factorsTable[[#This Row],[filteredIndex]] = "",
    "",
    _xlfn.RANK.EQ(factorsTable[[#This Row],[absDiff]], factorsTable[absDiff], 0)
  )</f>
        <v/>
      </c>
      <c r="DJ8" s="177" t="str">
        <f>IF(
    factorsTable[[#This Row],[filteredIndex]] = "",
    "",
    _xlfn.RANK.EQ(factorsTable[[#This Row],[RANASIndex]], factorsTable[RANASIndex], 1)
  )</f>
        <v/>
      </c>
      <c r="DK8" s="177" t="str" cm="1">
        <f t="array" ref="DK8">_xlfn.SWITCH(
    sortingMethodTag,
    "none", factorsTable[[#This Row],[filteredIndex]],
    "relDiff", factorsTable[[#This Row],[relDiffRank]],
    "absDiff", factorsTable[[#This Row],[absDiffRank]],
    "RANAS", factorsTable[[#This Row],[RANASRank]],
    factorsTable[[#This Row],[filteredIndex]]
  )</f>
        <v/>
      </c>
      <c r="DL8" s="177" t="str">
        <f>IF(
    factorsTable[[#This Row],[filteredIndex]] = "",
    "",
    factorsTable[[#This Row],[selectedRank]]
      + COUNTIF(INDEX(factorsTable[selectedRank], 1):INDEX(factorsTable[selectedRank], factorsTable[[#This Row],[index]]), factorsTable[[#This Row],[selectedRank]])
      - 1
  )</f>
        <v/>
      </c>
      <c r="DM8" s="177" t="str">
        <f>IF(
    factorsTable[[#This Row],[filteredIndex]] = "",
    "",
    _xlfn.XLOOKUP(
      factorsTable[[#This Row],[index]],
      factorsTable[uniqueRank],
      factorsTable[filteredIndex],#REF!,
      0
    )
  )</f>
        <v/>
      </c>
      <c r="DN8" s="177" t="str" cm="1">
        <f t="array" ref="DN8">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8" s="177" t="str" cm="1">
        <f t="array" ref="DO8">IF(
    factorsTable[[#This Row],[sortedIndex]] = "",
    "",
    IF(
      factorsTable[[#This Row],[langSpecFactor]] = "",
      UITranslateForValueTable("noTranslation", UITranslationTable[tag], UITranslationTable[], UITranslationTable[#Headers]),
      factorsTable[[#This Row],[langSpecFactor]]
    )
  )</f>
        <v/>
      </c>
      <c r="DP8" s="177" t="str">
        <f>IF(
    factorsTable[[#This Row],[sortedIndex]] = "",
    "",
    _xlfn.XLOOKUP(
      _xlfn.XLOOKUP(
        factorsTable[[#This Row],[sortedIndex]],
        factorsConfigTable[index],
        factorsConfigTable[RANASBlock],#REF!,
        0
      ),
      RANASBlocksTable[label],
      RANASBlocksTable[tag],
      NA(),
      0
    )
  )</f>
        <v/>
      </c>
      <c r="DQ8" s="177" t="str" cm="1">
        <f t="array" ref="DQ8">IF(
    factorsTable[[#This Row],[sortedIndex]] = "",
    "",
    _xlfn.IFNA(
      _xlfn.XLOOKUP(factorsTable[[#This Row],[RANASTag]], RANASBlocksTable[tag], RANASBlocksTable[langSpecLabel]),
      UITranslateForValueTable("noRANASBlock", UITranslationTable[tag], UITranslationTable[], UITranslationTable[#Headers])
    )
  )</f>
        <v/>
      </c>
      <c r="DR8"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8" s="177" t="str">
        <f>IF(
    factorsTable[[#This Row],[sortedIndex]] = "",
    "",
    _xlfn.XLOOKUP(factorsTable[[#This Row],[sortedIndex]], factorsTable[index], factorsTable[numTotal])
  )</f>
        <v/>
      </c>
      <c r="DT8" s="177" t="str">
        <f>IF(
    factorsTable[[#This Row],[sortedIndex]] = "",
    "",
    _xlfn.XLOOKUP(factorsTable[[#This Row],[sortedIndex]], factorsTable[index], factorsTable[nondoers])
  )</f>
        <v/>
      </c>
      <c r="DU8" s="177" t="str">
        <f>IF(
    factorsTable[[#This Row],[sortedIndex]] = "",
    "",
    _xlfn.XLOOKUP(factorsTable[[#This Row],[sortedIndex]], factorsTable[index], factorsTable[doers])
  )</f>
        <v/>
      </c>
      <c r="DV8" s="177" t="str">
        <f>IF(
    factorsTable[[#This Row],[sortedIndex]] = "",
    "",
    _xlfn.XLOOKUP(factorsTable[[#This Row],[sortedIndex]], factorsTable[index], factorsTable[difference])
  )</f>
        <v/>
      </c>
    </row>
    <row r="9" spans="5:126" ht="14.4" customHeight="1" x14ac:dyDescent="0.3">
      <c r="E9" s="9" cm="1">
        <f t="array" ref="E9">ROW()-ROW(UITranslationTable[#Headers])</f>
        <v>7</v>
      </c>
      <c r="F9" s="9" t="s">
        <v>310</v>
      </c>
      <c r="G9" s="176"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176"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s="1" cm="1">
        <f t="array" ref="J9">ROW()-ROW(errorMessagesTable[#Headers])</f>
        <v>7</v>
      </c>
      <c r="K9" s="1" t="s">
        <v>433</v>
      </c>
      <c r="L9" s="1" t="b" cm="1">
        <f t="array" aca="1" ref="L9" ca="1">errorBehaviourNoneSelected</f>
        <v>0</v>
      </c>
      <c r="M9" s="176" t="str" cm="1">
        <f t="array" ref="M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N9" s="176" t="str" cm="1">
        <f t="array" ref="N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O9" s="1" t="str" cm="1">
        <f t="array" aca="1" ref="O9" ca="1">FilterTrueColumn(errorMessagesTable[[#This Row],[index]], errorMessagesTable[index], errorMessagesTable[filteredIndex], errorMessagesTable[condition])</f>
        <v/>
      </c>
      <c r="P9" s="9" t="str" cm="1">
        <f t="array" aca="1" ref="P9"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9" s="9" t="str" cm="1">
        <f t="array" aca="1" ref="Q9" ca="1">IF(
    errorMessagesTable[[#This Row],[filteredIndex]] = "",
    "",
    IF(
      errorMessagesTable[[#This Row],[index]] = 1,
      "",
      INDEX(errorMessagesTable[concatErrors], errorMessagesTable[[#This Row],[index]]-1)
      &amp; CHAR(10) &amp; CHAR(10)
    )
    &amp; INDEX(errorMessagesTable[langSpecError], errorMessagesTable[[#This Row],[index]])
  )</f>
        <v/>
      </c>
      <c r="S9" s="1" cm="1">
        <f t="array" ref="S9">ROW()-ROW(manualEntryVariablesTable[#Headers])</f>
        <v>7</v>
      </c>
      <c r="T9" s="1" t="s">
        <v>168</v>
      </c>
      <c r="U9" s="176">
        <v>9</v>
      </c>
      <c r="W9" s="177" cm="1">
        <f t="array" ref="W9">ROW()-ROW(structuredFormulaeTable[#Headers])</f>
        <v>7</v>
      </c>
      <c r="X9" s="1" t="s">
        <v>423</v>
      </c>
      <c r="Y9" s="1" t="s">
        <v>638</v>
      </c>
      <c r="AA9" s="178" t="s">
        <v>639</v>
      </c>
      <c r="AB9" s="178" t="s">
        <v>640</v>
      </c>
      <c r="AE9" s="164" t="s">
        <v>455</v>
      </c>
      <c r="AG9" s="164" t="s">
        <v>449</v>
      </c>
      <c r="AP9" s="164" t="s">
        <v>461</v>
      </c>
      <c r="AQ9" s="164" t="s">
        <v>462</v>
      </c>
      <c r="AZ9" s="164" t="s">
        <v>454</v>
      </c>
      <c r="BA9" s="164" t="s">
        <v>456</v>
      </c>
      <c r="BD9" s="164" t="s">
        <v>501</v>
      </c>
      <c r="BE9" s="164" t="s">
        <v>502</v>
      </c>
      <c r="BF9" s="164" t="s">
        <v>685</v>
      </c>
      <c r="BG9" s="164" t="s">
        <v>686</v>
      </c>
      <c r="BJ9" s="164" t="s">
        <v>687</v>
      </c>
      <c r="BK9" s="164" t="s">
        <v>460</v>
      </c>
      <c r="BW9" s="181" cm="1">
        <f t="array" ref="BW9">ROW()-ROW(cutoffTable[#Headers])</f>
        <v>7</v>
      </c>
      <c r="BX9" s="182">
        <v>0.7</v>
      </c>
      <c r="BY9" s="1" t="s">
        <v>292</v>
      </c>
      <c r="BZ9" s="177" cm="1">
        <f t="array" ref="BZ9">SUMPRODUCT(
    (behaviourScore &lt;&gt; "")
  * (behaviourScore &gt;= IF(cutoffTable[[#This Row],[index]] = 1, 0, INDEX(cutoffTable[cutoffLevel], cutoffTable[[#This Row],[index]]-1)))
  * IF(
      cutoffTable[[#This Row],[cutoffLevel]] = 1,
      behaviourScore &lt;= 1,
      behaviourScore &lt; cutoffTable[[#This Row],[cutoffLevel]]
    )
  )</f>
        <v>0</v>
      </c>
      <c r="CA9" s="177" cm="1">
        <f t="array" ref="CA9">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9" s="177" cm="1">
        <f t="array" ref="CB9">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9" s="1" cm="1">
        <f t="array" ref="CD9">ROW()-ROW(recommendedCutoffTable[#Headers])</f>
        <v>7</v>
      </c>
      <c r="CE9" s="183">
        <f>(recommendedCutoffTable[[#This Row],[index]] - 1) / 100</f>
        <v>0.06</v>
      </c>
      <c r="CF9" s="1" cm="1">
        <f t="array" ref="CF9">ABS(
    numScores
  - 2 * SUMPRODUCT((behaviourScore &lt;&gt; "") * (behaviourScore &lt; recommendedCutoffTable[[#This Row],[cutoffLevel]]))
  )</f>
        <v>0</v>
      </c>
      <c r="CM9" s="1" cm="1">
        <f t="array" ref="CM9">ROW()-ROW(factorsTable[#Headers])</f>
        <v>7</v>
      </c>
      <c r="CN9" s="1" t="str" cm="1">
        <f t="array" ref="CN9">KeepBlanksFunction(
    _xlfn.XLOOKUP(
      factorsTable[[#This Row],[index]],
      factorsConfigTable[index],
      factorsConfigTable[factorHeader],#REF!,
      0
    )
  )</f>
        <v/>
      </c>
      <c r="CO9" s="1" t="str">
        <f>IF(
    factorsTable[[#This Row],[factorHeader]] = "",
    "",
    _xlfn.IFNA(
      MATCH(factorsTable[[#This Row],[factorHeader]], dataHeaders, 0),
      _xlfn.IFNA(
        MATCH("*/" &amp; factorsTable[[#This Row],[factorHeader]], dataHeaders, 0),
        MATCH("*-" &amp; factorsTable[[#This Row],[factorHeader]], dataHeaders, 0)
      )
    )
  )</f>
        <v/>
      </c>
      <c r="CP9" s="1" t="str">
        <f>IF(
    factorsTable[[#This Row],[factorHeader]] = "",
    "",
    _xlfn.LET(
      _xlpm.tableValue,
      _xlfn.XLOOKUP(
        factorsTable[[#This Row],[index]],
        factorsConfigTable[index],
        factorsConfigTable[minScore],#REF!,
        0
      ),
      _xlpm.storedValue,
      IF(
        _xlpm.tableValue = "",
        NA(),
        _xlpm.tableValue
      ),
      _xlpm.storedValue
    )
  )</f>
        <v/>
      </c>
      <c r="CQ9" s="1" t="str">
        <f>IF(
    factorsTable[[#This Row],[factorHeader]] = "",
    "",
    _xlfn.LET(
      _xlpm.tableValue,
      _xlfn.XLOOKUP(
        factorsTable[[#This Row],[index]],
        factorsConfigTable[index],
        factorsConfigTable[maxScore],#REF!,
        0
      ),
      _xlpm.storedValue,
      IF(
        _xlpm.tableValue = "",
        NA(),
        _xlpm.tableValue
      ),
      _xlpm.storedValue
    )
  )</f>
        <v/>
      </c>
      <c r="CR9" s="1" t="str">
        <f>IF(
    factorsTable[[#This Row],[factorHeader]] = "",
    "",
    IF(
      ISERROR(factorsTable[[#This Row],[factorColNum]]),
      NA(),
      IF(
        ISNA(INDEX(dataRange,1,1)),
        NA(),
        MIN(INDEX(dataRange, , factorsTable[[#This Row],[factorColNum]]))
      )
    )
  )</f>
        <v/>
      </c>
      <c r="CS9" s="1" t="str">
        <f>IF(
    factorsTable[[#This Row],[factorHeader]] = "",
    "",
    IF(
      ISERROR(factorsTable[[#This Row],[factorColNum]]),
      NA(),
      IF(
        ISNA(INDEX(dataRange,1,1)),
        NA(),
        MAX(INDEX(dataRange, , factorsTable[[#This Row],[factorColNum]]))
      )
    )
  )</f>
        <v/>
      </c>
      <c r="CT9" s="1" t="b" cm="1">
        <f t="array" aca="1" ref="CT9" ca="1">AND(
    NOT(errorNoDataSheet),
    factorsTable[[#This Row],[factorHeader]] &lt;&gt; "",
    NOT(ISERROR(factorsTable[[#This Row],[factorColNum]])),
    IFERROR(factorsTable[[#This Row],[display]], FALSE),
    IFERROR(factorsTable[[#This Row],[minValue]] &lt; factorsTable[[#This Row],[minScore]], FALSE)
  )</f>
        <v>0</v>
      </c>
      <c r="CU9" s="1" t="b" cm="1">
        <f t="array" aca="1" ref="CU9" ca="1">AND(
    NOT(errorNoDataSheet),
    factorsTable[[#This Row],[factorHeader]] &lt;&gt; "",
    NOT(ISERROR(factorsTable[[#This Row],[factorColNum]])),
    IFERROR(factorsTable[[#This Row],[display]], FALSE),
    IFERROR(factorsTable[[#This Row],[maxValue]] &gt; factorsTable[[#This Row],[maxScore]], FALSE)
  )</f>
        <v>0</v>
      </c>
      <c r="CV9" s="1" t="str" cm="1">
        <f t="array" ref="CV9">IF(
    factorsTable[[#This Row],[factorHeader]] = "",
    "",
    IF(
      ISNA(INDEX(dataRange,1,1)),
      NA(),
      SUMPRODUCT(
          IF(isDoer = "", 0, NOT(isDoer))
        * (INDEX(dataRange, , factorsTable[[#This Row],[factorColNum]]) &lt;&gt; "")
      )
    )
  )</f>
        <v/>
      </c>
      <c r="CW9" s="1" t="str" cm="1">
        <f t="array" ref="CW9">IF(
    factorsTable[[#This Row],[factorHeader]] = "",
    "",
    IF(
      ISNA(INDEX(dataRange,1,1)),
      NA(),
      SUMPRODUCT(
          IF(isDoer = "", 0, isDoer)
        * (INDEX(dataRange, , factorsTable[[#This Row],[factorColNum]]) &lt;&gt; "")
      )
    )
  )</f>
        <v/>
      </c>
      <c r="CX9" s="1" t="str" cm="1">
        <f t="array" ref="CX9">IF(
    factorsTable[[#This Row],[factorHeader]] = "",
    "",
    IF(
      ISERROR(factorsTable[[#This Row],[factorColNum]]),
      UITranslateForValueTable("dataNotFound", UITranslationTable[tag], UITranslationTable[], UITranslationTable[#Headers]),
      factorsTable[[#This Row],[numDoers]] + factorsTable[[#This Row],[numNondoers]]
    )
  )</f>
        <v/>
      </c>
      <c r="CY9" s="1" t="str" cm="1">
        <f t="array" ref="CY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9" s="1" t="str" cm="1">
        <f t="array" ref="CZ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9" s="1" t="str">
        <f>IF(
    factorsTable[[#This Row],[factorHeader]] = "",
    "",
    factorsTable[[#This Row],[doers]] - factorsTable[[#This Row],[nondoers]]
  )</f>
        <v/>
      </c>
      <c r="DB9" s="1" t="str">
        <f>IF(
    factorsTable[[#This Row],[factorHeader]] = "",
    "",
    _xlfn.XLOOKUP(
      _xlfn.XLOOKUP(
        factorsTable[[#This Row],[index]],
        factorsConfigTable[index],
        factorsConfigTable[displayConfig],#REF!,
        0
      ),
      yesNoTable[label],
      yesNoTable[tag],
      "",
      0
    )
  )</f>
        <v/>
      </c>
      <c r="DC9" s="177" t="b">
        <f>IF(
    factorsTable[[#This Row],[factorHeader]] = "",
    FALSE,
    IF(
      factorsTable[[#This Row],[displayConfig]] = "yes",
      TRUE,
      IF(
        factorsTable[[#This Row],[displayConfig]] = "no",
        FALSE,
        NA()
      )
    )
  )</f>
        <v>0</v>
      </c>
      <c r="DD9" s="177" t="str" cm="1">
        <f t="array" ref="DD9">FilterTrueColumn(factorsTable[[#This Row],[index]], factorsTable[index], factorsTable[filteredIndex], factorsTable[display])</f>
        <v/>
      </c>
      <c r="DE9" s="177" t="str">
        <f>IF(
    factorsTable[[#This Row],[filteredIndex]] = "",
    "",
    _xlfn.IFNA(
      _xlfn.XLOOKUP(factorsTable[[#This Row],[filteredIndex]], factorsTable[index], factorsTable[difference]),
      -99
    )
  )</f>
        <v/>
      </c>
      <c r="DF9" s="177" t="str">
        <f>IF(
    factorsTable[[#This Row],[filteredIndex]] = "",
    "",
    IF(
      factorsTable[[#This Row],[relDiff]] = -99,
      -99,
      ABS(factorsTable[[#This Row],[relDiff]])
    )
  )</f>
        <v/>
      </c>
      <c r="DG9" s="177" t="str">
        <f>IF(
    factorsTable[[#This Row],[filteredIndex]] = "",
    "",
    _xlfn.XLOOKUP(
      _xlfn.XLOOKUP(
        factorsTable[[#This Row],[filteredIndex]],
        factorsConfigTable[index],
        factorsConfigTable[RANASBlock],#REF!,
        0
      ),
      RANASBlocksTable[label],
      RANASBlocksTable[index],
      6,
      0
    )
  )</f>
        <v/>
      </c>
      <c r="DH9" s="177" t="str">
        <f>IF(
    factorsTable[[#This Row],[filteredIndex]] = "",
    "",
    _xlfn.RANK.EQ(factorsTable[[#This Row],[relDiff]], factorsTable[relDiff], 0)
  )</f>
        <v/>
      </c>
      <c r="DI9" s="177" t="str">
        <f>IF(
    factorsTable[[#This Row],[filteredIndex]] = "",
    "",
    _xlfn.RANK.EQ(factorsTable[[#This Row],[absDiff]], factorsTable[absDiff], 0)
  )</f>
        <v/>
      </c>
      <c r="DJ9" s="177" t="str">
        <f>IF(
    factorsTable[[#This Row],[filteredIndex]] = "",
    "",
    _xlfn.RANK.EQ(factorsTable[[#This Row],[RANASIndex]], factorsTable[RANASIndex], 1)
  )</f>
        <v/>
      </c>
      <c r="DK9" s="177" t="str" cm="1">
        <f t="array" ref="DK9">_xlfn.SWITCH(
    sortingMethodTag,
    "none", factorsTable[[#This Row],[filteredIndex]],
    "relDiff", factorsTable[[#This Row],[relDiffRank]],
    "absDiff", factorsTable[[#This Row],[absDiffRank]],
    "RANAS", factorsTable[[#This Row],[RANASRank]],
    factorsTable[[#This Row],[filteredIndex]]
  )</f>
        <v/>
      </c>
      <c r="DL9" s="177" t="str">
        <f>IF(
    factorsTable[[#This Row],[filteredIndex]] = "",
    "",
    factorsTable[[#This Row],[selectedRank]]
      + COUNTIF(INDEX(factorsTable[selectedRank], 1):INDEX(factorsTable[selectedRank], factorsTable[[#This Row],[index]]), factorsTable[[#This Row],[selectedRank]])
      - 1
  )</f>
        <v/>
      </c>
      <c r="DM9" s="177" t="str">
        <f>IF(
    factorsTable[[#This Row],[filteredIndex]] = "",
    "",
    _xlfn.XLOOKUP(
      factorsTable[[#This Row],[index]],
      factorsTable[uniqueRank],
      factorsTable[filteredIndex],#REF!,
      0
    )
  )</f>
        <v/>
      </c>
      <c r="DN9" s="177" t="str" cm="1">
        <f t="array" ref="DN9">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9" s="177" t="str" cm="1">
        <f t="array" ref="DO9">IF(
    factorsTable[[#This Row],[sortedIndex]] = "",
    "",
    IF(
      factorsTable[[#This Row],[langSpecFactor]] = "",
      UITranslateForValueTable("noTranslation", UITranslationTable[tag], UITranslationTable[], UITranslationTable[#Headers]),
      factorsTable[[#This Row],[langSpecFactor]]
    )
  )</f>
        <v/>
      </c>
      <c r="DP9" s="177" t="str">
        <f>IF(
    factorsTable[[#This Row],[sortedIndex]] = "",
    "",
    _xlfn.XLOOKUP(
      _xlfn.XLOOKUP(
        factorsTable[[#This Row],[sortedIndex]],
        factorsConfigTable[index],
        factorsConfigTable[RANASBlock],#REF!,
        0
      ),
      RANASBlocksTable[label],
      RANASBlocksTable[tag],
      NA(),
      0
    )
  )</f>
        <v/>
      </c>
      <c r="DQ9" s="177" t="str" cm="1">
        <f t="array" ref="DQ9">IF(
    factorsTable[[#This Row],[sortedIndex]] = "",
    "",
    _xlfn.IFNA(
      _xlfn.XLOOKUP(factorsTable[[#This Row],[RANASTag]], RANASBlocksTable[tag], RANASBlocksTable[langSpecLabel]),
      UITranslateForValueTable("noRANASBlock", UITranslationTable[tag], UITranslationTable[], UITranslationTable[#Headers])
    )
  )</f>
        <v/>
      </c>
      <c r="DR9"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9" s="177" t="str">
        <f>IF(
    factorsTable[[#This Row],[sortedIndex]] = "",
    "",
    _xlfn.XLOOKUP(factorsTable[[#This Row],[sortedIndex]], factorsTable[index], factorsTable[numTotal])
  )</f>
        <v/>
      </c>
      <c r="DT9" s="177" t="str">
        <f>IF(
    factorsTable[[#This Row],[sortedIndex]] = "",
    "",
    _xlfn.XLOOKUP(factorsTable[[#This Row],[sortedIndex]], factorsTable[index], factorsTable[nondoers])
  )</f>
        <v/>
      </c>
      <c r="DU9" s="177" t="str">
        <f>IF(
    factorsTable[[#This Row],[sortedIndex]] = "",
    "",
    _xlfn.XLOOKUP(factorsTable[[#This Row],[sortedIndex]], factorsTable[index], factorsTable[doers])
  )</f>
        <v/>
      </c>
      <c r="DV9" s="177" t="str">
        <f>IF(
    factorsTable[[#This Row],[sortedIndex]] = "",
    "",
    _xlfn.XLOOKUP(factorsTable[[#This Row],[sortedIndex]], factorsTable[index], factorsTable[difference])
  )</f>
        <v/>
      </c>
    </row>
    <row r="10" spans="5:126" ht="14.4" customHeight="1" x14ac:dyDescent="0.3">
      <c r="E10" s="187" cm="1">
        <f t="array" ref="E10">ROW()-ROW(UITranslationTable[#Headers])</f>
        <v>8</v>
      </c>
      <c r="F10" s="9" t="s">
        <v>311</v>
      </c>
      <c r="G10" s="176" t="s">
        <v>307</v>
      </c>
      <c r="H10" s="176" t="s">
        <v>307</v>
      </c>
      <c r="J10" s="1" cm="1">
        <f t="array" ref="J10">ROW()-ROW(errorMessagesTable[#Headers])</f>
        <v>8</v>
      </c>
      <c r="K10" s="1" t="s">
        <v>434</v>
      </c>
      <c r="L10" s="1" t="b" cm="1">
        <f t="array" aca="1" ref="L10" ca="1">errorBehaviourMinMaxInvalid</f>
        <v>0</v>
      </c>
      <c r="M10" s="176" t="s">
        <v>250</v>
      </c>
      <c r="N10" s="176" t="s">
        <v>254</v>
      </c>
      <c r="O10" s="1" t="str" cm="1">
        <f t="array" aca="1" ref="O10" ca="1">FilterTrueColumn(errorMessagesTable[[#This Row],[index]], errorMessagesTable[index], errorMessagesTable[filteredIndex], errorMessagesTable[condition])</f>
        <v/>
      </c>
      <c r="P10" s="9" t="str" cm="1">
        <f t="array" aca="1" ref="P10"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0" s="9" t="str" cm="1">
        <f t="array" aca="1" ref="Q10" ca="1">IF(
    errorMessagesTable[[#This Row],[filteredIndex]] = "",
    "",
    IF(
      errorMessagesTable[[#This Row],[index]] = 1,
      "",
      INDEX(errorMessagesTable[concatErrors], errorMessagesTable[[#This Row],[index]]-1)
      &amp; CHAR(10) &amp; CHAR(10)
    )
    &amp; INDEX(errorMessagesTable[langSpecError], errorMessagesTable[[#This Row],[index]])
  )</f>
        <v/>
      </c>
      <c r="W10" s="177" cm="1">
        <f t="array" ref="W10">ROW()-ROW(structuredFormulaeTable[#Headers])</f>
        <v>8</v>
      </c>
      <c r="X10" s="1" t="s">
        <v>423</v>
      </c>
      <c r="Y10" s="1" t="s">
        <v>420</v>
      </c>
      <c r="AA10" s="178" t="s">
        <v>424</v>
      </c>
      <c r="AB10" s="178" t="s">
        <v>459</v>
      </c>
      <c r="BA10" s="178"/>
      <c r="BW10" s="181" cm="1">
        <f t="array" ref="BW10">ROW()-ROW(cutoffTable[#Headers])</f>
        <v>8</v>
      </c>
      <c r="BX10" s="182">
        <v>0.8</v>
      </c>
      <c r="BY10" s="1" t="s">
        <v>293</v>
      </c>
      <c r="BZ10" s="177" cm="1">
        <f t="array" ref="BZ10">SUMPRODUCT(
    (behaviourScore &lt;&gt; "")
  * (behaviourScore &gt;= IF(cutoffTable[[#This Row],[index]] = 1, 0, INDEX(cutoffTable[cutoffLevel], cutoffTable[[#This Row],[index]]-1)))
  * IF(
      cutoffTable[[#This Row],[cutoffLevel]] = 1,
      behaviourScore &lt;= 1,
      behaviourScore &lt; cutoffTable[[#This Row],[cutoffLevel]]
    )
  )</f>
        <v>0</v>
      </c>
      <c r="CA10" s="177" cm="1">
        <f t="array" ref="CA10">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0" s="177" cm="1">
        <f t="array" ref="CB10">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0" s="1" cm="1">
        <f t="array" ref="CD10">ROW()-ROW(recommendedCutoffTable[#Headers])</f>
        <v>8</v>
      </c>
      <c r="CE10" s="183">
        <f>(recommendedCutoffTable[[#This Row],[index]] - 1) / 100</f>
        <v>7.0000000000000007E-2</v>
      </c>
      <c r="CF10" s="1" cm="1">
        <f t="array" ref="CF10">ABS(
    numScores
  - 2 * SUMPRODUCT((behaviourScore &lt;&gt; "") * (behaviourScore &lt; recommendedCutoffTable[[#This Row],[cutoffLevel]]))
  )</f>
        <v>0</v>
      </c>
      <c r="CM10" s="1" cm="1">
        <f t="array" ref="CM10">ROW()-ROW(factorsTable[#Headers])</f>
        <v>8</v>
      </c>
      <c r="CN10" s="1" t="str" cm="1">
        <f t="array" ref="CN10">KeepBlanksFunction(
    _xlfn.XLOOKUP(
      factorsTable[[#This Row],[index]],
      factorsConfigTable[index],
      factorsConfigTable[factorHeader],#REF!,
      0
    )
  )</f>
        <v/>
      </c>
      <c r="CO10" s="1" t="str">
        <f>IF(
    factorsTable[[#This Row],[factorHeader]] = "",
    "",
    _xlfn.IFNA(
      MATCH(factorsTable[[#This Row],[factorHeader]], dataHeaders, 0),
      _xlfn.IFNA(
        MATCH("*/" &amp; factorsTable[[#This Row],[factorHeader]], dataHeaders, 0),
        MATCH("*-" &amp; factorsTable[[#This Row],[factorHeader]], dataHeaders, 0)
      )
    )
  )</f>
        <v/>
      </c>
      <c r="CP10" s="1" t="str">
        <f>IF(
    factorsTable[[#This Row],[factorHeader]] = "",
    "",
    _xlfn.LET(
      _xlpm.tableValue,
      _xlfn.XLOOKUP(
        factorsTable[[#This Row],[index]],
        factorsConfigTable[index],
        factorsConfigTable[minScore],#REF!,
        0
      ),
      _xlpm.storedValue,
      IF(
        _xlpm.tableValue = "",
        NA(),
        _xlpm.tableValue
      ),
      _xlpm.storedValue
    )
  )</f>
        <v/>
      </c>
      <c r="CQ10" s="1" t="str">
        <f>IF(
    factorsTable[[#This Row],[factorHeader]] = "",
    "",
    _xlfn.LET(
      _xlpm.tableValue,
      _xlfn.XLOOKUP(
        factorsTable[[#This Row],[index]],
        factorsConfigTable[index],
        factorsConfigTable[maxScore],#REF!,
        0
      ),
      _xlpm.storedValue,
      IF(
        _xlpm.tableValue = "",
        NA(),
        _xlpm.tableValue
      ),
      _xlpm.storedValue
    )
  )</f>
        <v/>
      </c>
      <c r="CR10" s="1" t="str">
        <f>IF(
    factorsTable[[#This Row],[factorHeader]] = "",
    "",
    IF(
      ISERROR(factorsTable[[#This Row],[factorColNum]]),
      NA(),
      IF(
        ISNA(INDEX(dataRange,1,1)),
        NA(),
        MIN(INDEX(dataRange, , factorsTable[[#This Row],[factorColNum]]))
      )
    )
  )</f>
        <v/>
      </c>
      <c r="CS10" s="1" t="str">
        <f>IF(
    factorsTable[[#This Row],[factorHeader]] = "",
    "",
    IF(
      ISERROR(factorsTable[[#This Row],[factorColNum]]),
      NA(),
      IF(
        ISNA(INDEX(dataRange,1,1)),
        NA(),
        MAX(INDEX(dataRange, , factorsTable[[#This Row],[factorColNum]]))
      )
    )
  )</f>
        <v/>
      </c>
      <c r="CT10" s="1" t="b" cm="1">
        <f t="array" aca="1" ref="CT10" ca="1">AND(
    NOT(errorNoDataSheet),
    factorsTable[[#This Row],[factorHeader]] &lt;&gt; "",
    NOT(ISERROR(factorsTable[[#This Row],[factorColNum]])),
    IFERROR(factorsTable[[#This Row],[display]], FALSE),
    IFERROR(factorsTable[[#This Row],[minValue]] &lt; factorsTable[[#This Row],[minScore]], FALSE)
  )</f>
        <v>0</v>
      </c>
      <c r="CU10" s="1" t="b" cm="1">
        <f t="array" aca="1" ref="CU10" ca="1">AND(
    NOT(errorNoDataSheet),
    factorsTable[[#This Row],[factorHeader]] &lt;&gt; "",
    NOT(ISERROR(factorsTable[[#This Row],[factorColNum]])),
    IFERROR(factorsTable[[#This Row],[display]], FALSE),
    IFERROR(factorsTable[[#This Row],[maxValue]] &gt; factorsTable[[#This Row],[maxScore]], FALSE)
  )</f>
        <v>0</v>
      </c>
      <c r="CV10" s="1" t="str" cm="1">
        <f t="array" ref="CV10">IF(
    factorsTable[[#This Row],[factorHeader]] = "",
    "",
    IF(
      ISNA(INDEX(dataRange,1,1)),
      NA(),
      SUMPRODUCT(
          IF(isDoer = "", 0, NOT(isDoer))
        * (INDEX(dataRange, , factorsTable[[#This Row],[factorColNum]]) &lt;&gt; "")
      )
    )
  )</f>
        <v/>
      </c>
      <c r="CW10" s="1" t="str" cm="1">
        <f t="array" ref="CW10">IF(
    factorsTable[[#This Row],[factorHeader]] = "",
    "",
    IF(
      ISNA(INDEX(dataRange,1,1)),
      NA(),
      SUMPRODUCT(
          IF(isDoer = "", 0, isDoer)
        * (INDEX(dataRange, , factorsTable[[#This Row],[factorColNum]]) &lt;&gt; "")
      )
    )
  )</f>
        <v/>
      </c>
      <c r="CX10" s="1" t="str" cm="1">
        <f t="array" ref="CX10">IF(
    factorsTable[[#This Row],[factorHeader]] = "",
    "",
    IF(
      ISERROR(factorsTable[[#This Row],[factorColNum]]),
      UITranslateForValueTable("dataNotFound", UITranslationTable[tag], UITranslationTable[], UITranslationTable[#Headers]),
      factorsTable[[#This Row],[numDoers]] + factorsTable[[#This Row],[numNondoers]]
    )
  )</f>
        <v/>
      </c>
      <c r="CY10" s="1" t="str" cm="1">
        <f t="array" ref="CY1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0" s="1" t="str" cm="1">
        <f t="array" ref="CZ1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0" s="1" t="str">
        <f>IF(
    factorsTable[[#This Row],[factorHeader]] = "",
    "",
    factorsTable[[#This Row],[doers]] - factorsTable[[#This Row],[nondoers]]
  )</f>
        <v/>
      </c>
      <c r="DB10" s="1" t="str">
        <f>IF(
    factorsTable[[#This Row],[factorHeader]] = "",
    "",
    _xlfn.XLOOKUP(
      _xlfn.XLOOKUP(
        factorsTable[[#This Row],[index]],
        factorsConfigTable[index],
        factorsConfigTable[displayConfig],#REF!,
        0
      ),
      yesNoTable[label],
      yesNoTable[tag],
      "",
      0
    )
  )</f>
        <v/>
      </c>
      <c r="DC10" s="177" t="b">
        <f>IF(
    factorsTable[[#This Row],[factorHeader]] = "",
    FALSE,
    IF(
      factorsTable[[#This Row],[displayConfig]] = "yes",
      TRUE,
      IF(
        factorsTable[[#This Row],[displayConfig]] = "no",
        FALSE,
        NA()
      )
    )
  )</f>
        <v>0</v>
      </c>
      <c r="DD10" s="177" t="str" cm="1">
        <f t="array" ref="DD10">FilterTrueColumn(factorsTable[[#This Row],[index]], factorsTable[index], factorsTable[filteredIndex], factorsTable[display])</f>
        <v/>
      </c>
      <c r="DE10" s="177" t="str">
        <f>IF(
    factorsTable[[#This Row],[filteredIndex]] = "",
    "",
    _xlfn.IFNA(
      _xlfn.XLOOKUP(factorsTable[[#This Row],[filteredIndex]], factorsTable[index], factorsTable[difference]),
      -99
    )
  )</f>
        <v/>
      </c>
      <c r="DF10" s="177" t="str">
        <f>IF(
    factorsTable[[#This Row],[filteredIndex]] = "",
    "",
    IF(
      factorsTable[[#This Row],[relDiff]] = -99,
      -99,
      ABS(factorsTable[[#This Row],[relDiff]])
    )
  )</f>
        <v/>
      </c>
      <c r="DG10" s="177" t="str">
        <f>IF(
    factorsTable[[#This Row],[filteredIndex]] = "",
    "",
    _xlfn.XLOOKUP(
      _xlfn.XLOOKUP(
        factorsTable[[#This Row],[filteredIndex]],
        factorsConfigTable[index],
        factorsConfigTable[RANASBlock],#REF!,
        0
      ),
      RANASBlocksTable[label],
      RANASBlocksTable[index],
      6,
      0
    )
  )</f>
        <v/>
      </c>
      <c r="DH10" s="177" t="str">
        <f>IF(
    factorsTable[[#This Row],[filteredIndex]] = "",
    "",
    _xlfn.RANK.EQ(factorsTable[[#This Row],[relDiff]], factorsTable[relDiff], 0)
  )</f>
        <v/>
      </c>
      <c r="DI10" s="177" t="str">
        <f>IF(
    factorsTable[[#This Row],[filteredIndex]] = "",
    "",
    _xlfn.RANK.EQ(factorsTable[[#This Row],[absDiff]], factorsTable[absDiff], 0)
  )</f>
        <v/>
      </c>
      <c r="DJ10" s="177" t="str">
        <f>IF(
    factorsTable[[#This Row],[filteredIndex]] = "",
    "",
    _xlfn.RANK.EQ(factorsTable[[#This Row],[RANASIndex]], factorsTable[RANASIndex], 1)
  )</f>
        <v/>
      </c>
      <c r="DK10" s="177" t="str" cm="1">
        <f t="array" ref="DK10">_xlfn.SWITCH(
    sortingMethodTag,
    "none", factorsTable[[#This Row],[filteredIndex]],
    "relDiff", factorsTable[[#This Row],[relDiffRank]],
    "absDiff", factorsTable[[#This Row],[absDiffRank]],
    "RANAS", factorsTable[[#This Row],[RANASRank]],
    factorsTable[[#This Row],[filteredIndex]]
  )</f>
        <v/>
      </c>
      <c r="DL10" s="177" t="str">
        <f>IF(
    factorsTable[[#This Row],[filteredIndex]] = "",
    "",
    factorsTable[[#This Row],[selectedRank]]
      + COUNTIF(INDEX(factorsTable[selectedRank], 1):INDEX(factorsTable[selectedRank], factorsTable[[#This Row],[index]]), factorsTable[[#This Row],[selectedRank]])
      - 1
  )</f>
        <v/>
      </c>
      <c r="DM10" s="177" t="str">
        <f>IF(
    factorsTable[[#This Row],[filteredIndex]] = "",
    "",
    _xlfn.XLOOKUP(
      factorsTable[[#This Row],[index]],
      factorsTable[uniqueRank],
      factorsTable[filteredIndex],#REF!,
      0
    )
  )</f>
        <v/>
      </c>
      <c r="DN10" s="177" t="str" cm="1">
        <f t="array" ref="DN10">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0" s="177" t="str" cm="1">
        <f t="array" ref="DO10">IF(
    factorsTable[[#This Row],[sortedIndex]] = "",
    "",
    IF(
      factorsTable[[#This Row],[langSpecFactor]] = "",
      UITranslateForValueTable("noTranslation", UITranslationTable[tag], UITranslationTable[], UITranslationTable[#Headers]),
      factorsTable[[#This Row],[langSpecFactor]]
    )
  )</f>
        <v/>
      </c>
      <c r="DP10" s="177" t="str">
        <f>IF(
    factorsTable[[#This Row],[sortedIndex]] = "",
    "",
    _xlfn.XLOOKUP(
      _xlfn.XLOOKUP(
        factorsTable[[#This Row],[sortedIndex]],
        factorsConfigTable[index],
        factorsConfigTable[RANASBlock],#REF!,
        0
      ),
      RANASBlocksTable[label],
      RANASBlocksTable[tag],
      NA(),
      0
    )
  )</f>
        <v/>
      </c>
      <c r="DQ10" s="177" t="str" cm="1">
        <f t="array" ref="DQ10">IF(
    factorsTable[[#This Row],[sortedIndex]] = "",
    "",
    _xlfn.IFNA(
      _xlfn.XLOOKUP(factorsTable[[#This Row],[RANASTag]], RANASBlocksTable[tag], RANASBlocksTable[langSpecLabel]),
      UITranslateForValueTable("noRANASBlock", UITranslationTable[tag], UITranslationTable[], UITranslationTable[#Headers])
    )
  )</f>
        <v/>
      </c>
      <c r="DR10"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0" s="177" t="str">
        <f>IF(
    factorsTable[[#This Row],[sortedIndex]] = "",
    "",
    _xlfn.XLOOKUP(factorsTable[[#This Row],[sortedIndex]], factorsTable[index], factorsTable[numTotal])
  )</f>
        <v/>
      </c>
      <c r="DT10" s="177" t="str">
        <f>IF(
    factorsTable[[#This Row],[sortedIndex]] = "",
    "",
    _xlfn.XLOOKUP(factorsTable[[#This Row],[sortedIndex]], factorsTable[index], factorsTable[nondoers])
  )</f>
        <v/>
      </c>
      <c r="DU10" s="177" t="str">
        <f>IF(
    factorsTable[[#This Row],[sortedIndex]] = "",
    "",
    _xlfn.XLOOKUP(factorsTable[[#This Row],[sortedIndex]], factorsTable[index], factorsTable[doers])
  )</f>
        <v/>
      </c>
      <c r="DV10" s="177" t="str">
        <f>IF(
    factorsTable[[#This Row],[sortedIndex]] = "",
    "",
    _xlfn.XLOOKUP(factorsTable[[#This Row],[sortedIndex]], factorsTable[index], factorsTable[difference])
  )</f>
        <v/>
      </c>
    </row>
    <row r="11" spans="5:126" ht="14.4" customHeight="1" x14ac:dyDescent="0.3">
      <c r="E11" s="187" cm="1">
        <f t="array" ref="E11">ROW()-ROW(UITranslationTable[#Headers])</f>
        <v>9</v>
      </c>
      <c r="F11" s="9" t="s">
        <v>312</v>
      </c>
      <c r="G11" s="176"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176"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s="1" cm="1">
        <f t="array" ref="J11">ROW()-ROW(errorMessagesTable[#Headers])</f>
        <v>9</v>
      </c>
      <c r="K11" s="1" t="s">
        <v>435</v>
      </c>
      <c r="L11" s="1" t="b" cm="1">
        <f t="array" aca="1" ref="L11" ca="1">errorBehaviourOutOfRange</f>
        <v>0</v>
      </c>
      <c r="M11" s="176" t="str" cm="1">
        <f t="array" ref="M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N11" s="188" t="str" cm="1">
        <f t="array" ref="N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O11" s="1" t="str" cm="1">
        <f t="array" aca="1" ref="O11" ca="1">FilterTrueColumn(errorMessagesTable[[#This Row],[index]], errorMessagesTable[index], errorMessagesTable[filteredIndex], errorMessagesTable[condition])</f>
        <v/>
      </c>
      <c r="P11" s="9" t="str" cm="1">
        <f t="array" aca="1" ref="P11"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1" s="9" t="str" cm="1">
        <f t="array" aca="1" ref="Q11" ca="1">IF(
    errorMessagesTable[[#This Row],[filteredIndex]] = "",
    "",
    IF(
      errorMessagesTable[[#This Row],[index]] = 1,
      "",
      INDEX(errorMessagesTable[concatErrors], errorMessagesTable[[#This Row],[index]]-1)
      &amp; CHAR(10) &amp; CHAR(10)
    )
    &amp; INDEX(errorMessagesTable[langSpecError], errorMessagesTable[[#This Row],[index]])
  )</f>
        <v/>
      </c>
      <c r="W11" s="177" cm="1">
        <f t="array" ref="W11">ROW()-ROW(structuredFormulaeTable[#Headers])</f>
        <v>9</v>
      </c>
      <c r="X11" s="1" t="s">
        <v>425</v>
      </c>
      <c r="Y11" s="1" t="s">
        <v>514</v>
      </c>
      <c r="Z11" s="1" t="b" cm="1">
        <f t="array" ref="Z11">behaviourInclude1</f>
        <v>0</v>
      </c>
      <c r="AA11" s="178" t="s">
        <v>515</v>
      </c>
      <c r="AB11" s="164" t="s">
        <v>650</v>
      </c>
      <c r="BW11" s="181" cm="1">
        <f t="array" ref="BW11">ROW()-ROW(cutoffTable[#Headers])</f>
        <v>9</v>
      </c>
      <c r="BX11" s="182">
        <v>0.9</v>
      </c>
      <c r="BY11" s="1" t="s">
        <v>294</v>
      </c>
      <c r="BZ11" s="177" cm="1">
        <f t="array" ref="BZ11">SUMPRODUCT(
    (behaviourScore &lt;&gt; "")
  * (behaviourScore &gt;= IF(cutoffTable[[#This Row],[index]] = 1, 0, INDEX(cutoffTable[cutoffLevel], cutoffTable[[#This Row],[index]]-1)))
  * IF(
      cutoffTable[[#This Row],[cutoffLevel]] = 1,
      behaviourScore &lt;= 1,
      behaviourScore &lt; cutoffTable[[#This Row],[cutoffLevel]]
    )
  )</f>
        <v>0</v>
      </c>
      <c r="CA11" s="177" cm="1">
        <f t="array" ref="CA1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1" s="177" cm="1">
        <f t="array" ref="CB1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1" s="1" cm="1">
        <f t="array" ref="CD11">ROW()-ROW(recommendedCutoffTable[#Headers])</f>
        <v>9</v>
      </c>
      <c r="CE11" s="183">
        <f>(recommendedCutoffTable[[#This Row],[index]] - 1) / 100</f>
        <v>0.08</v>
      </c>
      <c r="CF11" s="1" cm="1">
        <f t="array" ref="CF11">ABS(
    numScores
  - 2 * SUMPRODUCT((behaviourScore &lt;&gt; "") * (behaviourScore &lt; recommendedCutoffTable[[#This Row],[cutoffLevel]]))
  )</f>
        <v>0</v>
      </c>
      <c r="CM11" s="1" cm="1">
        <f t="array" ref="CM11">ROW()-ROW(factorsTable[#Headers])</f>
        <v>9</v>
      </c>
      <c r="CN11" s="1" t="str" cm="1">
        <f t="array" ref="CN11">KeepBlanksFunction(
    _xlfn.XLOOKUP(
      factorsTable[[#This Row],[index]],
      factorsConfigTable[index],
      factorsConfigTable[factorHeader],#REF!,
      0
    )
  )</f>
        <v/>
      </c>
      <c r="CO11" s="1" t="str">
        <f>IF(
    factorsTable[[#This Row],[factorHeader]] = "",
    "",
    _xlfn.IFNA(
      MATCH(factorsTable[[#This Row],[factorHeader]], dataHeaders, 0),
      _xlfn.IFNA(
        MATCH("*/" &amp; factorsTable[[#This Row],[factorHeader]], dataHeaders, 0),
        MATCH("*-" &amp; factorsTable[[#This Row],[factorHeader]], dataHeaders, 0)
      )
    )
  )</f>
        <v/>
      </c>
      <c r="CP11" s="1" t="str">
        <f>IF(
    factorsTable[[#This Row],[factorHeader]] = "",
    "",
    _xlfn.LET(
      _xlpm.tableValue,
      _xlfn.XLOOKUP(
        factorsTable[[#This Row],[index]],
        factorsConfigTable[index],
        factorsConfigTable[minScore],#REF!,
        0
      ),
      _xlpm.storedValue,
      IF(
        _xlpm.tableValue = "",
        NA(),
        _xlpm.tableValue
      ),
      _xlpm.storedValue
    )
  )</f>
        <v/>
      </c>
      <c r="CQ11" s="1" t="str">
        <f>IF(
    factorsTable[[#This Row],[factorHeader]] = "",
    "",
    _xlfn.LET(
      _xlpm.tableValue,
      _xlfn.XLOOKUP(
        factorsTable[[#This Row],[index]],
        factorsConfigTable[index],
        factorsConfigTable[maxScore],#REF!,
        0
      ),
      _xlpm.storedValue,
      IF(
        _xlpm.tableValue = "",
        NA(),
        _xlpm.tableValue
      ),
      _xlpm.storedValue
    )
  )</f>
        <v/>
      </c>
      <c r="CR11" s="1" t="str">
        <f>IF(
    factorsTable[[#This Row],[factorHeader]] = "",
    "",
    IF(
      ISERROR(factorsTable[[#This Row],[factorColNum]]),
      NA(),
      IF(
        ISNA(INDEX(dataRange,1,1)),
        NA(),
        MIN(INDEX(dataRange, , factorsTable[[#This Row],[factorColNum]]))
      )
    )
  )</f>
        <v/>
      </c>
      <c r="CS11" s="1" t="str">
        <f>IF(
    factorsTable[[#This Row],[factorHeader]] = "",
    "",
    IF(
      ISERROR(factorsTable[[#This Row],[factorColNum]]),
      NA(),
      IF(
        ISNA(INDEX(dataRange,1,1)),
        NA(),
        MAX(INDEX(dataRange, , factorsTable[[#This Row],[factorColNum]]))
      )
    )
  )</f>
        <v/>
      </c>
      <c r="CT11" s="1" t="b" cm="1">
        <f t="array" aca="1" ref="CT11" ca="1">AND(
    NOT(errorNoDataSheet),
    factorsTable[[#This Row],[factorHeader]] &lt;&gt; "",
    NOT(ISERROR(factorsTable[[#This Row],[factorColNum]])),
    IFERROR(factorsTable[[#This Row],[display]], FALSE),
    IFERROR(factorsTable[[#This Row],[minValue]] &lt; factorsTable[[#This Row],[minScore]], FALSE)
  )</f>
        <v>0</v>
      </c>
      <c r="CU11" s="1" t="b" cm="1">
        <f t="array" aca="1" ref="CU11" ca="1">AND(
    NOT(errorNoDataSheet),
    factorsTable[[#This Row],[factorHeader]] &lt;&gt; "",
    NOT(ISERROR(factorsTable[[#This Row],[factorColNum]])),
    IFERROR(factorsTable[[#This Row],[display]], FALSE),
    IFERROR(factorsTable[[#This Row],[maxValue]] &gt; factorsTable[[#This Row],[maxScore]], FALSE)
  )</f>
        <v>0</v>
      </c>
      <c r="CV11" s="1" t="str" cm="1">
        <f t="array" ref="CV11">IF(
    factorsTable[[#This Row],[factorHeader]] = "",
    "",
    IF(
      ISNA(INDEX(dataRange,1,1)),
      NA(),
      SUMPRODUCT(
          IF(isDoer = "", 0, NOT(isDoer))
        * (INDEX(dataRange, , factorsTable[[#This Row],[factorColNum]]) &lt;&gt; "")
      )
    )
  )</f>
        <v/>
      </c>
      <c r="CW11" s="1" t="str" cm="1">
        <f t="array" ref="CW11">IF(
    factorsTable[[#This Row],[factorHeader]] = "",
    "",
    IF(
      ISNA(INDEX(dataRange,1,1)),
      NA(),
      SUMPRODUCT(
          IF(isDoer = "", 0, isDoer)
        * (INDEX(dataRange, , factorsTable[[#This Row],[factorColNum]]) &lt;&gt; "")
      )
    )
  )</f>
        <v/>
      </c>
      <c r="CX11" s="1" t="str" cm="1">
        <f t="array" ref="CX11">IF(
    factorsTable[[#This Row],[factorHeader]] = "",
    "",
    IF(
      ISERROR(factorsTable[[#This Row],[factorColNum]]),
      UITranslateForValueTable("dataNotFound", UITranslationTable[tag], UITranslationTable[], UITranslationTable[#Headers]),
      factorsTable[[#This Row],[numDoers]] + factorsTable[[#This Row],[numNondoers]]
    )
  )</f>
        <v/>
      </c>
      <c r="CY11" s="1" t="str" cm="1">
        <f t="array" ref="CY1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1" s="1" t="str" cm="1">
        <f t="array" ref="CZ1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1" s="1" t="str">
        <f>IF(
    factorsTable[[#This Row],[factorHeader]] = "",
    "",
    factorsTable[[#This Row],[doers]] - factorsTable[[#This Row],[nondoers]]
  )</f>
        <v/>
      </c>
      <c r="DB11" s="1" t="str">
        <f>IF(
    factorsTable[[#This Row],[factorHeader]] = "",
    "",
    _xlfn.XLOOKUP(
      _xlfn.XLOOKUP(
        factorsTable[[#This Row],[index]],
        factorsConfigTable[index],
        factorsConfigTable[displayConfig],#REF!,
        0
      ),
      yesNoTable[label],
      yesNoTable[tag],
      "",
      0
    )
  )</f>
        <v/>
      </c>
      <c r="DC11" s="177" t="b">
        <f>IF(
    factorsTable[[#This Row],[factorHeader]] = "",
    FALSE,
    IF(
      factorsTable[[#This Row],[displayConfig]] = "yes",
      TRUE,
      IF(
        factorsTable[[#This Row],[displayConfig]] = "no",
        FALSE,
        NA()
      )
    )
  )</f>
        <v>0</v>
      </c>
      <c r="DD11" s="177" t="str" cm="1">
        <f t="array" ref="DD11">FilterTrueColumn(factorsTable[[#This Row],[index]], factorsTable[index], factorsTable[filteredIndex], factorsTable[display])</f>
        <v/>
      </c>
      <c r="DE11" s="177" t="str">
        <f>IF(
    factorsTable[[#This Row],[filteredIndex]] = "",
    "",
    _xlfn.IFNA(
      _xlfn.XLOOKUP(factorsTable[[#This Row],[filteredIndex]], factorsTable[index], factorsTable[difference]),
      -99
    )
  )</f>
        <v/>
      </c>
      <c r="DF11" s="177" t="str">
        <f>IF(
    factorsTable[[#This Row],[filteredIndex]] = "",
    "",
    IF(
      factorsTable[[#This Row],[relDiff]] = -99,
      -99,
      ABS(factorsTable[[#This Row],[relDiff]])
    )
  )</f>
        <v/>
      </c>
      <c r="DG11" s="177" t="str">
        <f>IF(
    factorsTable[[#This Row],[filteredIndex]] = "",
    "",
    _xlfn.XLOOKUP(
      _xlfn.XLOOKUP(
        factorsTable[[#This Row],[filteredIndex]],
        factorsConfigTable[index],
        factorsConfigTable[RANASBlock],#REF!,
        0
      ),
      RANASBlocksTable[label],
      RANASBlocksTable[index],
      6,
      0
    )
  )</f>
        <v/>
      </c>
      <c r="DH11" s="177" t="str">
        <f>IF(
    factorsTable[[#This Row],[filteredIndex]] = "",
    "",
    _xlfn.RANK.EQ(factorsTable[[#This Row],[relDiff]], factorsTable[relDiff], 0)
  )</f>
        <v/>
      </c>
      <c r="DI11" s="177" t="str">
        <f>IF(
    factorsTable[[#This Row],[filteredIndex]] = "",
    "",
    _xlfn.RANK.EQ(factorsTable[[#This Row],[absDiff]], factorsTable[absDiff], 0)
  )</f>
        <v/>
      </c>
      <c r="DJ11" s="177" t="str">
        <f>IF(
    factorsTable[[#This Row],[filteredIndex]] = "",
    "",
    _xlfn.RANK.EQ(factorsTable[[#This Row],[RANASIndex]], factorsTable[RANASIndex], 1)
  )</f>
        <v/>
      </c>
      <c r="DK11" s="177" t="str" cm="1">
        <f t="array" ref="DK11">_xlfn.SWITCH(
    sortingMethodTag,
    "none", factorsTable[[#This Row],[filteredIndex]],
    "relDiff", factorsTable[[#This Row],[relDiffRank]],
    "absDiff", factorsTable[[#This Row],[absDiffRank]],
    "RANAS", factorsTable[[#This Row],[RANASRank]],
    factorsTable[[#This Row],[filteredIndex]]
  )</f>
        <v/>
      </c>
      <c r="DL11" s="177" t="str">
        <f>IF(
    factorsTable[[#This Row],[filteredIndex]] = "",
    "",
    factorsTable[[#This Row],[selectedRank]]
      + COUNTIF(INDEX(factorsTable[selectedRank], 1):INDEX(factorsTable[selectedRank], factorsTable[[#This Row],[index]]), factorsTable[[#This Row],[selectedRank]])
      - 1
  )</f>
        <v/>
      </c>
      <c r="DM11" s="177" t="str">
        <f>IF(
    factorsTable[[#This Row],[filteredIndex]] = "",
    "",
    _xlfn.XLOOKUP(
      factorsTable[[#This Row],[index]],
      factorsTable[uniqueRank],
      factorsTable[filteredIndex],#REF!,
      0
    )
  )</f>
        <v/>
      </c>
      <c r="DN11" s="177" t="str" cm="1">
        <f t="array" ref="DN11">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1" s="177" t="str" cm="1">
        <f t="array" ref="DO11">IF(
    factorsTable[[#This Row],[sortedIndex]] = "",
    "",
    IF(
      factorsTable[[#This Row],[langSpecFactor]] = "",
      UITranslateForValueTable("noTranslation", UITranslationTable[tag], UITranslationTable[], UITranslationTable[#Headers]),
      factorsTable[[#This Row],[langSpecFactor]]
    )
  )</f>
        <v/>
      </c>
      <c r="DP11" s="177" t="str">
        <f>IF(
    factorsTable[[#This Row],[sortedIndex]] = "",
    "",
    _xlfn.XLOOKUP(
      _xlfn.XLOOKUP(
        factorsTable[[#This Row],[sortedIndex]],
        factorsConfigTable[index],
        factorsConfigTable[RANASBlock],#REF!,
        0
      ),
      RANASBlocksTable[label],
      RANASBlocksTable[tag],
      NA(),
      0
    )
  )</f>
        <v/>
      </c>
      <c r="DQ11" s="177" t="str" cm="1">
        <f t="array" ref="DQ11">IF(
    factorsTable[[#This Row],[sortedIndex]] = "",
    "",
    _xlfn.IFNA(
      _xlfn.XLOOKUP(factorsTable[[#This Row],[RANASTag]], RANASBlocksTable[tag], RANASBlocksTable[langSpecLabel]),
      UITranslateForValueTable("noRANASBlock", UITranslationTable[tag], UITranslationTable[], UITranslationTable[#Headers])
    )
  )</f>
        <v/>
      </c>
      <c r="DR11"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1" s="177" t="str">
        <f>IF(
    factorsTable[[#This Row],[sortedIndex]] = "",
    "",
    _xlfn.XLOOKUP(factorsTable[[#This Row],[sortedIndex]], factorsTable[index], factorsTable[numTotal])
  )</f>
        <v/>
      </c>
      <c r="DT11" s="177" t="str">
        <f>IF(
    factorsTable[[#This Row],[sortedIndex]] = "",
    "",
    _xlfn.XLOOKUP(factorsTable[[#This Row],[sortedIndex]], factorsTable[index], factorsTable[nondoers])
  )</f>
        <v/>
      </c>
      <c r="DU11" s="177" t="str">
        <f>IF(
    factorsTable[[#This Row],[sortedIndex]] = "",
    "",
    _xlfn.XLOOKUP(factorsTable[[#This Row],[sortedIndex]], factorsTable[index], factorsTable[doers])
  )</f>
        <v/>
      </c>
      <c r="DV11" s="177" t="str">
        <f>IF(
    factorsTable[[#This Row],[sortedIndex]] = "",
    "",
    _xlfn.XLOOKUP(factorsTable[[#This Row],[sortedIndex]], factorsTable[index], factorsTable[difference])
  )</f>
        <v/>
      </c>
    </row>
    <row r="12" spans="5:126" ht="14.4" customHeight="1" x14ac:dyDescent="0.3">
      <c r="E12" s="187" cm="1">
        <f t="array" ref="E12">ROW()-ROW(UITranslationTable[#Headers])</f>
        <v>10</v>
      </c>
      <c r="F12" s="9" t="s">
        <v>313</v>
      </c>
      <c r="G12" s="176"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176"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s="1" cm="1">
        <f t="array" ref="J12">ROW()-ROW(errorMessagesTable[#Headers])</f>
        <v>10</v>
      </c>
      <c r="K12" s="1" t="s">
        <v>436</v>
      </c>
      <c r="L12" s="1" t="b" cm="1">
        <f t="array" aca="1" ref="L12" ca="1">errorFactorHeader</f>
        <v>0</v>
      </c>
      <c r="M12" s="176" t="str" cm="1">
        <f t="array" ref="M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N12" s="176" t="str" cm="1">
        <f t="array" ref="N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O12" s="1" t="str" cm="1">
        <f t="array" aca="1" ref="O12" ca="1">FilterTrueColumn(errorMessagesTable[[#This Row],[index]], errorMessagesTable[index], errorMessagesTable[filteredIndex], errorMessagesTable[condition])</f>
        <v/>
      </c>
      <c r="P12" s="9" t="str" cm="1">
        <f t="array" aca="1" ref="P12"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2" s="9" t="str" cm="1">
        <f t="array" aca="1" ref="Q12" ca="1">IF(
    errorMessagesTable[[#This Row],[filteredIndex]] = "",
    "",
    IF(
      errorMessagesTable[[#This Row],[index]] = 1,
      "",
      INDEX(errorMessagesTable[concatErrors], errorMessagesTable[[#This Row],[index]]-1)
      &amp; CHAR(10) &amp; CHAR(10)
    )
    &amp; INDEX(errorMessagesTable[langSpecError], errorMessagesTable[[#This Row],[index]])
  )</f>
        <v/>
      </c>
      <c r="W12" s="177" cm="1">
        <f t="array" ref="W12">ROW()-ROW(structuredFormulaeTable[#Headers])</f>
        <v>10</v>
      </c>
      <c r="X12" s="1" t="s">
        <v>425</v>
      </c>
      <c r="Y12" s="1" t="s">
        <v>516</v>
      </c>
      <c r="Z12" s="1" t="b" cm="1">
        <f t="array" ref="Z12">behaviourInclude2</f>
        <v>0</v>
      </c>
      <c r="AA12" s="178" t="s">
        <v>517</v>
      </c>
      <c r="AB12" s="164" t="s">
        <v>651</v>
      </c>
      <c r="AY12" s="189"/>
      <c r="BW12" s="181" cm="1">
        <f t="array" ref="BW12">ROW()-ROW(cutoffTable[#Headers])</f>
        <v>10</v>
      </c>
      <c r="BX12" s="182">
        <v>1</v>
      </c>
      <c r="BY12" s="1" t="s">
        <v>295</v>
      </c>
      <c r="BZ12" s="177" cm="1">
        <f t="array" ref="BZ12">SUMPRODUCT(
    (behaviourScore &lt;&gt; "")
  * (behaviourScore &gt;= IF(cutoffTable[[#This Row],[index]] = 1, 0, INDEX(cutoffTable[cutoffLevel], cutoffTable[[#This Row],[index]]-1)))
  * IF(
      cutoffTable[[#This Row],[cutoffLevel]] = 1,
      behaviourScore &lt;= 1,
      behaviourScore &lt; cutoffTable[[#This Row],[cutoffLevel]]
    )
  )</f>
        <v>0</v>
      </c>
      <c r="CA12" s="177" cm="1">
        <f t="array" ref="CA12">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2" s="177" cm="1">
        <f t="array" ref="CB12">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2" s="1" cm="1">
        <f t="array" ref="CD12">ROW()-ROW(recommendedCutoffTable[#Headers])</f>
        <v>10</v>
      </c>
      <c r="CE12" s="183">
        <f>(recommendedCutoffTable[[#This Row],[index]] - 1) / 100</f>
        <v>0.09</v>
      </c>
      <c r="CF12" s="1" cm="1">
        <f t="array" ref="CF12">ABS(
    numScores
  - 2 * SUMPRODUCT((behaviourScore &lt;&gt; "") * (behaviourScore &lt; recommendedCutoffTable[[#This Row],[cutoffLevel]]))
  )</f>
        <v>0</v>
      </c>
      <c r="CM12" s="1" cm="1">
        <f t="array" ref="CM12">ROW()-ROW(factorsTable[#Headers])</f>
        <v>10</v>
      </c>
      <c r="CN12" s="1" t="str" cm="1">
        <f t="array" ref="CN12">KeepBlanksFunction(
    _xlfn.XLOOKUP(
      factorsTable[[#This Row],[index]],
      factorsConfigTable[index],
      factorsConfigTable[factorHeader],#REF!,
      0
    )
  )</f>
        <v/>
      </c>
      <c r="CO12" s="1" t="str">
        <f>IF(
    factorsTable[[#This Row],[factorHeader]] = "",
    "",
    _xlfn.IFNA(
      MATCH(factorsTable[[#This Row],[factorHeader]], dataHeaders, 0),
      _xlfn.IFNA(
        MATCH("*/" &amp; factorsTable[[#This Row],[factorHeader]], dataHeaders, 0),
        MATCH("*-" &amp; factorsTable[[#This Row],[factorHeader]], dataHeaders, 0)
      )
    )
  )</f>
        <v/>
      </c>
      <c r="CP12" s="1" t="str">
        <f>IF(
    factorsTable[[#This Row],[factorHeader]] = "",
    "",
    _xlfn.LET(
      _xlpm.tableValue,
      _xlfn.XLOOKUP(
        factorsTable[[#This Row],[index]],
        factorsConfigTable[index],
        factorsConfigTable[minScore],#REF!,
        0
      ),
      _xlpm.storedValue,
      IF(
        _xlpm.tableValue = "",
        NA(),
        _xlpm.tableValue
      ),
      _xlpm.storedValue
    )
  )</f>
        <v/>
      </c>
      <c r="CQ12" s="1" t="str">
        <f>IF(
    factorsTable[[#This Row],[factorHeader]] = "",
    "",
    _xlfn.LET(
      _xlpm.tableValue,
      _xlfn.XLOOKUP(
        factorsTable[[#This Row],[index]],
        factorsConfigTable[index],
        factorsConfigTable[maxScore],#REF!,
        0
      ),
      _xlpm.storedValue,
      IF(
        _xlpm.tableValue = "",
        NA(),
        _xlpm.tableValue
      ),
      _xlpm.storedValue
    )
  )</f>
        <v/>
      </c>
      <c r="CR12" s="1" t="str">
        <f>IF(
    factorsTable[[#This Row],[factorHeader]] = "",
    "",
    IF(
      ISERROR(factorsTable[[#This Row],[factorColNum]]),
      NA(),
      IF(
        ISNA(INDEX(dataRange,1,1)),
        NA(),
        MIN(INDEX(dataRange, , factorsTable[[#This Row],[factorColNum]]))
      )
    )
  )</f>
        <v/>
      </c>
      <c r="CS12" s="1" t="str">
        <f>IF(
    factorsTable[[#This Row],[factorHeader]] = "",
    "",
    IF(
      ISERROR(factorsTable[[#This Row],[factorColNum]]),
      NA(),
      IF(
        ISNA(INDEX(dataRange,1,1)),
        NA(),
        MAX(INDEX(dataRange, , factorsTable[[#This Row],[factorColNum]]))
      )
    )
  )</f>
        <v/>
      </c>
      <c r="CT12" s="1" t="b" cm="1">
        <f t="array" aca="1" ref="CT12" ca="1">AND(
    NOT(errorNoDataSheet),
    factorsTable[[#This Row],[factorHeader]] &lt;&gt; "",
    NOT(ISERROR(factorsTable[[#This Row],[factorColNum]])),
    IFERROR(factorsTable[[#This Row],[display]], FALSE),
    IFERROR(factorsTable[[#This Row],[minValue]] &lt; factorsTable[[#This Row],[minScore]], FALSE)
  )</f>
        <v>0</v>
      </c>
      <c r="CU12" s="1" t="b" cm="1">
        <f t="array" aca="1" ref="CU12" ca="1">AND(
    NOT(errorNoDataSheet),
    factorsTable[[#This Row],[factorHeader]] &lt;&gt; "",
    NOT(ISERROR(factorsTable[[#This Row],[factorColNum]])),
    IFERROR(factorsTable[[#This Row],[display]], FALSE),
    IFERROR(factorsTable[[#This Row],[maxValue]] &gt; factorsTable[[#This Row],[maxScore]], FALSE)
  )</f>
        <v>0</v>
      </c>
      <c r="CV12" s="1" t="str" cm="1">
        <f t="array" ref="CV12">IF(
    factorsTable[[#This Row],[factorHeader]] = "",
    "",
    IF(
      ISNA(INDEX(dataRange,1,1)),
      NA(),
      SUMPRODUCT(
          IF(isDoer = "", 0, NOT(isDoer))
        * (INDEX(dataRange, , factorsTable[[#This Row],[factorColNum]]) &lt;&gt; "")
      )
    )
  )</f>
        <v/>
      </c>
      <c r="CW12" s="1" t="str" cm="1">
        <f t="array" ref="CW12">IF(
    factorsTable[[#This Row],[factorHeader]] = "",
    "",
    IF(
      ISNA(INDEX(dataRange,1,1)),
      NA(),
      SUMPRODUCT(
          IF(isDoer = "", 0, isDoer)
        * (INDEX(dataRange, , factorsTable[[#This Row],[factorColNum]]) &lt;&gt; "")
      )
    )
  )</f>
        <v/>
      </c>
      <c r="CX12" s="1" t="str" cm="1">
        <f t="array" ref="CX12">IF(
    factorsTable[[#This Row],[factorHeader]] = "",
    "",
    IF(
      ISERROR(factorsTable[[#This Row],[factorColNum]]),
      UITranslateForValueTable("dataNotFound", UITranslationTable[tag], UITranslationTable[], UITranslationTable[#Headers]),
      factorsTable[[#This Row],[numDoers]] + factorsTable[[#This Row],[numNondoers]]
    )
  )</f>
        <v/>
      </c>
      <c r="CY12" s="1" t="str" cm="1">
        <f t="array" ref="CY1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2" s="1" t="str" cm="1">
        <f t="array" ref="CZ1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2" s="1" t="str">
        <f>IF(
    factorsTable[[#This Row],[factorHeader]] = "",
    "",
    factorsTable[[#This Row],[doers]] - factorsTable[[#This Row],[nondoers]]
  )</f>
        <v/>
      </c>
      <c r="DB12" s="1" t="str">
        <f>IF(
    factorsTable[[#This Row],[factorHeader]] = "",
    "",
    _xlfn.XLOOKUP(
      _xlfn.XLOOKUP(
        factorsTable[[#This Row],[index]],
        factorsConfigTable[index],
        factorsConfigTable[displayConfig],#REF!,
        0
      ),
      yesNoTable[label],
      yesNoTable[tag],
      "",
      0
    )
  )</f>
        <v/>
      </c>
      <c r="DC12" s="177" t="b">
        <f>IF(
    factorsTable[[#This Row],[factorHeader]] = "",
    FALSE,
    IF(
      factorsTable[[#This Row],[displayConfig]] = "yes",
      TRUE,
      IF(
        factorsTable[[#This Row],[displayConfig]] = "no",
        FALSE,
        NA()
      )
    )
  )</f>
        <v>0</v>
      </c>
      <c r="DD12" s="177" t="str" cm="1">
        <f t="array" ref="DD12">FilterTrueColumn(factorsTable[[#This Row],[index]], factorsTable[index], factorsTable[filteredIndex], factorsTable[display])</f>
        <v/>
      </c>
      <c r="DE12" s="177" t="str">
        <f>IF(
    factorsTable[[#This Row],[filteredIndex]] = "",
    "",
    _xlfn.IFNA(
      _xlfn.XLOOKUP(factorsTable[[#This Row],[filteredIndex]], factorsTable[index], factorsTable[difference]),
      -99
    )
  )</f>
        <v/>
      </c>
      <c r="DF12" s="177" t="str">
        <f>IF(
    factorsTable[[#This Row],[filteredIndex]] = "",
    "",
    IF(
      factorsTable[[#This Row],[relDiff]] = -99,
      -99,
      ABS(factorsTable[[#This Row],[relDiff]])
    )
  )</f>
        <v/>
      </c>
      <c r="DG12" s="177" t="str">
        <f>IF(
    factorsTable[[#This Row],[filteredIndex]] = "",
    "",
    _xlfn.XLOOKUP(
      _xlfn.XLOOKUP(
        factorsTable[[#This Row],[filteredIndex]],
        factorsConfigTable[index],
        factorsConfigTable[RANASBlock],#REF!,
        0
      ),
      RANASBlocksTable[label],
      RANASBlocksTable[index],
      6,
      0
    )
  )</f>
        <v/>
      </c>
      <c r="DH12" s="177" t="str">
        <f>IF(
    factorsTable[[#This Row],[filteredIndex]] = "",
    "",
    _xlfn.RANK.EQ(factorsTable[[#This Row],[relDiff]], factorsTable[relDiff], 0)
  )</f>
        <v/>
      </c>
      <c r="DI12" s="177" t="str">
        <f>IF(
    factorsTable[[#This Row],[filteredIndex]] = "",
    "",
    _xlfn.RANK.EQ(factorsTable[[#This Row],[absDiff]], factorsTable[absDiff], 0)
  )</f>
        <v/>
      </c>
      <c r="DJ12" s="177" t="str">
        <f>IF(
    factorsTable[[#This Row],[filteredIndex]] = "",
    "",
    _xlfn.RANK.EQ(factorsTable[[#This Row],[RANASIndex]], factorsTable[RANASIndex], 1)
  )</f>
        <v/>
      </c>
      <c r="DK12" s="177" t="str" cm="1">
        <f t="array" ref="DK12">_xlfn.SWITCH(
    sortingMethodTag,
    "none", factorsTable[[#This Row],[filteredIndex]],
    "relDiff", factorsTable[[#This Row],[relDiffRank]],
    "absDiff", factorsTable[[#This Row],[absDiffRank]],
    "RANAS", factorsTable[[#This Row],[RANASRank]],
    factorsTable[[#This Row],[filteredIndex]]
  )</f>
        <v/>
      </c>
      <c r="DL12" s="177" t="str">
        <f>IF(
    factorsTable[[#This Row],[filteredIndex]] = "",
    "",
    factorsTable[[#This Row],[selectedRank]]
      + COUNTIF(INDEX(factorsTable[selectedRank], 1):INDEX(factorsTable[selectedRank], factorsTable[[#This Row],[index]]), factorsTable[[#This Row],[selectedRank]])
      - 1
  )</f>
        <v/>
      </c>
      <c r="DM12" s="177" t="str">
        <f>IF(
    factorsTable[[#This Row],[filteredIndex]] = "",
    "",
    _xlfn.XLOOKUP(
      factorsTable[[#This Row],[index]],
      factorsTable[uniqueRank],
      factorsTable[filteredIndex],#REF!,
      0
    )
  )</f>
        <v/>
      </c>
      <c r="DN12" s="177" t="str" cm="1">
        <f t="array" ref="DN12">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2" s="177" t="str" cm="1">
        <f t="array" ref="DO12">IF(
    factorsTable[[#This Row],[sortedIndex]] = "",
    "",
    IF(
      factorsTable[[#This Row],[langSpecFactor]] = "",
      UITranslateForValueTable("noTranslation", UITranslationTable[tag], UITranslationTable[], UITranslationTable[#Headers]),
      factorsTable[[#This Row],[langSpecFactor]]
    )
  )</f>
        <v/>
      </c>
      <c r="DP12" s="177" t="str">
        <f>IF(
    factorsTable[[#This Row],[sortedIndex]] = "",
    "",
    _xlfn.XLOOKUP(
      _xlfn.XLOOKUP(
        factorsTable[[#This Row],[sortedIndex]],
        factorsConfigTable[index],
        factorsConfigTable[RANASBlock],#REF!,
        0
      ),
      RANASBlocksTable[label],
      RANASBlocksTable[tag],
      NA(),
      0
    )
  )</f>
        <v/>
      </c>
      <c r="DQ12" s="177" t="str" cm="1">
        <f t="array" ref="DQ12">IF(
    factorsTable[[#This Row],[sortedIndex]] = "",
    "",
    _xlfn.IFNA(
      _xlfn.XLOOKUP(factorsTable[[#This Row],[RANASTag]], RANASBlocksTable[tag], RANASBlocksTable[langSpecLabel]),
      UITranslateForValueTable("noRANASBlock", UITranslationTable[tag], UITranslationTable[], UITranslationTable[#Headers])
    )
  )</f>
        <v/>
      </c>
      <c r="DR12"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2" s="177" t="str">
        <f>IF(
    factorsTable[[#This Row],[sortedIndex]] = "",
    "",
    _xlfn.XLOOKUP(factorsTable[[#This Row],[sortedIndex]], factorsTable[index], factorsTable[numTotal])
  )</f>
        <v/>
      </c>
      <c r="DT12" s="177" t="str">
        <f>IF(
    factorsTable[[#This Row],[sortedIndex]] = "",
    "",
    _xlfn.XLOOKUP(factorsTable[[#This Row],[sortedIndex]], factorsTable[index], factorsTable[nondoers])
  )</f>
        <v/>
      </c>
      <c r="DU12" s="177" t="str">
        <f>IF(
    factorsTable[[#This Row],[sortedIndex]] = "",
    "",
    _xlfn.XLOOKUP(factorsTable[[#This Row],[sortedIndex]], factorsTable[index], factorsTable[doers])
  )</f>
        <v/>
      </c>
      <c r="DV12" s="177" t="str">
        <f>IF(
    factorsTable[[#This Row],[sortedIndex]] = "",
    "",
    _xlfn.XLOOKUP(factorsTable[[#This Row],[sortedIndex]], factorsTable[index], factorsTable[difference])
  )</f>
        <v/>
      </c>
    </row>
    <row r="13" spans="5:126" ht="14.4" customHeight="1" x14ac:dyDescent="0.3">
      <c r="E13" s="187" cm="1">
        <f t="array" ref="E13">ROW()-ROW(UITranslationTable[#Headers])</f>
        <v>11</v>
      </c>
      <c r="F13" s="9" t="s">
        <v>314</v>
      </c>
      <c r="G13" s="190"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176"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s="1" cm="1">
        <f t="array" ref="J13">ROW()-ROW(errorMessagesTable[#Headers])</f>
        <v>11</v>
      </c>
      <c r="K13" s="1" t="s">
        <v>437</v>
      </c>
      <c r="L13" s="1" t="b" cm="1">
        <f t="array" aca="1" ref="L13" ca="1">errorFactorDisplay</f>
        <v>0</v>
      </c>
      <c r="M13" s="176" t="s">
        <v>348</v>
      </c>
      <c r="N13" s="176" t="s">
        <v>345</v>
      </c>
      <c r="O13" s="1" t="str" cm="1">
        <f t="array" aca="1" ref="O13" ca="1">FilterTrueColumn(errorMessagesTable[[#This Row],[index]], errorMessagesTable[index], errorMessagesTable[filteredIndex], errorMessagesTable[condition])</f>
        <v/>
      </c>
      <c r="P13" s="9" t="str" cm="1">
        <f t="array" aca="1" ref="P13"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3" s="9" t="str" cm="1">
        <f t="array" aca="1" ref="Q13" ca="1">IF(
    errorMessagesTable[[#This Row],[filteredIndex]] = "",
    "",
    IF(
      errorMessagesTable[[#This Row],[index]] = 1,
      "",
      INDEX(errorMessagesTable[concatErrors], errorMessagesTable[[#This Row],[index]]-1)
      &amp; CHAR(10) &amp; CHAR(10)
    )
    &amp; INDEX(errorMessagesTable[langSpecError], errorMessagesTable[[#This Row],[index]])
  )</f>
        <v/>
      </c>
      <c r="W13" s="177" cm="1">
        <f t="array" ref="W13">ROW()-ROW(structuredFormulaeTable[#Headers])</f>
        <v>11</v>
      </c>
      <c r="X13" s="1" t="s">
        <v>425</v>
      </c>
      <c r="Y13" s="1" t="s">
        <v>518</v>
      </c>
      <c r="Z13" s="1" t="b" cm="1">
        <f t="array" ref="Z13">behaviourInclude3</f>
        <v>0</v>
      </c>
      <c r="AA13" s="178" t="s">
        <v>519</v>
      </c>
      <c r="AB13" s="164" t="s">
        <v>652</v>
      </c>
      <c r="AY13" s="189"/>
      <c r="CD13" s="1" cm="1">
        <f t="array" ref="CD13">ROW()-ROW(recommendedCutoffTable[#Headers])</f>
        <v>11</v>
      </c>
      <c r="CE13" s="183">
        <f>(recommendedCutoffTable[[#This Row],[index]] - 1) / 100</f>
        <v>0.1</v>
      </c>
      <c r="CF13" s="1" cm="1">
        <f t="array" ref="CF13">ABS(
    numScores
  - 2 * SUMPRODUCT((behaviourScore &lt;&gt; "") * (behaviourScore &lt; recommendedCutoffTable[[#This Row],[cutoffLevel]]))
  )</f>
        <v>0</v>
      </c>
      <c r="CM13" s="177" cm="1">
        <f t="array" ref="CM13">ROW()-ROW(factorsTable[#Headers])</f>
        <v>11</v>
      </c>
      <c r="CN13" s="177" t="str" cm="1">
        <f t="array" ref="CN13">KeepBlanksFunction(
    _xlfn.XLOOKUP(
      factorsTable[[#This Row],[index]],
      factorsConfigTable[index],
      factorsConfigTable[factorHeader],#REF!,
      0
    )
  )</f>
        <v/>
      </c>
      <c r="CO13" s="177" t="str">
        <f>IF(
    factorsTable[[#This Row],[factorHeader]] = "",
    "",
    _xlfn.IFNA(
      MATCH(factorsTable[[#This Row],[factorHeader]], dataHeaders, 0),
      _xlfn.IFNA(
        MATCH("*/" &amp; factorsTable[[#This Row],[factorHeader]], dataHeaders, 0),
        MATCH("*-" &amp; factorsTable[[#This Row],[factorHeader]], dataHeaders, 0)
      )
    )
  )</f>
        <v/>
      </c>
      <c r="CP13" s="177" t="str">
        <f>IF(
    factorsTable[[#This Row],[factorHeader]] = "",
    "",
    _xlfn.LET(
      _xlpm.tableValue,
      _xlfn.XLOOKUP(
        factorsTable[[#This Row],[index]],
        factorsConfigTable[index],
        factorsConfigTable[minScore],#REF!,
        0
      ),
      _xlpm.storedValue,
      IF(
        _xlpm.tableValue = "",
        NA(),
        _xlpm.tableValue
      ),
      _xlpm.storedValue
    )
  )</f>
        <v/>
      </c>
      <c r="CQ13" s="177" t="str">
        <f>IF(
    factorsTable[[#This Row],[factorHeader]] = "",
    "",
    _xlfn.LET(
      _xlpm.tableValue,
      _xlfn.XLOOKUP(
        factorsTable[[#This Row],[index]],
        factorsConfigTable[index],
        factorsConfigTable[maxScore],#REF!,
        0
      ),
      _xlpm.storedValue,
      IF(
        _xlpm.tableValue = "",
        NA(),
        _xlpm.tableValue
      ),
      _xlpm.storedValue
    )
  )</f>
        <v/>
      </c>
      <c r="CR13" s="177" t="str">
        <f>IF(
    factorsTable[[#This Row],[factorHeader]] = "",
    "",
    IF(
      ISERROR(factorsTable[[#This Row],[factorColNum]]),
      NA(),
      IF(
        ISNA(INDEX(dataRange,1,1)),
        NA(),
        MIN(INDEX(dataRange, , factorsTable[[#This Row],[factorColNum]]))
      )
    )
  )</f>
        <v/>
      </c>
      <c r="CS13" s="177" t="str">
        <f>IF(
    factorsTable[[#This Row],[factorHeader]] = "",
    "",
    IF(
      ISERROR(factorsTable[[#This Row],[factorColNum]]),
      NA(),
      IF(
        ISNA(INDEX(dataRange,1,1)),
        NA(),
        MAX(INDEX(dataRange, , factorsTable[[#This Row],[factorColNum]]))
      )
    )
  )</f>
        <v/>
      </c>
      <c r="CT13" s="177" t="b" cm="1">
        <f t="array" aca="1" ref="CT13" ca="1">AND(
    NOT(errorNoDataSheet),
    factorsTable[[#This Row],[factorHeader]] &lt;&gt; "",
    NOT(ISERROR(factorsTable[[#This Row],[factorColNum]])),
    IFERROR(factorsTable[[#This Row],[display]], FALSE),
    IFERROR(factorsTable[[#This Row],[minValue]] &lt; factorsTable[[#This Row],[minScore]], FALSE)
  )</f>
        <v>0</v>
      </c>
      <c r="CU13" s="177" t="b" cm="1">
        <f t="array" aca="1" ref="CU13" ca="1">AND(
    NOT(errorNoDataSheet),
    factorsTable[[#This Row],[factorHeader]] &lt;&gt; "",
    NOT(ISERROR(factorsTable[[#This Row],[factorColNum]])),
    IFERROR(factorsTable[[#This Row],[display]], FALSE),
    IFERROR(factorsTable[[#This Row],[maxValue]] &gt; factorsTable[[#This Row],[maxScore]], FALSE)
  )</f>
        <v>0</v>
      </c>
      <c r="CV13" s="177" t="str" cm="1">
        <f t="array" ref="CV13">IF(
    factorsTable[[#This Row],[factorHeader]] = "",
    "",
    IF(
      ISNA(INDEX(dataRange,1,1)),
      NA(),
      SUMPRODUCT(
          IF(isDoer = "", 0, NOT(isDoer))
        * (INDEX(dataRange, , factorsTable[[#This Row],[factorColNum]]) &lt;&gt; "")
      )
    )
  )</f>
        <v/>
      </c>
      <c r="CW13" s="177" t="str" cm="1">
        <f t="array" ref="CW13">IF(
    factorsTable[[#This Row],[factorHeader]] = "",
    "",
    IF(
      ISNA(INDEX(dataRange,1,1)),
      NA(),
      SUMPRODUCT(
          IF(isDoer = "", 0, isDoer)
        * (INDEX(dataRange, , factorsTable[[#This Row],[factorColNum]]) &lt;&gt; "")
      )
    )
  )</f>
        <v/>
      </c>
      <c r="CX13" s="177" t="str" cm="1">
        <f t="array" ref="CX13">IF(
    factorsTable[[#This Row],[factorHeader]] = "",
    "",
    IF(
      ISERROR(factorsTable[[#This Row],[factorColNum]]),
      UITranslateForValueTable("dataNotFound", UITranslationTable[tag], UITranslationTable[], UITranslationTable[#Headers]),
      factorsTable[[#This Row],[numDoers]] + factorsTable[[#This Row],[numNondoers]]
    )
  )</f>
        <v/>
      </c>
      <c r="CY13" s="177" t="str" cm="1">
        <f t="array" ref="CY1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3" s="177" t="str" cm="1">
        <f t="array" ref="CZ1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3" s="177" t="str">
        <f>IF(
    factorsTable[[#This Row],[factorHeader]] = "",
    "",
    factorsTable[[#This Row],[doers]] - factorsTable[[#This Row],[nondoers]]
  )</f>
        <v/>
      </c>
      <c r="DB13" s="177" t="str">
        <f>IF(
    factorsTable[[#This Row],[factorHeader]] = "",
    "",
    _xlfn.XLOOKUP(
      _xlfn.XLOOKUP(
        factorsTable[[#This Row],[index]],
        factorsConfigTable[index],
        factorsConfigTable[displayConfig],#REF!,
        0
      ),
      yesNoTable[label],
      yesNoTable[tag],
      "",
      0
    )
  )</f>
        <v/>
      </c>
      <c r="DC13" s="177" t="b">
        <f>IF(
    factorsTable[[#This Row],[factorHeader]] = "",
    FALSE,
    IF(
      factorsTable[[#This Row],[displayConfig]] = "yes",
      TRUE,
      IF(
        factorsTable[[#This Row],[displayConfig]] = "no",
        FALSE,
        NA()
      )
    )
  )</f>
        <v>0</v>
      </c>
      <c r="DD13" s="177" t="str" cm="1">
        <f t="array" ref="DD13">FilterTrueColumn(factorsTable[[#This Row],[index]], factorsTable[index], factorsTable[filteredIndex], factorsTable[display])</f>
        <v/>
      </c>
      <c r="DE13" s="177" t="str">
        <f>IF(
    factorsTable[[#This Row],[filteredIndex]] = "",
    "",
    _xlfn.IFNA(
      _xlfn.XLOOKUP(factorsTable[[#This Row],[filteredIndex]], factorsTable[index], factorsTable[difference]),
      -99
    )
  )</f>
        <v/>
      </c>
      <c r="DF13" s="177" t="str">
        <f>IF(
    factorsTable[[#This Row],[filteredIndex]] = "",
    "",
    IF(
      factorsTable[[#This Row],[relDiff]] = -99,
      -99,
      ABS(factorsTable[[#This Row],[relDiff]])
    )
  )</f>
        <v/>
      </c>
      <c r="DG13" s="177" t="str">
        <f>IF(
    factorsTable[[#This Row],[filteredIndex]] = "",
    "",
    _xlfn.XLOOKUP(
      _xlfn.XLOOKUP(
        factorsTable[[#This Row],[filteredIndex]],
        factorsConfigTable[index],
        factorsConfigTable[RANASBlock],#REF!,
        0
      ),
      RANASBlocksTable[label],
      RANASBlocksTable[index],
      6,
      0
    )
  )</f>
        <v/>
      </c>
      <c r="DH13" s="177" t="str">
        <f>IF(
    factorsTable[[#This Row],[filteredIndex]] = "",
    "",
    _xlfn.RANK.EQ(factorsTable[[#This Row],[relDiff]], factorsTable[relDiff], 0)
  )</f>
        <v/>
      </c>
      <c r="DI13" s="177" t="str">
        <f>IF(
    factorsTable[[#This Row],[filteredIndex]] = "",
    "",
    _xlfn.RANK.EQ(factorsTable[[#This Row],[absDiff]], factorsTable[absDiff], 0)
  )</f>
        <v/>
      </c>
      <c r="DJ13" s="177" t="str">
        <f>IF(
    factorsTable[[#This Row],[filteredIndex]] = "",
    "",
    _xlfn.RANK.EQ(factorsTable[[#This Row],[RANASIndex]], factorsTable[RANASIndex], 1)
  )</f>
        <v/>
      </c>
      <c r="DK13" s="177" t="str" cm="1">
        <f t="array" ref="DK13">_xlfn.SWITCH(
    sortingMethodTag,
    "none", factorsTable[[#This Row],[filteredIndex]],
    "relDiff", factorsTable[[#This Row],[relDiffRank]],
    "absDiff", factorsTable[[#This Row],[absDiffRank]],
    "RANAS", factorsTable[[#This Row],[RANASRank]],
    factorsTable[[#This Row],[filteredIndex]]
  )</f>
        <v/>
      </c>
      <c r="DL13" s="177" t="str">
        <f>IF(
    factorsTable[[#This Row],[filteredIndex]] = "",
    "",
    factorsTable[[#This Row],[selectedRank]]
      + COUNTIF(INDEX(factorsTable[selectedRank], 1):INDEX(factorsTable[selectedRank], factorsTable[[#This Row],[index]]), factorsTable[[#This Row],[selectedRank]])
      - 1
  )</f>
        <v/>
      </c>
      <c r="DM13" s="177" t="str">
        <f>IF(
    factorsTable[[#This Row],[filteredIndex]] = "",
    "",
    _xlfn.XLOOKUP(
      factorsTable[[#This Row],[index]],
      factorsTable[uniqueRank],
      factorsTable[filteredIndex],#REF!,
      0
    )
  )</f>
        <v/>
      </c>
      <c r="DN13" s="177" t="str" cm="1">
        <f t="array" ref="DN13">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3" s="177" t="str" cm="1">
        <f t="array" ref="DO13">IF(
    factorsTable[[#This Row],[sortedIndex]] = "",
    "",
    IF(
      factorsTable[[#This Row],[langSpecFactor]] = "",
      UITranslateForValueTable("noTranslation", UITranslationTable[tag], UITranslationTable[], UITranslationTable[#Headers]),
      factorsTable[[#This Row],[langSpecFactor]]
    )
  )</f>
        <v/>
      </c>
      <c r="DP13" s="177" t="str">
        <f>IF(
    factorsTable[[#This Row],[sortedIndex]] = "",
    "",
    _xlfn.XLOOKUP(
      _xlfn.XLOOKUP(
        factorsTable[[#This Row],[sortedIndex]],
        factorsConfigTable[index],
        factorsConfigTable[RANASBlock],#REF!,
        0
      ),
      RANASBlocksTable[label],
      RANASBlocksTable[tag],
      NA(),
      0
    )
  )</f>
        <v/>
      </c>
      <c r="DQ13" s="177" t="str" cm="1">
        <f t="array" ref="DQ13">IF(
    factorsTable[[#This Row],[sortedIndex]] = "",
    "",
    _xlfn.IFNA(
      _xlfn.XLOOKUP(factorsTable[[#This Row],[RANASTag]], RANASBlocksTable[tag], RANASBlocksTable[langSpecLabel]),
      UITranslateForValueTable("noRANASBlock", UITranslationTable[tag], UITranslationTable[], UITranslationTable[#Headers])
    )
  )</f>
        <v/>
      </c>
      <c r="DR13"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3" s="177" t="str">
        <f>IF(
    factorsTable[[#This Row],[sortedIndex]] = "",
    "",
    _xlfn.XLOOKUP(factorsTable[[#This Row],[sortedIndex]], factorsTable[index], factorsTable[numTotal])
  )</f>
        <v/>
      </c>
      <c r="DT13" s="177" t="str">
        <f>IF(
    factorsTable[[#This Row],[sortedIndex]] = "",
    "",
    _xlfn.XLOOKUP(factorsTable[[#This Row],[sortedIndex]], factorsTable[index], factorsTable[nondoers])
  )</f>
        <v/>
      </c>
      <c r="DU13" s="177" t="str">
        <f>IF(
    factorsTable[[#This Row],[sortedIndex]] = "",
    "",
    _xlfn.XLOOKUP(factorsTable[[#This Row],[sortedIndex]], factorsTable[index], factorsTable[doers])
  )</f>
        <v/>
      </c>
      <c r="DV13" s="177" t="str">
        <f>IF(
    factorsTable[[#This Row],[sortedIndex]] = "",
    "",
    _xlfn.XLOOKUP(factorsTable[[#This Row],[sortedIndex]], factorsTable[index], factorsTable[difference])
  )</f>
        <v/>
      </c>
    </row>
    <row r="14" spans="5:126" ht="14.4" customHeight="1" x14ac:dyDescent="0.3">
      <c r="E14" s="187" cm="1">
        <f t="array" ref="E14">ROW()-ROW(UITranslationTable[#Headers])</f>
        <v>12</v>
      </c>
      <c r="F14" s="9" t="s">
        <v>331</v>
      </c>
      <c r="G14" s="190" t="s">
        <v>332</v>
      </c>
      <c r="H14" s="176" t="s">
        <v>334</v>
      </c>
      <c r="J14" s="1" cm="1">
        <f t="array" ref="J14">ROW()-ROW(errorMessagesTable[#Headers])</f>
        <v>12</v>
      </c>
      <c r="K14" s="1" t="s">
        <v>438</v>
      </c>
      <c r="L14" s="1" t="b" cm="1">
        <f t="array" aca="1" ref="L14" ca="1">errorFactorNoneSelected</f>
        <v>0</v>
      </c>
      <c r="M14" s="176" t="str" cm="1">
        <f t="array" ref="M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N14" s="176" t="str" cm="1">
        <f t="array" ref="N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O14" s="1" t="str" cm="1">
        <f t="array" aca="1" ref="O14" ca="1">FilterTrueColumn(errorMessagesTable[[#This Row],[index]], errorMessagesTable[index], errorMessagesTable[filteredIndex], errorMessagesTable[condition])</f>
        <v/>
      </c>
      <c r="P14" s="9" t="str" cm="1">
        <f t="array" aca="1" ref="P14"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4" s="9" t="str" cm="1">
        <f t="array" aca="1" ref="Q14" ca="1">IF(
    errorMessagesTable[[#This Row],[filteredIndex]] = "",
    "",
    IF(
      errorMessagesTable[[#This Row],[index]] = 1,
      "",
      INDEX(errorMessagesTable[concatErrors], errorMessagesTable[[#This Row],[index]]-1)
      &amp; CHAR(10) &amp; CHAR(10)
    )
    &amp; INDEX(errorMessagesTable[langSpecError], errorMessagesTable[[#This Row],[index]])
  )</f>
        <v/>
      </c>
      <c r="W14" s="177" cm="1">
        <f t="array" ref="W14">ROW()-ROW(structuredFormulaeTable[#Headers])</f>
        <v>12</v>
      </c>
      <c r="X14" s="1" t="s">
        <v>425</v>
      </c>
      <c r="Y14" s="1" t="s">
        <v>520</v>
      </c>
      <c r="Z14" s="1" t="b" cm="1">
        <f t="array" ref="Z14">behaviourInclude4</f>
        <v>0</v>
      </c>
      <c r="AA14" s="178" t="s">
        <v>521</v>
      </c>
      <c r="AB14" s="164" t="s">
        <v>653</v>
      </c>
      <c r="CD14" s="1" cm="1">
        <f t="array" ref="CD14">ROW()-ROW(recommendedCutoffTable[#Headers])</f>
        <v>12</v>
      </c>
      <c r="CE14" s="183">
        <f>(recommendedCutoffTable[[#This Row],[index]] - 1) / 100</f>
        <v>0.11</v>
      </c>
      <c r="CF14" s="1" cm="1">
        <f t="array" ref="CF14">ABS(
    numScores
  - 2 * SUMPRODUCT((behaviourScore &lt;&gt; "") * (behaviourScore &lt; recommendedCutoffTable[[#This Row],[cutoffLevel]]))
  )</f>
        <v>0</v>
      </c>
      <c r="CM14" s="177" cm="1">
        <f t="array" ref="CM14">ROW()-ROW(factorsTable[#Headers])</f>
        <v>12</v>
      </c>
      <c r="CN14" s="177" t="str" cm="1">
        <f t="array" ref="CN14">KeepBlanksFunction(
    _xlfn.XLOOKUP(
      factorsTable[[#This Row],[index]],
      factorsConfigTable[index],
      factorsConfigTable[factorHeader],#REF!,
      0
    )
  )</f>
        <v/>
      </c>
      <c r="CO14" s="177" t="str">
        <f>IF(
    factorsTable[[#This Row],[factorHeader]] = "",
    "",
    _xlfn.IFNA(
      MATCH(factorsTable[[#This Row],[factorHeader]], dataHeaders, 0),
      _xlfn.IFNA(
        MATCH("*/" &amp; factorsTable[[#This Row],[factorHeader]], dataHeaders, 0),
        MATCH("*-" &amp; factorsTable[[#This Row],[factorHeader]], dataHeaders, 0)
      )
    )
  )</f>
        <v/>
      </c>
      <c r="CP14" s="177" t="str">
        <f>IF(
    factorsTable[[#This Row],[factorHeader]] = "",
    "",
    _xlfn.LET(
      _xlpm.tableValue,
      _xlfn.XLOOKUP(
        factorsTable[[#This Row],[index]],
        factorsConfigTable[index],
        factorsConfigTable[minScore],#REF!,
        0
      ),
      _xlpm.storedValue,
      IF(
        _xlpm.tableValue = "",
        NA(),
        _xlpm.tableValue
      ),
      _xlpm.storedValue
    )
  )</f>
        <v/>
      </c>
      <c r="CQ14" s="177" t="str">
        <f>IF(
    factorsTable[[#This Row],[factorHeader]] = "",
    "",
    _xlfn.LET(
      _xlpm.tableValue,
      _xlfn.XLOOKUP(
        factorsTable[[#This Row],[index]],
        factorsConfigTable[index],
        factorsConfigTable[maxScore],#REF!,
        0
      ),
      _xlpm.storedValue,
      IF(
        _xlpm.tableValue = "",
        NA(),
        _xlpm.tableValue
      ),
      _xlpm.storedValue
    )
  )</f>
        <v/>
      </c>
      <c r="CR14" s="177" t="str">
        <f>IF(
    factorsTable[[#This Row],[factorHeader]] = "",
    "",
    IF(
      ISERROR(factorsTable[[#This Row],[factorColNum]]),
      NA(),
      IF(
        ISNA(INDEX(dataRange,1,1)),
        NA(),
        MIN(INDEX(dataRange, , factorsTable[[#This Row],[factorColNum]]))
      )
    )
  )</f>
        <v/>
      </c>
      <c r="CS14" s="177" t="str">
        <f>IF(
    factorsTable[[#This Row],[factorHeader]] = "",
    "",
    IF(
      ISERROR(factorsTable[[#This Row],[factorColNum]]),
      NA(),
      IF(
        ISNA(INDEX(dataRange,1,1)),
        NA(),
        MAX(INDEX(dataRange, , factorsTable[[#This Row],[factorColNum]]))
      )
    )
  )</f>
        <v/>
      </c>
      <c r="CT14" s="177" t="b" cm="1">
        <f t="array" aca="1" ref="CT14" ca="1">AND(
    NOT(errorNoDataSheet),
    factorsTable[[#This Row],[factorHeader]] &lt;&gt; "",
    NOT(ISERROR(factorsTable[[#This Row],[factorColNum]])),
    IFERROR(factorsTable[[#This Row],[display]], FALSE),
    IFERROR(factorsTable[[#This Row],[minValue]] &lt; factorsTable[[#This Row],[minScore]], FALSE)
  )</f>
        <v>0</v>
      </c>
      <c r="CU14" s="177" t="b" cm="1">
        <f t="array" aca="1" ref="CU14" ca="1">AND(
    NOT(errorNoDataSheet),
    factorsTable[[#This Row],[factorHeader]] &lt;&gt; "",
    NOT(ISERROR(factorsTable[[#This Row],[factorColNum]])),
    IFERROR(factorsTable[[#This Row],[display]], FALSE),
    IFERROR(factorsTable[[#This Row],[maxValue]] &gt; factorsTable[[#This Row],[maxScore]], FALSE)
  )</f>
        <v>0</v>
      </c>
      <c r="CV14" s="177" t="str" cm="1">
        <f t="array" ref="CV14">IF(
    factorsTable[[#This Row],[factorHeader]] = "",
    "",
    IF(
      ISNA(INDEX(dataRange,1,1)),
      NA(),
      SUMPRODUCT(
          IF(isDoer = "", 0, NOT(isDoer))
        * (INDEX(dataRange, , factorsTable[[#This Row],[factorColNum]]) &lt;&gt; "")
      )
    )
  )</f>
        <v/>
      </c>
      <c r="CW14" s="177" t="str" cm="1">
        <f t="array" ref="CW14">IF(
    factorsTable[[#This Row],[factorHeader]] = "",
    "",
    IF(
      ISNA(INDEX(dataRange,1,1)),
      NA(),
      SUMPRODUCT(
          IF(isDoer = "", 0, isDoer)
        * (INDEX(dataRange, , factorsTable[[#This Row],[factorColNum]]) &lt;&gt; "")
      )
    )
  )</f>
        <v/>
      </c>
      <c r="CX14" s="177" t="str" cm="1">
        <f t="array" ref="CX14">IF(
    factorsTable[[#This Row],[factorHeader]] = "",
    "",
    IF(
      ISERROR(factorsTable[[#This Row],[factorColNum]]),
      UITranslateForValueTable("dataNotFound", UITranslationTable[tag], UITranslationTable[], UITranslationTable[#Headers]),
      factorsTable[[#This Row],[numDoers]] + factorsTable[[#This Row],[numNondoers]]
    )
  )</f>
        <v/>
      </c>
      <c r="CY14" s="177" t="str" cm="1">
        <f t="array" ref="CY1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4" s="177" t="str" cm="1">
        <f t="array" ref="CZ1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4" s="177" t="str">
        <f>IF(
    factorsTable[[#This Row],[factorHeader]] = "",
    "",
    factorsTable[[#This Row],[doers]] - factorsTable[[#This Row],[nondoers]]
  )</f>
        <v/>
      </c>
      <c r="DB14" s="177" t="str">
        <f>IF(
    factorsTable[[#This Row],[factorHeader]] = "",
    "",
    _xlfn.XLOOKUP(
      _xlfn.XLOOKUP(
        factorsTable[[#This Row],[index]],
        factorsConfigTable[index],
        factorsConfigTable[displayConfig],#REF!,
        0
      ),
      yesNoTable[label],
      yesNoTable[tag],
      "",
      0
    )
  )</f>
        <v/>
      </c>
      <c r="DC14" s="177" t="b">
        <f>IF(
    factorsTable[[#This Row],[factorHeader]] = "",
    FALSE,
    IF(
      factorsTable[[#This Row],[displayConfig]] = "yes",
      TRUE,
      IF(
        factorsTable[[#This Row],[displayConfig]] = "no",
        FALSE,
        NA()
      )
    )
  )</f>
        <v>0</v>
      </c>
      <c r="DD14" s="177" t="str" cm="1">
        <f t="array" ref="DD14">FilterTrueColumn(factorsTable[[#This Row],[index]], factorsTable[index], factorsTable[filteredIndex], factorsTable[display])</f>
        <v/>
      </c>
      <c r="DE14" s="177" t="str">
        <f>IF(
    factorsTable[[#This Row],[filteredIndex]] = "",
    "",
    _xlfn.IFNA(
      _xlfn.XLOOKUP(factorsTable[[#This Row],[filteredIndex]], factorsTable[index], factorsTable[difference]),
      -99
    )
  )</f>
        <v/>
      </c>
      <c r="DF14" s="177" t="str">
        <f>IF(
    factorsTable[[#This Row],[filteredIndex]] = "",
    "",
    IF(
      factorsTable[[#This Row],[relDiff]] = -99,
      -99,
      ABS(factorsTable[[#This Row],[relDiff]])
    )
  )</f>
        <v/>
      </c>
      <c r="DG14" s="177" t="str">
        <f>IF(
    factorsTable[[#This Row],[filteredIndex]] = "",
    "",
    _xlfn.XLOOKUP(
      _xlfn.XLOOKUP(
        factorsTable[[#This Row],[filteredIndex]],
        factorsConfigTable[index],
        factorsConfigTable[RANASBlock],#REF!,
        0
      ),
      RANASBlocksTable[label],
      RANASBlocksTable[index],
      6,
      0
    )
  )</f>
        <v/>
      </c>
      <c r="DH14" s="177" t="str">
        <f>IF(
    factorsTable[[#This Row],[filteredIndex]] = "",
    "",
    _xlfn.RANK.EQ(factorsTable[[#This Row],[relDiff]], factorsTable[relDiff], 0)
  )</f>
        <v/>
      </c>
      <c r="DI14" s="177" t="str">
        <f>IF(
    factorsTable[[#This Row],[filteredIndex]] = "",
    "",
    _xlfn.RANK.EQ(factorsTable[[#This Row],[absDiff]], factorsTable[absDiff], 0)
  )</f>
        <v/>
      </c>
      <c r="DJ14" s="177" t="str">
        <f>IF(
    factorsTable[[#This Row],[filteredIndex]] = "",
    "",
    _xlfn.RANK.EQ(factorsTable[[#This Row],[RANASIndex]], factorsTable[RANASIndex], 1)
  )</f>
        <v/>
      </c>
      <c r="DK14" s="177" t="str" cm="1">
        <f t="array" ref="DK14">_xlfn.SWITCH(
    sortingMethodTag,
    "none", factorsTable[[#This Row],[filteredIndex]],
    "relDiff", factorsTable[[#This Row],[relDiffRank]],
    "absDiff", factorsTable[[#This Row],[absDiffRank]],
    "RANAS", factorsTable[[#This Row],[RANASRank]],
    factorsTable[[#This Row],[filteredIndex]]
  )</f>
        <v/>
      </c>
      <c r="DL14" s="177" t="str">
        <f>IF(
    factorsTable[[#This Row],[filteredIndex]] = "",
    "",
    factorsTable[[#This Row],[selectedRank]]
      + COUNTIF(INDEX(factorsTable[selectedRank], 1):INDEX(factorsTable[selectedRank], factorsTable[[#This Row],[index]]), factorsTable[[#This Row],[selectedRank]])
      - 1
  )</f>
        <v/>
      </c>
      <c r="DM14" s="177" t="str">
        <f>IF(
    factorsTable[[#This Row],[filteredIndex]] = "",
    "",
    _xlfn.XLOOKUP(
      factorsTable[[#This Row],[index]],
      factorsTable[uniqueRank],
      factorsTable[filteredIndex],#REF!,
      0
    )
  )</f>
        <v/>
      </c>
      <c r="DN14" s="177" t="str" cm="1">
        <f t="array" ref="DN14">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4" s="177" t="str" cm="1">
        <f t="array" ref="DO14">IF(
    factorsTable[[#This Row],[sortedIndex]] = "",
    "",
    IF(
      factorsTable[[#This Row],[langSpecFactor]] = "",
      UITranslateForValueTable("noTranslation", UITranslationTable[tag], UITranslationTable[], UITranslationTable[#Headers]),
      factorsTable[[#This Row],[langSpecFactor]]
    )
  )</f>
        <v/>
      </c>
      <c r="DP14" s="177" t="str">
        <f>IF(
    factorsTable[[#This Row],[sortedIndex]] = "",
    "",
    _xlfn.XLOOKUP(
      _xlfn.XLOOKUP(
        factorsTable[[#This Row],[sortedIndex]],
        factorsConfigTable[index],
        factorsConfigTable[RANASBlock],#REF!,
        0
      ),
      RANASBlocksTable[label],
      RANASBlocksTable[tag],
      NA(),
      0
    )
  )</f>
        <v/>
      </c>
      <c r="DQ14" s="177" t="str" cm="1">
        <f t="array" ref="DQ14">IF(
    factorsTable[[#This Row],[sortedIndex]] = "",
    "",
    _xlfn.IFNA(
      _xlfn.XLOOKUP(factorsTable[[#This Row],[RANASTag]], RANASBlocksTable[tag], RANASBlocksTable[langSpecLabel]),
      UITranslateForValueTable("noRANASBlock", UITranslationTable[tag], UITranslationTable[], UITranslationTable[#Headers])
    )
  )</f>
        <v/>
      </c>
      <c r="DR14"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4" s="177" t="str">
        <f>IF(
    factorsTable[[#This Row],[sortedIndex]] = "",
    "",
    _xlfn.XLOOKUP(factorsTable[[#This Row],[sortedIndex]], factorsTable[index], factorsTable[numTotal])
  )</f>
        <v/>
      </c>
      <c r="DT14" s="177" t="str">
        <f>IF(
    factorsTable[[#This Row],[sortedIndex]] = "",
    "",
    _xlfn.XLOOKUP(factorsTable[[#This Row],[sortedIndex]], factorsTable[index], factorsTable[nondoers])
  )</f>
        <v/>
      </c>
      <c r="DU14" s="177" t="str">
        <f>IF(
    factorsTable[[#This Row],[sortedIndex]] = "",
    "",
    _xlfn.XLOOKUP(factorsTable[[#This Row],[sortedIndex]], factorsTable[index], factorsTable[doers])
  )</f>
        <v/>
      </c>
      <c r="DV14" s="177" t="str">
        <f>IF(
    factorsTable[[#This Row],[sortedIndex]] = "",
    "",
    _xlfn.XLOOKUP(factorsTable[[#This Row],[sortedIndex]], factorsTable[index], factorsTable[difference])
  )</f>
        <v/>
      </c>
    </row>
    <row r="15" spans="5:126" ht="14.4" customHeight="1" x14ac:dyDescent="0.3">
      <c r="E15" s="187" cm="1">
        <f t="array" ref="E15">ROW()-ROW(UITranslationTable[#Headers])</f>
        <v>13</v>
      </c>
      <c r="F15" s="9" t="s">
        <v>333</v>
      </c>
      <c r="G15" s="191" t="s">
        <v>339</v>
      </c>
      <c r="H15" s="176" t="s">
        <v>315</v>
      </c>
      <c r="J15" s="1" cm="1">
        <f t="array" ref="J15">ROW()-ROW(errorMessagesTable[#Headers])</f>
        <v>13</v>
      </c>
      <c r="K15" s="1" t="s">
        <v>439</v>
      </c>
      <c r="L15" s="1" t="b" cm="1">
        <f t="array" aca="1" ref="L15" ca="1">errorFactorMinMaxInvalid</f>
        <v>0</v>
      </c>
      <c r="M15" s="176" t="s">
        <v>349</v>
      </c>
      <c r="N15" s="176" t="s">
        <v>346</v>
      </c>
      <c r="O15" s="1" t="str" cm="1">
        <f t="array" aca="1" ref="O15" ca="1">FilterTrueColumn(errorMessagesTable[[#This Row],[index]], errorMessagesTable[index], errorMessagesTable[filteredIndex], errorMessagesTable[condition])</f>
        <v/>
      </c>
      <c r="P15" s="9" t="str" cm="1">
        <f t="array" aca="1" ref="P15"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5" s="9" t="str" cm="1">
        <f t="array" aca="1" ref="Q15" ca="1">IF(
    errorMessagesTable[[#This Row],[filteredIndex]] = "",
    "",
    IF(
      errorMessagesTable[[#This Row],[index]] = 1,
      "",
      INDEX(errorMessagesTable[concatErrors], errorMessagesTable[[#This Row],[index]]-1)
      &amp; CHAR(10) &amp; CHAR(10)
    )
    &amp; INDEX(errorMessagesTable[langSpecError], errorMessagesTable[[#This Row],[index]])
  )</f>
        <v/>
      </c>
      <c r="W15" s="177" cm="1">
        <f t="array" ref="W15">ROW()-ROW(structuredFormulaeTable[#Headers])</f>
        <v>13</v>
      </c>
      <c r="X15" s="1" t="s">
        <v>425</v>
      </c>
      <c r="Y15" s="1" t="s">
        <v>522</v>
      </c>
      <c r="Z15" s="1" t="b" cm="1">
        <f t="array" ref="Z15">behaviourInclude5</f>
        <v>0</v>
      </c>
      <c r="AA15" s="178" t="s">
        <v>523</v>
      </c>
      <c r="AB15" s="164" t="s">
        <v>654</v>
      </c>
      <c r="BW15" s="192"/>
      <c r="CD15" s="1" cm="1">
        <f t="array" ref="CD15">ROW()-ROW(recommendedCutoffTable[#Headers])</f>
        <v>13</v>
      </c>
      <c r="CE15" s="183">
        <f>(recommendedCutoffTable[[#This Row],[index]] - 1) / 100</f>
        <v>0.12</v>
      </c>
      <c r="CF15" s="1" cm="1">
        <f t="array" ref="CF15">ABS(
    numScores
  - 2 * SUMPRODUCT((behaviourScore &lt;&gt; "") * (behaviourScore &lt; recommendedCutoffTable[[#This Row],[cutoffLevel]]))
  )</f>
        <v>0</v>
      </c>
      <c r="CM15" s="177" cm="1">
        <f t="array" ref="CM15">ROW()-ROW(factorsTable[#Headers])</f>
        <v>13</v>
      </c>
      <c r="CN15" s="177" t="str" cm="1">
        <f t="array" ref="CN15">KeepBlanksFunction(
    _xlfn.XLOOKUP(
      factorsTable[[#This Row],[index]],
      factorsConfigTable[index],
      factorsConfigTable[factorHeader],#REF!,
      0
    )
  )</f>
        <v/>
      </c>
      <c r="CO15" s="177" t="str">
        <f>IF(
    factorsTable[[#This Row],[factorHeader]] = "",
    "",
    _xlfn.IFNA(
      MATCH(factorsTable[[#This Row],[factorHeader]], dataHeaders, 0),
      _xlfn.IFNA(
        MATCH("*/" &amp; factorsTable[[#This Row],[factorHeader]], dataHeaders, 0),
        MATCH("*-" &amp; factorsTable[[#This Row],[factorHeader]], dataHeaders, 0)
      )
    )
  )</f>
        <v/>
      </c>
      <c r="CP15" s="177" t="str">
        <f>IF(
    factorsTable[[#This Row],[factorHeader]] = "",
    "",
    _xlfn.LET(
      _xlpm.tableValue,
      _xlfn.XLOOKUP(
        factorsTable[[#This Row],[index]],
        factorsConfigTable[index],
        factorsConfigTable[minScore],#REF!,
        0
      ),
      _xlpm.storedValue,
      IF(
        _xlpm.tableValue = "",
        NA(),
        _xlpm.tableValue
      ),
      _xlpm.storedValue
    )
  )</f>
        <v/>
      </c>
      <c r="CQ15" s="177" t="str">
        <f>IF(
    factorsTable[[#This Row],[factorHeader]] = "",
    "",
    _xlfn.LET(
      _xlpm.tableValue,
      _xlfn.XLOOKUP(
        factorsTable[[#This Row],[index]],
        factorsConfigTable[index],
        factorsConfigTable[maxScore],#REF!,
        0
      ),
      _xlpm.storedValue,
      IF(
        _xlpm.tableValue = "",
        NA(),
        _xlpm.tableValue
      ),
      _xlpm.storedValue
    )
  )</f>
        <v/>
      </c>
      <c r="CR15" s="177" t="str">
        <f>IF(
    factorsTable[[#This Row],[factorHeader]] = "",
    "",
    IF(
      ISERROR(factorsTable[[#This Row],[factorColNum]]),
      NA(),
      IF(
        ISNA(INDEX(dataRange,1,1)),
        NA(),
        MIN(INDEX(dataRange, , factorsTable[[#This Row],[factorColNum]]))
      )
    )
  )</f>
        <v/>
      </c>
      <c r="CS15" s="177" t="str">
        <f>IF(
    factorsTable[[#This Row],[factorHeader]] = "",
    "",
    IF(
      ISERROR(factorsTable[[#This Row],[factorColNum]]),
      NA(),
      IF(
        ISNA(INDEX(dataRange,1,1)),
        NA(),
        MAX(INDEX(dataRange, , factorsTable[[#This Row],[factorColNum]]))
      )
    )
  )</f>
        <v/>
      </c>
      <c r="CT15" s="177" t="b" cm="1">
        <f t="array" aca="1" ref="CT15" ca="1">AND(
    NOT(errorNoDataSheet),
    factorsTable[[#This Row],[factorHeader]] &lt;&gt; "",
    NOT(ISERROR(factorsTable[[#This Row],[factorColNum]])),
    IFERROR(factorsTable[[#This Row],[display]], FALSE),
    IFERROR(factorsTable[[#This Row],[minValue]] &lt; factorsTable[[#This Row],[minScore]], FALSE)
  )</f>
        <v>0</v>
      </c>
      <c r="CU15" s="177" t="b" cm="1">
        <f t="array" aca="1" ref="CU15" ca="1">AND(
    NOT(errorNoDataSheet),
    factorsTable[[#This Row],[factorHeader]] &lt;&gt; "",
    NOT(ISERROR(factorsTable[[#This Row],[factorColNum]])),
    IFERROR(factorsTable[[#This Row],[display]], FALSE),
    IFERROR(factorsTable[[#This Row],[maxValue]] &gt; factorsTable[[#This Row],[maxScore]], FALSE)
  )</f>
        <v>0</v>
      </c>
      <c r="CV15" s="177" t="str" cm="1">
        <f t="array" ref="CV15">IF(
    factorsTable[[#This Row],[factorHeader]] = "",
    "",
    IF(
      ISNA(INDEX(dataRange,1,1)),
      NA(),
      SUMPRODUCT(
          IF(isDoer = "", 0, NOT(isDoer))
        * (INDEX(dataRange, , factorsTable[[#This Row],[factorColNum]]) &lt;&gt; "")
      )
    )
  )</f>
        <v/>
      </c>
      <c r="CW15" s="177" t="str" cm="1">
        <f t="array" ref="CW15">IF(
    factorsTable[[#This Row],[factorHeader]] = "",
    "",
    IF(
      ISNA(INDEX(dataRange,1,1)),
      NA(),
      SUMPRODUCT(
          IF(isDoer = "", 0, isDoer)
        * (INDEX(dataRange, , factorsTable[[#This Row],[factorColNum]]) &lt;&gt; "")
      )
    )
  )</f>
        <v/>
      </c>
      <c r="CX15" s="177" t="str" cm="1">
        <f t="array" ref="CX15">IF(
    factorsTable[[#This Row],[factorHeader]] = "",
    "",
    IF(
      ISERROR(factorsTable[[#This Row],[factorColNum]]),
      UITranslateForValueTable("dataNotFound", UITranslationTable[tag], UITranslationTable[], UITranslationTable[#Headers]),
      factorsTable[[#This Row],[numDoers]] + factorsTable[[#This Row],[numNondoers]]
    )
  )</f>
        <v/>
      </c>
      <c r="CY15" s="177" t="str" cm="1">
        <f t="array" ref="CY1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5" s="177" t="str" cm="1">
        <f t="array" ref="CZ1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5" s="177" t="str">
        <f>IF(
    factorsTable[[#This Row],[factorHeader]] = "",
    "",
    factorsTable[[#This Row],[doers]] - factorsTable[[#This Row],[nondoers]]
  )</f>
        <v/>
      </c>
      <c r="DB15" s="177" t="str">
        <f>IF(
    factorsTable[[#This Row],[factorHeader]] = "",
    "",
    _xlfn.XLOOKUP(
      _xlfn.XLOOKUP(
        factorsTable[[#This Row],[index]],
        factorsConfigTable[index],
        factorsConfigTable[displayConfig],#REF!,
        0
      ),
      yesNoTable[label],
      yesNoTable[tag],
      "",
      0
    )
  )</f>
        <v/>
      </c>
      <c r="DC15" s="177" t="b">
        <f>IF(
    factorsTable[[#This Row],[factorHeader]] = "",
    FALSE,
    IF(
      factorsTable[[#This Row],[displayConfig]] = "yes",
      TRUE,
      IF(
        factorsTable[[#This Row],[displayConfig]] = "no",
        FALSE,
        NA()
      )
    )
  )</f>
        <v>0</v>
      </c>
      <c r="DD15" s="177" t="str" cm="1">
        <f t="array" ref="DD15">FilterTrueColumn(factorsTable[[#This Row],[index]], factorsTable[index], factorsTable[filteredIndex], factorsTable[display])</f>
        <v/>
      </c>
      <c r="DE15" s="177" t="str">
        <f>IF(
    factorsTable[[#This Row],[filteredIndex]] = "",
    "",
    _xlfn.IFNA(
      _xlfn.XLOOKUP(factorsTable[[#This Row],[filteredIndex]], factorsTable[index], factorsTable[difference]),
      -99
    )
  )</f>
        <v/>
      </c>
      <c r="DF15" s="177" t="str">
        <f>IF(
    factorsTable[[#This Row],[filteredIndex]] = "",
    "",
    IF(
      factorsTable[[#This Row],[relDiff]] = -99,
      -99,
      ABS(factorsTable[[#This Row],[relDiff]])
    )
  )</f>
        <v/>
      </c>
      <c r="DG15" s="177" t="str">
        <f>IF(
    factorsTable[[#This Row],[filteredIndex]] = "",
    "",
    _xlfn.XLOOKUP(
      _xlfn.XLOOKUP(
        factorsTable[[#This Row],[filteredIndex]],
        factorsConfigTable[index],
        factorsConfigTable[RANASBlock],#REF!,
        0
      ),
      RANASBlocksTable[label],
      RANASBlocksTable[index],
      6,
      0
    )
  )</f>
        <v/>
      </c>
      <c r="DH15" s="177" t="str">
        <f>IF(
    factorsTable[[#This Row],[filteredIndex]] = "",
    "",
    _xlfn.RANK.EQ(factorsTable[[#This Row],[relDiff]], factorsTable[relDiff], 0)
  )</f>
        <v/>
      </c>
      <c r="DI15" s="177" t="str">
        <f>IF(
    factorsTable[[#This Row],[filteredIndex]] = "",
    "",
    _xlfn.RANK.EQ(factorsTable[[#This Row],[absDiff]], factorsTable[absDiff], 0)
  )</f>
        <v/>
      </c>
      <c r="DJ15" s="177" t="str">
        <f>IF(
    factorsTable[[#This Row],[filteredIndex]] = "",
    "",
    _xlfn.RANK.EQ(factorsTable[[#This Row],[RANASIndex]], factorsTable[RANASIndex], 1)
  )</f>
        <v/>
      </c>
      <c r="DK15" s="177" t="str" cm="1">
        <f t="array" ref="DK15">_xlfn.SWITCH(
    sortingMethodTag,
    "none", factorsTable[[#This Row],[filteredIndex]],
    "relDiff", factorsTable[[#This Row],[relDiffRank]],
    "absDiff", factorsTable[[#This Row],[absDiffRank]],
    "RANAS", factorsTable[[#This Row],[RANASRank]],
    factorsTable[[#This Row],[filteredIndex]]
  )</f>
        <v/>
      </c>
      <c r="DL15" s="177" t="str">
        <f>IF(
    factorsTable[[#This Row],[filteredIndex]] = "",
    "",
    factorsTable[[#This Row],[selectedRank]]
      + COUNTIF(INDEX(factorsTable[selectedRank], 1):INDEX(factorsTable[selectedRank], factorsTable[[#This Row],[index]]), factorsTable[[#This Row],[selectedRank]])
      - 1
  )</f>
        <v/>
      </c>
      <c r="DM15" s="177" t="str">
        <f>IF(
    factorsTable[[#This Row],[filteredIndex]] = "",
    "",
    _xlfn.XLOOKUP(
      factorsTable[[#This Row],[index]],
      factorsTable[uniqueRank],
      factorsTable[filteredIndex],#REF!,
      0
    )
  )</f>
        <v/>
      </c>
      <c r="DN15" s="177" t="str" cm="1">
        <f t="array" ref="DN15">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5" s="177" t="str" cm="1">
        <f t="array" ref="DO15">IF(
    factorsTable[[#This Row],[sortedIndex]] = "",
    "",
    IF(
      factorsTable[[#This Row],[langSpecFactor]] = "",
      UITranslateForValueTable("noTranslation", UITranslationTable[tag], UITranslationTable[], UITranslationTable[#Headers]),
      factorsTable[[#This Row],[langSpecFactor]]
    )
  )</f>
        <v/>
      </c>
      <c r="DP15" s="177" t="str">
        <f>IF(
    factorsTable[[#This Row],[sortedIndex]] = "",
    "",
    _xlfn.XLOOKUP(
      _xlfn.XLOOKUP(
        factorsTable[[#This Row],[sortedIndex]],
        factorsConfigTable[index],
        factorsConfigTable[RANASBlock],#REF!,
        0
      ),
      RANASBlocksTable[label],
      RANASBlocksTable[tag],
      NA(),
      0
    )
  )</f>
        <v/>
      </c>
      <c r="DQ15" s="177" t="str" cm="1">
        <f t="array" ref="DQ15">IF(
    factorsTable[[#This Row],[sortedIndex]] = "",
    "",
    _xlfn.IFNA(
      _xlfn.XLOOKUP(factorsTable[[#This Row],[RANASTag]], RANASBlocksTable[tag], RANASBlocksTable[langSpecLabel]),
      UITranslateForValueTable("noRANASBlock", UITranslationTable[tag], UITranslationTable[], UITranslationTable[#Headers])
    )
  )</f>
        <v/>
      </c>
      <c r="DR15"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5" s="177" t="str">
        <f>IF(
    factorsTable[[#This Row],[sortedIndex]] = "",
    "",
    _xlfn.XLOOKUP(factorsTable[[#This Row],[sortedIndex]], factorsTable[index], factorsTable[numTotal])
  )</f>
        <v/>
      </c>
      <c r="DT15" s="177" t="str">
        <f>IF(
    factorsTable[[#This Row],[sortedIndex]] = "",
    "",
    _xlfn.XLOOKUP(factorsTable[[#This Row],[sortedIndex]], factorsTable[index], factorsTable[nondoers])
  )</f>
        <v/>
      </c>
      <c r="DU15" s="177" t="str">
        <f>IF(
    factorsTable[[#This Row],[sortedIndex]] = "",
    "",
    _xlfn.XLOOKUP(factorsTable[[#This Row],[sortedIndex]], factorsTable[index], factorsTable[doers])
  )</f>
        <v/>
      </c>
      <c r="DV15" s="177" t="str">
        <f>IF(
    factorsTable[[#This Row],[sortedIndex]] = "",
    "",
    _xlfn.XLOOKUP(factorsTable[[#This Row],[sortedIndex]], factorsTable[index], factorsTable[difference])
  )</f>
        <v/>
      </c>
    </row>
    <row r="16" spans="5:126" ht="14.4" customHeight="1" x14ac:dyDescent="0.3">
      <c r="E16" s="187" cm="1">
        <f t="array" ref="E16">ROW()-ROW(UITranslationTable[#Headers])</f>
        <v>14</v>
      </c>
      <c r="F16" s="9" t="s">
        <v>318</v>
      </c>
      <c r="G16" s="191" t="s">
        <v>319</v>
      </c>
      <c r="H16" s="176" t="s">
        <v>320</v>
      </c>
      <c r="J16" s="1" cm="1">
        <f t="array" ref="J16">ROW()-ROW(errorMessagesTable[#Headers])</f>
        <v>14</v>
      </c>
      <c r="K16" s="1" t="s">
        <v>440</v>
      </c>
      <c r="L16" s="1" t="b" cm="1">
        <f t="array" aca="1" ref="L16" ca="1">errorFactorOutOfRange</f>
        <v>0</v>
      </c>
      <c r="M16" s="176" t="str" cm="1">
        <f t="array" ref="M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N16" s="176" t="str" cm="1">
        <f t="array" ref="N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O16" s="1" t="str" cm="1">
        <f t="array" aca="1" ref="O16" ca="1">FilterTrueColumn(errorMessagesTable[[#This Row],[index]], errorMessagesTable[index], errorMessagesTable[filteredIndex], errorMessagesTable[condition])</f>
        <v/>
      </c>
      <c r="P16" s="9" t="str" cm="1">
        <f t="array" aca="1" ref="P16"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6" s="9" t="str" cm="1">
        <f t="array" aca="1" ref="Q16" ca="1">IF(
    errorMessagesTable[[#This Row],[filteredIndex]] = "",
    "",
    IF(
      errorMessagesTable[[#This Row],[index]] = 1,
      "",
      INDEX(errorMessagesTable[concatErrors], errorMessagesTable[[#This Row],[index]]-1)
      &amp; CHAR(10) &amp; CHAR(10)
    )
    &amp; INDEX(errorMessagesTable[langSpecError], errorMessagesTable[[#This Row],[index]])
  )</f>
        <v/>
      </c>
      <c r="W16" s="177" cm="1">
        <f t="array" ref="W16">ROW()-ROW(structuredFormulaeTable[#Headers])</f>
        <v>14</v>
      </c>
      <c r="X16" s="1" t="s">
        <v>425</v>
      </c>
      <c r="Y16" s="1" t="s">
        <v>524</v>
      </c>
      <c r="Z16" s="1" t="str" cm="1">
        <f t="array" ref="Z16">behaviourMaxScore1</f>
        <v/>
      </c>
      <c r="AA16" s="178" t="s">
        <v>525</v>
      </c>
      <c r="AB16" s="164" t="s">
        <v>655</v>
      </c>
      <c r="CD16" s="1" cm="1">
        <f t="array" ref="CD16">ROW()-ROW(recommendedCutoffTable[#Headers])</f>
        <v>14</v>
      </c>
      <c r="CE16" s="183">
        <f>(recommendedCutoffTable[[#This Row],[index]] - 1) / 100</f>
        <v>0.13</v>
      </c>
      <c r="CF16" s="1" cm="1">
        <f t="array" ref="CF16">ABS(
    numScores
  - 2 * SUMPRODUCT((behaviourScore &lt;&gt; "") * (behaviourScore &lt; recommendedCutoffTable[[#This Row],[cutoffLevel]]))
  )</f>
        <v>0</v>
      </c>
      <c r="CM16" s="177" cm="1">
        <f t="array" ref="CM16">ROW()-ROW(factorsTable[#Headers])</f>
        <v>14</v>
      </c>
      <c r="CN16" s="177" t="str" cm="1">
        <f t="array" ref="CN16">KeepBlanksFunction(
    _xlfn.XLOOKUP(
      factorsTable[[#This Row],[index]],
      factorsConfigTable[index],
      factorsConfigTable[factorHeader],#REF!,
      0
    )
  )</f>
        <v/>
      </c>
      <c r="CO16" s="177" t="str">
        <f>IF(
    factorsTable[[#This Row],[factorHeader]] = "",
    "",
    _xlfn.IFNA(
      MATCH(factorsTable[[#This Row],[factorHeader]], dataHeaders, 0),
      _xlfn.IFNA(
        MATCH("*/" &amp; factorsTable[[#This Row],[factorHeader]], dataHeaders, 0),
        MATCH("*-" &amp; factorsTable[[#This Row],[factorHeader]], dataHeaders, 0)
      )
    )
  )</f>
        <v/>
      </c>
      <c r="CP16" s="177" t="str">
        <f>IF(
    factorsTable[[#This Row],[factorHeader]] = "",
    "",
    _xlfn.LET(
      _xlpm.tableValue,
      _xlfn.XLOOKUP(
        factorsTable[[#This Row],[index]],
        factorsConfigTable[index],
        factorsConfigTable[minScore],#REF!,
        0
      ),
      _xlpm.storedValue,
      IF(
        _xlpm.tableValue = "",
        NA(),
        _xlpm.tableValue
      ),
      _xlpm.storedValue
    )
  )</f>
        <v/>
      </c>
      <c r="CQ16" s="177" t="str">
        <f>IF(
    factorsTable[[#This Row],[factorHeader]] = "",
    "",
    _xlfn.LET(
      _xlpm.tableValue,
      _xlfn.XLOOKUP(
        factorsTable[[#This Row],[index]],
        factorsConfigTable[index],
        factorsConfigTable[maxScore],#REF!,
        0
      ),
      _xlpm.storedValue,
      IF(
        _xlpm.tableValue = "",
        NA(),
        _xlpm.tableValue
      ),
      _xlpm.storedValue
    )
  )</f>
        <v/>
      </c>
      <c r="CR16" s="177" t="str">
        <f>IF(
    factorsTable[[#This Row],[factorHeader]] = "",
    "",
    IF(
      ISERROR(factorsTable[[#This Row],[factorColNum]]),
      NA(),
      IF(
        ISNA(INDEX(dataRange,1,1)),
        NA(),
        MIN(INDEX(dataRange, , factorsTable[[#This Row],[factorColNum]]))
      )
    )
  )</f>
        <v/>
      </c>
      <c r="CS16" s="177" t="str">
        <f>IF(
    factorsTable[[#This Row],[factorHeader]] = "",
    "",
    IF(
      ISERROR(factorsTable[[#This Row],[factorColNum]]),
      NA(),
      IF(
        ISNA(INDEX(dataRange,1,1)),
        NA(),
        MAX(INDEX(dataRange, , factorsTable[[#This Row],[factorColNum]]))
      )
    )
  )</f>
        <v/>
      </c>
      <c r="CT16" s="177" t="b" cm="1">
        <f t="array" aca="1" ref="CT16" ca="1">AND(
    NOT(errorNoDataSheet),
    factorsTable[[#This Row],[factorHeader]] &lt;&gt; "",
    NOT(ISERROR(factorsTable[[#This Row],[factorColNum]])),
    IFERROR(factorsTable[[#This Row],[display]], FALSE),
    IFERROR(factorsTable[[#This Row],[minValue]] &lt; factorsTable[[#This Row],[minScore]], FALSE)
  )</f>
        <v>0</v>
      </c>
      <c r="CU16" s="177" t="b" cm="1">
        <f t="array" aca="1" ref="CU16" ca="1">AND(
    NOT(errorNoDataSheet),
    factorsTable[[#This Row],[factorHeader]] &lt;&gt; "",
    NOT(ISERROR(factorsTable[[#This Row],[factorColNum]])),
    IFERROR(factorsTable[[#This Row],[display]], FALSE),
    IFERROR(factorsTable[[#This Row],[maxValue]] &gt; factorsTable[[#This Row],[maxScore]], FALSE)
  )</f>
        <v>0</v>
      </c>
      <c r="CV16" s="177" t="str" cm="1">
        <f t="array" ref="CV16">IF(
    factorsTable[[#This Row],[factorHeader]] = "",
    "",
    IF(
      ISNA(INDEX(dataRange,1,1)),
      NA(),
      SUMPRODUCT(
          IF(isDoer = "", 0, NOT(isDoer))
        * (INDEX(dataRange, , factorsTable[[#This Row],[factorColNum]]) &lt;&gt; "")
      )
    )
  )</f>
        <v/>
      </c>
      <c r="CW16" s="177" t="str" cm="1">
        <f t="array" ref="CW16">IF(
    factorsTable[[#This Row],[factorHeader]] = "",
    "",
    IF(
      ISNA(INDEX(dataRange,1,1)),
      NA(),
      SUMPRODUCT(
          IF(isDoer = "", 0, isDoer)
        * (INDEX(dataRange, , factorsTable[[#This Row],[factorColNum]]) &lt;&gt; "")
      )
    )
  )</f>
        <v/>
      </c>
      <c r="CX16" s="177" t="str" cm="1">
        <f t="array" ref="CX16">IF(
    factorsTable[[#This Row],[factorHeader]] = "",
    "",
    IF(
      ISERROR(factorsTable[[#This Row],[factorColNum]]),
      UITranslateForValueTable("dataNotFound", UITranslationTable[tag], UITranslationTable[], UITranslationTable[#Headers]),
      factorsTable[[#This Row],[numDoers]] + factorsTable[[#This Row],[numNondoers]]
    )
  )</f>
        <v/>
      </c>
      <c r="CY16" s="177" t="str" cm="1">
        <f t="array" ref="CY1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6" s="177" t="str" cm="1">
        <f t="array" ref="CZ1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6" s="177" t="str">
        <f>IF(
    factorsTable[[#This Row],[factorHeader]] = "",
    "",
    factorsTable[[#This Row],[doers]] - factorsTable[[#This Row],[nondoers]]
  )</f>
        <v/>
      </c>
      <c r="DB16" s="177" t="str">
        <f>IF(
    factorsTable[[#This Row],[factorHeader]] = "",
    "",
    _xlfn.XLOOKUP(
      _xlfn.XLOOKUP(
        factorsTable[[#This Row],[index]],
        factorsConfigTable[index],
        factorsConfigTable[displayConfig],#REF!,
        0
      ),
      yesNoTable[label],
      yesNoTable[tag],
      "",
      0
    )
  )</f>
        <v/>
      </c>
      <c r="DC16" s="177" t="b">
        <f>IF(
    factorsTable[[#This Row],[factorHeader]] = "",
    FALSE,
    IF(
      factorsTable[[#This Row],[displayConfig]] = "yes",
      TRUE,
      IF(
        factorsTable[[#This Row],[displayConfig]] = "no",
        FALSE,
        NA()
      )
    )
  )</f>
        <v>0</v>
      </c>
      <c r="DD16" s="177" t="str" cm="1">
        <f t="array" ref="DD16">FilterTrueColumn(factorsTable[[#This Row],[index]], factorsTable[index], factorsTable[filteredIndex], factorsTable[display])</f>
        <v/>
      </c>
      <c r="DE16" s="177" t="str">
        <f>IF(
    factorsTable[[#This Row],[filteredIndex]] = "",
    "",
    _xlfn.IFNA(
      _xlfn.XLOOKUP(factorsTable[[#This Row],[filteredIndex]], factorsTable[index], factorsTable[difference]),
      -99
    )
  )</f>
        <v/>
      </c>
      <c r="DF16" s="177" t="str">
        <f>IF(
    factorsTable[[#This Row],[filteredIndex]] = "",
    "",
    IF(
      factorsTable[[#This Row],[relDiff]] = -99,
      -99,
      ABS(factorsTable[[#This Row],[relDiff]])
    )
  )</f>
        <v/>
      </c>
      <c r="DG16" s="177" t="str">
        <f>IF(
    factorsTable[[#This Row],[filteredIndex]] = "",
    "",
    _xlfn.XLOOKUP(
      _xlfn.XLOOKUP(
        factorsTable[[#This Row],[filteredIndex]],
        factorsConfigTable[index],
        factorsConfigTable[RANASBlock],#REF!,
        0
      ),
      RANASBlocksTable[label],
      RANASBlocksTable[index],
      6,
      0
    )
  )</f>
        <v/>
      </c>
      <c r="DH16" s="177" t="str">
        <f>IF(
    factorsTable[[#This Row],[filteredIndex]] = "",
    "",
    _xlfn.RANK.EQ(factorsTable[[#This Row],[relDiff]], factorsTable[relDiff], 0)
  )</f>
        <v/>
      </c>
      <c r="DI16" s="177" t="str">
        <f>IF(
    factorsTable[[#This Row],[filteredIndex]] = "",
    "",
    _xlfn.RANK.EQ(factorsTable[[#This Row],[absDiff]], factorsTable[absDiff], 0)
  )</f>
        <v/>
      </c>
      <c r="DJ16" s="177" t="str">
        <f>IF(
    factorsTable[[#This Row],[filteredIndex]] = "",
    "",
    _xlfn.RANK.EQ(factorsTable[[#This Row],[RANASIndex]], factorsTable[RANASIndex], 1)
  )</f>
        <v/>
      </c>
      <c r="DK16" s="177" t="str" cm="1">
        <f t="array" ref="DK16">_xlfn.SWITCH(
    sortingMethodTag,
    "none", factorsTable[[#This Row],[filteredIndex]],
    "relDiff", factorsTable[[#This Row],[relDiffRank]],
    "absDiff", factorsTable[[#This Row],[absDiffRank]],
    "RANAS", factorsTable[[#This Row],[RANASRank]],
    factorsTable[[#This Row],[filteredIndex]]
  )</f>
        <v/>
      </c>
      <c r="DL16" s="177" t="str">
        <f>IF(
    factorsTable[[#This Row],[filteredIndex]] = "",
    "",
    factorsTable[[#This Row],[selectedRank]]
      + COUNTIF(INDEX(factorsTable[selectedRank], 1):INDEX(factorsTable[selectedRank], factorsTable[[#This Row],[index]]), factorsTable[[#This Row],[selectedRank]])
      - 1
  )</f>
        <v/>
      </c>
      <c r="DM16" s="177" t="str">
        <f>IF(
    factorsTable[[#This Row],[filteredIndex]] = "",
    "",
    _xlfn.XLOOKUP(
      factorsTable[[#This Row],[index]],
      factorsTable[uniqueRank],
      factorsTable[filteredIndex],#REF!,
      0
    )
  )</f>
        <v/>
      </c>
      <c r="DN16" s="177" t="str" cm="1">
        <f t="array" ref="DN16">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6" s="177" t="str" cm="1">
        <f t="array" ref="DO16">IF(
    factorsTable[[#This Row],[sortedIndex]] = "",
    "",
    IF(
      factorsTable[[#This Row],[langSpecFactor]] = "",
      UITranslateForValueTable("noTranslation", UITranslationTable[tag], UITranslationTable[], UITranslationTable[#Headers]),
      factorsTable[[#This Row],[langSpecFactor]]
    )
  )</f>
        <v/>
      </c>
      <c r="DP16" s="177" t="str">
        <f>IF(
    factorsTable[[#This Row],[sortedIndex]] = "",
    "",
    _xlfn.XLOOKUP(
      _xlfn.XLOOKUP(
        factorsTable[[#This Row],[sortedIndex]],
        factorsConfigTable[index],
        factorsConfigTable[RANASBlock],#REF!,
        0
      ),
      RANASBlocksTable[label],
      RANASBlocksTable[tag],
      NA(),
      0
    )
  )</f>
        <v/>
      </c>
      <c r="DQ16" s="177" t="str" cm="1">
        <f t="array" ref="DQ16">IF(
    factorsTable[[#This Row],[sortedIndex]] = "",
    "",
    _xlfn.IFNA(
      _xlfn.XLOOKUP(factorsTable[[#This Row],[RANASTag]], RANASBlocksTable[tag], RANASBlocksTable[langSpecLabel]),
      UITranslateForValueTable("noRANASBlock", UITranslationTable[tag], UITranslationTable[], UITranslationTable[#Headers])
    )
  )</f>
        <v/>
      </c>
      <c r="DR16"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6" s="177" t="str">
        <f>IF(
    factorsTable[[#This Row],[sortedIndex]] = "",
    "",
    _xlfn.XLOOKUP(factorsTable[[#This Row],[sortedIndex]], factorsTable[index], factorsTable[numTotal])
  )</f>
        <v/>
      </c>
      <c r="DT16" s="177" t="str">
        <f>IF(
    factorsTable[[#This Row],[sortedIndex]] = "",
    "",
    _xlfn.XLOOKUP(factorsTable[[#This Row],[sortedIndex]], factorsTable[index], factorsTable[nondoers])
  )</f>
        <v/>
      </c>
      <c r="DU16" s="177" t="str">
        <f>IF(
    factorsTable[[#This Row],[sortedIndex]] = "",
    "",
    _xlfn.XLOOKUP(factorsTable[[#This Row],[sortedIndex]], factorsTable[index], factorsTable[doers])
  )</f>
        <v/>
      </c>
      <c r="DV16" s="177" t="str">
        <f>IF(
    factorsTable[[#This Row],[sortedIndex]] = "",
    "",
    _xlfn.XLOOKUP(factorsTable[[#This Row],[sortedIndex]], factorsTable[index], factorsTable[difference])
  )</f>
        <v/>
      </c>
    </row>
    <row r="17" spans="5:126" ht="14.4" customHeight="1" x14ac:dyDescent="0.3">
      <c r="E17" s="187" cm="1">
        <f t="array" ref="E17">ROW()-ROW(UITranslationTable[#Headers])</f>
        <v>15</v>
      </c>
      <c r="F17" s="9" t="s">
        <v>321</v>
      </c>
      <c r="G17" s="191" t="s">
        <v>335</v>
      </c>
      <c r="H17" s="176" t="s">
        <v>336</v>
      </c>
      <c r="J17" s="1" cm="1">
        <f t="array" ref="J17">ROW()-ROW(errorMessagesTable[#Headers])</f>
        <v>15</v>
      </c>
      <c r="K17" s="1" t="s">
        <v>441</v>
      </c>
      <c r="L17" s="1" t="b" cm="1">
        <f t="array" ref="L17">errorChartLanguage</f>
        <v>0</v>
      </c>
      <c r="M17" s="176" t="str" cm="1">
        <f t="array" aca="1" ref="M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N17" s="176" t="str" cm="1">
        <f t="array" aca="1" ref="N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O17" s="1" t="str" cm="1">
        <f t="array" aca="1" ref="O17" ca="1">FilterTrueColumn(errorMessagesTable[[#This Row],[index]], errorMessagesTable[index], errorMessagesTable[filteredIndex], errorMessagesTable[condition])</f>
        <v/>
      </c>
      <c r="P17" s="9" t="str" cm="1">
        <f t="array" aca="1" ref="P17"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7" s="9" t="str" cm="1">
        <f t="array" aca="1" ref="Q17" ca="1">IF(
    errorMessagesTable[[#This Row],[filteredIndex]] = "",
    "",
    IF(
      errorMessagesTable[[#This Row],[index]] = 1,
      "",
      INDEX(errorMessagesTable[concatErrors], errorMessagesTable[[#This Row],[index]]-1)
      &amp; CHAR(10) &amp; CHAR(10)
    )
    &amp; INDEX(errorMessagesTable[langSpecError], errorMessagesTable[[#This Row],[index]])
  )</f>
        <v/>
      </c>
      <c r="W17" s="177" cm="1">
        <f t="array" ref="W17">ROW()-ROW(structuredFormulaeTable[#Headers])</f>
        <v>15</v>
      </c>
      <c r="X17" s="1" t="s">
        <v>425</v>
      </c>
      <c r="Y17" s="1" t="s">
        <v>526</v>
      </c>
      <c r="Z17" s="1" t="str" cm="1">
        <f t="array" ref="Z17">behaviourMaxScore2</f>
        <v/>
      </c>
      <c r="AA17" s="178" t="s">
        <v>527</v>
      </c>
      <c r="AB17" s="164" t="s">
        <v>656</v>
      </c>
      <c r="AY17" s="189"/>
      <c r="CD17" s="1" cm="1">
        <f t="array" ref="CD17">ROW()-ROW(recommendedCutoffTable[#Headers])</f>
        <v>15</v>
      </c>
      <c r="CE17" s="183">
        <f>(recommendedCutoffTable[[#This Row],[index]] - 1) / 100</f>
        <v>0.14000000000000001</v>
      </c>
      <c r="CF17" s="1" cm="1">
        <f t="array" ref="CF17">ABS(
    numScores
  - 2 * SUMPRODUCT((behaviourScore &lt;&gt; "") * (behaviourScore &lt; recommendedCutoffTable[[#This Row],[cutoffLevel]]))
  )</f>
        <v>0</v>
      </c>
      <c r="CM17" s="177" cm="1">
        <f t="array" ref="CM17">ROW()-ROW(factorsTable[#Headers])</f>
        <v>15</v>
      </c>
      <c r="CN17" s="177" t="str" cm="1">
        <f t="array" ref="CN17">KeepBlanksFunction(
    _xlfn.XLOOKUP(
      factorsTable[[#This Row],[index]],
      factorsConfigTable[index],
      factorsConfigTable[factorHeader],#REF!,
      0
    )
  )</f>
        <v/>
      </c>
      <c r="CO17" s="177" t="str">
        <f>IF(
    factorsTable[[#This Row],[factorHeader]] = "",
    "",
    _xlfn.IFNA(
      MATCH(factorsTable[[#This Row],[factorHeader]], dataHeaders, 0),
      _xlfn.IFNA(
        MATCH("*/" &amp; factorsTable[[#This Row],[factorHeader]], dataHeaders, 0),
        MATCH("*-" &amp; factorsTable[[#This Row],[factorHeader]], dataHeaders, 0)
      )
    )
  )</f>
        <v/>
      </c>
      <c r="CP17" s="177" t="str">
        <f>IF(
    factorsTable[[#This Row],[factorHeader]] = "",
    "",
    _xlfn.LET(
      _xlpm.tableValue,
      _xlfn.XLOOKUP(
        factorsTable[[#This Row],[index]],
        factorsConfigTable[index],
        factorsConfigTable[minScore],#REF!,
        0
      ),
      _xlpm.storedValue,
      IF(
        _xlpm.tableValue = "",
        NA(),
        _xlpm.tableValue
      ),
      _xlpm.storedValue
    )
  )</f>
        <v/>
      </c>
      <c r="CQ17" s="177" t="str">
        <f>IF(
    factorsTable[[#This Row],[factorHeader]] = "",
    "",
    _xlfn.LET(
      _xlpm.tableValue,
      _xlfn.XLOOKUP(
        factorsTable[[#This Row],[index]],
        factorsConfigTable[index],
        factorsConfigTable[maxScore],#REF!,
        0
      ),
      _xlpm.storedValue,
      IF(
        _xlpm.tableValue = "",
        NA(),
        _xlpm.tableValue
      ),
      _xlpm.storedValue
    )
  )</f>
        <v/>
      </c>
      <c r="CR17" s="177" t="str">
        <f>IF(
    factorsTable[[#This Row],[factorHeader]] = "",
    "",
    IF(
      ISERROR(factorsTable[[#This Row],[factorColNum]]),
      NA(),
      IF(
        ISNA(INDEX(dataRange,1,1)),
        NA(),
        MIN(INDEX(dataRange, , factorsTable[[#This Row],[factorColNum]]))
      )
    )
  )</f>
        <v/>
      </c>
      <c r="CS17" s="177" t="str">
        <f>IF(
    factorsTable[[#This Row],[factorHeader]] = "",
    "",
    IF(
      ISERROR(factorsTable[[#This Row],[factorColNum]]),
      NA(),
      IF(
        ISNA(INDEX(dataRange,1,1)),
        NA(),
        MAX(INDEX(dataRange, , factorsTable[[#This Row],[factorColNum]]))
      )
    )
  )</f>
        <v/>
      </c>
      <c r="CT17" s="177" t="b" cm="1">
        <f t="array" aca="1" ref="CT17" ca="1">AND(
    NOT(errorNoDataSheet),
    factorsTable[[#This Row],[factorHeader]] &lt;&gt; "",
    NOT(ISERROR(factorsTable[[#This Row],[factorColNum]])),
    IFERROR(factorsTable[[#This Row],[display]], FALSE),
    IFERROR(factorsTable[[#This Row],[minValue]] &lt; factorsTable[[#This Row],[minScore]], FALSE)
  )</f>
        <v>0</v>
      </c>
      <c r="CU17" s="177" t="b" cm="1">
        <f t="array" aca="1" ref="CU17" ca="1">AND(
    NOT(errorNoDataSheet),
    factorsTable[[#This Row],[factorHeader]] &lt;&gt; "",
    NOT(ISERROR(factorsTable[[#This Row],[factorColNum]])),
    IFERROR(factorsTable[[#This Row],[display]], FALSE),
    IFERROR(factorsTable[[#This Row],[maxValue]] &gt; factorsTable[[#This Row],[maxScore]], FALSE)
  )</f>
        <v>0</v>
      </c>
      <c r="CV17" s="177" t="str" cm="1">
        <f t="array" ref="CV17">IF(
    factorsTable[[#This Row],[factorHeader]] = "",
    "",
    IF(
      ISNA(INDEX(dataRange,1,1)),
      NA(),
      SUMPRODUCT(
          IF(isDoer = "", 0, NOT(isDoer))
        * (INDEX(dataRange, , factorsTable[[#This Row],[factorColNum]]) &lt;&gt; "")
      )
    )
  )</f>
        <v/>
      </c>
      <c r="CW17" s="177" t="str" cm="1">
        <f t="array" ref="CW17">IF(
    factorsTable[[#This Row],[factorHeader]] = "",
    "",
    IF(
      ISNA(INDEX(dataRange,1,1)),
      NA(),
      SUMPRODUCT(
          IF(isDoer = "", 0, isDoer)
        * (INDEX(dataRange, , factorsTable[[#This Row],[factorColNum]]) &lt;&gt; "")
      )
    )
  )</f>
        <v/>
      </c>
      <c r="CX17" s="177" t="str" cm="1">
        <f t="array" ref="CX17">IF(
    factorsTable[[#This Row],[factorHeader]] = "",
    "",
    IF(
      ISERROR(factorsTable[[#This Row],[factorColNum]]),
      UITranslateForValueTable("dataNotFound", UITranslationTable[tag], UITranslationTable[], UITranslationTable[#Headers]),
      factorsTable[[#This Row],[numDoers]] + factorsTable[[#This Row],[numNondoers]]
    )
  )</f>
        <v/>
      </c>
      <c r="CY17" s="177" t="str" cm="1">
        <f t="array" ref="CY1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7" s="177" t="str" cm="1">
        <f t="array" ref="CZ1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7" s="177" t="str">
        <f>IF(
    factorsTable[[#This Row],[factorHeader]] = "",
    "",
    factorsTable[[#This Row],[doers]] - factorsTable[[#This Row],[nondoers]]
  )</f>
        <v/>
      </c>
      <c r="DB17" s="177" t="str">
        <f>IF(
    factorsTable[[#This Row],[factorHeader]] = "",
    "",
    _xlfn.XLOOKUP(
      _xlfn.XLOOKUP(
        factorsTable[[#This Row],[index]],
        factorsConfigTable[index],
        factorsConfigTable[displayConfig],#REF!,
        0
      ),
      yesNoTable[label],
      yesNoTable[tag],
      "",
      0
    )
  )</f>
        <v/>
      </c>
      <c r="DC17" s="177" t="b">
        <f>IF(
    factorsTable[[#This Row],[factorHeader]] = "",
    FALSE,
    IF(
      factorsTable[[#This Row],[displayConfig]] = "yes",
      TRUE,
      IF(
        factorsTable[[#This Row],[displayConfig]] = "no",
        FALSE,
        NA()
      )
    )
  )</f>
        <v>0</v>
      </c>
      <c r="DD17" s="177" t="str" cm="1">
        <f t="array" ref="DD17">FilterTrueColumn(factorsTable[[#This Row],[index]], factorsTable[index], factorsTable[filteredIndex], factorsTable[display])</f>
        <v/>
      </c>
      <c r="DE17" s="177" t="str">
        <f>IF(
    factorsTable[[#This Row],[filteredIndex]] = "",
    "",
    _xlfn.IFNA(
      _xlfn.XLOOKUP(factorsTable[[#This Row],[filteredIndex]], factorsTable[index], factorsTable[difference]),
      -99
    )
  )</f>
        <v/>
      </c>
      <c r="DF17" s="177" t="str">
        <f>IF(
    factorsTable[[#This Row],[filteredIndex]] = "",
    "",
    IF(
      factorsTable[[#This Row],[relDiff]] = -99,
      -99,
      ABS(factorsTable[[#This Row],[relDiff]])
    )
  )</f>
        <v/>
      </c>
      <c r="DG17" s="177" t="str">
        <f>IF(
    factorsTable[[#This Row],[filteredIndex]] = "",
    "",
    _xlfn.XLOOKUP(
      _xlfn.XLOOKUP(
        factorsTable[[#This Row],[filteredIndex]],
        factorsConfigTable[index],
        factorsConfigTable[RANASBlock],#REF!,
        0
      ),
      RANASBlocksTable[label],
      RANASBlocksTable[index],
      6,
      0
    )
  )</f>
        <v/>
      </c>
      <c r="DH17" s="177" t="str">
        <f>IF(
    factorsTable[[#This Row],[filteredIndex]] = "",
    "",
    _xlfn.RANK.EQ(factorsTable[[#This Row],[relDiff]], factorsTable[relDiff], 0)
  )</f>
        <v/>
      </c>
      <c r="DI17" s="177" t="str">
        <f>IF(
    factorsTable[[#This Row],[filteredIndex]] = "",
    "",
    _xlfn.RANK.EQ(factorsTable[[#This Row],[absDiff]], factorsTable[absDiff], 0)
  )</f>
        <v/>
      </c>
      <c r="DJ17" s="177" t="str">
        <f>IF(
    factorsTable[[#This Row],[filteredIndex]] = "",
    "",
    _xlfn.RANK.EQ(factorsTable[[#This Row],[RANASIndex]], factorsTable[RANASIndex], 1)
  )</f>
        <v/>
      </c>
      <c r="DK17" s="177" t="str" cm="1">
        <f t="array" ref="DK17">_xlfn.SWITCH(
    sortingMethodTag,
    "none", factorsTable[[#This Row],[filteredIndex]],
    "relDiff", factorsTable[[#This Row],[relDiffRank]],
    "absDiff", factorsTable[[#This Row],[absDiffRank]],
    "RANAS", factorsTable[[#This Row],[RANASRank]],
    factorsTable[[#This Row],[filteredIndex]]
  )</f>
        <v/>
      </c>
      <c r="DL17" s="177" t="str">
        <f>IF(
    factorsTable[[#This Row],[filteredIndex]] = "",
    "",
    factorsTable[[#This Row],[selectedRank]]
      + COUNTIF(INDEX(factorsTable[selectedRank], 1):INDEX(factorsTable[selectedRank], factorsTable[[#This Row],[index]]), factorsTable[[#This Row],[selectedRank]])
      - 1
  )</f>
        <v/>
      </c>
      <c r="DM17" s="177" t="str">
        <f>IF(
    factorsTable[[#This Row],[filteredIndex]] = "",
    "",
    _xlfn.XLOOKUP(
      factorsTable[[#This Row],[index]],
      factorsTable[uniqueRank],
      factorsTable[filteredIndex],#REF!,
      0
    )
  )</f>
        <v/>
      </c>
      <c r="DN17" s="177" t="str" cm="1">
        <f t="array" ref="DN17">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7" s="177" t="str" cm="1">
        <f t="array" ref="DO17">IF(
    factorsTable[[#This Row],[sortedIndex]] = "",
    "",
    IF(
      factorsTable[[#This Row],[langSpecFactor]] = "",
      UITranslateForValueTable("noTranslation", UITranslationTable[tag], UITranslationTable[], UITranslationTable[#Headers]),
      factorsTable[[#This Row],[langSpecFactor]]
    )
  )</f>
        <v/>
      </c>
      <c r="DP17" s="177" t="str">
        <f>IF(
    factorsTable[[#This Row],[sortedIndex]] = "",
    "",
    _xlfn.XLOOKUP(
      _xlfn.XLOOKUP(
        factorsTable[[#This Row],[sortedIndex]],
        factorsConfigTable[index],
        factorsConfigTable[RANASBlock],#REF!,
        0
      ),
      RANASBlocksTable[label],
      RANASBlocksTable[tag],
      NA(),
      0
    )
  )</f>
        <v/>
      </c>
      <c r="DQ17" s="177" t="str" cm="1">
        <f t="array" ref="DQ17">IF(
    factorsTable[[#This Row],[sortedIndex]] = "",
    "",
    _xlfn.IFNA(
      _xlfn.XLOOKUP(factorsTable[[#This Row],[RANASTag]], RANASBlocksTable[tag], RANASBlocksTable[langSpecLabel]),
      UITranslateForValueTable("noRANASBlock", UITranslationTable[tag], UITranslationTable[], UITranslationTable[#Headers])
    )
  )</f>
        <v/>
      </c>
      <c r="DR17"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7" s="177" t="str">
        <f>IF(
    factorsTable[[#This Row],[sortedIndex]] = "",
    "",
    _xlfn.XLOOKUP(factorsTable[[#This Row],[sortedIndex]], factorsTable[index], factorsTable[numTotal])
  )</f>
        <v/>
      </c>
      <c r="DT17" s="177" t="str">
        <f>IF(
    factorsTable[[#This Row],[sortedIndex]] = "",
    "",
    _xlfn.XLOOKUP(factorsTable[[#This Row],[sortedIndex]], factorsTable[index], factorsTable[nondoers])
  )</f>
        <v/>
      </c>
      <c r="DU17" s="177" t="str">
        <f>IF(
    factorsTable[[#This Row],[sortedIndex]] = "",
    "",
    _xlfn.XLOOKUP(factorsTable[[#This Row],[sortedIndex]], factorsTable[index], factorsTable[doers])
  )</f>
        <v/>
      </c>
      <c r="DV17" s="177" t="str">
        <f>IF(
    factorsTable[[#This Row],[sortedIndex]] = "",
    "",
    _xlfn.XLOOKUP(factorsTable[[#This Row],[sortedIndex]], factorsTable[index], factorsTable[difference])
  )</f>
        <v/>
      </c>
    </row>
    <row r="18" spans="5:126" ht="14.4" customHeight="1" x14ac:dyDescent="0.3">
      <c r="E18" s="187" cm="1">
        <f t="array" ref="E18">ROW()-ROW(UITranslationTable[#Headers])</f>
        <v>16</v>
      </c>
      <c r="F18" s="9" t="s">
        <v>322</v>
      </c>
      <c r="G18" s="191" t="s">
        <v>327</v>
      </c>
      <c r="H18" s="176" t="s">
        <v>328</v>
      </c>
      <c r="J18" s="1" cm="1">
        <f t="array" ref="J18">ROW()-ROW(errorMessagesTable[#Headers])</f>
        <v>16</v>
      </c>
      <c r="K18" s="1" t="s">
        <v>442</v>
      </c>
      <c r="L18" s="178" t="b" cm="1">
        <f t="array" aca="1" ref="L18" ca="1">errorRANASBlockMissing</f>
        <v>0</v>
      </c>
      <c r="M18" s="176" t="s">
        <v>350</v>
      </c>
      <c r="N18" s="176" t="s">
        <v>347</v>
      </c>
      <c r="O18" s="1" t="str" cm="1">
        <f t="array" aca="1" ref="O18" ca="1">FilterTrueColumn(errorMessagesTable[[#This Row],[index]], errorMessagesTable[index], errorMessagesTable[filteredIndex], errorMessagesTable[condition])</f>
        <v/>
      </c>
      <c r="P18" s="9" t="str" cm="1">
        <f t="array" aca="1" ref="P18"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8" s="9" t="str" cm="1">
        <f t="array" aca="1" ref="Q18" ca="1">IF(
    errorMessagesTable[[#This Row],[filteredIndex]] = "",
    "",
    IF(
      errorMessagesTable[[#This Row],[index]] = 1,
      "",
      INDEX(errorMessagesTable[concatErrors], errorMessagesTable[[#This Row],[index]]-1)
      &amp; CHAR(10) &amp; CHAR(10)
    )
    &amp; INDEX(errorMessagesTable[langSpecError], errorMessagesTable[[#This Row],[index]])
  )</f>
        <v/>
      </c>
      <c r="W18" s="177" cm="1">
        <f t="array" ref="W18">ROW()-ROW(structuredFormulaeTable[#Headers])</f>
        <v>16</v>
      </c>
      <c r="X18" s="1" t="s">
        <v>425</v>
      </c>
      <c r="Y18" s="1" t="s">
        <v>528</v>
      </c>
      <c r="Z18" s="1" t="str" cm="1">
        <f t="array" ref="Z18">behaviourMaxScore3</f>
        <v/>
      </c>
      <c r="AA18" s="178" t="s">
        <v>529</v>
      </c>
      <c r="AB18" s="164" t="s">
        <v>657</v>
      </c>
      <c r="CD18" s="1" cm="1">
        <f t="array" ref="CD18">ROW()-ROW(recommendedCutoffTable[#Headers])</f>
        <v>16</v>
      </c>
      <c r="CE18" s="183">
        <f>(recommendedCutoffTable[[#This Row],[index]] - 1) / 100</f>
        <v>0.15</v>
      </c>
      <c r="CF18" s="1" cm="1">
        <f t="array" ref="CF18">ABS(
    numScores
  - 2 * SUMPRODUCT((behaviourScore &lt;&gt; "") * (behaviourScore &lt; recommendedCutoffTable[[#This Row],[cutoffLevel]]))
  )</f>
        <v>0</v>
      </c>
      <c r="CM18" s="177" cm="1">
        <f t="array" ref="CM18">ROW()-ROW(factorsTable[#Headers])</f>
        <v>16</v>
      </c>
      <c r="CN18" s="177" t="str" cm="1">
        <f t="array" ref="CN18">KeepBlanksFunction(
    _xlfn.XLOOKUP(
      factorsTable[[#This Row],[index]],
      factorsConfigTable[index],
      factorsConfigTable[factorHeader],#REF!,
      0
    )
  )</f>
        <v/>
      </c>
      <c r="CO18" s="177" t="str">
        <f>IF(
    factorsTable[[#This Row],[factorHeader]] = "",
    "",
    _xlfn.IFNA(
      MATCH(factorsTable[[#This Row],[factorHeader]], dataHeaders, 0),
      _xlfn.IFNA(
        MATCH("*/" &amp; factorsTable[[#This Row],[factorHeader]], dataHeaders, 0),
        MATCH("*-" &amp; factorsTable[[#This Row],[factorHeader]], dataHeaders, 0)
      )
    )
  )</f>
        <v/>
      </c>
      <c r="CP18" s="177" t="str">
        <f>IF(
    factorsTable[[#This Row],[factorHeader]] = "",
    "",
    _xlfn.LET(
      _xlpm.tableValue,
      _xlfn.XLOOKUP(
        factorsTable[[#This Row],[index]],
        factorsConfigTable[index],
        factorsConfigTable[minScore],#REF!,
        0
      ),
      _xlpm.storedValue,
      IF(
        _xlpm.tableValue = "",
        NA(),
        _xlpm.tableValue
      ),
      _xlpm.storedValue
    )
  )</f>
        <v/>
      </c>
      <c r="CQ18" s="177" t="str">
        <f>IF(
    factorsTable[[#This Row],[factorHeader]] = "",
    "",
    _xlfn.LET(
      _xlpm.tableValue,
      _xlfn.XLOOKUP(
        factorsTable[[#This Row],[index]],
        factorsConfigTable[index],
        factorsConfigTable[maxScore],#REF!,
        0
      ),
      _xlpm.storedValue,
      IF(
        _xlpm.tableValue = "",
        NA(),
        _xlpm.tableValue
      ),
      _xlpm.storedValue
    )
  )</f>
        <v/>
      </c>
      <c r="CR18" s="177" t="str">
        <f>IF(
    factorsTable[[#This Row],[factorHeader]] = "",
    "",
    IF(
      ISERROR(factorsTable[[#This Row],[factorColNum]]),
      NA(),
      IF(
        ISNA(INDEX(dataRange,1,1)),
        NA(),
        MIN(INDEX(dataRange, , factorsTable[[#This Row],[factorColNum]]))
      )
    )
  )</f>
        <v/>
      </c>
      <c r="CS18" s="177" t="str">
        <f>IF(
    factorsTable[[#This Row],[factorHeader]] = "",
    "",
    IF(
      ISERROR(factorsTable[[#This Row],[factorColNum]]),
      NA(),
      IF(
        ISNA(INDEX(dataRange,1,1)),
        NA(),
        MAX(INDEX(dataRange, , factorsTable[[#This Row],[factorColNum]]))
      )
    )
  )</f>
        <v/>
      </c>
      <c r="CT18" s="177" t="b" cm="1">
        <f t="array" aca="1" ref="CT18" ca="1">AND(
    NOT(errorNoDataSheet),
    factorsTable[[#This Row],[factorHeader]] &lt;&gt; "",
    NOT(ISERROR(factorsTable[[#This Row],[factorColNum]])),
    IFERROR(factorsTable[[#This Row],[display]], FALSE),
    IFERROR(factorsTable[[#This Row],[minValue]] &lt; factorsTable[[#This Row],[minScore]], FALSE)
  )</f>
        <v>0</v>
      </c>
      <c r="CU18" s="177" t="b" cm="1">
        <f t="array" aca="1" ref="CU18" ca="1">AND(
    NOT(errorNoDataSheet),
    factorsTable[[#This Row],[factorHeader]] &lt;&gt; "",
    NOT(ISERROR(factorsTable[[#This Row],[factorColNum]])),
    IFERROR(factorsTable[[#This Row],[display]], FALSE),
    IFERROR(factorsTable[[#This Row],[maxValue]] &gt; factorsTable[[#This Row],[maxScore]], FALSE)
  )</f>
        <v>0</v>
      </c>
      <c r="CV18" s="177" t="str" cm="1">
        <f t="array" ref="CV18">IF(
    factorsTable[[#This Row],[factorHeader]] = "",
    "",
    IF(
      ISNA(INDEX(dataRange,1,1)),
      NA(),
      SUMPRODUCT(
          IF(isDoer = "", 0, NOT(isDoer))
        * (INDEX(dataRange, , factorsTable[[#This Row],[factorColNum]]) &lt;&gt; "")
      )
    )
  )</f>
        <v/>
      </c>
      <c r="CW18" s="177" t="str" cm="1">
        <f t="array" ref="CW18">IF(
    factorsTable[[#This Row],[factorHeader]] = "",
    "",
    IF(
      ISNA(INDEX(dataRange,1,1)),
      NA(),
      SUMPRODUCT(
          IF(isDoer = "", 0, isDoer)
        * (INDEX(dataRange, , factorsTable[[#This Row],[factorColNum]]) &lt;&gt; "")
      )
    )
  )</f>
        <v/>
      </c>
      <c r="CX18" s="177" t="str" cm="1">
        <f t="array" ref="CX18">IF(
    factorsTable[[#This Row],[factorHeader]] = "",
    "",
    IF(
      ISERROR(factorsTable[[#This Row],[factorColNum]]),
      UITranslateForValueTable("dataNotFound", UITranslationTable[tag], UITranslationTable[], UITranslationTable[#Headers]),
      factorsTable[[#This Row],[numDoers]] + factorsTable[[#This Row],[numNondoers]]
    )
  )</f>
        <v/>
      </c>
      <c r="CY18" s="177" t="str" cm="1">
        <f t="array" ref="CY1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8" s="177" t="str" cm="1">
        <f t="array" ref="CZ1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8" s="177" t="str">
        <f>IF(
    factorsTable[[#This Row],[factorHeader]] = "",
    "",
    factorsTable[[#This Row],[doers]] - factorsTable[[#This Row],[nondoers]]
  )</f>
        <v/>
      </c>
      <c r="DB18" s="177" t="str">
        <f>IF(
    factorsTable[[#This Row],[factorHeader]] = "",
    "",
    _xlfn.XLOOKUP(
      _xlfn.XLOOKUP(
        factorsTable[[#This Row],[index]],
        factorsConfigTable[index],
        factorsConfigTable[displayConfig],#REF!,
        0
      ),
      yesNoTable[label],
      yesNoTable[tag],
      "",
      0
    )
  )</f>
        <v/>
      </c>
      <c r="DC18" s="177" t="b">
        <f>IF(
    factorsTable[[#This Row],[factorHeader]] = "",
    FALSE,
    IF(
      factorsTable[[#This Row],[displayConfig]] = "yes",
      TRUE,
      IF(
        factorsTable[[#This Row],[displayConfig]] = "no",
        FALSE,
        NA()
      )
    )
  )</f>
        <v>0</v>
      </c>
      <c r="DD18" s="177" t="str" cm="1">
        <f t="array" ref="DD18">FilterTrueColumn(factorsTable[[#This Row],[index]], factorsTable[index], factorsTable[filteredIndex], factorsTable[display])</f>
        <v/>
      </c>
      <c r="DE18" s="177" t="str">
        <f>IF(
    factorsTable[[#This Row],[filteredIndex]] = "",
    "",
    _xlfn.IFNA(
      _xlfn.XLOOKUP(factorsTable[[#This Row],[filteredIndex]], factorsTable[index], factorsTable[difference]),
      -99
    )
  )</f>
        <v/>
      </c>
      <c r="DF18" s="177" t="str">
        <f>IF(
    factorsTable[[#This Row],[filteredIndex]] = "",
    "",
    IF(
      factorsTable[[#This Row],[relDiff]] = -99,
      -99,
      ABS(factorsTable[[#This Row],[relDiff]])
    )
  )</f>
        <v/>
      </c>
      <c r="DG18" s="177" t="str">
        <f>IF(
    factorsTable[[#This Row],[filteredIndex]] = "",
    "",
    _xlfn.XLOOKUP(
      _xlfn.XLOOKUP(
        factorsTable[[#This Row],[filteredIndex]],
        factorsConfigTable[index],
        factorsConfigTable[RANASBlock],#REF!,
        0
      ),
      RANASBlocksTable[label],
      RANASBlocksTable[index],
      6,
      0
    )
  )</f>
        <v/>
      </c>
      <c r="DH18" s="177" t="str">
        <f>IF(
    factorsTable[[#This Row],[filteredIndex]] = "",
    "",
    _xlfn.RANK.EQ(factorsTable[[#This Row],[relDiff]], factorsTable[relDiff], 0)
  )</f>
        <v/>
      </c>
      <c r="DI18" s="177" t="str">
        <f>IF(
    factorsTable[[#This Row],[filteredIndex]] = "",
    "",
    _xlfn.RANK.EQ(factorsTable[[#This Row],[absDiff]], factorsTable[absDiff], 0)
  )</f>
        <v/>
      </c>
      <c r="DJ18" s="177" t="str">
        <f>IF(
    factorsTable[[#This Row],[filteredIndex]] = "",
    "",
    _xlfn.RANK.EQ(factorsTable[[#This Row],[RANASIndex]], factorsTable[RANASIndex], 1)
  )</f>
        <v/>
      </c>
      <c r="DK18" s="177" t="str" cm="1">
        <f t="array" ref="DK18">_xlfn.SWITCH(
    sortingMethodTag,
    "none", factorsTable[[#This Row],[filteredIndex]],
    "relDiff", factorsTable[[#This Row],[relDiffRank]],
    "absDiff", factorsTable[[#This Row],[absDiffRank]],
    "RANAS", factorsTable[[#This Row],[RANASRank]],
    factorsTable[[#This Row],[filteredIndex]]
  )</f>
        <v/>
      </c>
      <c r="DL18" s="177" t="str">
        <f>IF(
    factorsTable[[#This Row],[filteredIndex]] = "",
    "",
    factorsTable[[#This Row],[selectedRank]]
      + COUNTIF(INDEX(factorsTable[selectedRank], 1):INDEX(factorsTable[selectedRank], factorsTable[[#This Row],[index]]), factorsTable[[#This Row],[selectedRank]])
      - 1
  )</f>
        <v/>
      </c>
      <c r="DM18" s="177" t="str">
        <f>IF(
    factorsTable[[#This Row],[filteredIndex]] = "",
    "",
    _xlfn.XLOOKUP(
      factorsTable[[#This Row],[index]],
      factorsTable[uniqueRank],
      factorsTable[filteredIndex],#REF!,
      0
    )
  )</f>
        <v/>
      </c>
      <c r="DN18" s="177" t="str" cm="1">
        <f t="array" ref="DN18">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8" s="177" t="str" cm="1">
        <f t="array" ref="DO18">IF(
    factorsTable[[#This Row],[sortedIndex]] = "",
    "",
    IF(
      factorsTable[[#This Row],[langSpecFactor]] = "",
      UITranslateForValueTable("noTranslation", UITranslationTable[tag], UITranslationTable[], UITranslationTable[#Headers]),
      factorsTable[[#This Row],[langSpecFactor]]
    )
  )</f>
        <v/>
      </c>
      <c r="DP18" s="177" t="str">
        <f>IF(
    factorsTable[[#This Row],[sortedIndex]] = "",
    "",
    _xlfn.XLOOKUP(
      _xlfn.XLOOKUP(
        factorsTable[[#This Row],[sortedIndex]],
        factorsConfigTable[index],
        factorsConfigTable[RANASBlock],#REF!,
        0
      ),
      RANASBlocksTable[label],
      RANASBlocksTable[tag],
      NA(),
      0
    )
  )</f>
        <v/>
      </c>
      <c r="DQ18" s="177" t="str" cm="1">
        <f t="array" ref="DQ18">IF(
    factorsTable[[#This Row],[sortedIndex]] = "",
    "",
    _xlfn.IFNA(
      _xlfn.XLOOKUP(factorsTable[[#This Row],[RANASTag]], RANASBlocksTable[tag], RANASBlocksTable[langSpecLabel]),
      UITranslateForValueTable("noRANASBlock", UITranslationTable[tag], UITranslationTable[], UITranslationTable[#Headers])
    )
  )</f>
        <v/>
      </c>
      <c r="DR18"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8" s="177" t="str">
        <f>IF(
    factorsTable[[#This Row],[sortedIndex]] = "",
    "",
    _xlfn.XLOOKUP(factorsTable[[#This Row],[sortedIndex]], factorsTable[index], factorsTable[numTotal])
  )</f>
        <v/>
      </c>
      <c r="DT18" s="177" t="str">
        <f>IF(
    factorsTable[[#This Row],[sortedIndex]] = "",
    "",
    _xlfn.XLOOKUP(factorsTable[[#This Row],[sortedIndex]], factorsTable[index], factorsTable[nondoers])
  )</f>
        <v/>
      </c>
      <c r="DU18" s="177" t="str">
        <f>IF(
    factorsTable[[#This Row],[sortedIndex]] = "",
    "",
    _xlfn.XLOOKUP(factorsTable[[#This Row],[sortedIndex]], factorsTable[index], factorsTable[doers])
  )</f>
        <v/>
      </c>
      <c r="DV18" s="177" t="str">
        <f>IF(
    factorsTable[[#This Row],[sortedIndex]] = "",
    "",
    _xlfn.XLOOKUP(factorsTable[[#This Row],[sortedIndex]], factorsTable[index], factorsTable[difference])
  )</f>
        <v/>
      </c>
    </row>
    <row r="19" spans="5:126" ht="14.4" customHeight="1" x14ac:dyDescent="0.3">
      <c r="E19" s="187" cm="1">
        <f t="array" ref="E19">ROW()-ROW(UITranslationTable[#Headers])</f>
        <v>17</v>
      </c>
      <c r="F19" s="9" t="s">
        <v>325</v>
      </c>
      <c r="G19" s="191" t="s">
        <v>324</v>
      </c>
      <c r="H19" s="176" t="s">
        <v>337</v>
      </c>
      <c r="J19" s="1" cm="1">
        <f t="array" ref="J19">ROW()-ROW(errorMessagesTable[#Headers])</f>
        <v>17</v>
      </c>
      <c r="K19" s="1" t="s">
        <v>445</v>
      </c>
      <c r="L19" s="1" t="b" cm="1">
        <f t="array" aca="1" ref="L19" ca="1">errorFactorTranslationMissing</f>
        <v>0</v>
      </c>
      <c r="M19" s="176" t="s">
        <v>552</v>
      </c>
      <c r="N19" s="176" t="s">
        <v>553</v>
      </c>
      <c r="O19" s="1" t="str" cm="1">
        <f t="array" aca="1" ref="O19" ca="1">FilterTrueColumn(errorMessagesTable[[#This Row],[index]], errorMessagesTable[index], errorMessagesTable[filteredIndex], errorMessagesTable[condition])</f>
        <v/>
      </c>
      <c r="P19" s="9" t="str" cm="1">
        <f t="array" aca="1" ref="P19"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9" s="9" t="str" cm="1">
        <f t="array" aca="1" ref="Q19" ca="1">IF(
    errorMessagesTable[[#This Row],[filteredIndex]] = "",
    "",
    IF(
      errorMessagesTable[[#This Row],[index]] = 1,
      "",
      INDEX(errorMessagesTable[concatErrors], errorMessagesTable[[#This Row],[index]]-1)
      &amp; CHAR(10) &amp; CHAR(10)
    )
    &amp; INDEX(errorMessagesTable[langSpecError], errorMessagesTable[[#This Row],[index]])
  )</f>
        <v/>
      </c>
      <c r="W19" s="177" cm="1">
        <f t="array" ref="W19">ROW()-ROW(structuredFormulaeTable[#Headers])</f>
        <v>17</v>
      </c>
      <c r="X19" s="1" t="s">
        <v>425</v>
      </c>
      <c r="Y19" s="1" t="s">
        <v>530</v>
      </c>
      <c r="Z19" s="1" t="str" cm="1">
        <f t="array" ref="Z19">behaviourMaxScore4</f>
        <v/>
      </c>
      <c r="AA19" s="178" t="s">
        <v>531</v>
      </c>
      <c r="AB19" s="164" t="s">
        <v>658</v>
      </c>
      <c r="CD19" s="1" cm="1">
        <f t="array" ref="CD19">ROW()-ROW(recommendedCutoffTable[#Headers])</f>
        <v>17</v>
      </c>
      <c r="CE19" s="183">
        <f>(recommendedCutoffTable[[#This Row],[index]] - 1) / 100</f>
        <v>0.16</v>
      </c>
      <c r="CF19" s="1" cm="1">
        <f t="array" ref="CF19">ABS(
    numScores
  - 2 * SUMPRODUCT((behaviourScore &lt;&gt; "") * (behaviourScore &lt; recommendedCutoffTable[[#This Row],[cutoffLevel]]))
  )</f>
        <v>0</v>
      </c>
      <c r="CM19" s="177" cm="1">
        <f t="array" ref="CM19">ROW()-ROW(factorsTable[#Headers])</f>
        <v>17</v>
      </c>
      <c r="CN19" s="177" t="str" cm="1">
        <f t="array" ref="CN19">KeepBlanksFunction(
    _xlfn.XLOOKUP(
      factorsTable[[#This Row],[index]],
      factorsConfigTable[index],
      factorsConfigTable[factorHeader],#REF!,
      0
    )
  )</f>
        <v/>
      </c>
      <c r="CO19" s="177" t="str">
        <f>IF(
    factorsTable[[#This Row],[factorHeader]] = "",
    "",
    _xlfn.IFNA(
      MATCH(factorsTable[[#This Row],[factorHeader]], dataHeaders, 0),
      _xlfn.IFNA(
        MATCH("*/" &amp; factorsTable[[#This Row],[factorHeader]], dataHeaders, 0),
        MATCH("*-" &amp; factorsTable[[#This Row],[factorHeader]], dataHeaders, 0)
      )
    )
  )</f>
        <v/>
      </c>
      <c r="CP19" s="177" t="str">
        <f>IF(
    factorsTable[[#This Row],[factorHeader]] = "",
    "",
    _xlfn.LET(
      _xlpm.tableValue,
      _xlfn.XLOOKUP(
        factorsTable[[#This Row],[index]],
        factorsConfigTable[index],
        factorsConfigTable[minScore],#REF!,
        0
      ),
      _xlpm.storedValue,
      IF(
        _xlpm.tableValue = "",
        NA(),
        _xlpm.tableValue
      ),
      _xlpm.storedValue
    )
  )</f>
        <v/>
      </c>
      <c r="CQ19" s="177" t="str">
        <f>IF(
    factorsTable[[#This Row],[factorHeader]] = "",
    "",
    _xlfn.LET(
      _xlpm.tableValue,
      _xlfn.XLOOKUP(
        factorsTable[[#This Row],[index]],
        factorsConfigTable[index],
        factorsConfigTable[maxScore],#REF!,
        0
      ),
      _xlpm.storedValue,
      IF(
        _xlpm.tableValue = "",
        NA(),
        _xlpm.tableValue
      ),
      _xlpm.storedValue
    )
  )</f>
        <v/>
      </c>
      <c r="CR19" s="177" t="str">
        <f>IF(
    factorsTable[[#This Row],[factorHeader]] = "",
    "",
    IF(
      ISERROR(factorsTable[[#This Row],[factorColNum]]),
      NA(),
      IF(
        ISNA(INDEX(dataRange,1,1)),
        NA(),
        MIN(INDEX(dataRange, , factorsTable[[#This Row],[factorColNum]]))
      )
    )
  )</f>
        <v/>
      </c>
      <c r="CS19" s="177" t="str">
        <f>IF(
    factorsTable[[#This Row],[factorHeader]] = "",
    "",
    IF(
      ISERROR(factorsTable[[#This Row],[factorColNum]]),
      NA(),
      IF(
        ISNA(INDEX(dataRange,1,1)),
        NA(),
        MAX(INDEX(dataRange, , factorsTable[[#This Row],[factorColNum]]))
      )
    )
  )</f>
        <v/>
      </c>
      <c r="CT19" s="177" t="b" cm="1">
        <f t="array" aca="1" ref="CT19" ca="1">AND(
    NOT(errorNoDataSheet),
    factorsTable[[#This Row],[factorHeader]] &lt;&gt; "",
    NOT(ISERROR(factorsTable[[#This Row],[factorColNum]])),
    IFERROR(factorsTable[[#This Row],[display]], FALSE),
    IFERROR(factorsTable[[#This Row],[minValue]] &lt; factorsTable[[#This Row],[minScore]], FALSE)
  )</f>
        <v>0</v>
      </c>
      <c r="CU19" s="177" t="b" cm="1">
        <f t="array" aca="1" ref="CU19" ca="1">AND(
    NOT(errorNoDataSheet),
    factorsTable[[#This Row],[factorHeader]] &lt;&gt; "",
    NOT(ISERROR(factorsTable[[#This Row],[factorColNum]])),
    IFERROR(factorsTable[[#This Row],[display]], FALSE),
    IFERROR(factorsTable[[#This Row],[maxValue]] &gt; factorsTable[[#This Row],[maxScore]], FALSE)
  )</f>
        <v>0</v>
      </c>
      <c r="CV19" s="177" t="str" cm="1">
        <f t="array" ref="CV19">IF(
    factorsTable[[#This Row],[factorHeader]] = "",
    "",
    IF(
      ISNA(INDEX(dataRange,1,1)),
      NA(),
      SUMPRODUCT(
          IF(isDoer = "", 0, NOT(isDoer))
        * (INDEX(dataRange, , factorsTable[[#This Row],[factorColNum]]) &lt;&gt; "")
      )
    )
  )</f>
        <v/>
      </c>
      <c r="CW19" s="177" t="str" cm="1">
        <f t="array" ref="CW19">IF(
    factorsTable[[#This Row],[factorHeader]] = "",
    "",
    IF(
      ISNA(INDEX(dataRange,1,1)),
      NA(),
      SUMPRODUCT(
          IF(isDoer = "", 0, isDoer)
        * (INDEX(dataRange, , factorsTable[[#This Row],[factorColNum]]) &lt;&gt; "")
      )
    )
  )</f>
        <v/>
      </c>
      <c r="CX19" s="177" t="str" cm="1">
        <f t="array" ref="CX19">IF(
    factorsTable[[#This Row],[factorHeader]] = "",
    "",
    IF(
      ISERROR(factorsTable[[#This Row],[factorColNum]]),
      UITranslateForValueTable("dataNotFound", UITranslationTable[tag], UITranslationTable[], UITranslationTable[#Headers]),
      factorsTable[[#This Row],[numDoers]] + factorsTable[[#This Row],[numNondoers]]
    )
  )</f>
        <v/>
      </c>
      <c r="CY19" s="177" t="str" cm="1">
        <f t="array" ref="CY1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9" s="177" t="str" cm="1">
        <f t="array" ref="CZ1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9" s="177" t="str">
        <f>IF(
    factorsTable[[#This Row],[factorHeader]] = "",
    "",
    factorsTable[[#This Row],[doers]] - factorsTable[[#This Row],[nondoers]]
  )</f>
        <v/>
      </c>
      <c r="DB19" s="177" t="str">
        <f>IF(
    factorsTable[[#This Row],[factorHeader]] = "",
    "",
    _xlfn.XLOOKUP(
      _xlfn.XLOOKUP(
        factorsTable[[#This Row],[index]],
        factorsConfigTable[index],
        factorsConfigTable[displayConfig],#REF!,
        0
      ),
      yesNoTable[label],
      yesNoTable[tag],
      "",
      0
    )
  )</f>
        <v/>
      </c>
      <c r="DC19" s="177" t="b">
        <f>IF(
    factorsTable[[#This Row],[factorHeader]] = "",
    FALSE,
    IF(
      factorsTable[[#This Row],[displayConfig]] = "yes",
      TRUE,
      IF(
        factorsTable[[#This Row],[displayConfig]] = "no",
        FALSE,
        NA()
      )
    )
  )</f>
        <v>0</v>
      </c>
      <c r="DD19" s="177" t="str" cm="1">
        <f t="array" ref="DD19">FilterTrueColumn(factorsTable[[#This Row],[index]], factorsTable[index], factorsTable[filteredIndex], factorsTable[display])</f>
        <v/>
      </c>
      <c r="DE19" s="177" t="str">
        <f>IF(
    factorsTable[[#This Row],[filteredIndex]] = "",
    "",
    _xlfn.IFNA(
      _xlfn.XLOOKUP(factorsTable[[#This Row],[filteredIndex]], factorsTable[index], factorsTable[difference]),
      -99
    )
  )</f>
        <v/>
      </c>
      <c r="DF19" s="177" t="str">
        <f>IF(
    factorsTable[[#This Row],[filteredIndex]] = "",
    "",
    IF(
      factorsTable[[#This Row],[relDiff]] = -99,
      -99,
      ABS(factorsTable[[#This Row],[relDiff]])
    )
  )</f>
        <v/>
      </c>
      <c r="DG19" s="177" t="str">
        <f>IF(
    factorsTable[[#This Row],[filteredIndex]] = "",
    "",
    _xlfn.XLOOKUP(
      _xlfn.XLOOKUP(
        factorsTable[[#This Row],[filteredIndex]],
        factorsConfigTable[index],
        factorsConfigTable[RANASBlock],#REF!,
        0
      ),
      RANASBlocksTable[label],
      RANASBlocksTable[index],
      6,
      0
    )
  )</f>
        <v/>
      </c>
      <c r="DH19" s="177" t="str">
        <f>IF(
    factorsTable[[#This Row],[filteredIndex]] = "",
    "",
    _xlfn.RANK.EQ(factorsTable[[#This Row],[relDiff]], factorsTable[relDiff], 0)
  )</f>
        <v/>
      </c>
      <c r="DI19" s="177" t="str">
        <f>IF(
    factorsTable[[#This Row],[filteredIndex]] = "",
    "",
    _xlfn.RANK.EQ(factorsTable[[#This Row],[absDiff]], factorsTable[absDiff], 0)
  )</f>
        <v/>
      </c>
      <c r="DJ19" s="177" t="str">
        <f>IF(
    factorsTable[[#This Row],[filteredIndex]] = "",
    "",
    _xlfn.RANK.EQ(factorsTable[[#This Row],[RANASIndex]], factorsTable[RANASIndex], 1)
  )</f>
        <v/>
      </c>
      <c r="DK19" s="177" t="str" cm="1">
        <f t="array" ref="DK19">_xlfn.SWITCH(
    sortingMethodTag,
    "none", factorsTable[[#This Row],[filteredIndex]],
    "relDiff", factorsTable[[#This Row],[relDiffRank]],
    "absDiff", factorsTable[[#This Row],[absDiffRank]],
    "RANAS", factorsTable[[#This Row],[RANASRank]],
    factorsTable[[#This Row],[filteredIndex]]
  )</f>
        <v/>
      </c>
      <c r="DL19" s="177" t="str">
        <f>IF(
    factorsTable[[#This Row],[filteredIndex]] = "",
    "",
    factorsTable[[#This Row],[selectedRank]]
      + COUNTIF(INDEX(factorsTable[selectedRank], 1):INDEX(factorsTable[selectedRank], factorsTable[[#This Row],[index]]), factorsTable[[#This Row],[selectedRank]])
      - 1
  )</f>
        <v/>
      </c>
      <c r="DM19" s="177" t="str">
        <f>IF(
    factorsTable[[#This Row],[filteredIndex]] = "",
    "",
    _xlfn.XLOOKUP(
      factorsTable[[#This Row],[index]],
      factorsTable[uniqueRank],
      factorsTable[filteredIndex],#REF!,
      0
    )
  )</f>
        <v/>
      </c>
      <c r="DN19" s="177" t="str" cm="1">
        <f t="array" ref="DN19">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19" s="177" t="str" cm="1">
        <f t="array" ref="DO19">IF(
    factorsTable[[#This Row],[sortedIndex]] = "",
    "",
    IF(
      factorsTable[[#This Row],[langSpecFactor]] = "",
      UITranslateForValueTable("noTranslation", UITranslationTable[tag], UITranslationTable[], UITranslationTable[#Headers]),
      factorsTable[[#This Row],[langSpecFactor]]
    )
  )</f>
        <v/>
      </c>
      <c r="DP19" s="177" t="str">
        <f>IF(
    factorsTable[[#This Row],[sortedIndex]] = "",
    "",
    _xlfn.XLOOKUP(
      _xlfn.XLOOKUP(
        factorsTable[[#This Row],[sortedIndex]],
        factorsConfigTable[index],
        factorsConfigTable[RANASBlock],#REF!,
        0
      ),
      RANASBlocksTable[label],
      RANASBlocksTable[tag],
      NA(),
      0
    )
  )</f>
        <v/>
      </c>
      <c r="DQ19" s="177" t="str" cm="1">
        <f t="array" ref="DQ19">IF(
    factorsTable[[#This Row],[sortedIndex]] = "",
    "",
    _xlfn.IFNA(
      _xlfn.XLOOKUP(factorsTable[[#This Row],[RANASTag]], RANASBlocksTable[tag], RANASBlocksTable[langSpecLabel]),
      UITranslateForValueTable("noRANASBlock", UITranslationTable[tag], UITranslationTable[], UITranslationTable[#Headers])
    )
  )</f>
        <v/>
      </c>
      <c r="DR19"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19" s="177" t="str">
        <f>IF(
    factorsTable[[#This Row],[sortedIndex]] = "",
    "",
    _xlfn.XLOOKUP(factorsTable[[#This Row],[sortedIndex]], factorsTable[index], factorsTable[numTotal])
  )</f>
        <v/>
      </c>
      <c r="DT19" s="177" t="str">
        <f>IF(
    factorsTable[[#This Row],[sortedIndex]] = "",
    "",
    _xlfn.XLOOKUP(factorsTable[[#This Row],[sortedIndex]], factorsTable[index], factorsTable[nondoers])
  )</f>
        <v/>
      </c>
      <c r="DU19" s="177" t="str">
        <f>IF(
    factorsTable[[#This Row],[sortedIndex]] = "",
    "",
    _xlfn.XLOOKUP(factorsTable[[#This Row],[sortedIndex]], factorsTable[index], factorsTable[doers])
  )</f>
        <v/>
      </c>
      <c r="DV19" s="177" t="str">
        <f>IF(
    factorsTable[[#This Row],[sortedIndex]] = "",
    "",
    _xlfn.XLOOKUP(factorsTable[[#This Row],[sortedIndex]], factorsTable[index], factorsTable[difference])
  )</f>
        <v/>
      </c>
    </row>
    <row r="20" spans="5:126" ht="14.4" customHeight="1" x14ac:dyDescent="0.3">
      <c r="E20" s="187" cm="1">
        <f t="array" ref="E20">ROW()-ROW(UITranslationTable[#Headers])</f>
        <v>18</v>
      </c>
      <c r="F20" s="9" t="s">
        <v>326</v>
      </c>
      <c r="G20" s="191"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176"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s="1" cm="1">
        <f t="array" ref="J20">ROW()-ROW(errorMessagesTable[#Headers])</f>
        <v>18</v>
      </c>
      <c r="K20" s="1" t="s">
        <v>446</v>
      </c>
      <c r="L20" s="1" t="b" cm="1">
        <f t="array" aca="1" ref="L20" ca="1">errorChartTranslationMissing</f>
        <v>0</v>
      </c>
      <c r="M20" s="176" t="s">
        <v>251</v>
      </c>
      <c r="N20" s="176" t="s">
        <v>252</v>
      </c>
      <c r="O20" s="1" t="str" cm="1">
        <f t="array" aca="1" ref="O20" ca="1">FilterTrueColumn(errorMessagesTable[[#This Row],[index]], errorMessagesTable[index], errorMessagesTable[filteredIndex], errorMessagesTable[condition])</f>
        <v/>
      </c>
      <c r="P20" s="9" t="str" cm="1">
        <f t="array" aca="1" ref="P20"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0" s="9" t="str" cm="1">
        <f t="array" aca="1" ref="Q20" ca="1">IF(
    errorMessagesTable[[#This Row],[filteredIndex]] = "",
    "",
    IF(
      errorMessagesTable[[#This Row],[index]] = 1,
      "",
      INDEX(errorMessagesTable[concatErrors], errorMessagesTable[[#This Row],[index]]-1)
      &amp; CHAR(10) &amp; CHAR(10)
    )
    &amp; INDEX(errorMessagesTable[langSpecError], errorMessagesTable[[#This Row],[index]])
  )</f>
        <v/>
      </c>
      <c r="W20" s="177" cm="1">
        <f t="array" ref="W20">ROW()-ROW(structuredFormulaeTable[#Headers])</f>
        <v>18</v>
      </c>
      <c r="X20" s="1" t="s">
        <v>425</v>
      </c>
      <c r="Y20" s="1" t="s">
        <v>532</v>
      </c>
      <c r="Z20" s="1" t="str" cm="1">
        <f t="array" ref="Z20">behaviourMaxScore5</f>
        <v/>
      </c>
      <c r="AA20" s="178" t="s">
        <v>533</v>
      </c>
      <c r="AB20" s="164" t="s">
        <v>659</v>
      </c>
      <c r="CD20" s="1" cm="1">
        <f t="array" ref="CD20">ROW()-ROW(recommendedCutoffTable[#Headers])</f>
        <v>18</v>
      </c>
      <c r="CE20" s="183">
        <f>(recommendedCutoffTable[[#This Row],[index]] - 1) / 100</f>
        <v>0.17</v>
      </c>
      <c r="CF20" s="1" cm="1">
        <f t="array" ref="CF20">ABS(
    numScores
  - 2 * SUMPRODUCT((behaviourScore &lt;&gt; "") * (behaviourScore &lt; recommendedCutoffTable[[#This Row],[cutoffLevel]]))
  )</f>
        <v>0</v>
      </c>
      <c r="CM20" s="177" cm="1">
        <f t="array" ref="CM20">ROW()-ROW(factorsTable[#Headers])</f>
        <v>18</v>
      </c>
      <c r="CN20" s="177" t="str" cm="1">
        <f t="array" ref="CN20">KeepBlanksFunction(
    _xlfn.XLOOKUP(
      factorsTable[[#This Row],[index]],
      factorsConfigTable[index],
      factorsConfigTable[factorHeader],#REF!,
      0
    )
  )</f>
        <v/>
      </c>
      <c r="CO20" s="177" t="str">
        <f>IF(
    factorsTable[[#This Row],[factorHeader]] = "",
    "",
    _xlfn.IFNA(
      MATCH(factorsTable[[#This Row],[factorHeader]], dataHeaders, 0),
      _xlfn.IFNA(
        MATCH("*/" &amp; factorsTable[[#This Row],[factorHeader]], dataHeaders, 0),
        MATCH("*-" &amp; factorsTable[[#This Row],[factorHeader]], dataHeaders, 0)
      )
    )
  )</f>
        <v/>
      </c>
      <c r="CP20" s="177" t="str">
        <f>IF(
    factorsTable[[#This Row],[factorHeader]] = "",
    "",
    _xlfn.LET(
      _xlpm.tableValue,
      _xlfn.XLOOKUP(
        factorsTable[[#This Row],[index]],
        factorsConfigTable[index],
        factorsConfigTable[minScore],#REF!,
        0
      ),
      _xlpm.storedValue,
      IF(
        _xlpm.tableValue = "",
        NA(),
        _xlpm.tableValue
      ),
      _xlpm.storedValue
    )
  )</f>
        <v/>
      </c>
      <c r="CQ20" s="177" t="str">
        <f>IF(
    factorsTable[[#This Row],[factorHeader]] = "",
    "",
    _xlfn.LET(
      _xlpm.tableValue,
      _xlfn.XLOOKUP(
        factorsTable[[#This Row],[index]],
        factorsConfigTable[index],
        factorsConfigTable[maxScore],#REF!,
        0
      ),
      _xlpm.storedValue,
      IF(
        _xlpm.tableValue = "",
        NA(),
        _xlpm.tableValue
      ),
      _xlpm.storedValue
    )
  )</f>
        <v/>
      </c>
      <c r="CR20" s="177" t="str">
        <f>IF(
    factorsTable[[#This Row],[factorHeader]] = "",
    "",
    IF(
      ISERROR(factorsTable[[#This Row],[factorColNum]]),
      NA(),
      IF(
        ISNA(INDEX(dataRange,1,1)),
        NA(),
        MIN(INDEX(dataRange, , factorsTable[[#This Row],[factorColNum]]))
      )
    )
  )</f>
        <v/>
      </c>
      <c r="CS20" s="177" t="str">
        <f>IF(
    factorsTable[[#This Row],[factorHeader]] = "",
    "",
    IF(
      ISERROR(factorsTable[[#This Row],[factorColNum]]),
      NA(),
      IF(
        ISNA(INDEX(dataRange,1,1)),
        NA(),
        MAX(INDEX(dataRange, , factorsTable[[#This Row],[factorColNum]]))
      )
    )
  )</f>
        <v/>
      </c>
      <c r="CT20" s="177" t="b" cm="1">
        <f t="array" aca="1" ref="CT20" ca="1">AND(
    NOT(errorNoDataSheet),
    factorsTable[[#This Row],[factorHeader]] &lt;&gt; "",
    NOT(ISERROR(factorsTable[[#This Row],[factorColNum]])),
    IFERROR(factorsTable[[#This Row],[display]], FALSE),
    IFERROR(factorsTable[[#This Row],[minValue]] &lt; factorsTable[[#This Row],[minScore]], FALSE)
  )</f>
        <v>0</v>
      </c>
      <c r="CU20" s="177" t="b" cm="1">
        <f t="array" aca="1" ref="CU20" ca="1">AND(
    NOT(errorNoDataSheet),
    factorsTable[[#This Row],[factorHeader]] &lt;&gt; "",
    NOT(ISERROR(factorsTable[[#This Row],[factorColNum]])),
    IFERROR(factorsTable[[#This Row],[display]], FALSE),
    IFERROR(factorsTable[[#This Row],[maxValue]] &gt; factorsTable[[#This Row],[maxScore]], FALSE)
  )</f>
        <v>0</v>
      </c>
      <c r="CV20" s="177" t="str" cm="1">
        <f t="array" ref="CV20">IF(
    factorsTable[[#This Row],[factorHeader]] = "",
    "",
    IF(
      ISNA(INDEX(dataRange,1,1)),
      NA(),
      SUMPRODUCT(
          IF(isDoer = "", 0, NOT(isDoer))
        * (INDEX(dataRange, , factorsTable[[#This Row],[factorColNum]]) &lt;&gt; "")
      )
    )
  )</f>
        <v/>
      </c>
      <c r="CW20" s="177" t="str" cm="1">
        <f t="array" ref="CW20">IF(
    factorsTable[[#This Row],[factorHeader]] = "",
    "",
    IF(
      ISNA(INDEX(dataRange,1,1)),
      NA(),
      SUMPRODUCT(
          IF(isDoer = "", 0, isDoer)
        * (INDEX(dataRange, , factorsTable[[#This Row],[factorColNum]]) &lt;&gt; "")
      )
    )
  )</f>
        <v/>
      </c>
      <c r="CX20" s="177" t="str" cm="1">
        <f t="array" ref="CX20">IF(
    factorsTable[[#This Row],[factorHeader]] = "",
    "",
    IF(
      ISERROR(factorsTable[[#This Row],[factorColNum]]),
      UITranslateForValueTable("dataNotFound", UITranslationTable[tag], UITranslationTable[], UITranslationTable[#Headers]),
      factorsTable[[#This Row],[numDoers]] + factorsTable[[#This Row],[numNondoers]]
    )
  )</f>
        <v/>
      </c>
      <c r="CY20" s="177" t="str" cm="1">
        <f t="array" ref="CY2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0" s="177" t="str" cm="1">
        <f t="array" ref="CZ2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0" s="177" t="str">
        <f>IF(
    factorsTable[[#This Row],[factorHeader]] = "",
    "",
    factorsTable[[#This Row],[doers]] - factorsTable[[#This Row],[nondoers]]
  )</f>
        <v/>
      </c>
      <c r="DB20" s="177" t="str">
        <f>IF(
    factorsTable[[#This Row],[factorHeader]] = "",
    "",
    _xlfn.XLOOKUP(
      _xlfn.XLOOKUP(
        factorsTable[[#This Row],[index]],
        factorsConfigTable[index],
        factorsConfigTable[displayConfig],#REF!,
        0
      ),
      yesNoTable[label],
      yesNoTable[tag],
      "",
      0
    )
  )</f>
        <v/>
      </c>
      <c r="DC20" s="177" t="b">
        <f>IF(
    factorsTable[[#This Row],[factorHeader]] = "",
    FALSE,
    IF(
      factorsTable[[#This Row],[displayConfig]] = "yes",
      TRUE,
      IF(
        factorsTable[[#This Row],[displayConfig]] = "no",
        FALSE,
        NA()
      )
    )
  )</f>
        <v>0</v>
      </c>
      <c r="DD20" s="177" t="str" cm="1">
        <f t="array" ref="DD20">FilterTrueColumn(factorsTable[[#This Row],[index]], factorsTable[index], factorsTable[filteredIndex], factorsTable[display])</f>
        <v/>
      </c>
      <c r="DE20" s="177" t="str">
        <f>IF(
    factorsTable[[#This Row],[filteredIndex]] = "",
    "",
    _xlfn.IFNA(
      _xlfn.XLOOKUP(factorsTable[[#This Row],[filteredIndex]], factorsTable[index], factorsTable[difference]),
      -99
    )
  )</f>
        <v/>
      </c>
      <c r="DF20" s="177" t="str">
        <f>IF(
    factorsTable[[#This Row],[filteredIndex]] = "",
    "",
    IF(
      factorsTable[[#This Row],[relDiff]] = -99,
      -99,
      ABS(factorsTable[[#This Row],[relDiff]])
    )
  )</f>
        <v/>
      </c>
      <c r="DG20" s="177" t="str">
        <f>IF(
    factorsTable[[#This Row],[filteredIndex]] = "",
    "",
    _xlfn.XLOOKUP(
      _xlfn.XLOOKUP(
        factorsTable[[#This Row],[filteredIndex]],
        factorsConfigTable[index],
        factorsConfigTable[RANASBlock],#REF!,
        0
      ),
      RANASBlocksTable[label],
      RANASBlocksTable[index],
      6,
      0
    )
  )</f>
        <v/>
      </c>
      <c r="DH20" s="177" t="str">
        <f>IF(
    factorsTable[[#This Row],[filteredIndex]] = "",
    "",
    _xlfn.RANK.EQ(factorsTable[[#This Row],[relDiff]], factorsTable[relDiff], 0)
  )</f>
        <v/>
      </c>
      <c r="DI20" s="177" t="str">
        <f>IF(
    factorsTable[[#This Row],[filteredIndex]] = "",
    "",
    _xlfn.RANK.EQ(factorsTable[[#This Row],[absDiff]], factorsTable[absDiff], 0)
  )</f>
        <v/>
      </c>
      <c r="DJ20" s="177" t="str">
        <f>IF(
    factorsTable[[#This Row],[filteredIndex]] = "",
    "",
    _xlfn.RANK.EQ(factorsTable[[#This Row],[RANASIndex]], factorsTable[RANASIndex], 1)
  )</f>
        <v/>
      </c>
      <c r="DK20" s="177" t="str" cm="1">
        <f t="array" ref="DK20">_xlfn.SWITCH(
    sortingMethodTag,
    "none", factorsTable[[#This Row],[filteredIndex]],
    "relDiff", factorsTable[[#This Row],[relDiffRank]],
    "absDiff", factorsTable[[#This Row],[absDiffRank]],
    "RANAS", factorsTable[[#This Row],[RANASRank]],
    factorsTable[[#This Row],[filteredIndex]]
  )</f>
        <v/>
      </c>
      <c r="DL20" s="177" t="str">
        <f>IF(
    factorsTable[[#This Row],[filteredIndex]] = "",
    "",
    factorsTable[[#This Row],[selectedRank]]
      + COUNTIF(INDEX(factorsTable[selectedRank], 1):INDEX(factorsTable[selectedRank], factorsTable[[#This Row],[index]]), factorsTable[[#This Row],[selectedRank]])
      - 1
  )</f>
        <v/>
      </c>
      <c r="DM20" s="177" t="str">
        <f>IF(
    factorsTable[[#This Row],[filteredIndex]] = "",
    "",
    _xlfn.XLOOKUP(
      factorsTable[[#This Row],[index]],
      factorsTable[uniqueRank],
      factorsTable[filteredIndex],#REF!,
      0
    )
  )</f>
        <v/>
      </c>
      <c r="DN20" s="177" t="str" cm="1">
        <f t="array" ref="DN20">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0" s="177" t="str" cm="1">
        <f t="array" ref="DO20">IF(
    factorsTable[[#This Row],[sortedIndex]] = "",
    "",
    IF(
      factorsTable[[#This Row],[langSpecFactor]] = "",
      UITranslateForValueTable("noTranslation", UITranslationTable[tag], UITranslationTable[], UITranslationTable[#Headers]),
      factorsTable[[#This Row],[langSpecFactor]]
    )
  )</f>
        <v/>
      </c>
      <c r="DP20" s="177" t="str">
        <f>IF(
    factorsTable[[#This Row],[sortedIndex]] = "",
    "",
    _xlfn.XLOOKUP(
      _xlfn.XLOOKUP(
        factorsTable[[#This Row],[sortedIndex]],
        factorsConfigTable[index],
        factorsConfigTable[RANASBlock],#REF!,
        0
      ),
      RANASBlocksTable[label],
      RANASBlocksTable[tag],
      NA(),
      0
    )
  )</f>
        <v/>
      </c>
      <c r="DQ20" s="177" t="str" cm="1">
        <f t="array" ref="DQ20">IF(
    factorsTable[[#This Row],[sortedIndex]] = "",
    "",
    _xlfn.IFNA(
      _xlfn.XLOOKUP(factorsTable[[#This Row],[RANASTag]], RANASBlocksTable[tag], RANASBlocksTable[langSpecLabel]),
      UITranslateForValueTable("noRANASBlock", UITranslationTable[tag], UITranslationTable[], UITranslationTable[#Headers])
    )
  )</f>
        <v/>
      </c>
      <c r="DR20"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0" s="177" t="str">
        <f>IF(
    factorsTable[[#This Row],[sortedIndex]] = "",
    "",
    _xlfn.XLOOKUP(factorsTable[[#This Row],[sortedIndex]], factorsTable[index], factorsTable[numTotal])
  )</f>
        <v/>
      </c>
      <c r="DT20" s="177" t="str">
        <f>IF(
    factorsTable[[#This Row],[sortedIndex]] = "",
    "",
    _xlfn.XLOOKUP(factorsTable[[#This Row],[sortedIndex]], factorsTable[index], factorsTable[nondoers])
  )</f>
        <v/>
      </c>
      <c r="DU20" s="177" t="str">
        <f>IF(
    factorsTable[[#This Row],[sortedIndex]] = "",
    "",
    _xlfn.XLOOKUP(factorsTable[[#This Row],[sortedIndex]], factorsTable[index], factorsTable[doers])
  )</f>
        <v/>
      </c>
      <c r="DV20" s="177" t="str">
        <f>IF(
    factorsTable[[#This Row],[sortedIndex]] = "",
    "",
    _xlfn.XLOOKUP(factorsTable[[#This Row],[sortedIndex]], factorsTable[index], factorsTable[difference])
  )</f>
        <v/>
      </c>
    </row>
    <row r="21" spans="5:126" ht="14.4" customHeight="1" x14ac:dyDescent="0.3">
      <c r="E21" s="187" cm="1">
        <f t="array" ref="E21">ROW()-ROW(UITranslationTable[#Headers])</f>
        <v>19</v>
      </c>
      <c r="F21" s="9" t="s">
        <v>338</v>
      </c>
      <c r="G21" s="191" t="s">
        <v>316</v>
      </c>
      <c r="H21" s="176" t="s">
        <v>317</v>
      </c>
      <c r="J21" s="1" cm="1">
        <f t="array" ref="J21">ROW()-ROW(errorMessagesTable[#Headers])</f>
        <v>19</v>
      </c>
      <c r="K21" s="1" t="s">
        <v>443</v>
      </c>
      <c r="L21" s="1" t="b" cm="1">
        <f t="array" aca="1" ref="L21" ca="1">errorCutoffLevel</f>
        <v>0</v>
      </c>
      <c r="M21" s="178" t="str" cm="1">
        <f t="array" aca="1" ref="M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N21" s="9" t="str" cm="1">
        <f t="array" aca="1" ref="N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O21" s="1" t="str" cm="1">
        <f t="array" aca="1" ref="O21" ca="1">FilterTrueColumn(errorMessagesTable[[#This Row],[index]], errorMessagesTable[index], errorMessagesTable[filteredIndex], errorMessagesTable[condition])</f>
        <v/>
      </c>
      <c r="P21" s="9" t="str" cm="1">
        <f t="array" aca="1" ref="P21"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1" s="9" t="str" cm="1">
        <f t="array" aca="1" ref="Q21" ca="1">IF(
    errorMessagesTable[[#This Row],[filteredIndex]] = "",
    "",
    IF(
      errorMessagesTable[[#This Row],[index]] = 1,
      "",
      INDEX(errorMessagesTable[concatErrors], errorMessagesTable[[#This Row],[index]]-1)
      &amp; CHAR(10) &amp; CHAR(10)
    )
    &amp; INDEX(errorMessagesTable[langSpecError], errorMessagesTable[[#This Row],[index]])
  )</f>
        <v/>
      </c>
      <c r="W21" s="177" cm="1">
        <f t="array" ref="W21">ROW()-ROW(structuredFormulaeTable[#Headers])</f>
        <v>19</v>
      </c>
      <c r="X21" s="1" t="s">
        <v>425</v>
      </c>
      <c r="Y21" s="1" t="s">
        <v>534</v>
      </c>
      <c r="Z21" s="1" t="str" cm="1">
        <f t="array" ref="Z21">behaviourMinScore1</f>
        <v/>
      </c>
      <c r="AA21" s="178" t="s">
        <v>535</v>
      </c>
      <c r="AB21" s="164" t="s">
        <v>660</v>
      </c>
      <c r="CD21" s="1" cm="1">
        <f t="array" ref="CD21">ROW()-ROW(recommendedCutoffTable[#Headers])</f>
        <v>19</v>
      </c>
      <c r="CE21" s="183">
        <f>(recommendedCutoffTable[[#This Row],[index]] - 1) / 100</f>
        <v>0.18</v>
      </c>
      <c r="CF21" s="1" cm="1">
        <f t="array" ref="CF21">ABS(
    numScores
  - 2 * SUMPRODUCT((behaviourScore &lt;&gt; "") * (behaviourScore &lt; recommendedCutoffTable[[#This Row],[cutoffLevel]]))
  )</f>
        <v>0</v>
      </c>
      <c r="CM21" s="177" cm="1">
        <f t="array" ref="CM21">ROW()-ROW(factorsTable[#Headers])</f>
        <v>19</v>
      </c>
      <c r="CN21" s="177" t="str" cm="1">
        <f t="array" ref="CN21">KeepBlanksFunction(
    _xlfn.XLOOKUP(
      factorsTable[[#This Row],[index]],
      factorsConfigTable[index],
      factorsConfigTable[factorHeader],#REF!,
      0
    )
  )</f>
        <v/>
      </c>
      <c r="CO21" s="177" t="str">
        <f>IF(
    factorsTable[[#This Row],[factorHeader]] = "",
    "",
    _xlfn.IFNA(
      MATCH(factorsTable[[#This Row],[factorHeader]], dataHeaders, 0),
      _xlfn.IFNA(
        MATCH("*/" &amp; factorsTable[[#This Row],[factorHeader]], dataHeaders, 0),
        MATCH("*-" &amp; factorsTable[[#This Row],[factorHeader]], dataHeaders, 0)
      )
    )
  )</f>
        <v/>
      </c>
      <c r="CP21" s="177" t="str">
        <f>IF(
    factorsTable[[#This Row],[factorHeader]] = "",
    "",
    _xlfn.LET(
      _xlpm.tableValue,
      _xlfn.XLOOKUP(
        factorsTable[[#This Row],[index]],
        factorsConfigTable[index],
        factorsConfigTable[minScore],#REF!,
        0
      ),
      _xlpm.storedValue,
      IF(
        _xlpm.tableValue = "",
        NA(),
        _xlpm.tableValue
      ),
      _xlpm.storedValue
    )
  )</f>
        <v/>
      </c>
      <c r="CQ21" s="177" t="str">
        <f>IF(
    factorsTable[[#This Row],[factorHeader]] = "",
    "",
    _xlfn.LET(
      _xlpm.tableValue,
      _xlfn.XLOOKUP(
        factorsTable[[#This Row],[index]],
        factorsConfigTable[index],
        factorsConfigTable[maxScore],#REF!,
        0
      ),
      _xlpm.storedValue,
      IF(
        _xlpm.tableValue = "",
        NA(),
        _xlpm.tableValue
      ),
      _xlpm.storedValue
    )
  )</f>
        <v/>
      </c>
      <c r="CR21" s="177" t="str">
        <f>IF(
    factorsTable[[#This Row],[factorHeader]] = "",
    "",
    IF(
      ISERROR(factorsTable[[#This Row],[factorColNum]]),
      NA(),
      IF(
        ISNA(INDEX(dataRange,1,1)),
        NA(),
        MIN(INDEX(dataRange, , factorsTable[[#This Row],[factorColNum]]))
      )
    )
  )</f>
        <v/>
      </c>
      <c r="CS21" s="177" t="str">
        <f>IF(
    factorsTable[[#This Row],[factorHeader]] = "",
    "",
    IF(
      ISERROR(factorsTable[[#This Row],[factorColNum]]),
      NA(),
      IF(
        ISNA(INDEX(dataRange,1,1)),
        NA(),
        MAX(INDEX(dataRange, , factorsTable[[#This Row],[factorColNum]]))
      )
    )
  )</f>
        <v/>
      </c>
      <c r="CT21" s="177" t="b" cm="1">
        <f t="array" aca="1" ref="CT21" ca="1">AND(
    NOT(errorNoDataSheet),
    factorsTable[[#This Row],[factorHeader]] &lt;&gt; "",
    NOT(ISERROR(factorsTable[[#This Row],[factorColNum]])),
    IFERROR(factorsTable[[#This Row],[display]], FALSE),
    IFERROR(factorsTable[[#This Row],[minValue]] &lt; factorsTable[[#This Row],[minScore]], FALSE)
  )</f>
        <v>0</v>
      </c>
      <c r="CU21" s="177" t="b" cm="1">
        <f t="array" aca="1" ref="CU21" ca="1">AND(
    NOT(errorNoDataSheet),
    factorsTable[[#This Row],[factorHeader]] &lt;&gt; "",
    NOT(ISERROR(factorsTable[[#This Row],[factorColNum]])),
    IFERROR(factorsTable[[#This Row],[display]], FALSE),
    IFERROR(factorsTable[[#This Row],[maxValue]] &gt; factorsTable[[#This Row],[maxScore]], FALSE)
  )</f>
        <v>0</v>
      </c>
      <c r="CV21" s="177" t="str" cm="1">
        <f t="array" ref="CV21">IF(
    factorsTable[[#This Row],[factorHeader]] = "",
    "",
    IF(
      ISNA(INDEX(dataRange,1,1)),
      NA(),
      SUMPRODUCT(
          IF(isDoer = "", 0, NOT(isDoer))
        * (INDEX(dataRange, , factorsTable[[#This Row],[factorColNum]]) &lt;&gt; "")
      )
    )
  )</f>
        <v/>
      </c>
      <c r="CW21" s="177" t="str" cm="1">
        <f t="array" ref="CW21">IF(
    factorsTable[[#This Row],[factorHeader]] = "",
    "",
    IF(
      ISNA(INDEX(dataRange,1,1)),
      NA(),
      SUMPRODUCT(
          IF(isDoer = "", 0, isDoer)
        * (INDEX(dataRange, , factorsTable[[#This Row],[factorColNum]]) &lt;&gt; "")
      )
    )
  )</f>
        <v/>
      </c>
      <c r="CX21" s="177" t="str" cm="1">
        <f t="array" ref="CX21">IF(
    factorsTable[[#This Row],[factorHeader]] = "",
    "",
    IF(
      ISERROR(factorsTable[[#This Row],[factorColNum]]),
      UITranslateForValueTable("dataNotFound", UITranslationTable[tag], UITranslationTable[], UITranslationTable[#Headers]),
      factorsTable[[#This Row],[numDoers]] + factorsTable[[#This Row],[numNondoers]]
    )
  )</f>
        <v/>
      </c>
      <c r="CY21" s="177" t="str" cm="1">
        <f t="array" ref="CY2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1" s="177" t="str" cm="1">
        <f t="array" ref="CZ2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1" s="177" t="str">
        <f>IF(
    factorsTable[[#This Row],[factorHeader]] = "",
    "",
    factorsTable[[#This Row],[doers]] - factorsTable[[#This Row],[nondoers]]
  )</f>
        <v/>
      </c>
      <c r="DB21" s="177" t="str">
        <f>IF(
    factorsTable[[#This Row],[factorHeader]] = "",
    "",
    _xlfn.XLOOKUP(
      _xlfn.XLOOKUP(
        factorsTable[[#This Row],[index]],
        factorsConfigTable[index],
        factorsConfigTable[displayConfig],#REF!,
        0
      ),
      yesNoTable[label],
      yesNoTable[tag],
      "",
      0
    )
  )</f>
        <v/>
      </c>
      <c r="DC21" s="177" t="b">
        <f>IF(
    factorsTable[[#This Row],[factorHeader]] = "",
    FALSE,
    IF(
      factorsTable[[#This Row],[displayConfig]] = "yes",
      TRUE,
      IF(
        factorsTable[[#This Row],[displayConfig]] = "no",
        FALSE,
        NA()
      )
    )
  )</f>
        <v>0</v>
      </c>
      <c r="DD21" s="177" t="str" cm="1">
        <f t="array" ref="DD21">FilterTrueColumn(factorsTable[[#This Row],[index]], factorsTable[index], factorsTable[filteredIndex], factorsTable[display])</f>
        <v/>
      </c>
      <c r="DE21" s="177" t="str">
        <f>IF(
    factorsTable[[#This Row],[filteredIndex]] = "",
    "",
    _xlfn.IFNA(
      _xlfn.XLOOKUP(factorsTable[[#This Row],[filteredIndex]], factorsTable[index], factorsTable[difference]),
      -99
    )
  )</f>
        <v/>
      </c>
      <c r="DF21" s="177" t="str">
        <f>IF(
    factorsTable[[#This Row],[filteredIndex]] = "",
    "",
    IF(
      factorsTable[[#This Row],[relDiff]] = -99,
      -99,
      ABS(factorsTable[[#This Row],[relDiff]])
    )
  )</f>
        <v/>
      </c>
      <c r="DG21" s="177" t="str">
        <f>IF(
    factorsTable[[#This Row],[filteredIndex]] = "",
    "",
    _xlfn.XLOOKUP(
      _xlfn.XLOOKUP(
        factorsTable[[#This Row],[filteredIndex]],
        factorsConfigTable[index],
        factorsConfigTable[RANASBlock],#REF!,
        0
      ),
      RANASBlocksTable[label],
      RANASBlocksTable[index],
      6,
      0
    )
  )</f>
        <v/>
      </c>
      <c r="DH21" s="177" t="str">
        <f>IF(
    factorsTable[[#This Row],[filteredIndex]] = "",
    "",
    _xlfn.RANK.EQ(factorsTable[[#This Row],[relDiff]], factorsTable[relDiff], 0)
  )</f>
        <v/>
      </c>
      <c r="DI21" s="177" t="str">
        <f>IF(
    factorsTable[[#This Row],[filteredIndex]] = "",
    "",
    _xlfn.RANK.EQ(factorsTable[[#This Row],[absDiff]], factorsTable[absDiff], 0)
  )</f>
        <v/>
      </c>
      <c r="DJ21" s="177" t="str">
        <f>IF(
    factorsTable[[#This Row],[filteredIndex]] = "",
    "",
    _xlfn.RANK.EQ(factorsTable[[#This Row],[RANASIndex]], factorsTable[RANASIndex], 1)
  )</f>
        <v/>
      </c>
      <c r="DK21" s="177" t="str" cm="1">
        <f t="array" ref="DK21">_xlfn.SWITCH(
    sortingMethodTag,
    "none", factorsTable[[#This Row],[filteredIndex]],
    "relDiff", factorsTable[[#This Row],[relDiffRank]],
    "absDiff", factorsTable[[#This Row],[absDiffRank]],
    "RANAS", factorsTable[[#This Row],[RANASRank]],
    factorsTable[[#This Row],[filteredIndex]]
  )</f>
        <v/>
      </c>
      <c r="DL21" s="177" t="str">
        <f>IF(
    factorsTable[[#This Row],[filteredIndex]] = "",
    "",
    factorsTable[[#This Row],[selectedRank]]
      + COUNTIF(INDEX(factorsTable[selectedRank], 1):INDEX(factorsTable[selectedRank], factorsTable[[#This Row],[index]]), factorsTable[[#This Row],[selectedRank]])
      - 1
  )</f>
        <v/>
      </c>
      <c r="DM21" s="177" t="str">
        <f>IF(
    factorsTable[[#This Row],[filteredIndex]] = "",
    "",
    _xlfn.XLOOKUP(
      factorsTable[[#This Row],[index]],
      factorsTable[uniqueRank],
      factorsTable[filteredIndex],#REF!,
      0
    )
  )</f>
        <v/>
      </c>
      <c r="DN21" s="177" t="str" cm="1">
        <f t="array" ref="DN21">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1" s="177" t="str" cm="1">
        <f t="array" ref="DO21">IF(
    factorsTable[[#This Row],[sortedIndex]] = "",
    "",
    IF(
      factorsTable[[#This Row],[langSpecFactor]] = "",
      UITranslateForValueTable("noTranslation", UITranslationTable[tag], UITranslationTable[], UITranslationTable[#Headers]),
      factorsTable[[#This Row],[langSpecFactor]]
    )
  )</f>
        <v/>
      </c>
      <c r="DP21" s="177" t="str">
        <f>IF(
    factorsTable[[#This Row],[sortedIndex]] = "",
    "",
    _xlfn.XLOOKUP(
      _xlfn.XLOOKUP(
        factorsTable[[#This Row],[sortedIndex]],
        factorsConfigTable[index],
        factorsConfigTable[RANASBlock],#REF!,
        0
      ),
      RANASBlocksTable[label],
      RANASBlocksTable[tag],
      NA(),
      0
    )
  )</f>
        <v/>
      </c>
      <c r="DQ21" s="177" t="str" cm="1">
        <f t="array" ref="DQ21">IF(
    factorsTable[[#This Row],[sortedIndex]] = "",
    "",
    _xlfn.IFNA(
      _xlfn.XLOOKUP(factorsTable[[#This Row],[RANASTag]], RANASBlocksTable[tag], RANASBlocksTable[langSpecLabel]),
      UITranslateForValueTable("noRANASBlock", UITranslationTable[tag], UITranslationTable[], UITranslationTable[#Headers])
    )
  )</f>
        <v/>
      </c>
      <c r="DR21"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1" s="177" t="str">
        <f>IF(
    factorsTable[[#This Row],[sortedIndex]] = "",
    "",
    _xlfn.XLOOKUP(factorsTable[[#This Row],[sortedIndex]], factorsTable[index], factorsTable[numTotal])
  )</f>
        <v/>
      </c>
      <c r="DT21" s="177" t="str">
        <f>IF(
    factorsTable[[#This Row],[sortedIndex]] = "",
    "",
    _xlfn.XLOOKUP(factorsTable[[#This Row],[sortedIndex]], factorsTable[index], factorsTable[nondoers])
  )</f>
        <v/>
      </c>
      <c r="DU21" s="177" t="str">
        <f>IF(
    factorsTable[[#This Row],[sortedIndex]] = "",
    "",
    _xlfn.XLOOKUP(factorsTable[[#This Row],[sortedIndex]], factorsTable[index], factorsTable[doers])
  )</f>
        <v/>
      </c>
      <c r="DV21" s="177" t="str">
        <f>IF(
    factorsTable[[#This Row],[sortedIndex]] = "",
    "",
    _xlfn.XLOOKUP(factorsTable[[#This Row],[sortedIndex]], factorsTable[index], factorsTable[difference])
  )</f>
        <v/>
      </c>
    </row>
    <row r="22" spans="5:126" ht="14.4" customHeight="1" x14ac:dyDescent="0.3">
      <c r="E22" s="187" cm="1">
        <f t="array" ref="E22">ROW()-ROW(UITranslationTable[#Headers])</f>
        <v>20</v>
      </c>
      <c r="F22" s="9"/>
      <c r="G22" s="190"/>
      <c r="H22" s="176"/>
      <c r="J22" s="1" cm="1">
        <f t="array" ref="J22">ROW()-ROW(errorMessagesTable[#Headers])</f>
        <v>20</v>
      </c>
      <c r="K22" s="1" t="s">
        <v>444</v>
      </c>
      <c r="L22" s="1" t="b" cm="1">
        <f t="array" aca="1" ref="L22" ca="1">errorDataSorting</f>
        <v>0</v>
      </c>
      <c r="M22" s="9" t="str" cm="1">
        <f t="array" aca="1" ref="M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N22" s="9" t="str" cm="1">
        <f t="array" aca="1" ref="N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O22" s="1" t="str" cm="1">
        <f t="array" aca="1" ref="O22" ca="1">FilterTrueColumn(errorMessagesTable[[#This Row],[index]], errorMessagesTable[index], errorMessagesTable[filteredIndex], errorMessagesTable[condition])</f>
        <v/>
      </c>
      <c r="P22" s="9" t="str" cm="1">
        <f t="array" aca="1" ref="P22"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2" s="9" t="str" cm="1">
        <f t="array" aca="1" ref="Q22" ca="1">IF(
    errorMessagesTable[[#This Row],[filteredIndex]] = "",
    "",
    IF(
      errorMessagesTable[[#This Row],[index]] = 1,
      "",
      INDEX(errorMessagesTable[concatErrors], errorMessagesTable[[#This Row],[index]]-1)
      &amp; CHAR(10) &amp; CHAR(10)
    )
    &amp; INDEX(errorMessagesTable[langSpecError], errorMessagesTable[[#This Row],[index]])
  )</f>
        <v/>
      </c>
      <c r="W22" s="177" cm="1">
        <f t="array" ref="W22">ROW()-ROW(structuredFormulaeTable[#Headers])</f>
        <v>20</v>
      </c>
      <c r="X22" s="1" t="s">
        <v>425</v>
      </c>
      <c r="Y22" s="1" t="s">
        <v>536</v>
      </c>
      <c r="Z22" s="1" t="str" cm="1">
        <f t="array" ref="Z22">behaviourMinScore2</f>
        <v/>
      </c>
      <c r="AA22" s="178" t="s">
        <v>537</v>
      </c>
      <c r="AB22" s="164" t="s">
        <v>661</v>
      </c>
      <c r="CD22" s="1" cm="1">
        <f t="array" ref="CD22">ROW()-ROW(recommendedCutoffTable[#Headers])</f>
        <v>20</v>
      </c>
      <c r="CE22" s="183">
        <f>(recommendedCutoffTable[[#This Row],[index]] - 1) / 100</f>
        <v>0.19</v>
      </c>
      <c r="CF22" s="1" cm="1">
        <f t="array" ref="CF22">ABS(
    numScores
  - 2 * SUMPRODUCT((behaviourScore &lt;&gt; "") * (behaviourScore &lt; recommendedCutoffTable[[#This Row],[cutoffLevel]]))
  )</f>
        <v>0</v>
      </c>
      <c r="CM22" s="177" cm="1">
        <f t="array" ref="CM22">ROW()-ROW(factorsTable[#Headers])</f>
        <v>20</v>
      </c>
      <c r="CN22" s="177" t="str" cm="1">
        <f t="array" ref="CN22">KeepBlanksFunction(
    _xlfn.XLOOKUP(
      factorsTable[[#This Row],[index]],
      factorsConfigTable[index],
      factorsConfigTable[factorHeader],#REF!,
      0
    )
  )</f>
        <v/>
      </c>
      <c r="CO22" s="177" t="str">
        <f>IF(
    factorsTable[[#This Row],[factorHeader]] = "",
    "",
    _xlfn.IFNA(
      MATCH(factorsTable[[#This Row],[factorHeader]], dataHeaders, 0),
      _xlfn.IFNA(
        MATCH("*/" &amp; factorsTable[[#This Row],[factorHeader]], dataHeaders, 0),
        MATCH("*-" &amp; factorsTable[[#This Row],[factorHeader]], dataHeaders, 0)
      )
    )
  )</f>
        <v/>
      </c>
      <c r="CP22" s="177" t="str">
        <f>IF(
    factorsTable[[#This Row],[factorHeader]] = "",
    "",
    _xlfn.LET(
      _xlpm.tableValue,
      _xlfn.XLOOKUP(
        factorsTable[[#This Row],[index]],
        factorsConfigTable[index],
        factorsConfigTable[minScore],#REF!,
        0
      ),
      _xlpm.storedValue,
      IF(
        _xlpm.tableValue = "",
        NA(),
        _xlpm.tableValue
      ),
      _xlpm.storedValue
    )
  )</f>
        <v/>
      </c>
      <c r="CQ22" s="177" t="str">
        <f>IF(
    factorsTable[[#This Row],[factorHeader]] = "",
    "",
    _xlfn.LET(
      _xlpm.tableValue,
      _xlfn.XLOOKUP(
        factorsTable[[#This Row],[index]],
        factorsConfigTable[index],
        factorsConfigTable[maxScore],#REF!,
        0
      ),
      _xlpm.storedValue,
      IF(
        _xlpm.tableValue = "",
        NA(),
        _xlpm.tableValue
      ),
      _xlpm.storedValue
    )
  )</f>
        <v/>
      </c>
      <c r="CR22" s="177" t="str">
        <f>IF(
    factorsTable[[#This Row],[factorHeader]] = "",
    "",
    IF(
      ISERROR(factorsTable[[#This Row],[factorColNum]]),
      NA(),
      IF(
        ISNA(INDEX(dataRange,1,1)),
        NA(),
        MIN(INDEX(dataRange, , factorsTable[[#This Row],[factorColNum]]))
      )
    )
  )</f>
        <v/>
      </c>
      <c r="CS22" s="177" t="str">
        <f>IF(
    factorsTable[[#This Row],[factorHeader]] = "",
    "",
    IF(
      ISERROR(factorsTable[[#This Row],[factorColNum]]),
      NA(),
      IF(
        ISNA(INDEX(dataRange,1,1)),
        NA(),
        MAX(INDEX(dataRange, , factorsTable[[#This Row],[factorColNum]]))
      )
    )
  )</f>
        <v/>
      </c>
      <c r="CT22" s="177" t="b" cm="1">
        <f t="array" aca="1" ref="CT22" ca="1">AND(
    NOT(errorNoDataSheet),
    factorsTable[[#This Row],[factorHeader]] &lt;&gt; "",
    NOT(ISERROR(factorsTable[[#This Row],[factorColNum]])),
    IFERROR(factorsTable[[#This Row],[display]], FALSE),
    IFERROR(factorsTable[[#This Row],[minValue]] &lt; factorsTable[[#This Row],[minScore]], FALSE)
  )</f>
        <v>0</v>
      </c>
      <c r="CU22" s="177" t="b" cm="1">
        <f t="array" aca="1" ref="CU22" ca="1">AND(
    NOT(errorNoDataSheet),
    factorsTable[[#This Row],[factorHeader]] &lt;&gt; "",
    NOT(ISERROR(factorsTable[[#This Row],[factorColNum]])),
    IFERROR(factorsTable[[#This Row],[display]], FALSE),
    IFERROR(factorsTable[[#This Row],[maxValue]] &gt; factorsTable[[#This Row],[maxScore]], FALSE)
  )</f>
        <v>0</v>
      </c>
      <c r="CV22" s="177" t="str" cm="1">
        <f t="array" ref="CV22">IF(
    factorsTable[[#This Row],[factorHeader]] = "",
    "",
    IF(
      ISNA(INDEX(dataRange,1,1)),
      NA(),
      SUMPRODUCT(
          IF(isDoer = "", 0, NOT(isDoer))
        * (INDEX(dataRange, , factorsTable[[#This Row],[factorColNum]]) &lt;&gt; "")
      )
    )
  )</f>
        <v/>
      </c>
      <c r="CW22" s="177" t="str" cm="1">
        <f t="array" ref="CW22">IF(
    factorsTable[[#This Row],[factorHeader]] = "",
    "",
    IF(
      ISNA(INDEX(dataRange,1,1)),
      NA(),
      SUMPRODUCT(
          IF(isDoer = "", 0, isDoer)
        * (INDEX(dataRange, , factorsTable[[#This Row],[factorColNum]]) &lt;&gt; "")
      )
    )
  )</f>
        <v/>
      </c>
      <c r="CX22" s="177" t="str" cm="1">
        <f t="array" ref="CX22">IF(
    factorsTable[[#This Row],[factorHeader]] = "",
    "",
    IF(
      ISERROR(factorsTable[[#This Row],[factorColNum]]),
      UITranslateForValueTable("dataNotFound", UITranslationTable[tag], UITranslationTable[], UITranslationTable[#Headers]),
      factorsTable[[#This Row],[numDoers]] + factorsTable[[#This Row],[numNondoers]]
    )
  )</f>
        <v/>
      </c>
      <c r="CY22" s="177" t="str" cm="1">
        <f t="array" ref="CY2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2" s="177" t="str" cm="1">
        <f t="array" ref="CZ2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2" s="177" t="str">
        <f>IF(
    factorsTable[[#This Row],[factorHeader]] = "",
    "",
    factorsTable[[#This Row],[doers]] - factorsTable[[#This Row],[nondoers]]
  )</f>
        <v/>
      </c>
      <c r="DB22" s="177" t="str">
        <f>IF(
    factorsTable[[#This Row],[factorHeader]] = "",
    "",
    _xlfn.XLOOKUP(
      _xlfn.XLOOKUP(
        factorsTable[[#This Row],[index]],
        factorsConfigTable[index],
        factorsConfigTable[displayConfig],#REF!,
        0
      ),
      yesNoTable[label],
      yesNoTable[tag],
      "",
      0
    )
  )</f>
        <v/>
      </c>
      <c r="DC22" s="177" t="b">
        <f>IF(
    factorsTable[[#This Row],[factorHeader]] = "",
    FALSE,
    IF(
      factorsTable[[#This Row],[displayConfig]] = "yes",
      TRUE,
      IF(
        factorsTable[[#This Row],[displayConfig]] = "no",
        FALSE,
        NA()
      )
    )
  )</f>
        <v>0</v>
      </c>
      <c r="DD22" s="177" t="str" cm="1">
        <f t="array" ref="DD22">FilterTrueColumn(factorsTable[[#This Row],[index]], factorsTable[index], factorsTable[filteredIndex], factorsTable[display])</f>
        <v/>
      </c>
      <c r="DE22" s="177" t="str">
        <f>IF(
    factorsTable[[#This Row],[filteredIndex]] = "",
    "",
    _xlfn.IFNA(
      _xlfn.XLOOKUP(factorsTable[[#This Row],[filteredIndex]], factorsTable[index], factorsTable[difference]),
      -99
    )
  )</f>
        <v/>
      </c>
      <c r="DF22" s="177" t="str">
        <f>IF(
    factorsTable[[#This Row],[filteredIndex]] = "",
    "",
    IF(
      factorsTable[[#This Row],[relDiff]] = -99,
      -99,
      ABS(factorsTable[[#This Row],[relDiff]])
    )
  )</f>
        <v/>
      </c>
      <c r="DG22" s="177" t="str">
        <f>IF(
    factorsTable[[#This Row],[filteredIndex]] = "",
    "",
    _xlfn.XLOOKUP(
      _xlfn.XLOOKUP(
        factorsTable[[#This Row],[filteredIndex]],
        factorsConfigTable[index],
        factorsConfigTable[RANASBlock],#REF!,
        0
      ),
      RANASBlocksTable[label],
      RANASBlocksTable[index],
      6,
      0
    )
  )</f>
        <v/>
      </c>
      <c r="DH22" s="177" t="str">
        <f>IF(
    factorsTable[[#This Row],[filteredIndex]] = "",
    "",
    _xlfn.RANK.EQ(factorsTable[[#This Row],[relDiff]], factorsTable[relDiff], 0)
  )</f>
        <v/>
      </c>
      <c r="DI22" s="177" t="str">
        <f>IF(
    factorsTable[[#This Row],[filteredIndex]] = "",
    "",
    _xlfn.RANK.EQ(factorsTable[[#This Row],[absDiff]], factorsTable[absDiff], 0)
  )</f>
        <v/>
      </c>
      <c r="DJ22" s="177" t="str">
        <f>IF(
    factorsTable[[#This Row],[filteredIndex]] = "",
    "",
    _xlfn.RANK.EQ(factorsTable[[#This Row],[RANASIndex]], factorsTable[RANASIndex], 1)
  )</f>
        <v/>
      </c>
      <c r="DK22" s="177" t="str" cm="1">
        <f t="array" ref="DK22">_xlfn.SWITCH(
    sortingMethodTag,
    "none", factorsTable[[#This Row],[filteredIndex]],
    "relDiff", factorsTable[[#This Row],[relDiffRank]],
    "absDiff", factorsTable[[#This Row],[absDiffRank]],
    "RANAS", factorsTable[[#This Row],[RANASRank]],
    factorsTable[[#This Row],[filteredIndex]]
  )</f>
        <v/>
      </c>
      <c r="DL22" s="177" t="str">
        <f>IF(
    factorsTable[[#This Row],[filteredIndex]] = "",
    "",
    factorsTable[[#This Row],[selectedRank]]
      + COUNTIF(INDEX(factorsTable[selectedRank], 1):INDEX(factorsTable[selectedRank], factorsTable[[#This Row],[index]]), factorsTable[[#This Row],[selectedRank]])
      - 1
  )</f>
        <v/>
      </c>
      <c r="DM22" s="177" t="str">
        <f>IF(
    factorsTable[[#This Row],[filteredIndex]] = "",
    "",
    _xlfn.XLOOKUP(
      factorsTable[[#This Row],[index]],
      factorsTable[uniqueRank],
      factorsTable[filteredIndex],#REF!,
      0
    )
  )</f>
        <v/>
      </c>
      <c r="DN22" s="177" t="str" cm="1">
        <f t="array" ref="DN22">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2" s="177" t="str" cm="1">
        <f t="array" ref="DO22">IF(
    factorsTable[[#This Row],[sortedIndex]] = "",
    "",
    IF(
      factorsTable[[#This Row],[langSpecFactor]] = "",
      UITranslateForValueTable("noTranslation", UITranslationTable[tag], UITranslationTable[], UITranslationTable[#Headers]),
      factorsTable[[#This Row],[langSpecFactor]]
    )
  )</f>
        <v/>
      </c>
      <c r="DP22" s="177" t="str">
        <f>IF(
    factorsTable[[#This Row],[sortedIndex]] = "",
    "",
    _xlfn.XLOOKUP(
      _xlfn.XLOOKUP(
        factorsTable[[#This Row],[sortedIndex]],
        factorsConfigTable[index],
        factorsConfigTable[RANASBlock],#REF!,
        0
      ),
      RANASBlocksTable[label],
      RANASBlocksTable[tag],
      NA(),
      0
    )
  )</f>
        <v/>
      </c>
      <c r="DQ22" s="177" t="str" cm="1">
        <f t="array" ref="DQ22">IF(
    factorsTable[[#This Row],[sortedIndex]] = "",
    "",
    _xlfn.IFNA(
      _xlfn.XLOOKUP(factorsTable[[#This Row],[RANASTag]], RANASBlocksTable[tag], RANASBlocksTable[langSpecLabel]),
      UITranslateForValueTable("noRANASBlock", UITranslationTable[tag], UITranslationTable[], UITranslationTable[#Headers])
    )
  )</f>
        <v/>
      </c>
      <c r="DR22"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2" s="177" t="str">
        <f>IF(
    factorsTable[[#This Row],[sortedIndex]] = "",
    "",
    _xlfn.XLOOKUP(factorsTable[[#This Row],[sortedIndex]], factorsTable[index], factorsTable[numTotal])
  )</f>
        <v/>
      </c>
      <c r="DT22" s="177" t="str">
        <f>IF(
    factorsTable[[#This Row],[sortedIndex]] = "",
    "",
    _xlfn.XLOOKUP(factorsTable[[#This Row],[sortedIndex]], factorsTable[index], factorsTable[nondoers])
  )</f>
        <v/>
      </c>
      <c r="DU22" s="177" t="str">
        <f>IF(
    factorsTable[[#This Row],[sortedIndex]] = "",
    "",
    _xlfn.XLOOKUP(factorsTable[[#This Row],[sortedIndex]], factorsTable[index], factorsTable[doers])
  )</f>
        <v/>
      </c>
      <c r="DV22" s="177" t="str">
        <f>IF(
    factorsTable[[#This Row],[sortedIndex]] = "",
    "",
    _xlfn.XLOOKUP(factorsTable[[#This Row],[sortedIndex]], factorsTable[index], factorsTable[difference])
  )</f>
        <v/>
      </c>
    </row>
    <row r="23" spans="5:126" ht="14.4" customHeight="1" x14ac:dyDescent="0.3">
      <c r="E23" s="187" cm="1">
        <f t="array" ref="E23">ROW()-ROW(UITranslationTable[#Headers])</f>
        <v>21</v>
      </c>
      <c r="F23" s="9" t="s">
        <v>205</v>
      </c>
      <c r="G23" s="176" t="str">
        <f>"1." &amp; CHAR(160) &amp; "Data import"</f>
        <v>1. Data import</v>
      </c>
      <c r="H23" s="176" t="str">
        <f>"1." &amp; CHAR(160) &amp; "Importation des données"</f>
        <v>1. Importation des données</v>
      </c>
      <c r="W23" s="177" cm="1">
        <f t="array" ref="W23">ROW()-ROW(structuredFormulaeTable[#Headers])</f>
        <v>21</v>
      </c>
      <c r="X23" s="1" t="s">
        <v>425</v>
      </c>
      <c r="Y23" s="1" t="s">
        <v>538</v>
      </c>
      <c r="Z23" s="1" t="str" cm="1">
        <f t="array" ref="Z23">behaviourMinScore3</f>
        <v/>
      </c>
      <c r="AA23" s="178" t="s">
        <v>539</v>
      </c>
      <c r="AB23" s="164" t="s">
        <v>662</v>
      </c>
      <c r="CD23" s="1" cm="1">
        <f t="array" ref="CD23">ROW()-ROW(recommendedCutoffTable[#Headers])</f>
        <v>21</v>
      </c>
      <c r="CE23" s="183">
        <f>(recommendedCutoffTable[[#This Row],[index]] - 1) / 100</f>
        <v>0.2</v>
      </c>
      <c r="CF23" s="1" cm="1">
        <f t="array" ref="CF23">ABS(
    numScores
  - 2 * SUMPRODUCT((behaviourScore &lt;&gt; "") * (behaviourScore &lt; recommendedCutoffTable[[#This Row],[cutoffLevel]]))
  )</f>
        <v>0</v>
      </c>
      <c r="CM23" s="177" cm="1">
        <f t="array" ref="CM23">ROW()-ROW(factorsTable[#Headers])</f>
        <v>21</v>
      </c>
      <c r="CN23" s="177" t="str" cm="1">
        <f t="array" ref="CN23">KeepBlanksFunction(
    _xlfn.XLOOKUP(
      factorsTable[[#This Row],[index]],
      factorsConfigTable[index],
      factorsConfigTable[factorHeader],#REF!,
      0
    )
  )</f>
        <v/>
      </c>
      <c r="CO23" s="177" t="str">
        <f>IF(
    factorsTable[[#This Row],[factorHeader]] = "",
    "",
    _xlfn.IFNA(
      MATCH(factorsTable[[#This Row],[factorHeader]], dataHeaders, 0),
      _xlfn.IFNA(
        MATCH("*/" &amp; factorsTable[[#This Row],[factorHeader]], dataHeaders, 0),
        MATCH("*-" &amp; factorsTable[[#This Row],[factorHeader]], dataHeaders, 0)
      )
    )
  )</f>
        <v/>
      </c>
      <c r="CP23" s="177" t="str">
        <f>IF(
    factorsTable[[#This Row],[factorHeader]] = "",
    "",
    _xlfn.LET(
      _xlpm.tableValue,
      _xlfn.XLOOKUP(
        factorsTable[[#This Row],[index]],
        factorsConfigTable[index],
        factorsConfigTable[minScore],#REF!,
        0
      ),
      _xlpm.storedValue,
      IF(
        _xlpm.tableValue = "",
        NA(),
        _xlpm.tableValue
      ),
      _xlpm.storedValue
    )
  )</f>
        <v/>
      </c>
      <c r="CQ23" s="177" t="str">
        <f>IF(
    factorsTable[[#This Row],[factorHeader]] = "",
    "",
    _xlfn.LET(
      _xlpm.tableValue,
      _xlfn.XLOOKUP(
        factorsTable[[#This Row],[index]],
        factorsConfigTable[index],
        factorsConfigTable[maxScore],#REF!,
        0
      ),
      _xlpm.storedValue,
      IF(
        _xlpm.tableValue = "",
        NA(),
        _xlpm.tableValue
      ),
      _xlpm.storedValue
    )
  )</f>
        <v/>
      </c>
      <c r="CR23" s="177" t="str">
        <f>IF(
    factorsTable[[#This Row],[factorHeader]] = "",
    "",
    IF(
      ISERROR(factorsTable[[#This Row],[factorColNum]]),
      NA(),
      IF(
        ISNA(INDEX(dataRange,1,1)),
        NA(),
        MIN(INDEX(dataRange, , factorsTable[[#This Row],[factorColNum]]))
      )
    )
  )</f>
        <v/>
      </c>
      <c r="CS23" s="177" t="str">
        <f>IF(
    factorsTable[[#This Row],[factorHeader]] = "",
    "",
    IF(
      ISERROR(factorsTable[[#This Row],[factorColNum]]),
      NA(),
      IF(
        ISNA(INDEX(dataRange,1,1)),
        NA(),
        MAX(INDEX(dataRange, , factorsTable[[#This Row],[factorColNum]]))
      )
    )
  )</f>
        <v/>
      </c>
      <c r="CT23" s="177" t="b" cm="1">
        <f t="array" aca="1" ref="CT23" ca="1">AND(
    NOT(errorNoDataSheet),
    factorsTable[[#This Row],[factorHeader]] &lt;&gt; "",
    NOT(ISERROR(factorsTable[[#This Row],[factorColNum]])),
    IFERROR(factorsTable[[#This Row],[display]], FALSE),
    IFERROR(factorsTable[[#This Row],[minValue]] &lt; factorsTable[[#This Row],[minScore]], FALSE)
  )</f>
        <v>0</v>
      </c>
      <c r="CU23" s="177" t="b" cm="1">
        <f t="array" aca="1" ref="CU23" ca="1">AND(
    NOT(errorNoDataSheet),
    factorsTable[[#This Row],[factorHeader]] &lt;&gt; "",
    NOT(ISERROR(factorsTable[[#This Row],[factorColNum]])),
    IFERROR(factorsTable[[#This Row],[display]], FALSE),
    IFERROR(factorsTable[[#This Row],[maxValue]] &gt; factorsTable[[#This Row],[maxScore]], FALSE)
  )</f>
        <v>0</v>
      </c>
      <c r="CV23" s="177" t="str" cm="1">
        <f t="array" ref="CV23">IF(
    factorsTable[[#This Row],[factorHeader]] = "",
    "",
    IF(
      ISNA(INDEX(dataRange,1,1)),
      NA(),
      SUMPRODUCT(
          IF(isDoer = "", 0, NOT(isDoer))
        * (INDEX(dataRange, , factorsTable[[#This Row],[factorColNum]]) &lt;&gt; "")
      )
    )
  )</f>
        <v/>
      </c>
      <c r="CW23" s="177" t="str" cm="1">
        <f t="array" ref="CW23">IF(
    factorsTable[[#This Row],[factorHeader]] = "",
    "",
    IF(
      ISNA(INDEX(dataRange,1,1)),
      NA(),
      SUMPRODUCT(
          IF(isDoer = "", 0, isDoer)
        * (INDEX(dataRange, , factorsTable[[#This Row],[factorColNum]]) &lt;&gt; "")
      )
    )
  )</f>
        <v/>
      </c>
      <c r="CX23" s="177" t="str" cm="1">
        <f t="array" ref="CX23">IF(
    factorsTable[[#This Row],[factorHeader]] = "",
    "",
    IF(
      ISERROR(factorsTable[[#This Row],[factorColNum]]),
      UITranslateForValueTable("dataNotFound", UITranslationTable[tag], UITranslationTable[], UITranslationTable[#Headers]),
      factorsTable[[#This Row],[numDoers]] + factorsTable[[#This Row],[numNondoers]]
    )
  )</f>
        <v/>
      </c>
      <c r="CY23" s="177" t="str" cm="1">
        <f t="array" ref="CY2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3" s="177" t="str" cm="1">
        <f t="array" ref="CZ2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3" s="177" t="str">
        <f>IF(
    factorsTable[[#This Row],[factorHeader]] = "",
    "",
    factorsTable[[#This Row],[doers]] - factorsTable[[#This Row],[nondoers]]
  )</f>
        <v/>
      </c>
      <c r="DB23" s="177" t="str">
        <f>IF(
    factorsTable[[#This Row],[factorHeader]] = "",
    "",
    _xlfn.XLOOKUP(
      _xlfn.XLOOKUP(
        factorsTable[[#This Row],[index]],
        factorsConfigTable[index],
        factorsConfigTable[displayConfig],#REF!,
        0
      ),
      yesNoTable[label],
      yesNoTable[tag],
      "",
      0
    )
  )</f>
        <v/>
      </c>
      <c r="DC23" s="177" t="b">
        <f>IF(
    factorsTable[[#This Row],[factorHeader]] = "",
    FALSE,
    IF(
      factorsTable[[#This Row],[displayConfig]] = "yes",
      TRUE,
      IF(
        factorsTable[[#This Row],[displayConfig]] = "no",
        FALSE,
        NA()
      )
    )
  )</f>
        <v>0</v>
      </c>
      <c r="DD23" s="177" t="str" cm="1">
        <f t="array" ref="DD23">FilterTrueColumn(factorsTable[[#This Row],[index]], factorsTable[index], factorsTable[filteredIndex], factorsTable[display])</f>
        <v/>
      </c>
      <c r="DE23" s="177" t="str">
        <f>IF(
    factorsTable[[#This Row],[filteredIndex]] = "",
    "",
    _xlfn.IFNA(
      _xlfn.XLOOKUP(factorsTable[[#This Row],[filteredIndex]], factorsTable[index], factorsTable[difference]),
      -99
    )
  )</f>
        <v/>
      </c>
      <c r="DF23" s="177" t="str">
        <f>IF(
    factorsTable[[#This Row],[filteredIndex]] = "",
    "",
    IF(
      factorsTable[[#This Row],[relDiff]] = -99,
      -99,
      ABS(factorsTable[[#This Row],[relDiff]])
    )
  )</f>
        <v/>
      </c>
      <c r="DG23" s="177" t="str">
        <f>IF(
    factorsTable[[#This Row],[filteredIndex]] = "",
    "",
    _xlfn.XLOOKUP(
      _xlfn.XLOOKUP(
        factorsTable[[#This Row],[filteredIndex]],
        factorsConfigTable[index],
        factorsConfigTable[RANASBlock],#REF!,
        0
      ),
      RANASBlocksTable[label],
      RANASBlocksTable[index],
      6,
      0
    )
  )</f>
        <v/>
      </c>
      <c r="DH23" s="177" t="str">
        <f>IF(
    factorsTable[[#This Row],[filteredIndex]] = "",
    "",
    _xlfn.RANK.EQ(factorsTable[[#This Row],[relDiff]], factorsTable[relDiff], 0)
  )</f>
        <v/>
      </c>
      <c r="DI23" s="177" t="str">
        <f>IF(
    factorsTable[[#This Row],[filteredIndex]] = "",
    "",
    _xlfn.RANK.EQ(factorsTable[[#This Row],[absDiff]], factorsTable[absDiff], 0)
  )</f>
        <v/>
      </c>
      <c r="DJ23" s="177" t="str">
        <f>IF(
    factorsTable[[#This Row],[filteredIndex]] = "",
    "",
    _xlfn.RANK.EQ(factorsTable[[#This Row],[RANASIndex]], factorsTable[RANASIndex], 1)
  )</f>
        <v/>
      </c>
      <c r="DK23" s="177" t="str" cm="1">
        <f t="array" ref="DK23">_xlfn.SWITCH(
    sortingMethodTag,
    "none", factorsTable[[#This Row],[filteredIndex]],
    "relDiff", factorsTable[[#This Row],[relDiffRank]],
    "absDiff", factorsTable[[#This Row],[absDiffRank]],
    "RANAS", factorsTable[[#This Row],[RANASRank]],
    factorsTable[[#This Row],[filteredIndex]]
  )</f>
        <v/>
      </c>
      <c r="DL23" s="177" t="str">
        <f>IF(
    factorsTable[[#This Row],[filteredIndex]] = "",
    "",
    factorsTable[[#This Row],[selectedRank]]
      + COUNTIF(INDEX(factorsTable[selectedRank], 1):INDEX(factorsTable[selectedRank], factorsTable[[#This Row],[index]]), factorsTable[[#This Row],[selectedRank]])
      - 1
  )</f>
        <v/>
      </c>
      <c r="DM23" s="177" t="str">
        <f>IF(
    factorsTable[[#This Row],[filteredIndex]] = "",
    "",
    _xlfn.XLOOKUP(
      factorsTable[[#This Row],[index]],
      factorsTable[uniqueRank],
      factorsTable[filteredIndex],#REF!,
      0
    )
  )</f>
        <v/>
      </c>
      <c r="DN23" s="177" t="str" cm="1">
        <f t="array" ref="DN23">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3" s="177" t="str" cm="1">
        <f t="array" ref="DO23">IF(
    factorsTable[[#This Row],[sortedIndex]] = "",
    "",
    IF(
      factorsTable[[#This Row],[langSpecFactor]] = "",
      UITranslateForValueTable("noTranslation", UITranslationTable[tag], UITranslationTable[], UITranslationTable[#Headers]),
      factorsTable[[#This Row],[langSpecFactor]]
    )
  )</f>
        <v/>
      </c>
      <c r="DP23" s="177" t="str">
        <f>IF(
    factorsTable[[#This Row],[sortedIndex]] = "",
    "",
    _xlfn.XLOOKUP(
      _xlfn.XLOOKUP(
        factorsTable[[#This Row],[sortedIndex]],
        factorsConfigTable[index],
        factorsConfigTable[RANASBlock],#REF!,
        0
      ),
      RANASBlocksTable[label],
      RANASBlocksTable[tag],
      NA(),
      0
    )
  )</f>
        <v/>
      </c>
      <c r="DQ23" s="177" t="str" cm="1">
        <f t="array" ref="DQ23">IF(
    factorsTable[[#This Row],[sortedIndex]] = "",
    "",
    _xlfn.IFNA(
      _xlfn.XLOOKUP(factorsTable[[#This Row],[RANASTag]], RANASBlocksTable[tag], RANASBlocksTable[langSpecLabel]),
      UITranslateForValueTable("noRANASBlock", UITranslationTable[tag], UITranslationTable[], UITranslationTable[#Headers])
    )
  )</f>
        <v/>
      </c>
      <c r="DR23"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3" s="177" t="str">
        <f>IF(
    factorsTable[[#This Row],[sortedIndex]] = "",
    "",
    _xlfn.XLOOKUP(factorsTable[[#This Row],[sortedIndex]], factorsTable[index], factorsTable[numTotal])
  )</f>
        <v/>
      </c>
      <c r="DT23" s="177" t="str">
        <f>IF(
    factorsTable[[#This Row],[sortedIndex]] = "",
    "",
    _xlfn.XLOOKUP(factorsTable[[#This Row],[sortedIndex]], factorsTable[index], factorsTable[nondoers])
  )</f>
        <v/>
      </c>
      <c r="DU23" s="177" t="str">
        <f>IF(
    factorsTable[[#This Row],[sortedIndex]] = "",
    "",
    _xlfn.XLOOKUP(factorsTable[[#This Row],[sortedIndex]], factorsTable[index], factorsTable[doers])
  )</f>
        <v/>
      </c>
      <c r="DV23" s="177" t="str">
        <f>IF(
    factorsTable[[#This Row],[sortedIndex]] = "",
    "",
    _xlfn.XLOOKUP(factorsTable[[#This Row],[sortedIndex]], factorsTable[index], factorsTable[difference])
  )</f>
        <v/>
      </c>
    </row>
    <row r="24" spans="5:126" ht="14.4" customHeight="1" x14ac:dyDescent="0.3">
      <c r="E24" s="187" cm="1">
        <f t="array" ref="E24">ROW()-ROW(UITranslationTable[#Headers])</f>
        <v>22</v>
      </c>
      <c r="F24" s="9" t="s">
        <v>206</v>
      </c>
      <c r="G24" s="176"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176"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W24" s="177" cm="1">
        <f t="array" ref="W24">ROW()-ROW(structuredFormulaeTable[#Headers])</f>
        <v>22</v>
      </c>
      <c r="X24" s="1" t="s">
        <v>425</v>
      </c>
      <c r="Y24" s="1" t="s">
        <v>540</v>
      </c>
      <c r="Z24" s="1" t="str" cm="1">
        <f t="array" ref="Z24">behaviourMinScore4</f>
        <v/>
      </c>
      <c r="AA24" s="178" t="s">
        <v>541</v>
      </c>
      <c r="AB24" s="164" t="s">
        <v>663</v>
      </c>
      <c r="CD24" s="1" cm="1">
        <f t="array" ref="CD24">ROW()-ROW(recommendedCutoffTable[#Headers])</f>
        <v>22</v>
      </c>
      <c r="CE24" s="183">
        <f>(recommendedCutoffTable[[#This Row],[index]] - 1) / 100</f>
        <v>0.21</v>
      </c>
      <c r="CF24" s="1" cm="1">
        <f t="array" ref="CF24">ABS(
    numScores
  - 2 * SUMPRODUCT((behaviourScore &lt;&gt; "") * (behaviourScore &lt; recommendedCutoffTable[[#This Row],[cutoffLevel]]))
  )</f>
        <v>0</v>
      </c>
      <c r="CM24" s="177" cm="1">
        <f t="array" ref="CM24">ROW()-ROW(factorsTable[#Headers])</f>
        <v>22</v>
      </c>
      <c r="CN24" s="177" t="str" cm="1">
        <f t="array" ref="CN24">KeepBlanksFunction(
    _xlfn.XLOOKUP(
      factorsTable[[#This Row],[index]],
      factorsConfigTable[index],
      factorsConfigTable[factorHeader],#REF!,
      0
    )
  )</f>
        <v/>
      </c>
      <c r="CO24" s="177" t="str">
        <f>IF(
    factorsTable[[#This Row],[factorHeader]] = "",
    "",
    _xlfn.IFNA(
      MATCH(factorsTable[[#This Row],[factorHeader]], dataHeaders, 0),
      _xlfn.IFNA(
        MATCH("*/" &amp; factorsTable[[#This Row],[factorHeader]], dataHeaders, 0),
        MATCH("*-" &amp; factorsTable[[#This Row],[factorHeader]], dataHeaders, 0)
      )
    )
  )</f>
        <v/>
      </c>
      <c r="CP24" s="177" t="str">
        <f>IF(
    factorsTable[[#This Row],[factorHeader]] = "",
    "",
    _xlfn.LET(
      _xlpm.tableValue,
      _xlfn.XLOOKUP(
        factorsTable[[#This Row],[index]],
        factorsConfigTable[index],
        factorsConfigTable[minScore],#REF!,
        0
      ),
      _xlpm.storedValue,
      IF(
        _xlpm.tableValue = "",
        NA(),
        _xlpm.tableValue
      ),
      _xlpm.storedValue
    )
  )</f>
        <v/>
      </c>
      <c r="CQ24" s="177" t="str">
        <f>IF(
    factorsTable[[#This Row],[factorHeader]] = "",
    "",
    _xlfn.LET(
      _xlpm.tableValue,
      _xlfn.XLOOKUP(
        factorsTable[[#This Row],[index]],
        factorsConfigTable[index],
        factorsConfigTable[maxScore],#REF!,
        0
      ),
      _xlpm.storedValue,
      IF(
        _xlpm.tableValue = "",
        NA(),
        _xlpm.tableValue
      ),
      _xlpm.storedValue
    )
  )</f>
        <v/>
      </c>
      <c r="CR24" s="177" t="str">
        <f>IF(
    factorsTable[[#This Row],[factorHeader]] = "",
    "",
    IF(
      ISERROR(factorsTable[[#This Row],[factorColNum]]),
      NA(),
      IF(
        ISNA(INDEX(dataRange,1,1)),
        NA(),
        MIN(INDEX(dataRange, , factorsTable[[#This Row],[factorColNum]]))
      )
    )
  )</f>
        <v/>
      </c>
      <c r="CS24" s="177" t="str">
        <f>IF(
    factorsTable[[#This Row],[factorHeader]] = "",
    "",
    IF(
      ISERROR(factorsTable[[#This Row],[factorColNum]]),
      NA(),
      IF(
        ISNA(INDEX(dataRange,1,1)),
        NA(),
        MAX(INDEX(dataRange, , factorsTable[[#This Row],[factorColNum]]))
      )
    )
  )</f>
        <v/>
      </c>
      <c r="CT24" s="177" t="b" cm="1">
        <f t="array" aca="1" ref="CT24" ca="1">AND(
    NOT(errorNoDataSheet),
    factorsTable[[#This Row],[factorHeader]] &lt;&gt; "",
    NOT(ISERROR(factorsTable[[#This Row],[factorColNum]])),
    IFERROR(factorsTable[[#This Row],[display]], FALSE),
    IFERROR(factorsTable[[#This Row],[minValue]] &lt; factorsTable[[#This Row],[minScore]], FALSE)
  )</f>
        <v>0</v>
      </c>
      <c r="CU24" s="177" t="b" cm="1">
        <f t="array" aca="1" ref="CU24" ca="1">AND(
    NOT(errorNoDataSheet),
    factorsTable[[#This Row],[factorHeader]] &lt;&gt; "",
    NOT(ISERROR(factorsTable[[#This Row],[factorColNum]])),
    IFERROR(factorsTable[[#This Row],[display]], FALSE),
    IFERROR(factorsTable[[#This Row],[maxValue]] &gt; factorsTable[[#This Row],[maxScore]], FALSE)
  )</f>
        <v>0</v>
      </c>
      <c r="CV24" s="177" t="str" cm="1">
        <f t="array" ref="CV24">IF(
    factorsTable[[#This Row],[factorHeader]] = "",
    "",
    IF(
      ISNA(INDEX(dataRange,1,1)),
      NA(),
      SUMPRODUCT(
          IF(isDoer = "", 0, NOT(isDoer))
        * (INDEX(dataRange, , factorsTable[[#This Row],[factorColNum]]) &lt;&gt; "")
      )
    )
  )</f>
        <v/>
      </c>
      <c r="CW24" s="177" t="str" cm="1">
        <f t="array" ref="CW24">IF(
    factorsTable[[#This Row],[factorHeader]] = "",
    "",
    IF(
      ISNA(INDEX(dataRange,1,1)),
      NA(),
      SUMPRODUCT(
          IF(isDoer = "", 0, isDoer)
        * (INDEX(dataRange, , factorsTable[[#This Row],[factorColNum]]) &lt;&gt; "")
      )
    )
  )</f>
        <v/>
      </c>
      <c r="CX24" s="177" t="str" cm="1">
        <f t="array" ref="CX24">IF(
    factorsTable[[#This Row],[factorHeader]] = "",
    "",
    IF(
      ISERROR(factorsTable[[#This Row],[factorColNum]]),
      UITranslateForValueTable("dataNotFound", UITranslationTable[tag], UITranslationTable[], UITranslationTable[#Headers]),
      factorsTable[[#This Row],[numDoers]] + factorsTable[[#This Row],[numNondoers]]
    )
  )</f>
        <v/>
      </c>
      <c r="CY24" s="177" t="str" cm="1">
        <f t="array" ref="CY2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4" s="177" t="str" cm="1">
        <f t="array" ref="CZ2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4" s="177" t="str">
        <f>IF(
    factorsTable[[#This Row],[factorHeader]] = "",
    "",
    factorsTable[[#This Row],[doers]] - factorsTable[[#This Row],[nondoers]]
  )</f>
        <v/>
      </c>
      <c r="DB24" s="177" t="str">
        <f>IF(
    factorsTable[[#This Row],[factorHeader]] = "",
    "",
    _xlfn.XLOOKUP(
      _xlfn.XLOOKUP(
        factorsTable[[#This Row],[index]],
        factorsConfigTable[index],
        factorsConfigTable[displayConfig],#REF!,
        0
      ),
      yesNoTable[label],
      yesNoTable[tag],
      "",
      0
    )
  )</f>
        <v/>
      </c>
      <c r="DC24" s="177" t="b">
        <f>IF(
    factorsTable[[#This Row],[factorHeader]] = "",
    FALSE,
    IF(
      factorsTable[[#This Row],[displayConfig]] = "yes",
      TRUE,
      IF(
        factorsTable[[#This Row],[displayConfig]] = "no",
        FALSE,
        NA()
      )
    )
  )</f>
        <v>0</v>
      </c>
      <c r="DD24" s="177" t="str" cm="1">
        <f t="array" ref="DD24">FilterTrueColumn(factorsTable[[#This Row],[index]], factorsTable[index], factorsTable[filteredIndex], factorsTable[display])</f>
        <v/>
      </c>
      <c r="DE24" s="177" t="str">
        <f>IF(
    factorsTable[[#This Row],[filteredIndex]] = "",
    "",
    _xlfn.IFNA(
      _xlfn.XLOOKUP(factorsTable[[#This Row],[filteredIndex]], factorsTable[index], factorsTable[difference]),
      -99
    )
  )</f>
        <v/>
      </c>
      <c r="DF24" s="177" t="str">
        <f>IF(
    factorsTable[[#This Row],[filteredIndex]] = "",
    "",
    IF(
      factorsTable[[#This Row],[relDiff]] = -99,
      -99,
      ABS(factorsTable[[#This Row],[relDiff]])
    )
  )</f>
        <v/>
      </c>
      <c r="DG24" s="177" t="str">
        <f>IF(
    factorsTable[[#This Row],[filteredIndex]] = "",
    "",
    _xlfn.XLOOKUP(
      _xlfn.XLOOKUP(
        factorsTable[[#This Row],[filteredIndex]],
        factorsConfigTable[index],
        factorsConfigTable[RANASBlock],#REF!,
        0
      ),
      RANASBlocksTable[label],
      RANASBlocksTable[index],
      6,
      0
    )
  )</f>
        <v/>
      </c>
      <c r="DH24" s="177" t="str">
        <f>IF(
    factorsTable[[#This Row],[filteredIndex]] = "",
    "",
    _xlfn.RANK.EQ(factorsTable[[#This Row],[relDiff]], factorsTable[relDiff], 0)
  )</f>
        <v/>
      </c>
      <c r="DI24" s="177" t="str">
        <f>IF(
    factorsTable[[#This Row],[filteredIndex]] = "",
    "",
    _xlfn.RANK.EQ(factorsTable[[#This Row],[absDiff]], factorsTable[absDiff], 0)
  )</f>
        <v/>
      </c>
      <c r="DJ24" s="177" t="str">
        <f>IF(
    factorsTable[[#This Row],[filteredIndex]] = "",
    "",
    _xlfn.RANK.EQ(factorsTable[[#This Row],[RANASIndex]], factorsTable[RANASIndex], 1)
  )</f>
        <v/>
      </c>
      <c r="DK24" s="177" t="str" cm="1">
        <f t="array" ref="DK24">_xlfn.SWITCH(
    sortingMethodTag,
    "none", factorsTable[[#This Row],[filteredIndex]],
    "relDiff", factorsTable[[#This Row],[relDiffRank]],
    "absDiff", factorsTable[[#This Row],[absDiffRank]],
    "RANAS", factorsTable[[#This Row],[RANASRank]],
    factorsTable[[#This Row],[filteredIndex]]
  )</f>
        <v/>
      </c>
      <c r="DL24" s="177" t="str">
        <f>IF(
    factorsTable[[#This Row],[filteredIndex]] = "",
    "",
    factorsTable[[#This Row],[selectedRank]]
      + COUNTIF(INDEX(factorsTable[selectedRank], 1):INDEX(factorsTable[selectedRank], factorsTable[[#This Row],[index]]), factorsTable[[#This Row],[selectedRank]])
      - 1
  )</f>
        <v/>
      </c>
      <c r="DM24" s="177" t="str">
        <f>IF(
    factorsTable[[#This Row],[filteredIndex]] = "",
    "",
    _xlfn.XLOOKUP(
      factorsTable[[#This Row],[index]],
      factorsTable[uniqueRank],
      factorsTable[filteredIndex],#REF!,
      0
    )
  )</f>
        <v/>
      </c>
      <c r="DN24" s="177" t="str" cm="1">
        <f t="array" ref="DN24">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4" s="177" t="str" cm="1">
        <f t="array" ref="DO24">IF(
    factorsTable[[#This Row],[sortedIndex]] = "",
    "",
    IF(
      factorsTable[[#This Row],[langSpecFactor]] = "",
      UITranslateForValueTable("noTranslation", UITranslationTable[tag], UITranslationTable[], UITranslationTable[#Headers]),
      factorsTable[[#This Row],[langSpecFactor]]
    )
  )</f>
        <v/>
      </c>
      <c r="DP24" s="177" t="str">
        <f>IF(
    factorsTable[[#This Row],[sortedIndex]] = "",
    "",
    _xlfn.XLOOKUP(
      _xlfn.XLOOKUP(
        factorsTable[[#This Row],[sortedIndex]],
        factorsConfigTable[index],
        factorsConfigTable[RANASBlock],#REF!,
        0
      ),
      RANASBlocksTable[label],
      RANASBlocksTable[tag],
      NA(),
      0
    )
  )</f>
        <v/>
      </c>
      <c r="DQ24" s="177" t="str" cm="1">
        <f t="array" ref="DQ24">IF(
    factorsTable[[#This Row],[sortedIndex]] = "",
    "",
    _xlfn.IFNA(
      _xlfn.XLOOKUP(factorsTable[[#This Row],[RANASTag]], RANASBlocksTable[tag], RANASBlocksTable[langSpecLabel]),
      UITranslateForValueTable("noRANASBlock", UITranslationTable[tag], UITranslationTable[], UITranslationTable[#Headers])
    )
  )</f>
        <v/>
      </c>
      <c r="DR24"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4" s="177" t="str">
        <f>IF(
    factorsTable[[#This Row],[sortedIndex]] = "",
    "",
    _xlfn.XLOOKUP(factorsTable[[#This Row],[sortedIndex]], factorsTable[index], factorsTable[numTotal])
  )</f>
        <v/>
      </c>
      <c r="DT24" s="177" t="str">
        <f>IF(
    factorsTable[[#This Row],[sortedIndex]] = "",
    "",
    _xlfn.XLOOKUP(factorsTable[[#This Row],[sortedIndex]], factorsTable[index], factorsTable[nondoers])
  )</f>
        <v/>
      </c>
      <c r="DU24" s="177" t="str">
        <f>IF(
    factorsTable[[#This Row],[sortedIndex]] = "",
    "",
    _xlfn.XLOOKUP(factorsTable[[#This Row],[sortedIndex]], factorsTable[index], factorsTable[doers])
  )</f>
        <v/>
      </c>
      <c r="DV24" s="177" t="str">
        <f>IF(
    factorsTable[[#This Row],[sortedIndex]] = "",
    "",
    _xlfn.XLOOKUP(factorsTable[[#This Row],[sortedIndex]], factorsTable[index], factorsTable[difference])
  )</f>
        <v/>
      </c>
    </row>
    <row r="25" spans="5:126" ht="14.4" customHeight="1" x14ac:dyDescent="0.3">
      <c r="E25" s="187" cm="1">
        <f t="array" ref="E25">ROW()-ROW(UITranslationTable[#Headers])</f>
        <v>23</v>
      </c>
      <c r="F25" s="9" t="s">
        <v>207</v>
      </c>
      <c r="G25" s="188"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188"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W25" s="177" cm="1">
        <f t="array" ref="W25">ROW()-ROW(structuredFormulaeTable[#Headers])</f>
        <v>23</v>
      </c>
      <c r="X25" s="1" t="s">
        <v>425</v>
      </c>
      <c r="Y25" s="1" t="s">
        <v>542</v>
      </c>
      <c r="Z25" s="1" t="str" cm="1">
        <f t="array" ref="Z25">behaviourMinScore5</f>
        <v/>
      </c>
      <c r="AA25" s="178" t="s">
        <v>543</v>
      </c>
      <c r="AB25" s="164" t="s">
        <v>664</v>
      </c>
      <c r="CD25" s="1" cm="1">
        <f t="array" ref="CD25">ROW()-ROW(recommendedCutoffTable[#Headers])</f>
        <v>23</v>
      </c>
      <c r="CE25" s="183">
        <f>(recommendedCutoffTable[[#This Row],[index]] - 1) / 100</f>
        <v>0.22</v>
      </c>
      <c r="CF25" s="1" cm="1">
        <f t="array" ref="CF25">ABS(
    numScores
  - 2 * SUMPRODUCT((behaviourScore &lt;&gt; "") * (behaviourScore &lt; recommendedCutoffTable[[#This Row],[cutoffLevel]]))
  )</f>
        <v>0</v>
      </c>
      <c r="CM25" s="177" cm="1">
        <f t="array" ref="CM25">ROW()-ROW(factorsTable[#Headers])</f>
        <v>23</v>
      </c>
      <c r="CN25" s="177" t="str" cm="1">
        <f t="array" ref="CN25">KeepBlanksFunction(
    _xlfn.XLOOKUP(
      factorsTable[[#This Row],[index]],
      factorsConfigTable[index],
      factorsConfigTable[factorHeader],#REF!,
      0
    )
  )</f>
        <v/>
      </c>
      <c r="CO25" s="177" t="str">
        <f>IF(
    factorsTable[[#This Row],[factorHeader]] = "",
    "",
    _xlfn.IFNA(
      MATCH(factorsTable[[#This Row],[factorHeader]], dataHeaders, 0),
      _xlfn.IFNA(
        MATCH("*/" &amp; factorsTable[[#This Row],[factorHeader]], dataHeaders, 0),
        MATCH("*-" &amp; factorsTable[[#This Row],[factorHeader]], dataHeaders, 0)
      )
    )
  )</f>
        <v/>
      </c>
      <c r="CP25" s="177" t="str">
        <f>IF(
    factorsTable[[#This Row],[factorHeader]] = "",
    "",
    _xlfn.LET(
      _xlpm.tableValue,
      _xlfn.XLOOKUP(
        factorsTable[[#This Row],[index]],
        factorsConfigTable[index],
        factorsConfigTable[minScore],#REF!,
        0
      ),
      _xlpm.storedValue,
      IF(
        _xlpm.tableValue = "",
        NA(),
        _xlpm.tableValue
      ),
      _xlpm.storedValue
    )
  )</f>
        <v/>
      </c>
      <c r="CQ25" s="177" t="str">
        <f>IF(
    factorsTable[[#This Row],[factorHeader]] = "",
    "",
    _xlfn.LET(
      _xlpm.tableValue,
      _xlfn.XLOOKUP(
        factorsTable[[#This Row],[index]],
        factorsConfigTable[index],
        factorsConfigTable[maxScore],#REF!,
        0
      ),
      _xlpm.storedValue,
      IF(
        _xlpm.tableValue = "",
        NA(),
        _xlpm.tableValue
      ),
      _xlpm.storedValue
    )
  )</f>
        <v/>
      </c>
      <c r="CR25" s="177" t="str">
        <f>IF(
    factorsTable[[#This Row],[factorHeader]] = "",
    "",
    IF(
      ISERROR(factorsTable[[#This Row],[factorColNum]]),
      NA(),
      IF(
        ISNA(INDEX(dataRange,1,1)),
        NA(),
        MIN(INDEX(dataRange, , factorsTable[[#This Row],[factorColNum]]))
      )
    )
  )</f>
        <v/>
      </c>
      <c r="CS25" s="177" t="str">
        <f>IF(
    factorsTable[[#This Row],[factorHeader]] = "",
    "",
    IF(
      ISERROR(factorsTable[[#This Row],[factorColNum]]),
      NA(),
      IF(
        ISNA(INDEX(dataRange,1,1)),
        NA(),
        MAX(INDEX(dataRange, , factorsTable[[#This Row],[factorColNum]]))
      )
    )
  )</f>
        <v/>
      </c>
      <c r="CT25" s="177" t="b" cm="1">
        <f t="array" aca="1" ref="CT25" ca="1">AND(
    NOT(errorNoDataSheet),
    factorsTable[[#This Row],[factorHeader]] &lt;&gt; "",
    NOT(ISERROR(factorsTable[[#This Row],[factorColNum]])),
    IFERROR(factorsTable[[#This Row],[display]], FALSE),
    IFERROR(factorsTable[[#This Row],[minValue]] &lt; factorsTable[[#This Row],[minScore]], FALSE)
  )</f>
        <v>0</v>
      </c>
      <c r="CU25" s="177" t="b" cm="1">
        <f t="array" aca="1" ref="CU25" ca="1">AND(
    NOT(errorNoDataSheet),
    factorsTable[[#This Row],[factorHeader]] &lt;&gt; "",
    NOT(ISERROR(factorsTable[[#This Row],[factorColNum]])),
    IFERROR(factorsTable[[#This Row],[display]], FALSE),
    IFERROR(factorsTable[[#This Row],[maxValue]] &gt; factorsTable[[#This Row],[maxScore]], FALSE)
  )</f>
        <v>0</v>
      </c>
      <c r="CV25" s="177" t="str" cm="1">
        <f t="array" ref="CV25">IF(
    factorsTable[[#This Row],[factorHeader]] = "",
    "",
    IF(
      ISNA(INDEX(dataRange,1,1)),
      NA(),
      SUMPRODUCT(
          IF(isDoer = "", 0, NOT(isDoer))
        * (INDEX(dataRange, , factorsTable[[#This Row],[factorColNum]]) &lt;&gt; "")
      )
    )
  )</f>
        <v/>
      </c>
      <c r="CW25" s="177" t="str" cm="1">
        <f t="array" ref="CW25">IF(
    factorsTable[[#This Row],[factorHeader]] = "",
    "",
    IF(
      ISNA(INDEX(dataRange,1,1)),
      NA(),
      SUMPRODUCT(
          IF(isDoer = "", 0, isDoer)
        * (INDEX(dataRange, , factorsTable[[#This Row],[factorColNum]]) &lt;&gt; "")
      )
    )
  )</f>
        <v/>
      </c>
      <c r="CX25" s="177" t="str" cm="1">
        <f t="array" ref="CX25">IF(
    factorsTable[[#This Row],[factorHeader]] = "",
    "",
    IF(
      ISERROR(factorsTable[[#This Row],[factorColNum]]),
      UITranslateForValueTable("dataNotFound", UITranslationTable[tag], UITranslationTable[], UITranslationTable[#Headers]),
      factorsTable[[#This Row],[numDoers]] + factorsTable[[#This Row],[numNondoers]]
    )
  )</f>
        <v/>
      </c>
      <c r="CY25" s="177" t="str" cm="1">
        <f t="array" ref="CY2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5" s="177" t="str" cm="1">
        <f t="array" ref="CZ2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5" s="177" t="str">
        <f>IF(
    factorsTable[[#This Row],[factorHeader]] = "",
    "",
    factorsTable[[#This Row],[doers]] - factorsTable[[#This Row],[nondoers]]
  )</f>
        <v/>
      </c>
      <c r="DB25" s="177" t="str">
        <f>IF(
    factorsTable[[#This Row],[factorHeader]] = "",
    "",
    _xlfn.XLOOKUP(
      _xlfn.XLOOKUP(
        factorsTable[[#This Row],[index]],
        factorsConfigTable[index],
        factorsConfigTable[displayConfig],#REF!,
        0
      ),
      yesNoTable[label],
      yesNoTable[tag],
      "",
      0
    )
  )</f>
        <v/>
      </c>
      <c r="DC25" s="177" t="b">
        <f>IF(
    factorsTable[[#This Row],[factorHeader]] = "",
    FALSE,
    IF(
      factorsTable[[#This Row],[displayConfig]] = "yes",
      TRUE,
      IF(
        factorsTable[[#This Row],[displayConfig]] = "no",
        FALSE,
        NA()
      )
    )
  )</f>
        <v>0</v>
      </c>
      <c r="DD25" s="177" t="str" cm="1">
        <f t="array" ref="DD25">FilterTrueColumn(factorsTable[[#This Row],[index]], factorsTable[index], factorsTable[filteredIndex], factorsTable[display])</f>
        <v/>
      </c>
      <c r="DE25" s="177" t="str">
        <f>IF(
    factorsTable[[#This Row],[filteredIndex]] = "",
    "",
    _xlfn.IFNA(
      _xlfn.XLOOKUP(factorsTable[[#This Row],[filteredIndex]], factorsTable[index], factorsTable[difference]),
      -99
    )
  )</f>
        <v/>
      </c>
      <c r="DF25" s="177" t="str">
        <f>IF(
    factorsTable[[#This Row],[filteredIndex]] = "",
    "",
    IF(
      factorsTable[[#This Row],[relDiff]] = -99,
      -99,
      ABS(factorsTable[[#This Row],[relDiff]])
    )
  )</f>
        <v/>
      </c>
      <c r="DG25" s="177" t="str">
        <f>IF(
    factorsTable[[#This Row],[filteredIndex]] = "",
    "",
    _xlfn.XLOOKUP(
      _xlfn.XLOOKUP(
        factorsTable[[#This Row],[filteredIndex]],
        factorsConfigTable[index],
        factorsConfigTable[RANASBlock],#REF!,
        0
      ),
      RANASBlocksTable[label],
      RANASBlocksTable[index],
      6,
      0
    )
  )</f>
        <v/>
      </c>
      <c r="DH25" s="177" t="str">
        <f>IF(
    factorsTable[[#This Row],[filteredIndex]] = "",
    "",
    _xlfn.RANK.EQ(factorsTable[[#This Row],[relDiff]], factorsTable[relDiff], 0)
  )</f>
        <v/>
      </c>
      <c r="DI25" s="177" t="str">
        <f>IF(
    factorsTable[[#This Row],[filteredIndex]] = "",
    "",
    _xlfn.RANK.EQ(factorsTable[[#This Row],[absDiff]], factorsTable[absDiff], 0)
  )</f>
        <v/>
      </c>
      <c r="DJ25" s="177" t="str">
        <f>IF(
    factorsTable[[#This Row],[filteredIndex]] = "",
    "",
    _xlfn.RANK.EQ(factorsTable[[#This Row],[RANASIndex]], factorsTable[RANASIndex], 1)
  )</f>
        <v/>
      </c>
      <c r="DK25" s="177" t="str" cm="1">
        <f t="array" ref="DK25">_xlfn.SWITCH(
    sortingMethodTag,
    "none", factorsTable[[#This Row],[filteredIndex]],
    "relDiff", factorsTable[[#This Row],[relDiffRank]],
    "absDiff", factorsTable[[#This Row],[absDiffRank]],
    "RANAS", factorsTable[[#This Row],[RANASRank]],
    factorsTable[[#This Row],[filteredIndex]]
  )</f>
        <v/>
      </c>
      <c r="DL25" s="177" t="str">
        <f>IF(
    factorsTable[[#This Row],[filteredIndex]] = "",
    "",
    factorsTable[[#This Row],[selectedRank]]
      + COUNTIF(INDEX(factorsTable[selectedRank], 1):INDEX(factorsTable[selectedRank], factorsTable[[#This Row],[index]]), factorsTable[[#This Row],[selectedRank]])
      - 1
  )</f>
        <v/>
      </c>
      <c r="DM25" s="177" t="str">
        <f>IF(
    factorsTable[[#This Row],[filteredIndex]] = "",
    "",
    _xlfn.XLOOKUP(
      factorsTable[[#This Row],[index]],
      factorsTable[uniqueRank],
      factorsTable[filteredIndex],#REF!,
      0
    )
  )</f>
        <v/>
      </c>
      <c r="DN25" s="177" t="str" cm="1">
        <f t="array" ref="DN25">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5" s="177" t="str" cm="1">
        <f t="array" ref="DO25">IF(
    factorsTable[[#This Row],[sortedIndex]] = "",
    "",
    IF(
      factorsTable[[#This Row],[langSpecFactor]] = "",
      UITranslateForValueTable("noTranslation", UITranslationTable[tag], UITranslationTable[], UITranslationTable[#Headers]),
      factorsTable[[#This Row],[langSpecFactor]]
    )
  )</f>
        <v/>
      </c>
      <c r="DP25" s="177" t="str">
        <f>IF(
    factorsTable[[#This Row],[sortedIndex]] = "",
    "",
    _xlfn.XLOOKUP(
      _xlfn.XLOOKUP(
        factorsTable[[#This Row],[sortedIndex]],
        factorsConfigTable[index],
        factorsConfigTable[RANASBlock],#REF!,
        0
      ),
      RANASBlocksTable[label],
      RANASBlocksTable[tag],
      NA(),
      0
    )
  )</f>
        <v/>
      </c>
      <c r="DQ25" s="177" t="str" cm="1">
        <f t="array" ref="DQ25">IF(
    factorsTable[[#This Row],[sortedIndex]] = "",
    "",
    _xlfn.IFNA(
      _xlfn.XLOOKUP(factorsTable[[#This Row],[RANASTag]], RANASBlocksTable[tag], RANASBlocksTable[langSpecLabel]),
      UITranslateForValueTable("noRANASBlock", UITranslationTable[tag], UITranslationTable[], UITranslationTable[#Headers])
    )
  )</f>
        <v/>
      </c>
      <c r="DR25"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5" s="177" t="str">
        <f>IF(
    factorsTable[[#This Row],[sortedIndex]] = "",
    "",
    _xlfn.XLOOKUP(factorsTable[[#This Row],[sortedIndex]], factorsTable[index], factorsTable[numTotal])
  )</f>
        <v/>
      </c>
      <c r="DT25" s="177" t="str">
        <f>IF(
    factorsTable[[#This Row],[sortedIndex]] = "",
    "",
    _xlfn.XLOOKUP(factorsTable[[#This Row],[sortedIndex]], factorsTable[index], factorsTable[nondoers])
  )</f>
        <v/>
      </c>
      <c r="DU25" s="177" t="str">
        <f>IF(
    factorsTable[[#This Row],[sortedIndex]] = "",
    "",
    _xlfn.XLOOKUP(factorsTable[[#This Row],[sortedIndex]], factorsTable[index], factorsTable[doers])
  )</f>
        <v/>
      </c>
      <c r="DV25" s="177" t="str">
        <f>IF(
    factorsTable[[#This Row],[sortedIndex]] = "",
    "",
    _xlfn.XLOOKUP(factorsTable[[#This Row],[sortedIndex]], factorsTable[index], factorsTable[difference])
  )</f>
        <v/>
      </c>
    </row>
    <row r="26" spans="5:126" ht="14.4" customHeight="1" x14ac:dyDescent="0.3">
      <c r="E26" s="187" cm="1">
        <f t="array" ref="E26">ROW()-ROW(UITranslationTable[#Headers])</f>
        <v>24</v>
      </c>
      <c r="F26" s="9" t="s">
        <v>208</v>
      </c>
      <c r="G26" s="176"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176"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W26" s="177" cm="1">
        <f t="array" ref="W26">ROW()-ROW(structuredFormulaeTable[#Headers])</f>
        <v>24</v>
      </c>
      <c r="X26" s="1" t="s">
        <v>425</v>
      </c>
      <c r="Y26" s="1" t="s">
        <v>352</v>
      </c>
      <c r="AA26" s="178" t="s">
        <v>641</v>
      </c>
      <c r="AB26" s="178"/>
      <c r="CD26" s="1" cm="1">
        <f t="array" ref="CD26">ROW()-ROW(recommendedCutoffTable[#Headers])</f>
        <v>24</v>
      </c>
      <c r="CE26" s="183">
        <f>(recommendedCutoffTable[[#This Row],[index]] - 1) / 100</f>
        <v>0.23</v>
      </c>
      <c r="CF26" s="1" cm="1">
        <f t="array" ref="CF26">ABS(
    numScores
  - 2 * SUMPRODUCT((behaviourScore &lt;&gt; "") * (behaviourScore &lt; recommendedCutoffTable[[#This Row],[cutoffLevel]]))
  )</f>
        <v>0</v>
      </c>
      <c r="CM26" s="177" cm="1">
        <f t="array" ref="CM26">ROW()-ROW(factorsTable[#Headers])</f>
        <v>24</v>
      </c>
      <c r="CN26" s="177" t="str" cm="1">
        <f t="array" ref="CN26">KeepBlanksFunction(
    _xlfn.XLOOKUP(
      factorsTable[[#This Row],[index]],
      factorsConfigTable[index],
      factorsConfigTable[factorHeader],#REF!,
      0
    )
  )</f>
        <v/>
      </c>
      <c r="CO26" s="177" t="str">
        <f>IF(
    factorsTable[[#This Row],[factorHeader]] = "",
    "",
    _xlfn.IFNA(
      MATCH(factorsTable[[#This Row],[factorHeader]], dataHeaders, 0),
      _xlfn.IFNA(
        MATCH("*/" &amp; factorsTable[[#This Row],[factorHeader]], dataHeaders, 0),
        MATCH("*-" &amp; factorsTable[[#This Row],[factorHeader]], dataHeaders, 0)
      )
    )
  )</f>
        <v/>
      </c>
      <c r="CP26" s="177" t="str">
        <f>IF(
    factorsTable[[#This Row],[factorHeader]] = "",
    "",
    _xlfn.LET(
      _xlpm.tableValue,
      _xlfn.XLOOKUP(
        factorsTable[[#This Row],[index]],
        factorsConfigTable[index],
        factorsConfigTable[minScore],#REF!,
        0
      ),
      _xlpm.storedValue,
      IF(
        _xlpm.tableValue = "",
        NA(),
        _xlpm.tableValue
      ),
      _xlpm.storedValue
    )
  )</f>
        <v/>
      </c>
      <c r="CQ26" s="177" t="str">
        <f>IF(
    factorsTable[[#This Row],[factorHeader]] = "",
    "",
    _xlfn.LET(
      _xlpm.tableValue,
      _xlfn.XLOOKUP(
        factorsTable[[#This Row],[index]],
        factorsConfigTable[index],
        factorsConfigTable[maxScore],#REF!,
        0
      ),
      _xlpm.storedValue,
      IF(
        _xlpm.tableValue = "",
        NA(),
        _xlpm.tableValue
      ),
      _xlpm.storedValue
    )
  )</f>
        <v/>
      </c>
      <c r="CR26" s="177" t="str">
        <f>IF(
    factorsTable[[#This Row],[factorHeader]] = "",
    "",
    IF(
      ISERROR(factorsTable[[#This Row],[factorColNum]]),
      NA(),
      IF(
        ISNA(INDEX(dataRange,1,1)),
        NA(),
        MIN(INDEX(dataRange, , factorsTable[[#This Row],[factorColNum]]))
      )
    )
  )</f>
        <v/>
      </c>
      <c r="CS26" s="177" t="str">
        <f>IF(
    factorsTable[[#This Row],[factorHeader]] = "",
    "",
    IF(
      ISERROR(factorsTable[[#This Row],[factorColNum]]),
      NA(),
      IF(
        ISNA(INDEX(dataRange,1,1)),
        NA(),
        MAX(INDEX(dataRange, , factorsTable[[#This Row],[factorColNum]]))
      )
    )
  )</f>
        <v/>
      </c>
      <c r="CT26" s="177" t="b" cm="1">
        <f t="array" aca="1" ref="CT26" ca="1">AND(
    NOT(errorNoDataSheet),
    factorsTable[[#This Row],[factorHeader]] &lt;&gt; "",
    NOT(ISERROR(factorsTable[[#This Row],[factorColNum]])),
    IFERROR(factorsTable[[#This Row],[display]], FALSE),
    IFERROR(factorsTable[[#This Row],[minValue]] &lt; factorsTable[[#This Row],[minScore]], FALSE)
  )</f>
        <v>0</v>
      </c>
      <c r="CU26" s="177" t="b" cm="1">
        <f t="array" aca="1" ref="CU26" ca="1">AND(
    NOT(errorNoDataSheet),
    factorsTable[[#This Row],[factorHeader]] &lt;&gt; "",
    NOT(ISERROR(factorsTable[[#This Row],[factorColNum]])),
    IFERROR(factorsTable[[#This Row],[display]], FALSE),
    IFERROR(factorsTable[[#This Row],[maxValue]] &gt; factorsTable[[#This Row],[maxScore]], FALSE)
  )</f>
        <v>0</v>
      </c>
      <c r="CV26" s="177" t="str" cm="1">
        <f t="array" ref="CV26">IF(
    factorsTable[[#This Row],[factorHeader]] = "",
    "",
    IF(
      ISNA(INDEX(dataRange,1,1)),
      NA(),
      SUMPRODUCT(
          IF(isDoer = "", 0, NOT(isDoer))
        * (INDEX(dataRange, , factorsTable[[#This Row],[factorColNum]]) &lt;&gt; "")
      )
    )
  )</f>
        <v/>
      </c>
      <c r="CW26" s="177" t="str" cm="1">
        <f t="array" ref="CW26">IF(
    factorsTable[[#This Row],[factorHeader]] = "",
    "",
    IF(
      ISNA(INDEX(dataRange,1,1)),
      NA(),
      SUMPRODUCT(
          IF(isDoer = "", 0, isDoer)
        * (INDEX(dataRange, , factorsTable[[#This Row],[factorColNum]]) &lt;&gt; "")
      )
    )
  )</f>
        <v/>
      </c>
      <c r="CX26" s="177" t="str" cm="1">
        <f t="array" ref="CX26">IF(
    factorsTable[[#This Row],[factorHeader]] = "",
    "",
    IF(
      ISERROR(factorsTable[[#This Row],[factorColNum]]),
      UITranslateForValueTable("dataNotFound", UITranslationTable[tag], UITranslationTable[], UITranslationTable[#Headers]),
      factorsTable[[#This Row],[numDoers]] + factorsTable[[#This Row],[numNondoers]]
    )
  )</f>
        <v/>
      </c>
      <c r="CY26" s="177" t="str" cm="1">
        <f t="array" ref="CY2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6" s="177" t="str" cm="1">
        <f t="array" ref="CZ2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6" s="177" t="str">
        <f>IF(
    factorsTable[[#This Row],[factorHeader]] = "",
    "",
    factorsTable[[#This Row],[doers]] - factorsTable[[#This Row],[nondoers]]
  )</f>
        <v/>
      </c>
      <c r="DB26" s="177" t="str">
        <f>IF(
    factorsTable[[#This Row],[factorHeader]] = "",
    "",
    _xlfn.XLOOKUP(
      _xlfn.XLOOKUP(
        factorsTable[[#This Row],[index]],
        factorsConfigTable[index],
        factorsConfigTable[displayConfig],#REF!,
        0
      ),
      yesNoTable[label],
      yesNoTable[tag],
      "",
      0
    )
  )</f>
        <v/>
      </c>
      <c r="DC26" s="177" t="b">
        <f>IF(
    factorsTable[[#This Row],[factorHeader]] = "",
    FALSE,
    IF(
      factorsTable[[#This Row],[displayConfig]] = "yes",
      TRUE,
      IF(
        factorsTable[[#This Row],[displayConfig]] = "no",
        FALSE,
        NA()
      )
    )
  )</f>
        <v>0</v>
      </c>
      <c r="DD26" s="177" t="str" cm="1">
        <f t="array" ref="DD26">FilterTrueColumn(factorsTable[[#This Row],[index]], factorsTable[index], factorsTable[filteredIndex], factorsTable[display])</f>
        <v/>
      </c>
      <c r="DE26" s="177" t="str">
        <f>IF(
    factorsTable[[#This Row],[filteredIndex]] = "",
    "",
    _xlfn.IFNA(
      _xlfn.XLOOKUP(factorsTable[[#This Row],[filteredIndex]], factorsTable[index], factorsTable[difference]),
      -99
    )
  )</f>
        <v/>
      </c>
      <c r="DF26" s="177" t="str">
        <f>IF(
    factorsTable[[#This Row],[filteredIndex]] = "",
    "",
    IF(
      factorsTable[[#This Row],[relDiff]] = -99,
      -99,
      ABS(factorsTable[[#This Row],[relDiff]])
    )
  )</f>
        <v/>
      </c>
      <c r="DG26" s="177" t="str">
        <f>IF(
    factorsTable[[#This Row],[filteredIndex]] = "",
    "",
    _xlfn.XLOOKUP(
      _xlfn.XLOOKUP(
        factorsTable[[#This Row],[filteredIndex]],
        factorsConfigTable[index],
        factorsConfigTable[RANASBlock],#REF!,
        0
      ),
      RANASBlocksTable[label],
      RANASBlocksTable[index],
      6,
      0
    )
  )</f>
        <v/>
      </c>
      <c r="DH26" s="177" t="str">
        <f>IF(
    factorsTable[[#This Row],[filteredIndex]] = "",
    "",
    _xlfn.RANK.EQ(factorsTable[[#This Row],[relDiff]], factorsTable[relDiff], 0)
  )</f>
        <v/>
      </c>
      <c r="DI26" s="177" t="str">
        <f>IF(
    factorsTable[[#This Row],[filteredIndex]] = "",
    "",
    _xlfn.RANK.EQ(factorsTable[[#This Row],[absDiff]], factorsTable[absDiff], 0)
  )</f>
        <v/>
      </c>
      <c r="DJ26" s="177" t="str">
        <f>IF(
    factorsTable[[#This Row],[filteredIndex]] = "",
    "",
    _xlfn.RANK.EQ(factorsTable[[#This Row],[RANASIndex]], factorsTable[RANASIndex], 1)
  )</f>
        <v/>
      </c>
      <c r="DK26" s="177" t="str" cm="1">
        <f t="array" ref="DK26">_xlfn.SWITCH(
    sortingMethodTag,
    "none", factorsTable[[#This Row],[filteredIndex]],
    "relDiff", factorsTable[[#This Row],[relDiffRank]],
    "absDiff", factorsTable[[#This Row],[absDiffRank]],
    "RANAS", factorsTable[[#This Row],[RANASRank]],
    factorsTable[[#This Row],[filteredIndex]]
  )</f>
        <v/>
      </c>
      <c r="DL26" s="177" t="str">
        <f>IF(
    factorsTable[[#This Row],[filteredIndex]] = "",
    "",
    factorsTable[[#This Row],[selectedRank]]
      + COUNTIF(INDEX(factorsTable[selectedRank], 1):INDEX(factorsTable[selectedRank], factorsTable[[#This Row],[index]]), factorsTable[[#This Row],[selectedRank]])
      - 1
  )</f>
        <v/>
      </c>
      <c r="DM26" s="177" t="str">
        <f>IF(
    factorsTable[[#This Row],[filteredIndex]] = "",
    "",
    _xlfn.XLOOKUP(
      factorsTable[[#This Row],[index]],
      factorsTable[uniqueRank],
      factorsTable[filteredIndex],#REF!,
      0
    )
  )</f>
        <v/>
      </c>
      <c r="DN26" s="177" t="str" cm="1">
        <f t="array" ref="DN26">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6" s="177" t="str" cm="1">
        <f t="array" ref="DO26">IF(
    factorsTable[[#This Row],[sortedIndex]] = "",
    "",
    IF(
      factorsTable[[#This Row],[langSpecFactor]] = "",
      UITranslateForValueTable("noTranslation", UITranslationTable[tag], UITranslationTable[], UITranslationTable[#Headers]),
      factorsTable[[#This Row],[langSpecFactor]]
    )
  )</f>
        <v/>
      </c>
      <c r="DP26" s="177" t="str">
        <f>IF(
    factorsTable[[#This Row],[sortedIndex]] = "",
    "",
    _xlfn.XLOOKUP(
      _xlfn.XLOOKUP(
        factorsTable[[#This Row],[sortedIndex]],
        factorsConfigTable[index],
        factorsConfigTable[RANASBlock],#REF!,
        0
      ),
      RANASBlocksTable[label],
      RANASBlocksTable[tag],
      NA(),
      0
    )
  )</f>
        <v/>
      </c>
      <c r="DQ26" s="177" t="str" cm="1">
        <f t="array" ref="DQ26">IF(
    factorsTable[[#This Row],[sortedIndex]] = "",
    "",
    _xlfn.IFNA(
      _xlfn.XLOOKUP(factorsTable[[#This Row],[RANASTag]], RANASBlocksTable[tag], RANASBlocksTable[langSpecLabel]),
      UITranslateForValueTable("noRANASBlock", UITranslationTable[tag], UITranslationTable[], UITranslationTable[#Headers])
    )
  )</f>
        <v/>
      </c>
      <c r="DR26"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6" s="177" t="str">
        <f>IF(
    factorsTable[[#This Row],[sortedIndex]] = "",
    "",
    _xlfn.XLOOKUP(factorsTable[[#This Row],[sortedIndex]], factorsTable[index], factorsTable[numTotal])
  )</f>
        <v/>
      </c>
      <c r="DT26" s="177" t="str">
        <f>IF(
    factorsTable[[#This Row],[sortedIndex]] = "",
    "",
    _xlfn.XLOOKUP(factorsTable[[#This Row],[sortedIndex]], factorsTable[index], factorsTable[nondoers])
  )</f>
        <v/>
      </c>
      <c r="DU26" s="177" t="str">
        <f>IF(
    factorsTable[[#This Row],[sortedIndex]] = "",
    "",
    _xlfn.XLOOKUP(factorsTable[[#This Row],[sortedIndex]], factorsTable[index], factorsTable[doers])
  )</f>
        <v/>
      </c>
      <c r="DV26" s="177" t="str">
        <f>IF(
    factorsTable[[#This Row],[sortedIndex]] = "",
    "",
    _xlfn.XLOOKUP(factorsTable[[#This Row],[sortedIndex]], factorsTable[index], factorsTable[difference])
  )</f>
        <v/>
      </c>
    </row>
    <row r="27" spans="5:126" ht="14.4" customHeight="1" x14ac:dyDescent="0.3">
      <c r="E27" s="187" cm="1">
        <f t="array" ref="E27">ROW()-ROW(UITranslationTable[#Headers])</f>
        <v>25</v>
      </c>
      <c r="F27" s="9" t="s">
        <v>69</v>
      </c>
      <c r="G27" s="176" t="str">
        <f>"2." &amp; CHAR(160) &amp; "Behaviour"</f>
        <v>2. Behaviour</v>
      </c>
      <c r="H27" s="176" t="str">
        <f>"2." &amp; CHAR(160) &amp; "Comportement"</f>
        <v>2. Comportement</v>
      </c>
      <c r="W27" s="177" cm="1">
        <f t="array" ref="W27">ROW()-ROW(structuredFormulaeTable[#Headers])</f>
        <v>25</v>
      </c>
      <c r="X27" s="1" t="s">
        <v>425</v>
      </c>
      <c r="Y27" s="1" t="s">
        <v>353</v>
      </c>
      <c r="AA27" s="178" t="s">
        <v>642</v>
      </c>
      <c r="AB27" s="178"/>
      <c r="CD27" s="1" cm="1">
        <f t="array" ref="CD27">ROW()-ROW(recommendedCutoffTable[#Headers])</f>
        <v>25</v>
      </c>
      <c r="CE27" s="183">
        <f>(recommendedCutoffTable[[#This Row],[index]] - 1) / 100</f>
        <v>0.24</v>
      </c>
      <c r="CF27" s="1" cm="1">
        <f t="array" ref="CF27">ABS(
    numScores
  - 2 * SUMPRODUCT((behaviourScore &lt;&gt; "") * (behaviourScore &lt; recommendedCutoffTable[[#This Row],[cutoffLevel]]))
  )</f>
        <v>0</v>
      </c>
      <c r="CM27" s="177" cm="1">
        <f t="array" ref="CM27">ROW()-ROW(factorsTable[#Headers])</f>
        <v>25</v>
      </c>
      <c r="CN27" s="177" t="str" cm="1">
        <f t="array" ref="CN27">KeepBlanksFunction(
    _xlfn.XLOOKUP(
      factorsTable[[#This Row],[index]],
      factorsConfigTable[index],
      factorsConfigTable[factorHeader],#REF!,
      0
    )
  )</f>
        <v/>
      </c>
      <c r="CO27" s="177" t="str">
        <f>IF(
    factorsTable[[#This Row],[factorHeader]] = "",
    "",
    _xlfn.IFNA(
      MATCH(factorsTable[[#This Row],[factorHeader]], dataHeaders, 0),
      _xlfn.IFNA(
        MATCH("*/" &amp; factorsTable[[#This Row],[factorHeader]], dataHeaders, 0),
        MATCH("*-" &amp; factorsTable[[#This Row],[factorHeader]], dataHeaders, 0)
      )
    )
  )</f>
        <v/>
      </c>
      <c r="CP27" s="177" t="str">
        <f>IF(
    factorsTable[[#This Row],[factorHeader]] = "",
    "",
    _xlfn.LET(
      _xlpm.tableValue,
      _xlfn.XLOOKUP(
        factorsTable[[#This Row],[index]],
        factorsConfigTable[index],
        factorsConfigTable[minScore],#REF!,
        0
      ),
      _xlpm.storedValue,
      IF(
        _xlpm.tableValue = "",
        NA(),
        _xlpm.tableValue
      ),
      _xlpm.storedValue
    )
  )</f>
        <v/>
      </c>
      <c r="CQ27" s="177" t="str">
        <f>IF(
    factorsTable[[#This Row],[factorHeader]] = "",
    "",
    _xlfn.LET(
      _xlpm.tableValue,
      _xlfn.XLOOKUP(
        factorsTable[[#This Row],[index]],
        factorsConfigTable[index],
        factorsConfigTable[maxScore],#REF!,
        0
      ),
      _xlpm.storedValue,
      IF(
        _xlpm.tableValue = "",
        NA(),
        _xlpm.tableValue
      ),
      _xlpm.storedValue
    )
  )</f>
        <v/>
      </c>
      <c r="CR27" s="177" t="str">
        <f>IF(
    factorsTable[[#This Row],[factorHeader]] = "",
    "",
    IF(
      ISERROR(factorsTable[[#This Row],[factorColNum]]),
      NA(),
      IF(
        ISNA(INDEX(dataRange,1,1)),
        NA(),
        MIN(INDEX(dataRange, , factorsTable[[#This Row],[factorColNum]]))
      )
    )
  )</f>
        <v/>
      </c>
      <c r="CS27" s="177" t="str">
        <f>IF(
    factorsTable[[#This Row],[factorHeader]] = "",
    "",
    IF(
      ISERROR(factorsTable[[#This Row],[factorColNum]]),
      NA(),
      IF(
        ISNA(INDEX(dataRange,1,1)),
        NA(),
        MAX(INDEX(dataRange, , factorsTable[[#This Row],[factorColNum]]))
      )
    )
  )</f>
        <v/>
      </c>
      <c r="CT27" s="177" t="b" cm="1">
        <f t="array" aca="1" ref="CT27" ca="1">AND(
    NOT(errorNoDataSheet),
    factorsTable[[#This Row],[factorHeader]] &lt;&gt; "",
    NOT(ISERROR(factorsTable[[#This Row],[factorColNum]])),
    IFERROR(factorsTable[[#This Row],[display]], FALSE),
    IFERROR(factorsTable[[#This Row],[minValue]] &lt; factorsTable[[#This Row],[minScore]], FALSE)
  )</f>
        <v>0</v>
      </c>
      <c r="CU27" s="177" t="b" cm="1">
        <f t="array" aca="1" ref="CU27" ca="1">AND(
    NOT(errorNoDataSheet),
    factorsTable[[#This Row],[factorHeader]] &lt;&gt; "",
    NOT(ISERROR(factorsTable[[#This Row],[factorColNum]])),
    IFERROR(factorsTable[[#This Row],[display]], FALSE),
    IFERROR(factorsTable[[#This Row],[maxValue]] &gt; factorsTable[[#This Row],[maxScore]], FALSE)
  )</f>
        <v>0</v>
      </c>
      <c r="CV27" s="177" t="str" cm="1">
        <f t="array" ref="CV27">IF(
    factorsTable[[#This Row],[factorHeader]] = "",
    "",
    IF(
      ISNA(INDEX(dataRange,1,1)),
      NA(),
      SUMPRODUCT(
          IF(isDoer = "", 0, NOT(isDoer))
        * (INDEX(dataRange, , factorsTable[[#This Row],[factorColNum]]) &lt;&gt; "")
      )
    )
  )</f>
        <v/>
      </c>
      <c r="CW27" s="177" t="str" cm="1">
        <f t="array" ref="CW27">IF(
    factorsTable[[#This Row],[factorHeader]] = "",
    "",
    IF(
      ISNA(INDEX(dataRange,1,1)),
      NA(),
      SUMPRODUCT(
          IF(isDoer = "", 0, isDoer)
        * (INDEX(dataRange, , factorsTable[[#This Row],[factorColNum]]) &lt;&gt; "")
      )
    )
  )</f>
        <v/>
      </c>
      <c r="CX27" s="177" t="str" cm="1">
        <f t="array" ref="CX27">IF(
    factorsTable[[#This Row],[factorHeader]] = "",
    "",
    IF(
      ISERROR(factorsTable[[#This Row],[factorColNum]]),
      UITranslateForValueTable("dataNotFound", UITranslationTable[tag], UITranslationTable[], UITranslationTable[#Headers]),
      factorsTable[[#This Row],[numDoers]] + factorsTable[[#This Row],[numNondoers]]
    )
  )</f>
        <v/>
      </c>
      <c r="CY27" s="177" t="str" cm="1">
        <f t="array" ref="CY2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7" s="177" t="str" cm="1">
        <f t="array" ref="CZ2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7" s="177" t="str">
        <f>IF(
    factorsTable[[#This Row],[factorHeader]] = "",
    "",
    factorsTable[[#This Row],[doers]] - factorsTable[[#This Row],[nondoers]]
  )</f>
        <v/>
      </c>
      <c r="DB27" s="177" t="str">
        <f>IF(
    factorsTable[[#This Row],[factorHeader]] = "",
    "",
    _xlfn.XLOOKUP(
      _xlfn.XLOOKUP(
        factorsTable[[#This Row],[index]],
        factorsConfigTable[index],
        factorsConfigTable[displayConfig],#REF!,
        0
      ),
      yesNoTable[label],
      yesNoTable[tag],
      "",
      0
    )
  )</f>
        <v/>
      </c>
      <c r="DC27" s="177" t="b">
        <f>IF(
    factorsTable[[#This Row],[factorHeader]] = "",
    FALSE,
    IF(
      factorsTable[[#This Row],[displayConfig]] = "yes",
      TRUE,
      IF(
        factorsTable[[#This Row],[displayConfig]] = "no",
        FALSE,
        NA()
      )
    )
  )</f>
        <v>0</v>
      </c>
      <c r="DD27" s="177" t="str" cm="1">
        <f t="array" ref="DD27">FilterTrueColumn(factorsTable[[#This Row],[index]], factorsTable[index], factorsTable[filteredIndex], factorsTable[display])</f>
        <v/>
      </c>
      <c r="DE27" s="177" t="str">
        <f>IF(
    factorsTable[[#This Row],[filteredIndex]] = "",
    "",
    _xlfn.IFNA(
      _xlfn.XLOOKUP(factorsTable[[#This Row],[filteredIndex]], factorsTable[index], factorsTable[difference]),
      -99
    )
  )</f>
        <v/>
      </c>
      <c r="DF27" s="177" t="str">
        <f>IF(
    factorsTable[[#This Row],[filteredIndex]] = "",
    "",
    IF(
      factorsTable[[#This Row],[relDiff]] = -99,
      -99,
      ABS(factorsTable[[#This Row],[relDiff]])
    )
  )</f>
        <v/>
      </c>
      <c r="DG27" s="177" t="str">
        <f>IF(
    factorsTable[[#This Row],[filteredIndex]] = "",
    "",
    _xlfn.XLOOKUP(
      _xlfn.XLOOKUP(
        factorsTable[[#This Row],[filteredIndex]],
        factorsConfigTable[index],
        factorsConfigTable[RANASBlock],#REF!,
        0
      ),
      RANASBlocksTable[label],
      RANASBlocksTable[index],
      6,
      0
    )
  )</f>
        <v/>
      </c>
      <c r="DH27" s="177" t="str">
        <f>IF(
    factorsTable[[#This Row],[filteredIndex]] = "",
    "",
    _xlfn.RANK.EQ(factorsTable[[#This Row],[relDiff]], factorsTable[relDiff], 0)
  )</f>
        <v/>
      </c>
      <c r="DI27" s="177" t="str">
        <f>IF(
    factorsTable[[#This Row],[filteredIndex]] = "",
    "",
    _xlfn.RANK.EQ(factorsTable[[#This Row],[absDiff]], factorsTable[absDiff], 0)
  )</f>
        <v/>
      </c>
      <c r="DJ27" s="177" t="str">
        <f>IF(
    factorsTable[[#This Row],[filteredIndex]] = "",
    "",
    _xlfn.RANK.EQ(factorsTable[[#This Row],[RANASIndex]], factorsTable[RANASIndex], 1)
  )</f>
        <v/>
      </c>
      <c r="DK27" s="177" t="str" cm="1">
        <f t="array" ref="DK27">_xlfn.SWITCH(
    sortingMethodTag,
    "none", factorsTable[[#This Row],[filteredIndex]],
    "relDiff", factorsTable[[#This Row],[relDiffRank]],
    "absDiff", factorsTable[[#This Row],[absDiffRank]],
    "RANAS", factorsTable[[#This Row],[RANASRank]],
    factorsTable[[#This Row],[filteredIndex]]
  )</f>
        <v/>
      </c>
      <c r="DL27" s="177" t="str">
        <f>IF(
    factorsTable[[#This Row],[filteredIndex]] = "",
    "",
    factorsTable[[#This Row],[selectedRank]]
      + COUNTIF(INDEX(factorsTable[selectedRank], 1):INDEX(factorsTable[selectedRank], factorsTable[[#This Row],[index]]), factorsTable[[#This Row],[selectedRank]])
      - 1
  )</f>
        <v/>
      </c>
      <c r="DM27" s="177" t="str">
        <f>IF(
    factorsTable[[#This Row],[filteredIndex]] = "",
    "",
    _xlfn.XLOOKUP(
      factorsTable[[#This Row],[index]],
      factorsTable[uniqueRank],
      factorsTable[filteredIndex],#REF!,
      0
    )
  )</f>
        <v/>
      </c>
      <c r="DN27" s="177" t="str" cm="1">
        <f t="array" ref="DN27">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7" s="177" t="str" cm="1">
        <f t="array" ref="DO27">IF(
    factorsTable[[#This Row],[sortedIndex]] = "",
    "",
    IF(
      factorsTable[[#This Row],[langSpecFactor]] = "",
      UITranslateForValueTable("noTranslation", UITranslationTable[tag], UITranslationTable[], UITranslationTable[#Headers]),
      factorsTable[[#This Row],[langSpecFactor]]
    )
  )</f>
        <v/>
      </c>
      <c r="DP27" s="177" t="str">
        <f>IF(
    factorsTable[[#This Row],[sortedIndex]] = "",
    "",
    _xlfn.XLOOKUP(
      _xlfn.XLOOKUP(
        factorsTable[[#This Row],[sortedIndex]],
        factorsConfigTable[index],
        factorsConfigTable[RANASBlock],#REF!,
        0
      ),
      RANASBlocksTable[label],
      RANASBlocksTable[tag],
      NA(),
      0
    )
  )</f>
        <v/>
      </c>
      <c r="DQ27" s="177" t="str" cm="1">
        <f t="array" ref="DQ27">IF(
    factorsTable[[#This Row],[sortedIndex]] = "",
    "",
    _xlfn.IFNA(
      _xlfn.XLOOKUP(factorsTable[[#This Row],[RANASTag]], RANASBlocksTable[tag], RANASBlocksTable[langSpecLabel]),
      UITranslateForValueTable("noRANASBlock", UITranslationTable[tag], UITranslationTable[], UITranslationTable[#Headers])
    )
  )</f>
        <v/>
      </c>
      <c r="DR27"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7" s="177" t="str">
        <f>IF(
    factorsTable[[#This Row],[sortedIndex]] = "",
    "",
    _xlfn.XLOOKUP(factorsTable[[#This Row],[sortedIndex]], factorsTable[index], factorsTable[numTotal])
  )</f>
        <v/>
      </c>
      <c r="DT27" s="177" t="str">
        <f>IF(
    factorsTable[[#This Row],[sortedIndex]] = "",
    "",
    _xlfn.XLOOKUP(factorsTable[[#This Row],[sortedIndex]], factorsTable[index], factorsTable[nondoers])
  )</f>
        <v/>
      </c>
      <c r="DU27" s="177" t="str">
        <f>IF(
    factorsTable[[#This Row],[sortedIndex]] = "",
    "",
    _xlfn.XLOOKUP(factorsTable[[#This Row],[sortedIndex]], factorsTable[index], factorsTable[doers])
  )</f>
        <v/>
      </c>
      <c r="DV27" s="177" t="str">
        <f>IF(
    factorsTable[[#This Row],[sortedIndex]] = "",
    "",
    _xlfn.XLOOKUP(factorsTable[[#This Row],[sortedIndex]], factorsTable[index], factorsTable[difference])
  )</f>
        <v/>
      </c>
    </row>
    <row r="28" spans="5:126" ht="14.4" customHeight="1" x14ac:dyDescent="0.3">
      <c r="E28" s="187" cm="1">
        <f t="array" ref="E28">ROW()-ROW(UITranslationTable[#Headers])</f>
        <v>26</v>
      </c>
      <c r="F28" s="9" t="s">
        <v>209</v>
      </c>
      <c r="G28" s="176" t="s">
        <v>198</v>
      </c>
      <c r="H28" s="176" t="s">
        <v>199</v>
      </c>
      <c r="W28" s="177" cm="1">
        <f t="array" ref="W28">ROW()-ROW(structuredFormulaeTable[#Headers])</f>
        <v>26</v>
      </c>
      <c r="X28" s="1" t="s">
        <v>425</v>
      </c>
      <c r="Y28" s="1" t="s">
        <v>354</v>
      </c>
      <c r="AA28" s="178" t="s">
        <v>643</v>
      </c>
      <c r="AB28" s="178"/>
      <c r="CD28" s="1" cm="1">
        <f t="array" ref="CD28">ROW()-ROW(recommendedCutoffTable[#Headers])</f>
        <v>26</v>
      </c>
      <c r="CE28" s="183">
        <f>(recommendedCutoffTable[[#This Row],[index]] - 1) / 100</f>
        <v>0.25</v>
      </c>
      <c r="CF28" s="1" cm="1">
        <f t="array" ref="CF28">ABS(
    numScores
  - 2 * SUMPRODUCT((behaviourScore &lt;&gt; "") * (behaviourScore &lt; recommendedCutoffTable[[#This Row],[cutoffLevel]]))
  )</f>
        <v>0</v>
      </c>
      <c r="CM28" s="177" cm="1">
        <f t="array" ref="CM28">ROW()-ROW(factorsTable[#Headers])</f>
        <v>26</v>
      </c>
      <c r="CN28" s="177" t="str" cm="1">
        <f t="array" ref="CN28">KeepBlanksFunction(
    _xlfn.XLOOKUP(
      factorsTable[[#This Row],[index]],
      factorsConfigTable[index],
      factorsConfigTable[factorHeader],#REF!,
      0
    )
  )</f>
        <v/>
      </c>
      <c r="CO28" s="177" t="str">
        <f>IF(
    factorsTable[[#This Row],[factorHeader]] = "",
    "",
    _xlfn.IFNA(
      MATCH(factorsTable[[#This Row],[factorHeader]], dataHeaders, 0),
      _xlfn.IFNA(
        MATCH("*/" &amp; factorsTable[[#This Row],[factorHeader]], dataHeaders, 0),
        MATCH("*-" &amp; factorsTable[[#This Row],[factorHeader]], dataHeaders, 0)
      )
    )
  )</f>
        <v/>
      </c>
      <c r="CP28" s="177" t="str">
        <f>IF(
    factorsTable[[#This Row],[factorHeader]] = "",
    "",
    _xlfn.LET(
      _xlpm.tableValue,
      _xlfn.XLOOKUP(
        factorsTable[[#This Row],[index]],
        factorsConfigTable[index],
        factorsConfigTable[minScore],#REF!,
        0
      ),
      _xlpm.storedValue,
      IF(
        _xlpm.tableValue = "",
        NA(),
        _xlpm.tableValue
      ),
      _xlpm.storedValue
    )
  )</f>
        <v/>
      </c>
      <c r="CQ28" s="177" t="str">
        <f>IF(
    factorsTable[[#This Row],[factorHeader]] = "",
    "",
    _xlfn.LET(
      _xlpm.tableValue,
      _xlfn.XLOOKUP(
        factorsTable[[#This Row],[index]],
        factorsConfigTable[index],
        factorsConfigTable[maxScore],#REF!,
        0
      ),
      _xlpm.storedValue,
      IF(
        _xlpm.tableValue = "",
        NA(),
        _xlpm.tableValue
      ),
      _xlpm.storedValue
    )
  )</f>
        <v/>
      </c>
      <c r="CR28" s="177" t="str">
        <f>IF(
    factorsTable[[#This Row],[factorHeader]] = "",
    "",
    IF(
      ISERROR(factorsTable[[#This Row],[factorColNum]]),
      NA(),
      IF(
        ISNA(INDEX(dataRange,1,1)),
        NA(),
        MIN(INDEX(dataRange, , factorsTable[[#This Row],[factorColNum]]))
      )
    )
  )</f>
        <v/>
      </c>
      <c r="CS28" s="177" t="str">
        <f>IF(
    factorsTable[[#This Row],[factorHeader]] = "",
    "",
    IF(
      ISERROR(factorsTable[[#This Row],[factorColNum]]),
      NA(),
      IF(
        ISNA(INDEX(dataRange,1,1)),
        NA(),
        MAX(INDEX(dataRange, , factorsTable[[#This Row],[factorColNum]]))
      )
    )
  )</f>
        <v/>
      </c>
      <c r="CT28" s="177" t="b" cm="1">
        <f t="array" aca="1" ref="CT28" ca="1">AND(
    NOT(errorNoDataSheet),
    factorsTable[[#This Row],[factorHeader]] &lt;&gt; "",
    NOT(ISERROR(factorsTable[[#This Row],[factorColNum]])),
    IFERROR(factorsTable[[#This Row],[display]], FALSE),
    IFERROR(factorsTable[[#This Row],[minValue]] &lt; factorsTable[[#This Row],[minScore]], FALSE)
  )</f>
        <v>0</v>
      </c>
      <c r="CU28" s="177" t="b" cm="1">
        <f t="array" aca="1" ref="CU28" ca="1">AND(
    NOT(errorNoDataSheet),
    factorsTable[[#This Row],[factorHeader]] &lt;&gt; "",
    NOT(ISERROR(factorsTable[[#This Row],[factorColNum]])),
    IFERROR(factorsTable[[#This Row],[display]], FALSE),
    IFERROR(factorsTable[[#This Row],[maxValue]] &gt; factorsTable[[#This Row],[maxScore]], FALSE)
  )</f>
        <v>0</v>
      </c>
      <c r="CV28" s="177" t="str" cm="1">
        <f t="array" ref="CV28">IF(
    factorsTable[[#This Row],[factorHeader]] = "",
    "",
    IF(
      ISNA(INDEX(dataRange,1,1)),
      NA(),
      SUMPRODUCT(
          IF(isDoer = "", 0, NOT(isDoer))
        * (INDEX(dataRange, , factorsTable[[#This Row],[factorColNum]]) &lt;&gt; "")
      )
    )
  )</f>
        <v/>
      </c>
      <c r="CW28" s="177" t="str" cm="1">
        <f t="array" ref="CW28">IF(
    factorsTable[[#This Row],[factorHeader]] = "",
    "",
    IF(
      ISNA(INDEX(dataRange,1,1)),
      NA(),
      SUMPRODUCT(
          IF(isDoer = "", 0, isDoer)
        * (INDEX(dataRange, , factorsTable[[#This Row],[factorColNum]]) &lt;&gt; "")
      )
    )
  )</f>
        <v/>
      </c>
      <c r="CX28" s="177" t="str" cm="1">
        <f t="array" ref="CX28">IF(
    factorsTable[[#This Row],[factorHeader]] = "",
    "",
    IF(
      ISERROR(factorsTable[[#This Row],[factorColNum]]),
      UITranslateForValueTable("dataNotFound", UITranslationTable[tag], UITranslationTable[], UITranslationTable[#Headers]),
      factorsTable[[#This Row],[numDoers]] + factorsTable[[#This Row],[numNondoers]]
    )
  )</f>
        <v/>
      </c>
      <c r="CY28" s="177" t="str" cm="1">
        <f t="array" ref="CY2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8" s="177" t="str" cm="1">
        <f t="array" ref="CZ2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8" s="177" t="str">
        <f>IF(
    factorsTable[[#This Row],[factorHeader]] = "",
    "",
    factorsTable[[#This Row],[doers]] - factorsTable[[#This Row],[nondoers]]
  )</f>
        <v/>
      </c>
      <c r="DB28" s="177" t="str">
        <f>IF(
    factorsTable[[#This Row],[factorHeader]] = "",
    "",
    _xlfn.XLOOKUP(
      _xlfn.XLOOKUP(
        factorsTable[[#This Row],[index]],
        factorsConfigTable[index],
        factorsConfigTable[displayConfig],#REF!,
        0
      ),
      yesNoTable[label],
      yesNoTable[tag],
      "",
      0
    )
  )</f>
        <v/>
      </c>
      <c r="DC28" s="177" t="b">
        <f>IF(
    factorsTable[[#This Row],[factorHeader]] = "",
    FALSE,
    IF(
      factorsTable[[#This Row],[displayConfig]] = "yes",
      TRUE,
      IF(
        factorsTable[[#This Row],[displayConfig]] = "no",
        FALSE,
        NA()
      )
    )
  )</f>
        <v>0</v>
      </c>
      <c r="DD28" s="177" t="str" cm="1">
        <f t="array" ref="DD28">FilterTrueColumn(factorsTable[[#This Row],[index]], factorsTable[index], factorsTable[filteredIndex], factorsTable[display])</f>
        <v/>
      </c>
      <c r="DE28" s="177" t="str">
        <f>IF(
    factorsTable[[#This Row],[filteredIndex]] = "",
    "",
    _xlfn.IFNA(
      _xlfn.XLOOKUP(factorsTable[[#This Row],[filteredIndex]], factorsTable[index], factorsTable[difference]),
      -99
    )
  )</f>
        <v/>
      </c>
      <c r="DF28" s="177" t="str">
        <f>IF(
    factorsTable[[#This Row],[filteredIndex]] = "",
    "",
    IF(
      factorsTable[[#This Row],[relDiff]] = -99,
      -99,
      ABS(factorsTable[[#This Row],[relDiff]])
    )
  )</f>
        <v/>
      </c>
      <c r="DG28" s="177" t="str">
        <f>IF(
    factorsTable[[#This Row],[filteredIndex]] = "",
    "",
    _xlfn.XLOOKUP(
      _xlfn.XLOOKUP(
        factorsTable[[#This Row],[filteredIndex]],
        factorsConfigTable[index],
        factorsConfigTable[RANASBlock],#REF!,
        0
      ),
      RANASBlocksTable[label],
      RANASBlocksTable[index],
      6,
      0
    )
  )</f>
        <v/>
      </c>
      <c r="DH28" s="177" t="str">
        <f>IF(
    factorsTable[[#This Row],[filteredIndex]] = "",
    "",
    _xlfn.RANK.EQ(factorsTable[[#This Row],[relDiff]], factorsTable[relDiff], 0)
  )</f>
        <v/>
      </c>
      <c r="DI28" s="177" t="str">
        <f>IF(
    factorsTable[[#This Row],[filteredIndex]] = "",
    "",
    _xlfn.RANK.EQ(factorsTable[[#This Row],[absDiff]], factorsTable[absDiff], 0)
  )</f>
        <v/>
      </c>
      <c r="DJ28" s="177" t="str">
        <f>IF(
    factorsTable[[#This Row],[filteredIndex]] = "",
    "",
    _xlfn.RANK.EQ(factorsTable[[#This Row],[RANASIndex]], factorsTable[RANASIndex], 1)
  )</f>
        <v/>
      </c>
      <c r="DK28" s="177" t="str" cm="1">
        <f t="array" ref="DK28">_xlfn.SWITCH(
    sortingMethodTag,
    "none", factorsTable[[#This Row],[filteredIndex]],
    "relDiff", factorsTable[[#This Row],[relDiffRank]],
    "absDiff", factorsTable[[#This Row],[absDiffRank]],
    "RANAS", factorsTable[[#This Row],[RANASRank]],
    factorsTable[[#This Row],[filteredIndex]]
  )</f>
        <v/>
      </c>
      <c r="DL28" s="177" t="str">
        <f>IF(
    factorsTable[[#This Row],[filteredIndex]] = "",
    "",
    factorsTable[[#This Row],[selectedRank]]
      + COUNTIF(INDEX(factorsTable[selectedRank], 1):INDEX(factorsTable[selectedRank], factorsTable[[#This Row],[index]]), factorsTable[[#This Row],[selectedRank]])
      - 1
  )</f>
        <v/>
      </c>
      <c r="DM28" s="177" t="str">
        <f>IF(
    factorsTable[[#This Row],[filteredIndex]] = "",
    "",
    _xlfn.XLOOKUP(
      factorsTable[[#This Row],[index]],
      factorsTable[uniqueRank],
      factorsTable[filteredIndex],#REF!,
      0
    )
  )</f>
        <v/>
      </c>
      <c r="DN28" s="177" t="str" cm="1">
        <f t="array" ref="DN28">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8" s="177" t="str" cm="1">
        <f t="array" ref="DO28">IF(
    factorsTable[[#This Row],[sortedIndex]] = "",
    "",
    IF(
      factorsTable[[#This Row],[langSpecFactor]] = "",
      UITranslateForValueTable("noTranslation", UITranslationTable[tag], UITranslationTable[], UITranslationTable[#Headers]),
      factorsTable[[#This Row],[langSpecFactor]]
    )
  )</f>
        <v/>
      </c>
      <c r="DP28" s="177" t="str">
        <f>IF(
    factorsTable[[#This Row],[sortedIndex]] = "",
    "",
    _xlfn.XLOOKUP(
      _xlfn.XLOOKUP(
        factorsTable[[#This Row],[sortedIndex]],
        factorsConfigTable[index],
        factorsConfigTable[RANASBlock],#REF!,
        0
      ),
      RANASBlocksTable[label],
      RANASBlocksTable[tag],
      NA(),
      0
    )
  )</f>
        <v/>
      </c>
      <c r="DQ28" s="177" t="str" cm="1">
        <f t="array" ref="DQ28">IF(
    factorsTable[[#This Row],[sortedIndex]] = "",
    "",
    _xlfn.IFNA(
      _xlfn.XLOOKUP(factorsTable[[#This Row],[RANASTag]], RANASBlocksTable[tag], RANASBlocksTable[langSpecLabel]),
      UITranslateForValueTable("noRANASBlock", UITranslationTable[tag], UITranslationTable[], UITranslationTable[#Headers])
    )
  )</f>
        <v/>
      </c>
      <c r="DR28"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8" s="177" t="str">
        <f>IF(
    factorsTable[[#This Row],[sortedIndex]] = "",
    "",
    _xlfn.XLOOKUP(factorsTable[[#This Row],[sortedIndex]], factorsTable[index], factorsTable[numTotal])
  )</f>
        <v/>
      </c>
      <c r="DT28" s="177" t="str">
        <f>IF(
    factorsTable[[#This Row],[sortedIndex]] = "",
    "",
    _xlfn.XLOOKUP(factorsTable[[#This Row],[sortedIndex]], factorsTable[index], factorsTable[nondoers])
  )</f>
        <v/>
      </c>
      <c r="DU28" s="177" t="str">
        <f>IF(
    factorsTable[[#This Row],[sortedIndex]] = "",
    "",
    _xlfn.XLOOKUP(factorsTable[[#This Row],[sortedIndex]], factorsTable[index], factorsTable[doers])
  )</f>
        <v/>
      </c>
      <c r="DV28" s="177" t="str">
        <f>IF(
    factorsTable[[#This Row],[sortedIndex]] = "",
    "",
    _xlfn.XLOOKUP(factorsTable[[#This Row],[sortedIndex]], factorsTable[index], factorsTable[difference])
  )</f>
        <v/>
      </c>
    </row>
    <row r="29" spans="5:126" ht="14.4" customHeight="1" x14ac:dyDescent="0.3">
      <c r="E29" s="187" cm="1">
        <f t="array" ref="E29">ROW()-ROW(UITranslationTable[#Headers])</f>
        <v>27</v>
      </c>
      <c r="F29" s="9" t="s">
        <v>210</v>
      </c>
      <c r="G29" s="176"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176" t="s">
        <v>211</v>
      </c>
      <c r="W29" s="177" cm="1">
        <f t="array" ref="W29">ROW()-ROW(structuredFormulaeTable[#Headers])</f>
        <v>27</v>
      </c>
      <c r="X29" s="1" t="s">
        <v>425</v>
      </c>
      <c r="Y29" s="1" t="s">
        <v>355</v>
      </c>
      <c r="AA29" s="178" t="s">
        <v>644</v>
      </c>
      <c r="AB29" s="178"/>
      <c r="CD29" s="1" cm="1">
        <f t="array" ref="CD29">ROW()-ROW(recommendedCutoffTable[#Headers])</f>
        <v>27</v>
      </c>
      <c r="CE29" s="183">
        <f>(recommendedCutoffTable[[#This Row],[index]] - 1) / 100</f>
        <v>0.26</v>
      </c>
      <c r="CF29" s="1" cm="1">
        <f t="array" ref="CF29">ABS(
    numScores
  - 2 * SUMPRODUCT((behaviourScore &lt;&gt; "") * (behaviourScore &lt; recommendedCutoffTable[[#This Row],[cutoffLevel]]))
  )</f>
        <v>0</v>
      </c>
      <c r="CM29" s="177" cm="1">
        <f t="array" ref="CM29">ROW()-ROW(factorsTable[#Headers])</f>
        <v>27</v>
      </c>
      <c r="CN29" s="177" t="str" cm="1">
        <f t="array" ref="CN29">KeepBlanksFunction(
    _xlfn.XLOOKUP(
      factorsTable[[#This Row],[index]],
      factorsConfigTable[index],
      factorsConfigTable[factorHeader],#REF!,
      0
    )
  )</f>
        <v/>
      </c>
      <c r="CO29" s="177" t="str">
        <f>IF(
    factorsTable[[#This Row],[factorHeader]] = "",
    "",
    _xlfn.IFNA(
      MATCH(factorsTable[[#This Row],[factorHeader]], dataHeaders, 0),
      _xlfn.IFNA(
        MATCH("*/" &amp; factorsTable[[#This Row],[factorHeader]], dataHeaders, 0),
        MATCH("*-" &amp; factorsTable[[#This Row],[factorHeader]], dataHeaders, 0)
      )
    )
  )</f>
        <v/>
      </c>
      <c r="CP29" s="177" t="str">
        <f>IF(
    factorsTable[[#This Row],[factorHeader]] = "",
    "",
    _xlfn.LET(
      _xlpm.tableValue,
      _xlfn.XLOOKUP(
        factorsTable[[#This Row],[index]],
        factorsConfigTable[index],
        factorsConfigTable[minScore],#REF!,
        0
      ),
      _xlpm.storedValue,
      IF(
        _xlpm.tableValue = "",
        NA(),
        _xlpm.tableValue
      ),
      _xlpm.storedValue
    )
  )</f>
        <v/>
      </c>
      <c r="CQ29" s="177" t="str">
        <f>IF(
    factorsTable[[#This Row],[factorHeader]] = "",
    "",
    _xlfn.LET(
      _xlpm.tableValue,
      _xlfn.XLOOKUP(
        factorsTable[[#This Row],[index]],
        factorsConfigTable[index],
        factorsConfigTable[maxScore],#REF!,
        0
      ),
      _xlpm.storedValue,
      IF(
        _xlpm.tableValue = "",
        NA(),
        _xlpm.tableValue
      ),
      _xlpm.storedValue
    )
  )</f>
        <v/>
      </c>
      <c r="CR29" s="177" t="str">
        <f>IF(
    factorsTable[[#This Row],[factorHeader]] = "",
    "",
    IF(
      ISERROR(factorsTable[[#This Row],[factorColNum]]),
      NA(),
      IF(
        ISNA(INDEX(dataRange,1,1)),
        NA(),
        MIN(INDEX(dataRange, , factorsTable[[#This Row],[factorColNum]]))
      )
    )
  )</f>
        <v/>
      </c>
      <c r="CS29" s="177" t="str">
        <f>IF(
    factorsTable[[#This Row],[factorHeader]] = "",
    "",
    IF(
      ISERROR(factorsTable[[#This Row],[factorColNum]]),
      NA(),
      IF(
        ISNA(INDEX(dataRange,1,1)),
        NA(),
        MAX(INDEX(dataRange, , factorsTable[[#This Row],[factorColNum]]))
      )
    )
  )</f>
        <v/>
      </c>
      <c r="CT29" s="177" t="b" cm="1">
        <f t="array" aca="1" ref="CT29" ca="1">AND(
    NOT(errorNoDataSheet),
    factorsTable[[#This Row],[factorHeader]] &lt;&gt; "",
    NOT(ISERROR(factorsTable[[#This Row],[factorColNum]])),
    IFERROR(factorsTable[[#This Row],[display]], FALSE),
    IFERROR(factorsTable[[#This Row],[minValue]] &lt; factorsTable[[#This Row],[minScore]], FALSE)
  )</f>
        <v>0</v>
      </c>
      <c r="CU29" s="177" t="b" cm="1">
        <f t="array" aca="1" ref="CU29" ca="1">AND(
    NOT(errorNoDataSheet),
    factorsTable[[#This Row],[factorHeader]] &lt;&gt; "",
    NOT(ISERROR(factorsTable[[#This Row],[factorColNum]])),
    IFERROR(factorsTable[[#This Row],[display]], FALSE),
    IFERROR(factorsTable[[#This Row],[maxValue]] &gt; factorsTable[[#This Row],[maxScore]], FALSE)
  )</f>
        <v>0</v>
      </c>
      <c r="CV29" s="177" t="str" cm="1">
        <f t="array" ref="CV29">IF(
    factorsTable[[#This Row],[factorHeader]] = "",
    "",
    IF(
      ISNA(INDEX(dataRange,1,1)),
      NA(),
      SUMPRODUCT(
          IF(isDoer = "", 0, NOT(isDoer))
        * (INDEX(dataRange, , factorsTable[[#This Row],[factorColNum]]) &lt;&gt; "")
      )
    )
  )</f>
        <v/>
      </c>
      <c r="CW29" s="177" t="str" cm="1">
        <f t="array" ref="CW29">IF(
    factorsTable[[#This Row],[factorHeader]] = "",
    "",
    IF(
      ISNA(INDEX(dataRange,1,1)),
      NA(),
      SUMPRODUCT(
          IF(isDoer = "", 0, isDoer)
        * (INDEX(dataRange, , factorsTable[[#This Row],[factorColNum]]) &lt;&gt; "")
      )
    )
  )</f>
        <v/>
      </c>
      <c r="CX29" s="177" t="str" cm="1">
        <f t="array" ref="CX29">IF(
    factorsTable[[#This Row],[factorHeader]] = "",
    "",
    IF(
      ISERROR(factorsTable[[#This Row],[factorColNum]]),
      UITranslateForValueTable("dataNotFound", UITranslationTable[tag], UITranslationTable[], UITranslationTable[#Headers]),
      factorsTable[[#This Row],[numDoers]] + factorsTable[[#This Row],[numNondoers]]
    )
  )</f>
        <v/>
      </c>
      <c r="CY29" s="177" t="str" cm="1">
        <f t="array" ref="CY2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9" s="177" t="str" cm="1">
        <f t="array" ref="CZ2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9" s="177" t="str">
        <f>IF(
    factorsTable[[#This Row],[factorHeader]] = "",
    "",
    factorsTable[[#This Row],[doers]] - factorsTable[[#This Row],[nondoers]]
  )</f>
        <v/>
      </c>
      <c r="DB29" s="177" t="str">
        <f>IF(
    factorsTable[[#This Row],[factorHeader]] = "",
    "",
    _xlfn.XLOOKUP(
      _xlfn.XLOOKUP(
        factorsTable[[#This Row],[index]],
        factorsConfigTable[index],
        factorsConfigTable[displayConfig],#REF!,
        0
      ),
      yesNoTable[label],
      yesNoTable[tag],
      "",
      0
    )
  )</f>
        <v/>
      </c>
      <c r="DC29" s="177" t="b">
        <f>IF(
    factorsTable[[#This Row],[factorHeader]] = "",
    FALSE,
    IF(
      factorsTable[[#This Row],[displayConfig]] = "yes",
      TRUE,
      IF(
        factorsTable[[#This Row],[displayConfig]] = "no",
        FALSE,
        NA()
      )
    )
  )</f>
        <v>0</v>
      </c>
      <c r="DD29" s="177" t="str" cm="1">
        <f t="array" ref="DD29">FilterTrueColumn(factorsTable[[#This Row],[index]], factorsTable[index], factorsTable[filteredIndex], factorsTable[display])</f>
        <v/>
      </c>
      <c r="DE29" s="177" t="str">
        <f>IF(
    factorsTable[[#This Row],[filteredIndex]] = "",
    "",
    _xlfn.IFNA(
      _xlfn.XLOOKUP(factorsTable[[#This Row],[filteredIndex]], factorsTable[index], factorsTable[difference]),
      -99
    )
  )</f>
        <v/>
      </c>
      <c r="DF29" s="177" t="str">
        <f>IF(
    factorsTable[[#This Row],[filteredIndex]] = "",
    "",
    IF(
      factorsTable[[#This Row],[relDiff]] = -99,
      -99,
      ABS(factorsTable[[#This Row],[relDiff]])
    )
  )</f>
        <v/>
      </c>
      <c r="DG29" s="177" t="str">
        <f>IF(
    factorsTable[[#This Row],[filteredIndex]] = "",
    "",
    _xlfn.XLOOKUP(
      _xlfn.XLOOKUP(
        factorsTable[[#This Row],[filteredIndex]],
        factorsConfigTable[index],
        factorsConfigTable[RANASBlock],#REF!,
        0
      ),
      RANASBlocksTable[label],
      RANASBlocksTable[index],
      6,
      0
    )
  )</f>
        <v/>
      </c>
      <c r="DH29" s="177" t="str">
        <f>IF(
    factorsTable[[#This Row],[filteredIndex]] = "",
    "",
    _xlfn.RANK.EQ(factorsTable[[#This Row],[relDiff]], factorsTable[relDiff], 0)
  )</f>
        <v/>
      </c>
      <c r="DI29" s="177" t="str">
        <f>IF(
    factorsTable[[#This Row],[filteredIndex]] = "",
    "",
    _xlfn.RANK.EQ(factorsTable[[#This Row],[absDiff]], factorsTable[absDiff], 0)
  )</f>
        <v/>
      </c>
      <c r="DJ29" s="177" t="str">
        <f>IF(
    factorsTable[[#This Row],[filteredIndex]] = "",
    "",
    _xlfn.RANK.EQ(factorsTable[[#This Row],[RANASIndex]], factorsTable[RANASIndex], 1)
  )</f>
        <v/>
      </c>
      <c r="DK29" s="177" t="str" cm="1">
        <f t="array" ref="DK29">_xlfn.SWITCH(
    sortingMethodTag,
    "none", factorsTable[[#This Row],[filteredIndex]],
    "relDiff", factorsTable[[#This Row],[relDiffRank]],
    "absDiff", factorsTable[[#This Row],[absDiffRank]],
    "RANAS", factorsTable[[#This Row],[RANASRank]],
    factorsTable[[#This Row],[filteredIndex]]
  )</f>
        <v/>
      </c>
      <c r="DL29" s="177" t="str">
        <f>IF(
    factorsTable[[#This Row],[filteredIndex]] = "",
    "",
    factorsTable[[#This Row],[selectedRank]]
      + COUNTIF(INDEX(factorsTable[selectedRank], 1):INDEX(factorsTable[selectedRank], factorsTable[[#This Row],[index]]), factorsTable[[#This Row],[selectedRank]])
      - 1
  )</f>
        <v/>
      </c>
      <c r="DM29" s="177" t="str">
        <f>IF(
    factorsTable[[#This Row],[filteredIndex]] = "",
    "",
    _xlfn.XLOOKUP(
      factorsTable[[#This Row],[index]],
      factorsTable[uniqueRank],
      factorsTable[filteredIndex],#REF!,
      0
    )
  )</f>
        <v/>
      </c>
      <c r="DN29" s="177" t="str" cm="1">
        <f t="array" ref="DN29">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9" s="177" t="str" cm="1">
        <f t="array" ref="DO29">IF(
    factorsTable[[#This Row],[sortedIndex]] = "",
    "",
    IF(
      factorsTable[[#This Row],[langSpecFactor]] = "",
      UITranslateForValueTable("noTranslation", UITranslationTable[tag], UITranslationTable[], UITranslationTable[#Headers]),
      factorsTable[[#This Row],[langSpecFactor]]
    )
  )</f>
        <v/>
      </c>
      <c r="DP29" s="177" t="str">
        <f>IF(
    factorsTable[[#This Row],[sortedIndex]] = "",
    "",
    _xlfn.XLOOKUP(
      _xlfn.XLOOKUP(
        factorsTable[[#This Row],[sortedIndex]],
        factorsConfigTable[index],
        factorsConfigTable[RANASBlock],#REF!,
        0
      ),
      RANASBlocksTable[label],
      RANASBlocksTable[tag],
      NA(),
      0
    )
  )</f>
        <v/>
      </c>
      <c r="DQ29" s="177" t="str" cm="1">
        <f t="array" ref="DQ29">IF(
    factorsTable[[#This Row],[sortedIndex]] = "",
    "",
    _xlfn.IFNA(
      _xlfn.XLOOKUP(factorsTable[[#This Row],[RANASTag]], RANASBlocksTable[tag], RANASBlocksTable[langSpecLabel]),
      UITranslateForValueTable("noRANASBlock", UITranslationTable[tag], UITranslationTable[], UITranslationTable[#Headers])
    )
  )</f>
        <v/>
      </c>
      <c r="DR29"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9" s="177" t="str">
        <f>IF(
    factorsTable[[#This Row],[sortedIndex]] = "",
    "",
    _xlfn.XLOOKUP(factorsTable[[#This Row],[sortedIndex]], factorsTable[index], factorsTable[numTotal])
  )</f>
        <v/>
      </c>
      <c r="DT29" s="177" t="str">
        <f>IF(
    factorsTable[[#This Row],[sortedIndex]] = "",
    "",
    _xlfn.XLOOKUP(factorsTable[[#This Row],[sortedIndex]], factorsTable[index], factorsTable[nondoers])
  )</f>
        <v/>
      </c>
      <c r="DU29" s="177" t="str">
        <f>IF(
    factorsTable[[#This Row],[sortedIndex]] = "",
    "",
    _xlfn.XLOOKUP(factorsTable[[#This Row],[sortedIndex]], factorsTable[index], factorsTable[doers])
  )</f>
        <v/>
      </c>
      <c r="DV29" s="177" t="str">
        <f>IF(
    factorsTable[[#This Row],[sortedIndex]] = "",
    "",
    _xlfn.XLOOKUP(factorsTable[[#This Row],[sortedIndex]], factorsTable[index], factorsTable[difference])
  )</f>
        <v/>
      </c>
    </row>
    <row r="30" spans="5:126" ht="14.4" customHeight="1" x14ac:dyDescent="0.3">
      <c r="E30" s="187" cm="1">
        <f t="array" ref="E30">ROW()-ROW(UITranslationTable[#Headers])</f>
        <v>28</v>
      </c>
      <c r="F30" s="9" t="s">
        <v>246</v>
      </c>
      <c r="G30" s="176" t="s">
        <v>48</v>
      </c>
      <c r="H30" s="176" t="s">
        <v>59</v>
      </c>
      <c r="W30" s="177" cm="1">
        <f t="array" ref="W30">ROW()-ROW(structuredFormulaeTable[#Headers])</f>
        <v>28</v>
      </c>
      <c r="X30" s="1" t="s">
        <v>425</v>
      </c>
      <c r="Y30" s="1" t="s">
        <v>356</v>
      </c>
      <c r="AA30" s="178" t="s">
        <v>645</v>
      </c>
      <c r="AB30" s="178"/>
      <c r="CD30" s="1" cm="1">
        <f t="array" ref="CD30">ROW()-ROW(recommendedCutoffTable[#Headers])</f>
        <v>28</v>
      </c>
      <c r="CE30" s="183">
        <f>(recommendedCutoffTable[[#This Row],[index]] - 1) / 100</f>
        <v>0.27</v>
      </c>
      <c r="CF30" s="1" cm="1">
        <f t="array" ref="CF30">ABS(
    numScores
  - 2 * SUMPRODUCT((behaviourScore &lt;&gt; "") * (behaviourScore &lt; recommendedCutoffTable[[#This Row],[cutoffLevel]]))
  )</f>
        <v>0</v>
      </c>
      <c r="CM30" s="177" cm="1">
        <f t="array" ref="CM30">ROW()-ROW(factorsTable[#Headers])</f>
        <v>28</v>
      </c>
      <c r="CN30" s="177" t="str" cm="1">
        <f t="array" ref="CN30">KeepBlanksFunction(
    _xlfn.XLOOKUP(
      factorsTable[[#This Row],[index]],
      factorsConfigTable[index],
      factorsConfigTable[factorHeader],#REF!,
      0
    )
  )</f>
        <v/>
      </c>
      <c r="CO30" s="177" t="str">
        <f>IF(
    factorsTable[[#This Row],[factorHeader]] = "",
    "",
    _xlfn.IFNA(
      MATCH(factorsTable[[#This Row],[factorHeader]], dataHeaders, 0),
      _xlfn.IFNA(
        MATCH("*/" &amp; factorsTable[[#This Row],[factorHeader]], dataHeaders, 0),
        MATCH("*-" &amp; factorsTable[[#This Row],[factorHeader]], dataHeaders, 0)
      )
    )
  )</f>
        <v/>
      </c>
      <c r="CP30" s="177" t="str">
        <f>IF(
    factorsTable[[#This Row],[factorHeader]] = "",
    "",
    _xlfn.LET(
      _xlpm.tableValue,
      _xlfn.XLOOKUP(
        factorsTable[[#This Row],[index]],
        factorsConfigTable[index],
        factorsConfigTable[minScore],#REF!,
        0
      ),
      _xlpm.storedValue,
      IF(
        _xlpm.tableValue = "",
        NA(),
        _xlpm.tableValue
      ),
      _xlpm.storedValue
    )
  )</f>
        <v/>
      </c>
      <c r="CQ30" s="177" t="str">
        <f>IF(
    factorsTable[[#This Row],[factorHeader]] = "",
    "",
    _xlfn.LET(
      _xlpm.tableValue,
      _xlfn.XLOOKUP(
        factorsTable[[#This Row],[index]],
        factorsConfigTable[index],
        factorsConfigTable[maxScore],#REF!,
        0
      ),
      _xlpm.storedValue,
      IF(
        _xlpm.tableValue = "",
        NA(),
        _xlpm.tableValue
      ),
      _xlpm.storedValue
    )
  )</f>
        <v/>
      </c>
      <c r="CR30" s="177" t="str">
        <f>IF(
    factorsTable[[#This Row],[factorHeader]] = "",
    "",
    IF(
      ISERROR(factorsTable[[#This Row],[factorColNum]]),
      NA(),
      IF(
        ISNA(INDEX(dataRange,1,1)),
        NA(),
        MIN(INDEX(dataRange, , factorsTable[[#This Row],[factorColNum]]))
      )
    )
  )</f>
        <v/>
      </c>
      <c r="CS30" s="177" t="str">
        <f>IF(
    factorsTable[[#This Row],[factorHeader]] = "",
    "",
    IF(
      ISERROR(factorsTable[[#This Row],[factorColNum]]),
      NA(),
      IF(
        ISNA(INDEX(dataRange,1,1)),
        NA(),
        MAX(INDEX(dataRange, , factorsTable[[#This Row],[factorColNum]]))
      )
    )
  )</f>
        <v/>
      </c>
      <c r="CT30" s="177" t="b" cm="1">
        <f t="array" aca="1" ref="CT30" ca="1">AND(
    NOT(errorNoDataSheet),
    factorsTable[[#This Row],[factorHeader]] &lt;&gt; "",
    NOT(ISERROR(factorsTable[[#This Row],[factorColNum]])),
    IFERROR(factorsTable[[#This Row],[display]], FALSE),
    IFERROR(factorsTable[[#This Row],[minValue]] &lt; factorsTable[[#This Row],[minScore]], FALSE)
  )</f>
        <v>0</v>
      </c>
      <c r="CU30" s="177" t="b" cm="1">
        <f t="array" aca="1" ref="CU30" ca="1">AND(
    NOT(errorNoDataSheet),
    factorsTable[[#This Row],[factorHeader]] &lt;&gt; "",
    NOT(ISERROR(factorsTable[[#This Row],[factorColNum]])),
    IFERROR(factorsTable[[#This Row],[display]], FALSE),
    IFERROR(factorsTable[[#This Row],[maxValue]] &gt; factorsTable[[#This Row],[maxScore]], FALSE)
  )</f>
        <v>0</v>
      </c>
      <c r="CV30" s="177" t="str" cm="1">
        <f t="array" ref="CV30">IF(
    factorsTable[[#This Row],[factorHeader]] = "",
    "",
    IF(
      ISNA(INDEX(dataRange,1,1)),
      NA(),
      SUMPRODUCT(
          IF(isDoer = "", 0, NOT(isDoer))
        * (INDEX(dataRange, , factorsTable[[#This Row],[factorColNum]]) &lt;&gt; "")
      )
    )
  )</f>
        <v/>
      </c>
      <c r="CW30" s="177" t="str" cm="1">
        <f t="array" ref="CW30">IF(
    factorsTable[[#This Row],[factorHeader]] = "",
    "",
    IF(
      ISNA(INDEX(dataRange,1,1)),
      NA(),
      SUMPRODUCT(
          IF(isDoer = "", 0, isDoer)
        * (INDEX(dataRange, , factorsTable[[#This Row],[factorColNum]]) &lt;&gt; "")
      )
    )
  )</f>
        <v/>
      </c>
      <c r="CX30" s="177" t="str" cm="1">
        <f t="array" ref="CX30">IF(
    factorsTable[[#This Row],[factorHeader]] = "",
    "",
    IF(
      ISERROR(factorsTable[[#This Row],[factorColNum]]),
      UITranslateForValueTable("dataNotFound", UITranslationTable[tag], UITranslationTable[], UITranslationTable[#Headers]),
      factorsTable[[#This Row],[numDoers]] + factorsTable[[#This Row],[numNondoers]]
    )
  )</f>
        <v/>
      </c>
      <c r="CY30" s="177" t="str" cm="1">
        <f t="array" ref="CY3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0" s="177" t="str" cm="1">
        <f t="array" ref="CZ3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0" s="177" t="str">
        <f>IF(
    factorsTable[[#This Row],[factorHeader]] = "",
    "",
    factorsTable[[#This Row],[doers]] - factorsTable[[#This Row],[nondoers]]
  )</f>
        <v/>
      </c>
      <c r="DB30" s="177" t="str">
        <f>IF(
    factorsTable[[#This Row],[factorHeader]] = "",
    "",
    _xlfn.XLOOKUP(
      _xlfn.XLOOKUP(
        factorsTable[[#This Row],[index]],
        factorsConfigTable[index],
        factorsConfigTable[displayConfig],#REF!,
        0
      ),
      yesNoTable[label],
      yesNoTable[tag],
      "",
      0
    )
  )</f>
        <v/>
      </c>
      <c r="DC30" s="177" t="b">
        <f>IF(
    factorsTable[[#This Row],[factorHeader]] = "",
    FALSE,
    IF(
      factorsTable[[#This Row],[displayConfig]] = "yes",
      TRUE,
      IF(
        factorsTable[[#This Row],[displayConfig]] = "no",
        FALSE,
        NA()
      )
    )
  )</f>
        <v>0</v>
      </c>
      <c r="DD30" s="177" t="str" cm="1">
        <f t="array" ref="DD30">FilterTrueColumn(factorsTable[[#This Row],[index]], factorsTable[index], factorsTable[filteredIndex], factorsTable[display])</f>
        <v/>
      </c>
      <c r="DE30" s="177" t="str">
        <f>IF(
    factorsTable[[#This Row],[filteredIndex]] = "",
    "",
    _xlfn.IFNA(
      _xlfn.XLOOKUP(factorsTable[[#This Row],[filteredIndex]], factorsTable[index], factorsTable[difference]),
      -99
    )
  )</f>
        <v/>
      </c>
      <c r="DF30" s="177" t="str">
        <f>IF(
    factorsTable[[#This Row],[filteredIndex]] = "",
    "",
    IF(
      factorsTable[[#This Row],[relDiff]] = -99,
      -99,
      ABS(factorsTable[[#This Row],[relDiff]])
    )
  )</f>
        <v/>
      </c>
      <c r="DG30" s="177" t="str">
        <f>IF(
    factorsTable[[#This Row],[filteredIndex]] = "",
    "",
    _xlfn.XLOOKUP(
      _xlfn.XLOOKUP(
        factorsTable[[#This Row],[filteredIndex]],
        factorsConfigTable[index],
        factorsConfigTable[RANASBlock],#REF!,
        0
      ),
      RANASBlocksTable[label],
      RANASBlocksTable[index],
      6,
      0
    )
  )</f>
        <v/>
      </c>
      <c r="DH30" s="177" t="str">
        <f>IF(
    factorsTable[[#This Row],[filteredIndex]] = "",
    "",
    _xlfn.RANK.EQ(factorsTable[[#This Row],[relDiff]], factorsTable[relDiff], 0)
  )</f>
        <v/>
      </c>
      <c r="DI30" s="177" t="str">
        <f>IF(
    factorsTable[[#This Row],[filteredIndex]] = "",
    "",
    _xlfn.RANK.EQ(factorsTable[[#This Row],[absDiff]], factorsTable[absDiff], 0)
  )</f>
        <v/>
      </c>
      <c r="DJ30" s="177" t="str">
        <f>IF(
    factorsTable[[#This Row],[filteredIndex]] = "",
    "",
    _xlfn.RANK.EQ(factorsTable[[#This Row],[RANASIndex]], factorsTable[RANASIndex], 1)
  )</f>
        <v/>
      </c>
      <c r="DK30" s="177" t="str" cm="1">
        <f t="array" ref="DK30">_xlfn.SWITCH(
    sortingMethodTag,
    "none", factorsTable[[#This Row],[filteredIndex]],
    "relDiff", factorsTable[[#This Row],[relDiffRank]],
    "absDiff", factorsTable[[#This Row],[absDiffRank]],
    "RANAS", factorsTable[[#This Row],[RANASRank]],
    factorsTable[[#This Row],[filteredIndex]]
  )</f>
        <v/>
      </c>
      <c r="DL30" s="177" t="str">
        <f>IF(
    factorsTable[[#This Row],[filteredIndex]] = "",
    "",
    factorsTable[[#This Row],[selectedRank]]
      + COUNTIF(INDEX(factorsTable[selectedRank], 1):INDEX(factorsTable[selectedRank], factorsTable[[#This Row],[index]]), factorsTable[[#This Row],[selectedRank]])
      - 1
  )</f>
        <v/>
      </c>
      <c r="DM30" s="177" t="str">
        <f>IF(
    factorsTable[[#This Row],[filteredIndex]] = "",
    "",
    _xlfn.XLOOKUP(
      factorsTable[[#This Row],[index]],
      factorsTable[uniqueRank],
      factorsTable[filteredIndex],#REF!,
      0
    )
  )</f>
        <v/>
      </c>
      <c r="DN30" s="177" t="str" cm="1">
        <f t="array" ref="DN30">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0" s="177" t="str" cm="1">
        <f t="array" ref="DO30">IF(
    factorsTable[[#This Row],[sortedIndex]] = "",
    "",
    IF(
      factorsTable[[#This Row],[langSpecFactor]] = "",
      UITranslateForValueTable("noTranslation", UITranslationTable[tag], UITranslationTable[], UITranslationTable[#Headers]),
      factorsTable[[#This Row],[langSpecFactor]]
    )
  )</f>
        <v/>
      </c>
      <c r="DP30" s="177" t="str">
        <f>IF(
    factorsTable[[#This Row],[sortedIndex]] = "",
    "",
    _xlfn.XLOOKUP(
      _xlfn.XLOOKUP(
        factorsTable[[#This Row],[sortedIndex]],
        factorsConfigTable[index],
        factorsConfigTable[RANASBlock],#REF!,
        0
      ),
      RANASBlocksTable[label],
      RANASBlocksTable[tag],
      NA(),
      0
    )
  )</f>
        <v/>
      </c>
      <c r="DQ30" s="177" t="str" cm="1">
        <f t="array" ref="DQ30">IF(
    factorsTable[[#This Row],[sortedIndex]] = "",
    "",
    _xlfn.IFNA(
      _xlfn.XLOOKUP(factorsTable[[#This Row],[RANASTag]], RANASBlocksTable[tag], RANASBlocksTable[langSpecLabel]),
      UITranslateForValueTable("noRANASBlock", UITranslationTable[tag], UITranslationTable[], UITranslationTable[#Headers])
    )
  )</f>
        <v/>
      </c>
      <c r="DR30"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0" s="177" t="str">
        <f>IF(
    factorsTable[[#This Row],[sortedIndex]] = "",
    "",
    _xlfn.XLOOKUP(factorsTable[[#This Row],[sortedIndex]], factorsTable[index], factorsTable[numTotal])
  )</f>
        <v/>
      </c>
      <c r="DT30" s="177" t="str">
        <f>IF(
    factorsTable[[#This Row],[sortedIndex]] = "",
    "",
    _xlfn.XLOOKUP(factorsTable[[#This Row],[sortedIndex]], factorsTable[index], factorsTable[nondoers])
  )</f>
        <v/>
      </c>
      <c r="DU30" s="177" t="str">
        <f>IF(
    factorsTable[[#This Row],[sortedIndex]] = "",
    "",
    _xlfn.XLOOKUP(factorsTable[[#This Row],[sortedIndex]], factorsTable[index], factorsTable[doers])
  )</f>
        <v/>
      </c>
      <c r="DV30" s="177" t="str">
        <f>IF(
    factorsTable[[#This Row],[sortedIndex]] = "",
    "",
    _xlfn.XLOOKUP(factorsTable[[#This Row],[sortedIndex]], factorsTable[index], factorsTable[difference])
  )</f>
        <v/>
      </c>
    </row>
    <row r="31" spans="5:126" ht="14.4" customHeight="1" x14ac:dyDescent="0.3">
      <c r="E31" s="187" cm="1">
        <f t="array" ref="E31">ROW()-ROW(UITranslationTable[#Headers])</f>
        <v>29</v>
      </c>
      <c r="F31" s="9" t="s">
        <v>212</v>
      </c>
      <c r="G31" s="176"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176"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W31" s="177" cm="1">
        <f t="array" ref="W31">ROW()-ROW(structuredFormulaeTable[#Headers])</f>
        <v>29</v>
      </c>
      <c r="X31" s="1" t="s">
        <v>425</v>
      </c>
      <c r="Y31" s="1" t="s">
        <v>357</v>
      </c>
      <c r="AA31" s="178" t="s">
        <v>646</v>
      </c>
      <c r="AB31" s="178"/>
      <c r="CD31" s="1" cm="1">
        <f t="array" ref="CD31">ROW()-ROW(recommendedCutoffTable[#Headers])</f>
        <v>29</v>
      </c>
      <c r="CE31" s="183">
        <f>(recommendedCutoffTable[[#This Row],[index]] - 1) / 100</f>
        <v>0.28000000000000003</v>
      </c>
      <c r="CF31" s="1" cm="1">
        <f t="array" ref="CF31">ABS(
    numScores
  - 2 * SUMPRODUCT((behaviourScore &lt;&gt; "") * (behaviourScore &lt; recommendedCutoffTable[[#This Row],[cutoffLevel]]))
  )</f>
        <v>0</v>
      </c>
      <c r="CM31" s="177" cm="1">
        <f t="array" ref="CM31">ROW()-ROW(factorsTable[#Headers])</f>
        <v>29</v>
      </c>
      <c r="CN31" s="177" t="str" cm="1">
        <f t="array" ref="CN31">KeepBlanksFunction(
    _xlfn.XLOOKUP(
      factorsTable[[#This Row],[index]],
      factorsConfigTable[index],
      factorsConfigTable[factorHeader],#REF!,
      0
    )
  )</f>
        <v/>
      </c>
      <c r="CO31" s="177" t="str">
        <f>IF(
    factorsTable[[#This Row],[factorHeader]] = "",
    "",
    _xlfn.IFNA(
      MATCH(factorsTable[[#This Row],[factorHeader]], dataHeaders, 0),
      _xlfn.IFNA(
        MATCH("*/" &amp; factorsTable[[#This Row],[factorHeader]], dataHeaders, 0),
        MATCH("*-" &amp; factorsTable[[#This Row],[factorHeader]], dataHeaders, 0)
      )
    )
  )</f>
        <v/>
      </c>
      <c r="CP31" s="177" t="str">
        <f>IF(
    factorsTable[[#This Row],[factorHeader]] = "",
    "",
    _xlfn.LET(
      _xlpm.tableValue,
      _xlfn.XLOOKUP(
        factorsTable[[#This Row],[index]],
        factorsConfigTable[index],
        factorsConfigTable[minScore],#REF!,
        0
      ),
      _xlpm.storedValue,
      IF(
        _xlpm.tableValue = "",
        NA(),
        _xlpm.tableValue
      ),
      _xlpm.storedValue
    )
  )</f>
        <v/>
      </c>
      <c r="CQ31" s="177" t="str">
        <f>IF(
    factorsTable[[#This Row],[factorHeader]] = "",
    "",
    _xlfn.LET(
      _xlpm.tableValue,
      _xlfn.XLOOKUP(
        factorsTable[[#This Row],[index]],
        factorsConfigTable[index],
        factorsConfigTable[maxScore],#REF!,
        0
      ),
      _xlpm.storedValue,
      IF(
        _xlpm.tableValue = "",
        NA(),
        _xlpm.tableValue
      ),
      _xlpm.storedValue
    )
  )</f>
        <v/>
      </c>
      <c r="CR31" s="177" t="str">
        <f>IF(
    factorsTable[[#This Row],[factorHeader]] = "",
    "",
    IF(
      ISERROR(factorsTable[[#This Row],[factorColNum]]),
      NA(),
      IF(
        ISNA(INDEX(dataRange,1,1)),
        NA(),
        MIN(INDEX(dataRange, , factorsTable[[#This Row],[factorColNum]]))
      )
    )
  )</f>
        <v/>
      </c>
      <c r="CS31" s="177" t="str">
        <f>IF(
    factorsTable[[#This Row],[factorHeader]] = "",
    "",
    IF(
      ISERROR(factorsTable[[#This Row],[factorColNum]]),
      NA(),
      IF(
        ISNA(INDEX(dataRange,1,1)),
        NA(),
        MAX(INDEX(dataRange, , factorsTable[[#This Row],[factorColNum]]))
      )
    )
  )</f>
        <v/>
      </c>
      <c r="CT31" s="177" t="b" cm="1">
        <f t="array" aca="1" ref="CT31" ca="1">AND(
    NOT(errorNoDataSheet),
    factorsTable[[#This Row],[factorHeader]] &lt;&gt; "",
    NOT(ISERROR(factorsTable[[#This Row],[factorColNum]])),
    IFERROR(factorsTable[[#This Row],[display]], FALSE),
    IFERROR(factorsTable[[#This Row],[minValue]] &lt; factorsTable[[#This Row],[minScore]], FALSE)
  )</f>
        <v>0</v>
      </c>
      <c r="CU31" s="177" t="b" cm="1">
        <f t="array" aca="1" ref="CU31" ca="1">AND(
    NOT(errorNoDataSheet),
    factorsTable[[#This Row],[factorHeader]] &lt;&gt; "",
    NOT(ISERROR(factorsTable[[#This Row],[factorColNum]])),
    IFERROR(factorsTable[[#This Row],[display]], FALSE),
    IFERROR(factorsTable[[#This Row],[maxValue]] &gt; factorsTable[[#This Row],[maxScore]], FALSE)
  )</f>
        <v>0</v>
      </c>
      <c r="CV31" s="177" t="str" cm="1">
        <f t="array" ref="CV31">IF(
    factorsTable[[#This Row],[factorHeader]] = "",
    "",
    IF(
      ISNA(INDEX(dataRange,1,1)),
      NA(),
      SUMPRODUCT(
          IF(isDoer = "", 0, NOT(isDoer))
        * (INDEX(dataRange, , factorsTable[[#This Row],[factorColNum]]) &lt;&gt; "")
      )
    )
  )</f>
        <v/>
      </c>
      <c r="CW31" s="177" t="str" cm="1">
        <f t="array" ref="CW31">IF(
    factorsTable[[#This Row],[factorHeader]] = "",
    "",
    IF(
      ISNA(INDEX(dataRange,1,1)),
      NA(),
      SUMPRODUCT(
          IF(isDoer = "", 0, isDoer)
        * (INDEX(dataRange, , factorsTable[[#This Row],[factorColNum]]) &lt;&gt; "")
      )
    )
  )</f>
        <v/>
      </c>
      <c r="CX31" s="177" t="str" cm="1">
        <f t="array" ref="CX31">IF(
    factorsTable[[#This Row],[factorHeader]] = "",
    "",
    IF(
      ISERROR(factorsTable[[#This Row],[factorColNum]]),
      UITranslateForValueTable("dataNotFound", UITranslationTable[tag], UITranslationTable[], UITranslationTable[#Headers]),
      factorsTable[[#This Row],[numDoers]] + factorsTable[[#This Row],[numNondoers]]
    )
  )</f>
        <v/>
      </c>
      <c r="CY31" s="177" t="str" cm="1">
        <f t="array" ref="CY3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1" s="177" t="str" cm="1">
        <f t="array" ref="CZ3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1" s="177" t="str">
        <f>IF(
    factorsTable[[#This Row],[factorHeader]] = "",
    "",
    factorsTable[[#This Row],[doers]] - factorsTable[[#This Row],[nondoers]]
  )</f>
        <v/>
      </c>
      <c r="DB31" s="177" t="str">
        <f>IF(
    factorsTable[[#This Row],[factorHeader]] = "",
    "",
    _xlfn.XLOOKUP(
      _xlfn.XLOOKUP(
        factorsTable[[#This Row],[index]],
        factorsConfigTable[index],
        factorsConfigTable[displayConfig],#REF!,
        0
      ),
      yesNoTable[label],
      yesNoTable[tag],
      "",
      0
    )
  )</f>
        <v/>
      </c>
      <c r="DC31" s="177" t="b">
        <f>IF(
    factorsTable[[#This Row],[factorHeader]] = "",
    FALSE,
    IF(
      factorsTable[[#This Row],[displayConfig]] = "yes",
      TRUE,
      IF(
        factorsTable[[#This Row],[displayConfig]] = "no",
        FALSE,
        NA()
      )
    )
  )</f>
        <v>0</v>
      </c>
      <c r="DD31" s="177" t="str" cm="1">
        <f t="array" ref="DD31">FilterTrueColumn(factorsTable[[#This Row],[index]], factorsTable[index], factorsTable[filteredIndex], factorsTable[display])</f>
        <v/>
      </c>
      <c r="DE31" s="177" t="str">
        <f>IF(
    factorsTable[[#This Row],[filteredIndex]] = "",
    "",
    _xlfn.IFNA(
      _xlfn.XLOOKUP(factorsTable[[#This Row],[filteredIndex]], factorsTable[index], factorsTable[difference]),
      -99
    )
  )</f>
        <v/>
      </c>
      <c r="DF31" s="177" t="str">
        <f>IF(
    factorsTable[[#This Row],[filteredIndex]] = "",
    "",
    IF(
      factorsTable[[#This Row],[relDiff]] = -99,
      -99,
      ABS(factorsTable[[#This Row],[relDiff]])
    )
  )</f>
        <v/>
      </c>
      <c r="DG31" s="177" t="str">
        <f>IF(
    factorsTable[[#This Row],[filteredIndex]] = "",
    "",
    _xlfn.XLOOKUP(
      _xlfn.XLOOKUP(
        factorsTable[[#This Row],[filteredIndex]],
        factorsConfigTable[index],
        factorsConfigTable[RANASBlock],#REF!,
        0
      ),
      RANASBlocksTable[label],
      RANASBlocksTable[index],
      6,
      0
    )
  )</f>
        <v/>
      </c>
      <c r="DH31" s="177" t="str">
        <f>IF(
    factorsTable[[#This Row],[filteredIndex]] = "",
    "",
    _xlfn.RANK.EQ(factorsTable[[#This Row],[relDiff]], factorsTable[relDiff], 0)
  )</f>
        <v/>
      </c>
      <c r="DI31" s="177" t="str">
        <f>IF(
    factorsTable[[#This Row],[filteredIndex]] = "",
    "",
    _xlfn.RANK.EQ(factorsTable[[#This Row],[absDiff]], factorsTable[absDiff], 0)
  )</f>
        <v/>
      </c>
      <c r="DJ31" s="177" t="str">
        <f>IF(
    factorsTable[[#This Row],[filteredIndex]] = "",
    "",
    _xlfn.RANK.EQ(factorsTable[[#This Row],[RANASIndex]], factorsTable[RANASIndex], 1)
  )</f>
        <v/>
      </c>
      <c r="DK31" s="177" t="str" cm="1">
        <f t="array" ref="DK31">_xlfn.SWITCH(
    sortingMethodTag,
    "none", factorsTable[[#This Row],[filteredIndex]],
    "relDiff", factorsTable[[#This Row],[relDiffRank]],
    "absDiff", factorsTable[[#This Row],[absDiffRank]],
    "RANAS", factorsTable[[#This Row],[RANASRank]],
    factorsTable[[#This Row],[filteredIndex]]
  )</f>
        <v/>
      </c>
      <c r="DL31" s="177" t="str">
        <f>IF(
    factorsTable[[#This Row],[filteredIndex]] = "",
    "",
    factorsTable[[#This Row],[selectedRank]]
      + COUNTIF(INDEX(factorsTable[selectedRank], 1):INDEX(factorsTable[selectedRank], factorsTable[[#This Row],[index]]), factorsTable[[#This Row],[selectedRank]])
      - 1
  )</f>
        <v/>
      </c>
      <c r="DM31" s="177" t="str">
        <f>IF(
    factorsTable[[#This Row],[filteredIndex]] = "",
    "",
    _xlfn.XLOOKUP(
      factorsTable[[#This Row],[index]],
      factorsTable[uniqueRank],
      factorsTable[filteredIndex],#REF!,
      0
    )
  )</f>
        <v/>
      </c>
      <c r="DN31" s="177" t="str" cm="1">
        <f t="array" ref="DN31">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1" s="177" t="str" cm="1">
        <f t="array" ref="DO31">IF(
    factorsTable[[#This Row],[sortedIndex]] = "",
    "",
    IF(
      factorsTable[[#This Row],[langSpecFactor]] = "",
      UITranslateForValueTable("noTranslation", UITranslationTable[tag], UITranslationTable[], UITranslationTable[#Headers]),
      factorsTable[[#This Row],[langSpecFactor]]
    )
  )</f>
        <v/>
      </c>
      <c r="DP31" s="177" t="str">
        <f>IF(
    factorsTable[[#This Row],[sortedIndex]] = "",
    "",
    _xlfn.XLOOKUP(
      _xlfn.XLOOKUP(
        factorsTable[[#This Row],[sortedIndex]],
        factorsConfigTable[index],
        factorsConfigTable[RANASBlock],#REF!,
        0
      ),
      RANASBlocksTable[label],
      RANASBlocksTable[tag],
      NA(),
      0
    )
  )</f>
        <v/>
      </c>
      <c r="DQ31" s="177" t="str" cm="1">
        <f t="array" ref="DQ31">IF(
    factorsTable[[#This Row],[sortedIndex]] = "",
    "",
    _xlfn.IFNA(
      _xlfn.XLOOKUP(factorsTable[[#This Row],[RANASTag]], RANASBlocksTable[tag], RANASBlocksTable[langSpecLabel]),
      UITranslateForValueTable("noRANASBlock", UITranslationTable[tag], UITranslationTable[], UITranslationTable[#Headers])
    )
  )</f>
        <v/>
      </c>
      <c r="DR31"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1" s="177" t="str">
        <f>IF(
    factorsTable[[#This Row],[sortedIndex]] = "",
    "",
    _xlfn.XLOOKUP(factorsTable[[#This Row],[sortedIndex]], factorsTable[index], factorsTable[numTotal])
  )</f>
        <v/>
      </c>
      <c r="DT31" s="177" t="str">
        <f>IF(
    factorsTable[[#This Row],[sortedIndex]] = "",
    "",
    _xlfn.XLOOKUP(factorsTable[[#This Row],[sortedIndex]], factorsTable[index], factorsTable[nondoers])
  )</f>
        <v/>
      </c>
      <c r="DU31" s="177" t="str">
        <f>IF(
    factorsTable[[#This Row],[sortedIndex]] = "",
    "",
    _xlfn.XLOOKUP(factorsTable[[#This Row],[sortedIndex]], factorsTable[index], factorsTable[doers])
  )</f>
        <v/>
      </c>
      <c r="DV31" s="177" t="str">
        <f>IF(
    factorsTable[[#This Row],[sortedIndex]] = "",
    "",
    _xlfn.XLOOKUP(factorsTable[[#This Row],[sortedIndex]], factorsTable[index], factorsTable[difference])
  )</f>
        <v/>
      </c>
    </row>
    <row r="32" spans="5:126" ht="14.4" customHeight="1" x14ac:dyDescent="0.3">
      <c r="E32" s="187" cm="1">
        <f t="array" ref="E32">ROW()-ROW(UITranslationTable[#Headers])</f>
        <v>30</v>
      </c>
      <c r="F32" s="9" t="s">
        <v>213</v>
      </c>
      <c r="G32" s="176"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176"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W32" s="177" cm="1">
        <f t="array" ref="W32">ROW()-ROW(structuredFormulaeTable[#Headers])</f>
        <v>30</v>
      </c>
      <c r="X32" s="1" t="s">
        <v>425</v>
      </c>
      <c r="Y32" s="1" t="s">
        <v>358</v>
      </c>
      <c r="AA32" s="178" t="s">
        <v>647</v>
      </c>
      <c r="AB32" s="178"/>
      <c r="CD32" s="1" cm="1">
        <f t="array" ref="CD32">ROW()-ROW(recommendedCutoffTable[#Headers])</f>
        <v>30</v>
      </c>
      <c r="CE32" s="183">
        <f>(recommendedCutoffTable[[#This Row],[index]] - 1) / 100</f>
        <v>0.28999999999999998</v>
      </c>
      <c r="CF32" s="1" cm="1">
        <f t="array" ref="CF32">ABS(
    numScores
  - 2 * SUMPRODUCT((behaviourScore &lt;&gt; "") * (behaviourScore &lt; recommendedCutoffTable[[#This Row],[cutoffLevel]]))
  )</f>
        <v>0</v>
      </c>
      <c r="CM32" s="177" cm="1">
        <f t="array" ref="CM32">ROW()-ROW(factorsTable[#Headers])</f>
        <v>30</v>
      </c>
      <c r="CN32" s="177" t="str" cm="1">
        <f t="array" ref="CN32">KeepBlanksFunction(
    _xlfn.XLOOKUP(
      factorsTable[[#This Row],[index]],
      factorsConfigTable[index],
      factorsConfigTable[factorHeader],#REF!,
      0
    )
  )</f>
        <v/>
      </c>
      <c r="CO32" s="177" t="str">
        <f>IF(
    factorsTable[[#This Row],[factorHeader]] = "",
    "",
    _xlfn.IFNA(
      MATCH(factorsTable[[#This Row],[factorHeader]], dataHeaders, 0),
      _xlfn.IFNA(
        MATCH("*/" &amp; factorsTable[[#This Row],[factorHeader]], dataHeaders, 0),
        MATCH("*-" &amp; factorsTable[[#This Row],[factorHeader]], dataHeaders, 0)
      )
    )
  )</f>
        <v/>
      </c>
      <c r="CP32" s="177" t="str">
        <f>IF(
    factorsTable[[#This Row],[factorHeader]] = "",
    "",
    _xlfn.LET(
      _xlpm.tableValue,
      _xlfn.XLOOKUP(
        factorsTable[[#This Row],[index]],
        factorsConfigTable[index],
        factorsConfigTable[minScore],#REF!,
        0
      ),
      _xlpm.storedValue,
      IF(
        _xlpm.tableValue = "",
        NA(),
        _xlpm.tableValue
      ),
      _xlpm.storedValue
    )
  )</f>
        <v/>
      </c>
      <c r="CQ32" s="177" t="str">
        <f>IF(
    factorsTable[[#This Row],[factorHeader]] = "",
    "",
    _xlfn.LET(
      _xlpm.tableValue,
      _xlfn.XLOOKUP(
        factorsTable[[#This Row],[index]],
        factorsConfigTable[index],
        factorsConfigTable[maxScore],#REF!,
        0
      ),
      _xlpm.storedValue,
      IF(
        _xlpm.tableValue = "",
        NA(),
        _xlpm.tableValue
      ),
      _xlpm.storedValue
    )
  )</f>
        <v/>
      </c>
      <c r="CR32" s="177" t="str">
        <f>IF(
    factorsTable[[#This Row],[factorHeader]] = "",
    "",
    IF(
      ISERROR(factorsTable[[#This Row],[factorColNum]]),
      NA(),
      IF(
        ISNA(INDEX(dataRange,1,1)),
        NA(),
        MIN(INDEX(dataRange, , factorsTable[[#This Row],[factorColNum]]))
      )
    )
  )</f>
        <v/>
      </c>
      <c r="CS32" s="177" t="str">
        <f>IF(
    factorsTable[[#This Row],[factorHeader]] = "",
    "",
    IF(
      ISERROR(factorsTable[[#This Row],[factorColNum]]),
      NA(),
      IF(
        ISNA(INDEX(dataRange,1,1)),
        NA(),
        MAX(INDEX(dataRange, , factorsTable[[#This Row],[factorColNum]]))
      )
    )
  )</f>
        <v/>
      </c>
      <c r="CT32" s="177" t="b" cm="1">
        <f t="array" aca="1" ref="CT32" ca="1">AND(
    NOT(errorNoDataSheet),
    factorsTable[[#This Row],[factorHeader]] &lt;&gt; "",
    NOT(ISERROR(factorsTable[[#This Row],[factorColNum]])),
    IFERROR(factorsTable[[#This Row],[display]], FALSE),
    IFERROR(factorsTable[[#This Row],[minValue]] &lt; factorsTable[[#This Row],[minScore]], FALSE)
  )</f>
        <v>0</v>
      </c>
      <c r="CU32" s="177" t="b" cm="1">
        <f t="array" aca="1" ref="CU32" ca="1">AND(
    NOT(errorNoDataSheet),
    factorsTable[[#This Row],[factorHeader]] &lt;&gt; "",
    NOT(ISERROR(factorsTable[[#This Row],[factorColNum]])),
    IFERROR(factorsTable[[#This Row],[display]], FALSE),
    IFERROR(factorsTable[[#This Row],[maxValue]] &gt; factorsTable[[#This Row],[maxScore]], FALSE)
  )</f>
        <v>0</v>
      </c>
      <c r="CV32" s="177" t="str" cm="1">
        <f t="array" ref="CV32">IF(
    factorsTable[[#This Row],[factorHeader]] = "",
    "",
    IF(
      ISNA(INDEX(dataRange,1,1)),
      NA(),
      SUMPRODUCT(
          IF(isDoer = "", 0, NOT(isDoer))
        * (INDEX(dataRange, , factorsTable[[#This Row],[factorColNum]]) &lt;&gt; "")
      )
    )
  )</f>
        <v/>
      </c>
      <c r="CW32" s="177" t="str" cm="1">
        <f t="array" ref="CW32">IF(
    factorsTable[[#This Row],[factorHeader]] = "",
    "",
    IF(
      ISNA(INDEX(dataRange,1,1)),
      NA(),
      SUMPRODUCT(
          IF(isDoer = "", 0, isDoer)
        * (INDEX(dataRange, , factorsTable[[#This Row],[factorColNum]]) &lt;&gt; "")
      )
    )
  )</f>
        <v/>
      </c>
      <c r="CX32" s="177" t="str" cm="1">
        <f t="array" ref="CX32">IF(
    factorsTable[[#This Row],[factorHeader]] = "",
    "",
    IF(
      ISERROR(factorsTable[[#This Row],[factorColNum]]),
      UITranslateForValueTable("dataNotFound", UITranslationTable[tag], UITranslationTable[], UITranslationTable[#Headers]),
      factorsTable[[#This Row],[numDoers]] + factorsTable[[#This Row],[numNondoers]]
    )
  )</f>
        <v/>
      </c>
      <c r="CY32" s="177" t="str" cm="1">
        <f t="array" ref="CY3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2" s="177" t="str" cm="1">
        <f t="array" ref="CZ3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2" s="177" t="str">
        <f>IF(
    factorsTable[[#This Row],[factorHeader]] = "",
    "",
    factorsTable[[#This Row],[doers]] - factorsTable[[#This Row],[nondoers]]
  )</f>
        <v/>
      </c>
      <c r="DB32" s="177" t="str">
        <f>IF(
    factorsTable[[#This Row],[factorHeader]] = "",
    "",
    _xlfn.XLOOKUP(
      _xlfn.XLOOKUP(
        factorsTable[[#This Row],[index]],
        factorsConfigTable[index],
        factorsConfigTable[displayConfig],#REF!,
        0
      ),
      yesNoTable[label],
      yesNoTable[tag],
      "",
      0
    )
  )</f>
        <v/>
      </c>
      <c r="DC32" s="177" t="b">
        <f>IF(
    factorsTable[[#This Row],[factorHeader]] = "",
    FALSE,
    IF(
      factorsTable[[#This Row],[displayConfig]] = "yes",
      TRUE,
      IF(
        factorsTable[[#This Row],[displayConfig]] = "no",
        FALSE,
        NA()
      )
    )
  )</f>
        <v>0</v>
      </c>
      <c r="DD32" s="177" t="str" cm="1">
        <f t="array" ref="DD32">FilterTrueColumn(factorsTable[[#This Row],[index]], factorsTable[index], factorsTable[filteredIndex], factorsTable[display])</f>
        <v/>
      </c>
      <c r="DE32" s="177" t="str">
        <f>IF(
    factorsTable[[#This Row],[filteredIndex]] = "",
    "",
    _xlfn.IFNA(
      _xlfn.XLOOKUP(factorsTable[[#This Row],[filteredIndex]], factorsTable[index], factorsTable[difference]),
      -99
    )
  )</f>
        <v/>
      </c>
      <c r="DF32" s="177" t="str">
        <f>IF(
    factorsTable[[#This Row],[filteredIndex]] = "",
    "",
    IF(
      factorsTable[[#This Row],[relDiff]] = -99,
      -99,
      ABS(factorsTable[[#This Row],[relDiff]])
    )
  )</f>
        <v/>
      </c>
      <c r="DG32" s="177" t="str">
        <f>IF(
    factorsTable[[#This Row],[filteredIndex]] = "",
    "",
    _xlfn.XLOOKUP(
      _xlfn.XLOOKUP(
        factorsTable[[#This Row],[filteredIndex]],
        factorsConfigTable[index],
        factorsConfigTable[RANASBlock],#REF!,
        0
      ),
      RANASBlocksTable[label],
      RANASBlocksTable[index],
      6,
      0
    )
  )</f>
        <v/>
      </c>
      <c r="DH32" s="177" t="str">
        <f>IF(
    factorsTable[[#This Row],[filteredIndex]] = "",
    "",
    _xlfn.RANK.EQ(factorsTable[[#This Row],[relDiff]], factorsTable[relDiff], 0)
  )</f>
        <v/>
      </c>
      <c r="DI32" s="177" t="str">
        <f>IF(
    factorsTable[[#This Row],[filteredIndex]] = "",
    "",
    _xlfn.RANK.EQ(factorsTable[[#This Row],[absDiff]], factorsTable[absDiff], 0)
  )</f>
        <v/>
      </c>
      <c r="DJ32" s="177" t="str">
        <f>IF(
    factorsTable[[#This Row],[filteredIndex]] = "",
    "",
    _xlfn.RANK.EQ(factorsTable[[#This Row],[RANASIndex]], factorsTable[RANASIndex], 1)
  )</f>
        <v/>
      </c>
      <c r="DK32" s="177" t="str" cm="1">
        <f t="array" ref="DK32">_xlfn.SWITCH(
    sortingMethodTag,
    "none", factorsTable[[#This Row],[filteredIndex]],
    "relDiff", factorsTable[[#This Row],[relDiffRank]],
    "absDiff", factorsTable[[#This Row],[absDiffRank]],
    "RANAS", factorsTable[[#This Row],[RANASRank]],
    factorsTable[[#This Row],[filteredIndex]]
  )</f>
        <v/>
      </c>
      <c r="DL32" s="177" t="str">
        <f>IF(
    factorsTable[[#This Row],[filteredIndex]] = "",
    "",
    factorsTable[[#This Row],[selectedRank]]
      + COUNTIF(INDEX(factorsTable[selectedRank], 1):INDEX(factorsTable[selectedRank], factorsTable[[#This Row],[index]]), factorsTable[[#This Row],[selectedRank]])
      - 1
  )</f>
        <v/>
      </c>
      <c r="DM32" s="177" t="str">
        <f>IF(
    factorsTable[[#This Row],[filteredIndex]] = "",
    "",
    _xlfn.XLOOKUP(
      factorsTable[[#This Row],[index]],
      factorsTable[uniqueRank],
      factorsTable[filteredIndex],#REF!,
      0
    )
  )</f>
        <v/>
      </c>
      <c r="DN32" s="177" t="str" cm="1">
        <f t="array" ref="DN32">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2" s="177" t="str" cm="1">
        <f t="array" ref="DO32">IF(
    factorsTable[[#This Row],[sortedIndex]] = "",
    "",
    IF(
      factorsTable[[#This Row],[langSpecFactor]] = "",
      UITranslateForValueTable("noTranslation", UITranslationTable[tag], UITranslationTable[], UITranslationTable[#Headers]),
      factorsTable[[#This Row],[langSpecFactor]]
    )
  )</f>
        <v/>
      </c>
      <c r="DP32" s="177" t="str">
        <f>IF(
    factorsTable[[#This Row],[sortedIndex]] = "",
    "",
    _xlfn.XLOOKUP(
      _xlfn.XLOOKUP(
        factorsTable[[#This Row],[sortedIndex]],
        factorsConfigTable[index],
        factorsConfigTable[RANASBlock],#REF!,
        0
      ),
      RANASBlocksTable[label],
      RANASBlocksTable[tag],
      NA(),
      0
    )
  )</f>
        <v/>
      </c>
      <c r="DQ32" s="177" t="str" cm="1">
        <f t="array" ref="DQ32">IF(
    factorsTable[[#This Row],[sortedIndex]] = "",
    "",
    _xlfn.IFNA(
      _xlfn.XLOOKUP(factorsTable[[#This Row],[RANASTag]], RANASBlocksTable[tag], RANASBlocksTable[langSpecLabel]),
      UITranslateForValueTable("noRANASBlock", UITranslationTable[tag], UITranslationTable[], UITranslationTable[#Headers])
    )
  )</f>
        <v/>
      </c>
      <c r="DR32" s="177"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2" s="177" t="str">
        <f>IF(
    factorsTable[[#This Row],[sortedIndex]] = "",
    "",
    _xlfn.XLOOKUP(factorsTable[[#This Row],[sortedIndex]], factorsTable[index], factorsTable[numTotal])
  )</f>
        <v/>
      </c>
      <c r="DT32" s="177" t="str">
        <f>IF(
    factorsTable[[#This Row],[sortedIndex]] = "",
    "",
    _xlfn.XLOOKUP(factorsTable[[#This Row],[sortedIndex]], factorsTable[index], factorsTable[nondoers])
  )</f>
        <v/>
      </c>
      <c r="DU32" s="177" t="str">
        <f>IF(
    factorsTable[[#This Row],[sortedIndex]] = "",
    "",
    _xlfn.XLOOKUP(factorsTable[[#This Row],[sortedIndex]], factorsTable[index], factorsTable[doers])
  )</f>
        <v/>
      </c>
      <c r="DV32" s="177" t="str">
        <f>IF(
    factorsTable[[#This Row],[sortedIndex]] = "",
    "",
    _xlfn.XLOOKUP(factorsTable[[#This Row],[sortedIndex]], factorsTable[index], factorsTable[difference])
  )</f>
        <v/>
      </c>
    </row>
    <row r="33" spans="5:126" ht="14.4" customHeight="1" x14ac:dyDescent="0.3">
      <c r="E33" s="187" cm="1">
        <f t="array" ref="E33">ROW()-ROW(UITranslationTable[#Headers])</f>
        <v>31</v>
      </c>
      <c r="F33" s="9" t="s">
        <v>214</v>
      </c>
      <c r="G33" s="176"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176"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c r="W33" s="177" cm="1">
        <f t="array" ref="W33">ROW()-ROW(structuredFormulaeTable[#Headers])</f>
        <v>31</v>
      </c>
      <c r="X33" s="1" t="s">
        <v>425</v>
      </c>
      <c r="Y33" s="1" t="s">
        <v>359</v>
      </c>
      <c r="AA33" s="178" t="s">
        <v>648</v>
      </c>
      <c r="AB33" s="178"/>
      <c r="CD33" s="1" cm="1">
        <f t="array" ref="CD33">ROW()-ROW(recommendedCutoffTable[#Headers])</f>
        <v>31</v>
      </c>
      <c r="CE33" s="183">
        <f>(recommendedCutoffTable[[#This Row],[index]] - 1) / 100</f>
        <v>0.3</v>
      </c>
      <c r="CF33" s="1" cm="1">
        <f t="array" ref="CF33">ABS(
    numScores
  - 2 * SUMPRODUCT((behaviourScore &lt;&gt; "") * (behaviourScore &lt; recommendedCutoffTable[[#This Row],[cutoffLevel]]))
  )</f>
        <v>0</v>
      </c>
    </row>
    <row r="34" spans="5:126" ht="14.4" customHeight="1" x14ac:dyDescent="0.3">
      <c r="E34" s="9" cm="1">
        <f t="array" ref="E34">ROW()-ROW(UITranslationTable[#Headers])</f>
        <v>32</v>
      </c>
      <c r="F34" s="9" t="s">
        <v>185</v>
      </c>
      <c r="G34" s="176" t="s">
        <v>145</v>
      </c>
      <c r="H34" s="176" t="s">
        <v>186</v>
      </c>
      <c r="W34" s="177" cm="1">
        <f t="array" ref="W34">ROW()-ROW(structuredFormulaeTable[#Headers])</f>
        <v>32</v>
      </c>
      <c r="X34" s="1" t="s">
        <v>425</v>
      </c>
      <c r="Y34" s="1" t="s">
        <v>360</v>
      </c>
      <c r="AA34" s="178" t="s">
        <v>649</v>
      </c>
      <c r="AB34" s="178"/>
      <c r="CD34" s="1" cm="1">
        <f t="array" ref="CD34">ROW()-ROW(recommendedCutoffTable[#Headers])</f>
        <v>32</v>
      </c>
      <c r="CE34" s="183">
        <f>(recommendedCutoffTable[[#This Row],[index]] - 1) / 100</f>
        <v>0.31</v>
      </c>
      <c r="CF34" s="1" cm="1">
        <f t="array" ref="CF34">ABS(
    numScores
  - 2 * SUMPRODUCT((behaviourScore &lt;&gt; "") * (behaviourScore &lt; recommendedCutoffTable[[#This Row],[cutoffLevel]]))
  )</f>
        <v>0</v>
      </c>
      <c r="CN34" s="164" t="s">
        <v>465</v>
      </c>
      <c r="CP34" s="164" t="s">
        <v>499</v>
      </c>
      <c r="CQ34" s="164" t="s">
        <v>500</v>
      </c>
      <c r="CX34" s="164" t="s">
        <v>493</v>
      </c>
      <c r="DB34" s="164" t="s">
        <v>494</v>
      </c>
      <c r="DD34" s="164" t="s">
        <v>450</v>
      </c>
      <c r="DE34" s="164" t="s">
        <v>495</v>
      </c>
      <c r="DG34" s="164" t="s">
        <v>496</v>
      </c>
      <c r="DK34" s="164" t="s">
        <v>463</v>
      </c>
      <c r="DM34" s="164" t="s">
        <v>498</v>
      </c>
      <c r="DN34" s="164" t="s">
        <v>665</v>
      </c>
      <c r="DO34" s="164" t="s">
        <v>497</v>
      </c>
      <c r="DP34" s="164" t="s">
        <v>503</v>
      </c>
      <c r="DQ34" s="164" t="s">
        <v>504</v>
      </c>
      <c r="DR34" s="164" t="s">
        <v>506</v>
      </c>
      <c r="DS34" s="164" t="s">
        <v>507</v>
      </c>
      <c r="DT34" s="164" t="s">
        <v>508</v>
      </c>
      <c r="DU34" s="164" t="s">
        <v>509</v>
      </c>
      <c r="DV34" s="164" t="s">
        <v>510</v>
      </c>
    </row>
    <row r="35" spans="5:126" ht="14.4" customHeight="1" x14ac:dyDescent="0.3">
      <c r="E35" s="9" cm="1">
        <f t="array" ref="E35">ROW()-ROW(UITranslationTable[#Headers])</f>
        <v>33</v>
      </c>
      <c r="F35" s="9" t="s">
        <v>70</v>
      </c>
      <c r="G35" s="176" t="s">
        <v>71</v>
      </c>
      <c r="H35" s="176" t="s">
        <v>202</v>
      </c>
      <c r="W35" s="177" cm="1">
        <f t="array" ref="W35">ROW()-ROW(structuredFormulaeTable[#Headers])</f>
        <v>33</v>
      </c>
      <c r="X35" s="1" t="s">
        <v>425</v>
      </c>
      <c r="Y35" s="1" t="s">
        <v>100</v>
      </c>
      <c r="Z35" s="1" cm="1">
        <f t="array" ref="Z35">cutoffLevelRecommended</f>
        <v>0.5</v>
      </c>
      <c r="AA35" s="178" t="s">
        <v>492</v>
      </c>
      <c r="AB35" s="164" t="s">
        <v>491</v>
      </c>
      <c r="CD35" s="1" cm="1">
        <f t="array" ref="CD35">ROW()-ROW(recommendedCutoffTable[#Headers])</f>
        <v>33</v>
      </c>
      <c r="CE35" s="183">
        <f>(recommendedCutoffTable[[#This Row],[index]] - 1) / 100</f>
        <v>0.32</v>
      </c>
      <c r="CF35" s="1" cm="1">
        <f t="array" ref="CF35">ABS(
    numScores
  - 2 * SUMPRODUCT((behaviourScore &lt;&gt; "") * (behaviourScore &lt; recommendedCutoffTable[[#This Row],[cutoffLevel]]))
  )</f>
        <v>0</v>
      </c>
    </row>
    <row r="36" spans="5:126" ht="14.4" customHeight="1" x14ac:dyDescent="0.3">
      <c r="E36" s="9" cm="1">
        <f t="array" ref="E36">ROW()-ROW(UITranslationTable[#Headers])</f>
        <v>34</v>
      </c>
      <c r="F36" s="9" t="s">
        <v>49</v>
      </c>
      <c r="G36" s="176" t="s">
        <v>11</v>
      </c>
      <c r="H36" s="176" t="s">
        <v>64</v>
      </c>
      <c r="W36" s="177" cm="1">
        <f t="array" ref="W36">ROW()-ROW(structuredFormulaeTable[#Headers])</f>
        <v>34</v>
      </c>
      <c r="X36" s="1" t="s">
        <v>425</v>
      </c>
      <c r="Y36" s="1" t="s">
        <v>556</v>
      </c>
      <c r="Z36" s="1" t="e" cm="1">
        <f t="array" aca="1" ref="Z36" ca="1">dataLastColNum</f>
        <v>#N/A</v>
      </c>
      <c r="AA36" s="178" t="s">
        <v>673</v>
      </c>
      <c r="CD36" s="1" cm="1">
        <f t="array" ref="CD36">ROW()-ROW(recommendedCutoffTable[#Headers])</f>
        <v>34</v>
      </c>
      <c r="CE36" s="183">
        <f>(recommendedCutoffTable[[#This Row],[index]] - 1) / 100</f>
        <v>0.33</v>
      </c>
      <c r="CF36" s="1" cm="1">
        <f t="array" ref="CF36">ABS(
    numScores
  - 2 * SUMPRODUCT((behaviourScore &lt;&gt; "") * (behaviourScore &lt; recommendedCutoffTable[[#This Row],[cutoffLevel]]))
  )</f>
        <v>0</v>
      </c>
    </row>
    <row r="37" spans="5:126" ht="14.4" customHeight="1" x14ac:dyDescent="0.3">
      <c r="E37" s="9" cm="1">
        <f t="array" ref="E37">ROW()-ROW(UITranslationTable[#Headers])</f>
        <v>35</v>
      </c>
      <c r="F37" s="9" t="s">
        <v>72</v>
      </c>
      <c r="G37" s="176" t="s">
        <v>76</v>
      </c>
      <c r="H37" s="176" t="s">
        <v>75</v>
      </c>
      <c r="W37" s="177" cm="1">
        <f t="array" ref="W37">ROW()-ROW(structuredFormulaeTable[#Headers])</f>
        <v>35</v>
      </c>
      <c r="X37" s="1" t="s">
        <v>425</v>
      </c>
      <c r="Y37" s="1" t="s">
        <v>91</v>
      </c>
      <c r="Z37" s="1" t="e" cm="1">
        <f t="array" aca="1" ref="Z37" ca="1">dataRefColNum</f>
        <v>#N/A</v>
      </c>
      <c r="AA37" s="178" t="s">
        <v>671</v>
      </c>
      <c r="AB37" s="178"/>
      <c r="CD37" s="1" cm="1">
        <f t="array" ref="CD37">ROW()-ROW(recommendedCutoffTable[#Headers])</f>
        <v>35</v>
      </c>
      <c r="CE37" s="183">
        <f>(recommendedCutoffTable[[#This Row],[index]] - 1) / 100</f>
        <v>0.34</v>
      </c>
      <c r="CF37" s="1" cm="1">
        <f t="array" ref="CF37">ABS(
    numScores
  - 2 * SUMPRODUCT((behaviourScore &lt;&gt; "") * (behaviourScore &lt; recommendedCutoffTable[[#This Row],[cutoffLevel]]))
  )</f>
        <v>0</v>
      </c>
    </row>
    <row r="38" spans="5:126" ht="14.4" customHeight="1" x14ac:dyDescent="0.3">
      <c r="E38" s="9" cm="1">
        <f t="array" ref="E38">ROW()-ROW(UITranslationTable[#Headers])</f>
        <v>36</v>
      </c>
      <c r="F38" s="9" t="s">
        <v>73</v>
      </c>
      <c r="G38" s="176" t="s">
        <v>77</v>
      </c>
      <c r="H38" s="176" t="s">
        <v>78</v>
      </c>
      <c r="W38" s="177" cm="1">
        <f t="array" ref="W38">ROW()-ROW(structuredFormulaeTable[#Headers])</f>
        <v>36</v>
      </c>
      <c r="X38" s="1" t="s">
        <v>425</v>
      </c>
      <c r="Y38" s="1" t="s">
        <v>361</v>
      </c>
      <c r="AA38" s="178" t="s">
        <v>362</v>
      </c>
      <c r="AB38" s="178"/>
      <c r="CD38" s="1" cm="1">
        <f t="array" ref="CD38">ROW()-ROW(recommendedCutoffTable[#Headers])</f>
        <v>36</v>
      </c>
      <c r="CE38" s="183">
        <f>(recommendedCutoffTable[[#This Row],[index]] - 1) / 100</f>
        <v>0.35</v>
      </c>
      <c r="CF38" s="1" cm="1">
        <f t="array" ref="CF38">ABS(
    numScores
  - 2 * SUMPRODUCT((behaviourScore &lt;&gt; "") * (behaviourScore &lt; recommendedCutoffTable[[#This Row],[cutoffLevel]]))
  )</f>
        <v>0</v>
      </c>
    </row>
    <row r="39" spans="5:126" ht="14.4" customHeight="1" x14ac:dyDescent="0.3">
      <c r="E39" s="9" cm="1">
        <f t="array" ref="E39">ROW()-ROW(UITranslationTable[#Headers])</f>
        <v>37</v>
      </c>
      <c r="F39" s="9" t="s">
        <v>74</v>
      </c>
      <c r="G39" s="176" t="s">
        <v>36</v>
      </c>
      <c r="H39" s="176" t="s">
        <v>10</v>
      </c>
      <c r="W39" s="177" cm="1">
        <f t="array" ref="W39">ROW()-ROW(structuredFormulaeTable[#Headers])</f>
        <v>37</v>
      </c>
      <c r="X39" s="1" t="s">
        <v>425</v>
      </c>
      <c r="Y39" s="1" t="s">
        <v>431</v>
      </c>
      <c r="Z39" s="1" t="b" cm="1">
        <f t="array" aca="1" ref="Z39" ca="1">errorBehaviourHeader</f>
        <v>0</v>
      </c>
      <c r="AA39" s="178" t="s">
        <v>486</v>
      </c>
      <c r="AB39" s="178"/>
      <c r="CD39" s="1" cm="1">
        <f t="array" ref="CD39">ROW()-ROW(recommendedCutoffTable[#Headers])</f>
        <v>37</v>
      </c>
      <c r="CE39" s="183">
        <f>(recommendedCutoffTable[[#This Row],[index]] - 1) / 100</f>
        <v>0.36</v>
      </c>
      <c r="CF39" s="1" cm="1">
        <f t="array" ref="CF39">ABS(
    numScores
  - 2 * SUMPRODUCT((behaviourScore &lt;&gt; "") * (behaviourScore &lt; recommendedCutoffTable[[#This Row],[cutoffLevel]]))
  )</f>
        <v>0</v>
      </c>
    </row>
    <row r="40" spans="5:126" ht="14.4" customHeight="1" x14ac:dyDescent="0.3">
      <c r="E40" s="9" cm="1">
        <f t="array" ref="E40">ROW()-ROW(UITranslationTable[#Headers])</f>
        <v>38</v>
      </c>
      <c r="F40" s="9" t="s">
        <v>82</v>
      </c>
      <c r="G40" s="176" t="s">
        <v>83</v>
      </c>
      <c r="H40" s="176" t="s">
        <v>84</v>
      </c>
      <c r="W40" s="177" cm="1">
        <f t="array" ref="W40">ROW()-ROW(structuredFormulaeTable[#Headers])</f>
        <v>38</v>
      </c>
      <c r="X40" s="1" t="s">
        <v>425</v>
      </c>
      <c r="Y40" s="1" t="s">
        <v>432</v>
      </c>
      <c r="Z40" s="1" t="b" cm="1">
        <f t="array" aca="1" ref="Z40" ca="1">errorBehaviourInclude</f>
        <v>0</v>
      </c>
      <c r="AA40" s="178" t="s">
        <v>487</v>
      </c>
      <c r="AB40" s="178"/>
      <c r="CD40" s="1" cm="1">
        <f t="array" ref="CD40">ROW()-ROW(recommendedCutoffTable[#Headers])</f>
        <v>38</v>
      </c>
      <c r="CE40" s="183">
        <f>(recommendedCutoffTable[[#This Row],[index]] - 1) / 100</f>
        <v>0.37</v>
      </c>
      <c r="CF40" s="1" cm="1">
        <f t="array" ref="CF40">ABS(
    numScores
  - 2 * SUMPRODUCT((behaviourScore &lt;&gt; "") * (behaviourScore &lt; recommendedCutoffTable[[#This Row],[cutoffLevel]]))
  )</f>
        <v>0</v>
      </c>
    </row>
    <row r="41" spans="5:126" ht="14.4" customHeight="1" x14ac:dyDescent="0.3">
      <c r="E41" s="9" cm="1">
        <f t="array" ref="E41">ROW()-ROW(UITranslationTable[#Headers])</f>
        <v>39</v>
      </c>
      <c r="F41" s="9" t="s">
        <v>188</v>
      </c>
      <c r="G41" s="176" t="s">
        <v>93</v>
      </c>
      <c r="H41" s="176" t="s">
        <v>189</v>
      </c>
      <c r="W41" s="177" cm="1">
        <f t="array" ref="W41">ROW()-ROW(structuredFormulaeTable[#Headers])</f>
        <v>39</v>
      </c>
      <c r="X41" s="1" t="s">
        <v>425</v>
      </c>
      <c r="Y41" s="1" t="s">
        <v>434</v>
      </c>
      <c r="Z41" s="1" t="b" cm="1">
        <f t="array" aca="1" ref="Z41" ca="1">errorBehaviourMinMaxInvalid</f>
        <v>0</v>
      </c>
      <c r="AA41" s="178" t="s">
        <v>547</v>
      </c>
      <c r="AB41" s="178"/>
      <c r="CD41" s="1" cm="1">
        <f t="array" ref="CD41">ROW()-ROW(recommendedCutoffTable[#Headers])</f>
        <v>39</v>
      </c>
      <c r="CE41" s="183">
        <f>(recommendedCutoffTable[[#This Row],[index]] - 1) / 100</f>
        <v>0.38</v>
      </c>
      <c r="CF41" s="1" cm="1">
        <f t="array" ref="CF41">ABS(
    numScores
  - 2 * SUMPRODUCT((behaviourScore &lt;&gt; "") * (behaviourScore &lt; recommendedCutoffTable[[#This Row],[cutoffLevel]]))
  )</f>
        <v>0</v>
      </c>
    </row>
    <row r="42" spans="5:126" ht="14.4" customHeight="1" x14ac:dyDescent="0.3">
      <c r="E42" s="9" cm="1">
        <f t="array" ref="E42">ROW()-ROW(UITranslationTable[#Headers])</f>
        <v>40</v>
      </c>
      <c r="F42" s="9" t="s">
        <v>85</v>
      </c>
      <c r="G42" s="176" t="s">
        <v>87</v>
      </c>
      <c r="H42" s="176" t="s">
        <v>88</v>
      </c>
      <c r="W42" s="177" cm="1">
        <f t="array" ref="W42">ROW()-ROW(structuredFormulaeTable[#Headers])</f>
        <v>40</v>
      </c>
      <c r="X42" s="1" t="s">
        <v>425</v>
      </c>
      <c r="Y42" s="1" t="s">
        <v>433</v>
      </c>
      <c r="Z42" s="1" t="b" cm="1">
        <f t="array" aca="1" ref="Z42" ca="1">errorBehaviourNoneSelected</f>
        <v>0</v>
      </c>
      <c r="AA42" s="178" t="s">
        <v>488</v>
      </c>
      <c r="AB42" s="178"/>
      <c r="CD42" s="1" cm="1">
        <f t="array" ref="CD42">ROW()-ROW(recommendedCutoffTable[#Headers])</f>
        <v>40</v>
      </c>
      <c r="CE42" s="183">
        <f>(recommendedCutoffTable[[#This Row],[index]] - 1) / 100</f>
        <v>0.39</v>
      </c>
      <c r="CF42" s="1" cm="1">
        <f t="array" ref="CF42">ABS(
    numScores
  - 2 * SUMPRODUCT((behaviourScore &lt;&gt; "") * (behaviourScore &lt; recommendedCutoffTable[[#This Row],[cutoffLevel]]))
  )</f>
        <v>0</v>
      </c>
    </row>
    <row r="43" spans="5:126" ht="14.4" customHeight="1" x14ac:dyDescent="0.3">
      <c r="E43" s="9" cm="1">
        <f t="array" ref="E43">ROW()-ROW(UITranslationTable[#Headers])</f>
        <v>41</v>
      </c>
      <c r="F43" s="9" t="s">
        <v>86</v>
      </c>
      <c r="G43" s="176" t="s">
        <v>89</v>
      </c>
      <c r="H43" s="176" t="s">
        <v>90</v>
      </c>
      <c r="W43" s="177" cm="1">
        <f t="array" ref="W43">ROW()-ROW(structuredFormulaeTable[#Headers])</f>
        <v>41</v>
      </c>
      <c r="X43" s="1" t="s">
        <v>425</v>
      </c>
      <c r="Y43" s="1" t="s">
        <v>435</v>
      </c>
      <c r="Z43" s="1" t="b" cm="1">
        <f t="array" aca="1" ref="Z43" ca="1">errorBehaviourOutOfRange</f>
        <v>0</v>
      </c>
      <c r="AA43" s="178" t="s">
        <v>464</v>
      </c>
      <c r="AB43" s="178"/>
      <c r="CD43" s="1" cm="1">
        <f t="array" ref="CD43">ROW()-ROW(recommendedCutoffTable[#Headers])</f>
        <v>41</v>
      </c>
      <c r="CE43" s="183">
        <f>(recommendedCutoffTable[[#This Row],[index]] - 1) / 100</f>
        <v>0.4</v>
      </c>
      <c r="CF43" s="1" cm="1">
        <f t="array" ref="CF43">ABS(
    numScores
  - 2 * SUMPRODUCT((behaviourScore &lt;&gt; "") * (behaviourScore &lt; recommendedCutoffTable[[#This Row],[cutoffLevel]]))
  )</f>
        <v>0</v>
      </c>
    </row>
    <row r="44" spans="5:126" ht="14.4" customHeight="1" x14ac:dyDescent="0.3">
      <c r="E44" s="9" cm="1">
        <f t="array" ref="E44">ROW()-ROW(UITranslationTable[#Headers])</f>
        <v>42</v>
      </c>
      <c r="F44" s="9" t="s">
        <v>190</v>
      </c>
      <c r="G44" s="176" t="s">
        <v>272</v>
      </c>
      <c r="H44" s="176" t="s">
        <v>273</v>
      </c>
      <c r="W44" s="177" cm="1">
        <f t="array" ref="W44">ROW()-ROW(structuredFormulaeTable[#Headers])</f>
        <v>42</v>
      </c>
      <c r="X44" s="1" t="s">
        <v>425</v>
      </c>
      <c r="Y44" s="1" t="s">
        <v>441</v>
      </c>
      <c r="Z44" s="1" t="b" cm="1">
        <f t="array" ref="Z44">errorChartLanguage</f>
        <v>0</v>
      </c>
      <c r="AA44" s="178" t="s">
        <v>549</v>
      </c>
      <c r="AB44" s="178"/>
      <c r="CD44" s="1" cm="1">
        <f t="array" ref="CD44">ROW()-ROW(recommendedCutoffTable[#Headers])</f>
        <v>42</v>
      </c>
      <c r="CE44" s="183">
        <f>(recommendedCutoffTable[[#This Row],[index]] - 1) / 100</f>
        <v>0.41</v>
      </c>
      <c r="CF44" s="1" cm="1">
        <f t="array" ref="CF44">ABS(
    numScores
  - 2 * SUMPRODUCT((behaviourScore &lt;&gt; "") * (behaviourScore &lt; recommendedCutoffTable[[#This Row],[cutoffLevel]]))
  )</f>
        <v>0</v>
      </c>
    </row>
    <row r="45" spans="5:126" ht="14.4" customHeight="1" x14ac:dyDescent="0.3">
      <c r="E45" s="9" cm="1">
        <f t="array" ref="E45">ROW()-ROW(UITranslationTable[#Headers])</f>
        <v>43</v>
      </c>
      <c r="F45" s="9" t="s">
        <v>195</v>
      </c>
      <c r="G45" s="176" t="s">
        <v>196</v>
      </c>
      <c r="H45" s="176" t="s">
        <v>197</v>
      </c>
      <c r="W45" s="177" cm="1">
        <f t="array" ref="W45">ROW()-ROW(structuredFormulaeTable[#Headers])</f>
        <v>43</v>
      </c>
      <c r="X45" s="1" t="s">
        <v>425</v>
      </c>
      <c r="Y45" s="1" t="s">
        <v>446</v>
      </c>
      <c r="Z45" s="1" t="b" cm="1">
        <f t="array" aca="1" ref="Z45" ca="1">errorChartTranslationMissing</f>
        <v>0</v>
      </c>
      <c r="AA45" s="178" t="s">
        <v>554</v>
      </c>
      <c r="AB45" s="178"/>
      <c r="CD45" s="1" cm="1">
        <f t="array" ref="CD45">ROW()-ROW(recommendedCutoffTable[#Headers])</f>
        <v>43</v>
      </c>
      <c r="CE45" s="183">
        <f>(recommendedCutoffTable[[#This Row],[index]] - 1) / 100</f>
        <v>0.42</v>
      </c>
      <c r="CF45" s="1" cm="1">
        <f t="array" ref="CF45">ABS(
    numScores
  - 2 * SUMPRODUCT((behaviourScore &lt;&gt; "") * (behaviourScore &lt; recommendedCutoffTable[[#This Row],[cutoffLevel]]))
  )</f>
        <v>0</v>
      </c>
    </row>
    <row r="46" spans="5:126" ht="14.4" customHeight="1" x14ac:dyDescent="0.3">
      <c r="E46" s="187" cm="1">
        <f t="array" ref="E46">ROW()-ROW(UITranslationTable[#Headers])</f>
        <v>44</v>
      </c>
      <c r="F46" s="9" t="s">
        <v>215</v>
      </c>
      <c r="G46" s="176" t="str">
        <f>"3." &amp; CHAR(160) &amp; "RANAS factors"</f>
        <v>3. RANAS factors</v>
      </c>
      <c r="H46" s="176" t="str">
        <f>"3." &amp; CHAR(160) &amp; "Facteurs RANAS"</f>
        <v>3. Facteurs RANAS</v>
      </c>
      <c r="W46" s="177" cm="1">
        <f t="array" ref="W46">ROW()-ROW(structuredFormulaeTable[#Headers])</f>
        <v>44</v>
      </c>
      <c r="X46" s="1" t="s">
        <v>425</v>
      </c>
      <c r="Y46" s="1" t="s">
        <v>443</v>
      </c>
      <c r="Z46" s="1" t="b" cm="1">
        <f t="array" aca="1" ref="Z46" ca="1">errorCutoffLevel</f>
        <v>0</v>
      </c>
      <c r="AA46" s="178" t="s">
        <v>632</v>
      </c>
      <c r="AB46" s="178"/>
      <c r="CD46" s="1" cm="1">
        <f t="array" ref="CD46">ROW()-ROW(recommendedCutoffTable[#Headers])</f>
        <v>44</v>
      </c>
      <c r="CE46" s="183">
        <f>(recommendedCutoffTable[[#This Row],[index]] - 1) / 100</f>
        <v>0.43</v>
      </c>
      <c r="CF46" s="1" cm="1">
        <f t="array" ref="CF46">ABS(
    numScores
  - 2 * SUMPRODUCT((behaviourScore &lt;&gt; "") * (behaviourScore &lt; recommendedCutoffTable[[#This Row],[cutoffLevel]]))
  )</f>
        <v>0</v>
      </c>
    </row>
    <row r="47" spans="5:126" ht="14.4" customHeight="1" x14ac:dyDescent="0.3">
      <c r="E47" s="187" cm="1">
        <f t="array" ref="E47">ROW()-ROW(UITranslationTable[#Headers])</f>
        <v>45</v>
      </c>
      <c r="F47" s="9" t="s">
        <v>216</v>
      </c>
      <c r="G47" s="176" t="s">
        <v>340</v>
      </c>
      <c r="H47" s="176" t="s">
        <v>341</v>
      </c>
      <c r="W47" s="177" cm="1">
        <f t="array" ref="W47">ROW()-ROW(structuredFormulaeTable[#Headers])</f>
        <v>45</v>
      </c>
      <c r="X47" s="1" t="s">
        <v>425</v>
      </c>
      <c r="Y47" s="1" t="s">
        <v>430</v>
      </c>
      <c r="Z47" s="1" t="b" cm="1">
        <f t="array" aca="1" ref="Z47" ca="1">errorDataHeaderSpace</f>
        <v>0</v>
      </c>
      <c r="AA47" s="178" t="s">
        <v>558</v>
      </c>
      <c r="AB47" s="178"/>
      <c r="CD47" s="1" cm="1">
        <f t="array" ref="CD47">ROW()-ROW(recommendedCutoffTable[#Headers])</f>
        <v>45</v>
      </c>
      <c r="CE47" s="183">
        <f>(recommendedCutoffTable[[#This Row],[index]] - 1) / 100</f>
        <v>0.44</v>
      </c>
      <c r="CF47" s="1" cm="1">
        <f t="array" ref="CF47">ABS(
    numScores
  - 2 * SUMPRODUCT((behaviourScore &lt;&gt; "") * (behaviourScore &lt; recommendedCutoffTable[[#This Row],[cutoffLevel]]))
  )</f>
        <v>0</v>
      </c>
    </row>
    <row r="48" spans="5:126" ht="14.4" customHeight="1" x14ac:dyDescent="0.3">
      <c r="E48" s="187" cm="1">
        <f t="array" ref="E48">ROW()-ROW(UITranslationTable[#Headers])</f>
        <v>46</v>
      </c>
      <c r="F48" s="9" t="s">
        <v>217</v>
      </c>
      <c r="G48" s="176"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176"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c r="W48" s="177" cm="1">
        <f t="array" ref="W48">ROW()-ROW(structuredFormulaeTable[#Headers])</f>
        <v>46</v>
      </c>
      <c r="X48" s="1" t="s">
        <v>425</v>
      </c>
      <c r="Y48" s="1" t="s">
        <v>444</v>
      </c>
      <c r="Z48" s="1" t="b" cm="1">
        <f t="array" aca="1" ref="Z48" ca="1">errorDataSorting</f>
        <v>0</v>
      </c>
      <c r="AA48" s="178" t="s">
        <v>555</v>
      </c>
      <c r="AB48" s="178"/>
      <c r="CD48" s="1" cm="1">
        <f t="array" ref="CD48">ROW()-ROW(recommendedCutoffTable[#Headers])</f>
        <v>46</v>
      </c>
      <c r="CE48" s="183">
        <f>(recommendedCutoffTable[[#This Row],[index]] - 1) / 100</f>
        <v>0.45</v>
      </c>
      <c r="CF48" s="1" cm="1">
        <f t="array" ref="CF48">ABS(
    numScores
  - 2 * SUMPRODUCT((behaviourScore &lt;&gt; "") * (behaviourScore &lt; recommendedCutoffTable[[#This Row],[cutoffLevel]]))
  )</f>
        <v>0</v>
      </c>
    </row>
    <row r="49" spans="5:84" ht="14.4" customHeight="1" x14ac:dyDescent="0.3">
      <c r="E49" s="187" cm="1">
        <f t="array" ref="E49">ROW()-ROW(UITranslationTable[#Headers])</f>
        <v>47</v>
      </c>
      <c r="F49" s="9" t="s">
        <v>218</v>
      </c>
      <c r="G49" s="176"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176"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c r="W49" s="177" cm="1">
        <f t="array" ref="W49">ROW()-ROW(structuredFormulaeTable[#Headers])</f>
        <v>47</v>
      </c>
      <c r="X49" s="1" t="s">
        <v>425</v>
      </c>
      <c r="Y49" s="1" t="s">
        <v>437</v>
      </c>
      <c r="Z49" s="1" t="b" cm="1">
        <f t="array" aca="1" ref="Z49" ca="1">errorFactorDisplay</f>
        <v>0</v>
      </c>
      <c r="AA49" s="178" t="s">
        <v>512</v>
      </c>
      <c r="AB49" s="178"/>
      <c r="CD49" s="1" cm="1">
        <f t="array" ref="CD49">ROW()-ROW(recommendedCutoffTable[#Headers])</f>
        <v>47</v>
      </c>
      <c r="CE49" s="183">
        <f>(recommendedCutoffTable[[#This Row],[index]] - 1) / 100</f>
        <v>0.46</v>
      </c>
      <c r="CF49" s="1" cm="1">
        <f t="array" ref="CF49">ABS(
    numScores
  - 2 * SUMPRODUCT((behaviourScore &lt;&gt; "") * (behaviourScore &lt; recommendedCutoffTable[[#This Row],[cutoffLevel]]))
  )</f>
        <v>0</v>
      </c>
    </row>
    <row r="50" spans="5:84" ht="14.4" customHeight="1" x14ac:dyDescent="0.3">
      <c r="E50" s="187" cm="1">
        <f t="array" ref="E50">ROW()-ROW(UITranslationTable[#Headers])</f>
        <v>48</v>
      </c>
      <c r="F50" s="9" t="s">
        <v>219</v>
      </c>
      <c r="G50" s="176" t="s">
        <v>203</v>
      </c>
      <c r="H50" s="176" t="s">
        <v>220</v>
      </c>
      <c r="W50" s="177" cm="1">
        <f t="array" ref="W50">ROW()-ROW(structuredFormulaeTable[#Headers])</f>
        <v>48</v>
      </c>
      <c r="X50" s="1" t="s">
        <v>425</v>
      </c>
      <c r="Y50" s="1" t="s">
        <v>436</v>
      </c>
      <c r="Z50" s="1" t="b" cm="1">
        <f t="array" aca="1" ref="Z50" ca="1">errorFactorHeader</f>
        <v>0</v>
      </c>
      <c r="AA50" s="178" t="s">
        <v>511</v>
      </c>
      <c r="AB50" s="178"/>
      <c r="CD50" s="1" cm="1">
        <f t="array" ref="CD50">ROW()-ROW(recommendedCutoffTable[#Headers])</f>
        <v>48</v>
      </c>
      <c r="CE50" s="183">
        <f>(recommendedCutoffTable[[#This Row],[index]] - 1) / 100</f>
        <v>0.47</v>
      </c>
      <c r="CF50" s="1" cm="1">
        <f t="array" ref="CF50">ABS(
    numScores
  - 2 * SUMPRODUCT((behaviourScore &lt;&gt; "") * (behaviourScore &lt; recommendedCutoffTable[[#This Row],[cutoffLevel]]))
  )</f>
        <v>0</v>
      </c>
    </row>
    <row r="51" spans="5:84" ht="14.4" customHeight="1" x14ac:dyDescent="0.3">
      <c r="E51" s="187" cm="1">
        <f t="array" ref="E51">ROW()-ROW(UITranslationTable[#Headers])</f>
        <v>49</v>
      </c>
      <c r="F51" s="9" t="s">
        <v>221</v>
      </c>
      <c r="G51" s="176"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176"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c r="W51" s="177" cm="1">
        <f t="array" ref="W51">ROW()-ROW(structuredFormulaeTable[#Headers])</f>
        <v>49</v>
      </c>
      <c r="X51" s="1" t="s">
        <v>425</v>
      </c>
      <c r="Y51" s="1" t="s">
        <v>439</v>
      </c>
      <c r="Z51" s="1" t="b" cm="1">
        <f t="array" aca="1" ref="Z51" ca="1">errorFactorMinMaxInvalid</f>
        <v>0</v>
      </c>
      <c r="AA51" s="178" t="s">
        <v>546</v>
      </c>
      <c r="AB51" s="178"/>
      <c r="CD51" s="1" cm="1">
        <f t="array" ref="CD51">ROW()-ROW(recommendedCutoffTable[#Headers])</f>
        <v>49</v>
      </c>
      <c r="CE51" s="183">
        <f>(recommendedCutoffTable[[#This Row],[index]] - 1) / 100</f>
        <v>0.48</v>
      </c>
      <c r="CF51" s="1" cm="1">
        <f t="array" ref="CF51">ABS(
    numScores
  - 2 * SUMPRODUCT((behaviourScore &lt;&gt; "") * (behaviourScore &lt; recommendedCutoffTable[[#This Row],[cutoffLevel]]))
  )</f>
        <v>0</v>
      </c>
    </row>
    <row r="52" spans="5:84" ht="14.4" customHeight="1" x14ac:dyDescent="0.3">
      <c r="E52" s="187" cm="1">
        <f t="array" ref="E52">ROW()-ROW(UITranslationTable[#Headers])</f>
        <v>50</v>
      </c>
      <c r="F52" s="9" t="s">
        <v>222</v>
      </c>
      <c r="G52" s="176"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176"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c r="W52" s="177" cm="1">
        <f t="array" ref="W52">ROW()-ROW(structuredFormulaeTable[#Headers])</f>
        <v>50</v>
      </c>
      <c r="X52" s="1" t="s">
        <v>425</v>
      </c>
      <c r="Y52" s="1" t="s">
        <v>438</v>
      </c>
      <c r="Z52" s="1" t="b" cm="1">
        <f t="array" aca="1" ref="Z52" ca="1">errorFactorNoneSelected</f>
        <v>0</v>
      </c>
      <c r="AA52" s="178" t="s">
        <v>513</v>
      </c>
      <c r="AB52" s="178"/>
      <c r="CD52" s="1" cm="1">
        <f t="array" ref="CD52">ROW()-ROW(recommendedCutoffTable[#Headers])</f>
        <v>50</v>
      </c>
      <c r="CE52" s="183">
        <f>(recommendedCutoffTable[[#This Row],[index]] - 1) / 100</f>
        <v>0.49</v>
      </c>
      <c r="CF52" s="1" cm="1">
        <f t="array" ref="CF52">ABS(
    numScores
  - 2 * SUMPRODUCT((behaviourScore &lt;&gt; "") * (behaviourScore &lt; recommendedCutoffTable[[#This Row],[cutoffLevel]]))
  )</f>
        <v>0</v>
      </c>
    </row>
    <row r="53" spans="5:84" ht="14.4" customHeight="1" x14ac:dyDescent="0.3">
      <c r="E53" s="187" cm="1">
        <f t="array" ref="E53">ROW()-ROW(UITranslationTable[#Headers])</f>
        <v>51</v>
      </c>
      <c r="F53" s="9" t="s">
        <v>223</v>
      </c>
      <c r="G53" s="176"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176"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c r="W53" s="177" cm="1">
        <f t="array" ref="W53">ROW()-ROW(structuredFormulaeTable[#Headers])</f>
        <v>51</v>
      </c>
      <c r="X53" s="1" t="s">
        <v>425</v>
      </c>
      <c r="Y53" s="1" t="s">
        <v>440</v>
      </c>
      <c r="Z53" s="1" t="b" cm="1">
        <f t="array" aca="1" ref="Z53" ca="1">errorFactorOutOfRange</f>
        <v>0</v>
      </c>
      <c r="AA53" s="178" t="s">
        <v>548</v>
      </c>
      <c r="AB53" s="178"/>
      <c r="CD53" s="1" cm="1">
        <f t="array" ref="CD53">ROW()-ROW(recommendedCutoffTable[#Headers])</f>
        <v>51</v>
      </c>
      <c r="CE53" s="183">
        <f>(recommendedCutoffTable[[#This Row],[index]] - 1) / 100</f>
        <v>0.5</v>
      </c>
      <c r="CF53" s="1" cm="1">
        <f t="array" ref="CF53">ABS(
    numScores
  - 2 * SUMPRODUCT((behaviourScore &lt;&gt; "") * (behaviourScore &lt; recommendedCutoffTable[[#This Row],[cutoffLevel]]))
  )</f>
        <v>0</v>
      </c>
    </row>
    <row r="54" spans="5:84" ht="14.4" customHeight="1" x14ac:dyDescent="0.3">
      <c r="E54" s="9" cm="1">
        <f t="array" ref="E54">ROW()-ROW(UITranslationTable[#Headers])</f>
        <v>52</v>
      </c>
      <c r="F54" s="176" t="s">
        <v>247</v>
      </c>
      <c r="G54" s="176" t="s">
        <v>119</v>
      </c>
      <c r="H54" s="176" t="s">
        <v>187</v>
      </c>
      <c r="W54" s="177" cm="1">
        <f t="array" ref="W54">ROW()-ROW(structuredFormulaeTable[#Headers])</f>
        <v>52</v>
      </c>
      <c r="X54" s="1" t="s">
        <v>425</v>
      </c>
      <c r="Y54" s="1" t="s">
        <v>445</v>
      </c>
      <c r="Z54" s="1" t="b" cm="1">
        <f t="array" aca="1" ref="Z54" ca="1">errorFactorTranslationMissing</f>
        <v>0</v>
      </c>
      <c r="AA54" s="178" t="s">
        <v>551</v>
      </c>
      <c r="AB54" s="178"/>
      <c r="AE54" s="192"/>
      <c r="CD54" s="1" cm="1">
        <f t="array" ref="CD54">ROW()-ROW(recommendedCutoffTable[#Headers])</f>
        <v>52</v>
      </c>
      <c r="CE54" s="183">
        <f>(recommendedCutoffTable[[#This Row],[index]] - 1) / 100</f>
        <v>0.51</v>
      </c>
      <c r="CF54" s="1" cm="1">
        <f t="array" ref="CF54">ABS(
    numScores
  - 2 * SUMPRODUCT((behaviourScore &lt;&gt; "") * (behaviourScore &lt; recommendedCutoffTable[[#This Row],[cutoffLevel]]))
  )</f>
        <v>0</v>
      </c>
    </row>
    <row r="55" spans="5:84" ht="14.4" customHeight="1" x14ac:dyDescent="0.3">
      <c r="E55" s="9" cm="1">
        <f t="array" ref="E55">ROW()-ROW(UITranslationTable[#Headers])</f>
        <v>53</v>
      </c>
      <c r="F55" s="176" t="s">
        <v>248</v>
      </c>
      <c r="G55" s="176" t="s">
        <v>56</v>
      </c>
      <c r="H55" s="176" t="s">
        <v>63</v>
      </c>
      <c r="W55" s="177" cm="1">
        <f t="array" ref="W55">ROW()-ROW(structuredFormulaeTable[#Headers])</f>
        <v>53</v>
      </c>
      <c r="X55" s="1" t="s">
        <v>425</v>
      </c>
      <c r="Y55" s="1" t="s">
        <v>182</v>
      </c>
      <c r="Z55" s="1" t="str" cm="1">
        <f t="array" aca="1" ref="Z55" ca="1">errorMessages</f>
        <v xml:space="preserve">
1. The "data" sheet cannot be found. Make sure you have imported your data file as a new spreadsheet in this Excel workbook and renamed that sheet "data" (without quotes).</v>
      </c>
      <c r="AA55" s="178" t="s">
        <v>405</v>
      </c>
      <c r="AB55" s="164" t="s">
        <v>418</v>
      </c>
      <c r="CD55" s="1" cm="1">
        <f t="array" ref="CD55">ROW()-ROW(recommendedCutoffTable[#Headers])</f>
        <v>53</v>
      </c>
      <c r="CE55" s="183">
        <f>(recommendedCutoffTable[[#This Row],[index]] - 1) / 100</f>
        <v>0.52</v>
      </c>
      <c r="CF55" s="1" cm="1">
        <f t="array" ref="CF55">ABS(
    numScores
  - 2 * SUMPRODUCT((behaviourScore &lt;&gt; "") * (behaviourScore &lt; recommendedCutoffTable[[#This Row],[cutoffLevel]]))
  )</f>
        <v>0</v>
      </c>
    </row>
    <row r="56" spans="5:84" ht="14.4" customHeight="1" x14ac:dyDescent="0.3">
      <c r="E56" s="9" cm="1">
        <f t="array" ref="E56">ROW()-ROW(UITranslationTable[#Headers])</f>
        <v>54</v>
      </c>
      <c r="F56" s="9" t="s">
        <v>181</v>
      </c>
      <c r="G56" s="176" t="s">
        <v>158</v>
      </c>
      <c r="H56" s="176" t="s">
        <v>159</v>
      </c>
      <c r="W56" s="177" cm="1">
        <f t="array" ref="W56">ROW()-ROW(structuredFormulaeTable[#Headers])</f>
        <v>54</v>
      </c>
      <c r="X56" s="1" t="s">
        <v>425</v>
      </c>
      <c r="Y56" s="1" t="s">
        <v>429</v>
      </c>
      <c r="Z56" s="1" t="b" cm="1">
        <f t="array" aca="1" ref="Z56" ca="1">errorNoDataRefCol</f>
        <v>0</v>
      </c>
      <c r="AA56" s="178" t="s">
        <v>452</v>
      </c>
      <c r="AB56" s="178"/>
      <c r="CD56" s="1" cm="1">
        <f t="array" ref="CD56">ROW()-ROW(recommendedCutoffTable[#Headers])</f>
        <v>54</v>
      </c>
      <c r="CE56" s="183">
        <f>(recommendedCutoffTable[[#This Row],[index]] - 1) / 100</f>
        <v>0.53</v>
      </c>
      <c r="CF56" s="1" cm="1">
        <f t="array" ref="CF56">ABS(
    numScores
  - 2 * SUMPRODUCT((behaviourScore &lt;&gt; "") * (behaviourScore &lt; recommendedCutoffTable[[#This Row],[cutoffLevel]]))
  )</f>
        <v>0</v>
      </c>
    </row>
    <row r="57" spans="5:84" ht="14.4" customHeight="1" x14ac:dyDescent="0.3">
      <c r="E57" s="187" cm="1">
        <f t="array" ref="E57">ROW()-ROW(UITranslationTable[#Headers])</f>
        <v>55</v>
      </c>
      <c r="F57" s="9" t="s">
        <v>224</v>
      </c>
      <c r="G57" s="176" t="str">
        <f>"4." &amp; CHAR(160) &amp; "Translations for charts and data tables"</f>
        <v>4. Translations for charts and data tables</v>
      </c>
      <c r="H57" s="176" t="str">
        <f>"4." &amp; CHAR(160) &amp; "Traductions pour les graphiques et les tableaux de données"</f>
        <v>4. Traductions pour les graphiques et les tableaux de données</v>
      </c>
      <c r="W57" s="177" cm="1">
        <f t="array" ref="W57">ROW()-ROW(structuredFormulaeTable[#Headers])</f>
        <v>55</v>
      </c>
      <c r="X57" s="1" t="s">
        <v>425</v>
      </c>
      <c r="Y57" s="1" t="s">
        <v>427</v>
      </c>
      <c r="Z57" s="1" t="b" cm="1">
        <f t="array" aca="1" ref="Z57" ca="1">errorNoDataSheet</f>
        <v>1</v>
      </c>
      <c r="AA57" s="178" t="s">
        <v>675</v>
      </c>
      <c r="AB57" s="178"/>
      <c r="CD57" s="1" cm="1">
        <f t="array" ref="CD57">ROW()-ROW(recommendedCutoffTable[#Headers])</f>
        <v>55</v>
      </c>
      <c r="CE57" s="183">
        <f>(recommendedCutoffTable[[#This Row],[index]] - 1) / 100</f>
        <v>0.54</v>
      </c>
      <c r="CF57" s="1" cm="1">
        <f t="array" ref="CF57">ABS(
    numScores
  - 2 * SUMPRODUCT((behaviourScore &lt;&gt; "") * (behaviourScore &lt; recommendedCutoffTable[[#This Row],[cutoffLevel]]))
  )</f>
        <v>0</v>
      </c>
    </row>
    <row r="58" spans="5:84" ht="14.4" customHeight="1" x14ac:dyDescent="0.3">
      <c r="E58" s="187" cm="1">
        <f t="array" ref="E58">ROW()-ROW(UITranslationTable[#Headers])</f>
        <v>56</v>
      </c>
      <c r="F58" s="9" t="s">
        <v>225</v>
      </c>
      <c r="G58" s="176" t="s">
        <v>227</v>
      </c>
      <c r="H58" s="176" t="s">
        <v>226</v>
      </c>
      <c r="W58" s="177" cm="1">
        <f t="array" ref="W58">ROW()-ROW(structuredFormulaeTable[#Headers])</f>
        <v>56</v>
      </c>
      <c r="X58" s="1" t="s">
        <v>425</v>
      </c>
      <c r="Y58" s="1" t="s">
        <v>442</v>
      </c>
      <c r="Z58" s="1" t="b" cm="1">
        <f t="array" aca="1" ref="Z58" ca="1">errorRANASBlockMissing</f>
        <v>0</v>
      </c>
      <c r="AA58" s="178" t="s">
        <v>550</v>
      </c>
      <c r="AB58" s="9"/>
      <c r="CD58" s="1" cm="1">
        <f t="array" ref="CD58">ROW()-ROW(recommendedCutoffTable[#Headers])</f>
        <v>56</v>
      </c>
      <c r="CE58" s="183">
        <f>(recommendedCutoffTable[[#This Row],[index]] - 1) / 100</f>
        <v>0.55000000000000004</v>
      </c>
      <c r="CF58" s="1" cm="1">
        <f t="array" ref="CF58">ABS(
    numScores
  - 2 * SUMPRODUCT((behaviourScore &lt;&gt; "") * (behaviourScore &lt; recommendedCutoffTable[[#This Row],[cutoffLevel]]))
  )</f>
        <v>0</v>
      </c>
    </row>
    <row r="59" spans="5:84" ht="14.4" customHeight="1" x14ac:dyDescent="0.3">
      <c r="E59" s="187" cm="1">
        <f t="array" ref="E59">ROW()-ROW(UITranslationTable[#Headers])</f>
        <v>57</v>
      </c>
      <c r="F59" s="9"/>
      <c r="G59" s="176"/>
      <c r="H59" s="176"/>
      <c r="W59" s="177" cm="1">
        <f t="array" ref="W59">ROW()-ROW(structuredFormulaeTable[#Headers])</f>
        <v>57</v>
      </c>
      <c r="X59" s="1" t="s">
        <v>425</v>
      </c>
      <c r="Y59" s="1" t="s">
        <v>428</v>
      </c>
      <c r="Z59" s="1" t="b" cm="1">
        <f t="array" ref="Z59">errorUILanguage</f>
        <v>0</v>
      </c>
      <c r="AA59" s="178" t="s">
        <v>544</v>
      </c>
      <c r="AB59" s="9"/>
      <c r="CD59" s="1" cm="1">
        <f t="array" ref="CD59">ROW()-ROW(recommendedCutoffTable[#Headers])</f>
        <v>57</v>
      </c>
      <c r="CE59" s="183">
        <f>(recommendedCutoffTable[[#This Row],[index]] - 1) / 100</f>
        <v>0.56000000000000005</v>
      </c>
      <c r="CF59" s="1" cm="1">
        <f t="array" ref="CF59">ABS(
    numScores
  - 2 * SUMPRODUCT((behaviourScore &lt;&gt; "") * (behaviourScore &lt; recommendedCutoffTable[[#This Row],[cutoffLevel]]))
  )</f>
        <v>0</v>
      </c>
    </row>
    <row r="60" spans="5:84" ht="14.4" customHeight="1" x14ac:dyDescent="0.3">
      <c r="E60" s="187" cm="1">
        <f t="array" ref="E60">ROW()-ROW(UITranslationTable[#Headers])</f>
        <v>58</v>
      </c>
      <c r="F60" s="9" t="s">
        <v>193</v>
      </c>
      <c r="G60" s="176" t="s">
        <v>228</v>
      </c>
      <c r="H60" s="176" t="s">
        <v>229</v>
      </c>
      <c r="W60" s="177" cm="1">
        <f t="array" ref="W60">ROW()-ROW(structuredFormulaeTable[#Headers])</f>
        <v>58</v>
      </c>
      <c r="X60" s="1" t="s">
        <v>425</v>
      </c>
      <c r="Y60" s="1" t="s">
        <v>105</v>
      </c>
      <c r="Z60" s="1" t="str" cm="1">
        <f t="array" ref="Z60">langSpecBehaviourScore</f>
        <v>Behaviour score</v>
      </c>
      <c r="AA60" s="178" t="s">
        <v>565</v>
      </c>
      <c r="AB60" s="193" t="s">
        <v>414</v>
      </c>
      <c r="CD60" s="1" cm="1">
        <f t="array" ref="CD60">ROW()-ROW(recommendedCutoffTable[#Headers])</f>
        <v>58</v>
      </c>
      <c r="CE60" s="183">
        <f>(recommendedCutoffTable[[#This Row],[index]] - 1) / 100</f>
        <v>0.56999999999999995</v>
      </c>
      <c r="CF60" s="1" cm="1">
        <f t="array" ref="CF60">ABS(
    numScores
  - 2 * SUMPRODUCT((behaviourScore &lt;&gt; "") * (behaviourScore &lt; recommendedCutoffTable[[#This Row],[cutoffLevel]]))
  )</f>
        <v>0</v>
      </c>
    </row>
    <row r="61" spans="5:84" ht="14.4" customHeight="1" x14ac:dyDescent="0.3">
      <c r="E61" s="187" cm="1">
        <f t="array" ref="E61">ROW()-ROW(UITranslationTable[#Headers])</f>
        <v>59</v>
      </c>
      <c r="F61" s="9" t="s">
        <v>230</v>
      </c>
      <c r="G61" s="176" t="s">
        <v>231</v>
      </c>
      <c r="H61" s="176" t="s">
        <v>232</v>
      </c>
      <c r="W61" s="177" cm="1">
        <f t="array" ref="W61">ROW()-ROW(structuredFormulaeTable[#Headers])</f>
        <v>59</v>
      </c>
      <c r="X61" s="1" t="s">
        <v>425</v>
      </c>
      <c r="Y61" s="1" t="s">
        <v>51</v>
      </c>
      <c r="Z61" s="1" t="str" cm="1">
        <f t="array" ref="Z61">langSpecCutoff</f>
        <v>Cutoff level</v>
      </c>
      <c r="AA61" s="178" t="s">
        <v>564</v>
      </c>
      <c r="AB61" s="193" t="s">
        <v>413</v>
      </c>
      <c r="CD61" s="1" cm="1">
        <f t="array" ref="CD61">ROW()-ROW(recommendedCutoffTable[#Headers])</f>
        <v>59</v>
      </c>
      <c r="CE61" s="183">
        <f>(recommendedCutoffTable[[#This Row],[index]] - 1) / 100</f>
        <v>0.57999999999999996</v>
      </c>
      <c r="CF61" s="1" cm="1">
        <f t="array" ref="CF61">ABS(
    numScores
  - 2 * SUMPRODUCT((behaviourScore &lt;&gt; "") * (behaviourScore &lt; recommendedCutoffTable[[#This Row],[cutoffLevel]]))
  )</f>
        <v>0</v>
      </c>
    </row>
    <row r="62" spans="5:84" ht="14.4" customHeight="1" x14ac:dyDescent="0.3">
      <c r="E62" s="187" cm="1">
        <f t="array" ref="E62">ROW()-ROW(UITranslationTable[#Headers])</f>
        <v>60</v>
      </c>
      <c r="F62" s="9" t="s">
        <v>233</v>
      </c>
      <c r="G62" s="176" t="s">
        <v>300</v>
      </c>
      <c r="H62" s="176" t="s">
        <v>301</v>
      </c>
      <c r="W62" s="177" cm="1">
        <f t="array" ref="W62">ROW()-ROW(structuredFormulaeTable[#Headers])</f>
        <v>60</v>
      </c>
      <c r="X62" s="1" t="s">
        <v>425</v>
      </c>
      <c r="Y62" s="1" t="s">
        <v>174</v>
      </c>
      <c r="Z62" s="1" t="str" cm="1">
        <f t="array" ref="Z62">langSpecMeanScore</f>
        <v>Normalised mean score (0‑100%)</v>
      </c>
      <c r="AA62" s="178" t="s">
        <v>567</v>
      </c>
      <c r="AB62" s="193" t="s">
        <v>566</v>
      </c>
      <c r="CD62" s="1" cm="1">
        <f t="array" ref="CD62">ROW()-ROW(recommendedCutoffTable[#Headers])</f>
        <v>60</v>
      </c>
      <c r="CE62" s="183">
        <f>(recommendedCutoffTable[[#This Row],[index]] - 1) / 100</f>
        <v>0.59</v>
      </c>
      <c r="CF62" s="1" cm="1">
        <f t="array" ref="CF62">ABS(
    numScores
  - 2 * SUMPRODUCT((behaviourScore &lt;&gt; "") * (behaviourScore &lt; recommendedCutoffTable[[#This Row],[cutoffLevel]]))
  )</f>
        <v>0</v>
      </c>
    </row>
    <row r="63" spans="5:84" ht="14.4" customHeight="1" x14ac:dyDescent="0.3">
      <c r="E63" s="187" cm="1">
        <f t="array" ref="E63">ROW()-ROW(UITranslationTable[#Headers])</f>
        <v>61</v>
      </c>
      <c r="F63" s="9" t="s">
        <v>234</v>
      </c>
      <c r="G63" s="176" t="s">
        <v>236</v>
      </c>
      <c r="H63" s="176" t="s">
        <v>235</v>
      </c>
      <c r="W63" s="177" cm="1">
        <f t="array" ref="W63">ROW()-ROW(structuredFormulaeTable[#Headers])</f>
        <v>61</v>
      </c>
      <c r="X63" s="1" t="s">
        <v>425</v>
      </c>
      <c r="Y63" s="1" t="s">
        <v>108</v>
      </c>
      <c r="Z63" s="1" t="str" cm="1">
        <f t="array" ref="Z63">langSpecNumResponses</f>
        <v># of responses</v>
      </c>
      <c r="AA63" s="178" t="s">
        <v>568</v>
      </c>
      <c r="AB63" s="193" t="s">
        <v>415</v>
      </c>
      <c r="CD63" s="1" cm="1">
        <f t="array" ref="CD63">ROW()-ROW(recommendedCutoffTable[#Headers])</f>
        <v>61</v>
      </c>
      <c r="CE63" s="183">
        <f>(recommendedCutoffTable[[#This Row],[index]] - 1) / 100</f>
        <v>0.6</v>
      </c>
      <c r="CF63" s="1" cm="1">
        <f t="array" ref="CF63">ABS(
    numScores
  - 2 * SUMPRODUCT((behaviourScore &lt;&gt; "") * (behaviourScore &lt; recommendedCutoffTable[[#This Row],[cutoffLevel]]))
  )</f>
        <v>0</v>
      </c>
    </row>
    <row r="64" spans="5:84" ht="14.4" customHeight="1" x14ac:dyDescent="0.3">
      <c r="E64" s="9" cm="1">
        <f t="array" ref="E64">ROW()-ROW(UITranslationTable[#Headers])</f>
        <v>62</v>
      </c>
      <c r="F64" s="9" t="s">
        <v>50</v>
      </c>
      <c r="G64" s="176" t="s">
        <v>376</v>
      </c>
      <c r="H64" s="176" t="s">
        <v>377</v>
      </c>
      <c r="W64" s="177" cm="1">
        <f t="array" ref="W64">ROW()-ROW(structuredFormulaeTable[#Headers])</f>
        <v>62</v>
      </c>
      <c r="X64" s="1" t="s">
        <v>425</v>
      </c>
      <c r="Y64" s="1" t="s">
        <v>109</v>
      </c>
      <c r="Z64" s="1" t="str" cm="1">
        <f t="array" ref="Z64">langSpecPercentResponses</f>
        <v>% of responses</v>
      </c>
      <c r="AA64" s="178" t="s">
        <v>569</v>
      </c>
      <c r="AB64" s="193" t="s">
        <v>416</v>
      </c>
      <c r="CD64" s="1" cm="1">
        <f t="array" ref="CD64">ROW()-ROW(recommendedCutoffTable[#Headers])</f>
        <v>62</v>
      </c>
      <c r="CE64" s="183">
        <f>(recommendedCutoffTable[[#This Row],[index]] - 1) / 100</f>
        <v>0.61</v>
      </c>
      <c r="CF64" s="1" cm="1">
        <f t="array" ref="CF64">ABS(
    numScores
  - 2 * SUMPRODUCT((behaviourScore &lt;&gt; "") * (behaviourScore &lt; recommendedCutoffTable[[#This Row],[cutoffLevel]]))
  )</f>
        <v>0</v>
      </c>
    </row>
    <row r="65" spans="5:84" ht="14.4" customHeight="1" x14ac:dyDescent="0.3">
      <c r="E65" s="9" cm="1">
        <f t="array" ref="E65">ROW()-ROW(UITranslationTable[#Headers])</f>
        <v>63</v>
      </c>
      <c r="F65" s="9" t="s">
        <v>101</v>
      </c>
      <c r="G65" s="176" t="str" cm="1">
        <f t="array" ref="G65">"ⓘ Recommended cutoff level: " &amp; TEXT(cutoffLevelRecommended, "0%")</f>
        <v>ⓘ Recommended cutoff level: 50%</v>
      </c>
      <c r="H65" s="176" t="str" cm="1">
        <f t="array" ref="H65">"ⓘ Niveau de seuil conseillé: " &amp; TEXT(cutoffLevelRecommended, "0%")</f>
        <v>ⓘ Niveau de seuil conseillé: 50%</v>
      </c>
      <c r="W65" s="177" cm="1">
        <f t="array" ref="W65">ROW()-ROW(structuredFormulaeTable[#Headers])</f>
        <v>63</v>
      </c>
      <c r="X65" s="1" t="s">
        <v>425</v>
      </c>
      <c r="Y65" s="1" t="s">
        <v>363</v>
      </c>
      <c r="AA65" s="178" t="s">
        <v>364</v>
      </c>
      <c r="AB65" s="9"/>
      <c r="CD65" s="1" cm="1">
        <f t="array" ref="CD65">ROW()-ROW(recommendedCutoffTable[#Headers])</f>
        <v>63</v>
      </c>
      <c r="CE65" s="183">
        <f>(recommendedCutoffTable[[#This Row],[index]] - 1) / 100</f>
        <v>0.62</v>
      </c>
      <c r="CF65" s="1" cm="1">
        <f t="array" ref="CF65">ABS(
    numScores
  - 2 * SUMPRODUCT((behaviourScore &lt;&gt; "") * (behaviourScore &lt; recommendedCutoffTable[[#This Row],[cutoffLevel]]))
  )</f>
        <v>0</v>
      </c>
    </row>
    <row r="66" spans="5:84" ht="14.4" customHeight="1" x14ac:dyDescent="0.3">
      <c r="E66" s="9" cm="1">
        <f t="array" ref="E66">ROW()-ROW(UITranslationTable[#Headers])</f>
        <v>64</v>
      </c>
      <c r="F66" s="9" t="s">
        <v>201</v>
      </c>
      <c r="G66" s="176"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176"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c r="W66" s="177" cm="1">
        <f t="array" ref="W66">ROW()-ROW(structuredFormulaeTable[#Headers])</f>
        <v>64</v>
      </c>
      <c r="X66" s="1" t="s">
        <v>425</v>
      </c>
      <c r="Y66" s="1" t="s">
        <v>278</v>
      </c>
      <c r="Z66" s="1" t="str" cm="1">
        <f t="array" aca="1" ref="Z66" ca="1">localAddressParameter</f>
        <v>address</v>
      </c>
      <c r="AA66" s="178" t="s">
        <v>399</v>
      </c>
      <c r="AB66" s="9"/>
      <c r="CD66" s="1" cm="1">
        <f t="array" ref="CD66">ROW()-ROW(recommendedCutoffTable[#Headers])</f>
        <v>64</v>
      </c>
      <c r="CE66" s="183">
        <f>(recommendedCutoffTable[[#This Row],[index]] - 1) / 100</f>
        <v>0.63</v>
      </c>
      <c r="CF66" s="1" cm="1">
        <f t="array" ref="CF66">ABS(
    numScores
  - 2 * SUMPRODUCT((behaviourScore &lt;&gt; "") * (behaviourScore &lt; recommendedCutoffTable[[#This Row],[cutoffLevel]]))
  )</f>
        <v>0</v>
      </c>
    </row>
    <row r="67" spans="5:84" ht="14.4" customHeight="1" x14ac:dyDescent="0.3">
      <c r="E67" s="9" cm="1">
        <f t="array" ref="E67">ROW()-ROW(UITranslationTable[#Headers])</f>
        <v>65</v>
      </c>
      <c r="F67" s="9" t="s">
        <v>351</v>
      </c>
      <c r="G67" s="176" t="s">
        <v>284</v>
      </c>
      <c r="H67" s="176" t="s">
        <v>282</v>
      </c>
      <c r="W67" s="177" cm="1">
        <f t="array" ref="W67">ROW()-ROW(structuredFormulaeTable[#Headers])</f>
        <v>65</v>
      </c>
      <c r="X67" s="1" t="s">
        <v>425</v>
      </c>
      <c r="Y67" s="1" t="s">
        <v>46</v>
      </c>
      <c r="Z67" s="1" cm="1">
        <f t="array" ref="Z67">maxAbsDiff</f>
        <v>0</v>
      </c>
      <c r="AA67" s="178" t="s">
        <v>404</v>
      </c>
      <c r="AB67" s="9"/>
      <c r="CD67" s="1" cm="1">
        <f t="array" ref="CD67">ROW()-ROW(recommendedCutoffTable[#Headers])</f>
        <v>65</v>
      </c>
      <c r="CE67" s="183">
        <f>(recommendedCutoffTable[[#This Row],[index]] - 1) / 100</f>
        <v>0.64</v>
      </c>
      <c r="CF67" s="1" cm="1">
        <f t="array" ref="CF67">ABS(
    numScores
  - 2 * SUMPRODUCT((behaviourScore &lt;&gt; "") * (behaviourScore &lt; recommendedCutoffTable[[#This Row],[cutoffLevel]]))
  )</f>
        <v>0</v>
      </c>
    </row>
    <row r="68" spans="5:84" ht="14.4" customHeight="1" x14ac:dyDescent="0.3">
      <c r="E68" s="9" cm="1">
        <f t="array" ref="E68">ROW()-ROW(UITranslationTable[#Headers])</f>
        <v>66</v>
      </c>
      <c r="F68" s="9" t="s">
        <v>279</v>
      </c>
      <c r="G68" s="176" t="s">
        <v>283</v>
      </c>
      <c r="H68" s="176" t="s">
        <v>285</v>
      </c>
      <c r="W68" s="177" cm="1">
        <f t="array" ref="W68">ROW()-ROW(structuredFormulaeTable[#Headers])</f>
        <v>66</v>
      </c>
      <c r="X68" s="1" t="s">
        <v>425</v>
      </c>
      <c r="Y68" s="1" t="s">
        <v>366</v>
      </c>
      <c r="Z68" s="1" t="str" cm="1">
        <f t="array" ref="Z68">noLabel</f>
        <v>✘</v>
      </c>
      <c r="AA68" s="178" t="s">
        <v>365</v>
      </c>
      <c r="AB68" s="164" t="s">
        <v>666</v>
      </c>
      <c r="CD68" s="1" cm="1">
        <f t="array" ref="CD68">ROW()-ROW(recommendedCutoffTable[#Headers])</f>
        <v>66</v>
      </c>
      <c r="CE68" s="183">
        <f>(recommendedCutoffTable[[#This Row],[index]] - 1) / 100</f>
        <v>0.65</v>
      </c>
      <c r="CF68" s="1" cm="1">
        <f t="array" ref="CF68">ABS(
    numScores
  - 2 * SUMPRODUCT((behaviourScore &lt;&gt; "") * (behaviourScore &lt; recommendedCutoffTable[[#This Row],[cutoffLevel]]))
  )</f>
        <v>0</v>
      </c>
    </row>
    <row r="69" spans="5:84" ht="14.4" customHeight="1" x14ac:dyDescent="0.3">
      <c r="E69" s="187" cm="1">
        <f t="array" ref="E69">ROW()-ROW(UITranslationTable[#Headers])</f>
        <v>67</v>
      </c>
      <c r="F69" s="9"/>
      <c r="G69" s="176"/>
      <c r="H69" s="176"/>
      <c r="W69" s="1" cm="1">
        <f t="array" ref="W69">ROW()-ROW(structuredFormulaeTable[#Headers])</f>
        <v>67</v>
      </c>
      <c r="X69" s="1" t="s">
        <v>425</v>
      </c>
      <c r="Y69" s="1" t="s">
        <v>92</v>
      </c>
      <c r="Z69" s="1" t="e" cm="1">
        <f t="array" aca="1" ref="Z69" ca="1">numEntries</f>
        <v>#N/A</v>
      </c>
      <c r="AA69" s="178" t="s">
        <v>676</v>
      </c>
      <c r="CD69" s="1" cm="1">
        <f t="array" ref="CD69">ROW()-ROW(recommendedCutoffTable[#Headers])</f>
        <v>67</v>
      </c>
      <c r="CE69" s="183">
        <f>(recommendedCutoffTable[[#This Row],[index]] - 1) / 100</f>
        <v>0.66</v>
      </c>
      <c r="CF69" s="1" cm="1">
        <f t="array" ref="CF69">ABS(
    numScores
  - 2 * SUMPRODUCT((behaviourScore &lt;&gt; "") * (behaviourScore &lt; recommendedCutoffTable[[#This Row],[cutoffLevel]]))
  )</f>
        <v>0</v>
      </c>
    </row>
    <row r="70" spans="5:84" ht="14.4" customHeight="1" x14ac:dyDescent="0.3">
      <c r="E70" s="187" cm="1">
        <f t="array" ref="E70">ROW()-ROW(UITranslationTable[#Headers])</f>
        <v>68</v>
      </c>
      <c r="F70" s="9" t="s">
        <v>194</v>
      </c>
      <c r="G70" s="176" t="s">
        <v>237</v>
      </c>
      <c r="H70" s="176" t="s">
        <v>238</v>
      </c>
      <c r="W70" s="1" cm="1">
        <f t="array" ref="W70">ROW()-ROW(structuredFormulaeTable[#Headers])</f>
        <v>68</v>
      </c>
      <c r="X70" s="1" t="s">
        <v>425</v>
      </c>
      <c r="Y70" s="1" t="s">
        <v>58</v>
      </c>
      <c r="Z70" s="1" cm="1">
        <f t="array" ref="Z70">numFactors</f>
        <v>0</v>
      </c>
      <c r="AA70" s="9" t="s">
        <v>559</v>
      </c>
      <c r="CD70" s="1" cm="1">
        <f t="array" ref="CD70">ROW()-ROW(recommendedCutoffTable[#Headers])</f>
        <v>68</v>
      </c>
      <c r="CE70" s="183">
        <f>(recommendedCutoffTable[[#This Row],[index]] - 1) / 100</f>
        <v>0.67</v>
      </c>
      <c r="CF70" s="1" cm="1">
        <f t="array" ref="CF70">ABS(
    numScores
  - 2 * SUMPRODUCT((behaviourScore &lt;&gt; "") * (behaviourScore &lt; recommendedCutoffTable[[#This Row],[cutoffLevel]]))
  )</f>
        <v>0</v>
      </c>
    </row>
    <row r="71" spans="5:84" ht="14.4" customHeight="1" x14ac:dyDescent="0.3">
      <c r="E71" s="187" cm="1">
        <f t="array" ref="E71">ROW()-ROW(UITranslationTable[#Headers])</f>
        <v>69</v>
      </c>
      <c r="F71" s="9" t="s">
        <v>239</v>
      </c>
      <c r="G71" s="176" t="s">
        <v>343</v>
      </c>
      <c r="H71" s="176" t="s">
        <v>344</v>
      </c>
      <c r="W71" s="1" cm="1">
        <f t="array" ref="W71">ROW()-ROW(structuredFormulaeTable[#Headers])</f>
        <v>69</v>
      </c>
      <c r="X71" s="1" t="s">
        <v>425</v>
      </c>
      <c r="Y71" s="1" t="s">
        <v>169</v>
      </c>
      <c r="Z71" s="1" cm="1">
        <f t="array" ref="Z71">numFactorsChart1</f>
        <v>0</v>
      </c>
      <c r="AA71" s="9" t="s">
        <v>560</v>
      </c>
      <c r="CD71" s="1" cm="1">
        <f t="array" ref="CD71">ROW()-ROW(recommendedCutoffTable[#Headers])</f>
        <v>69</v>
      </c>
      <c r="CE71" s="183">
        <f>(recommendedCutoffTable[[#This Row],[index]] - 1) / 100</f>
        <v>0.68</v>
      </c>
      <c r="CF71" s="1" cm="1">
        <f t="array" ref="CF71">ABS(
    numScores
  - 2 * SUMPRODUCT((behaviourScore &lt;&gt; "") * (behaviourScore &lt; recommendedCutoffTable[[#This Row],[cutoffLevel]]))
  )</f>
        <v>0</v>
      </c>
    </row>
    <row r="72" spans="5:84" ht="14.4" customHeight="1" x14ac:dyDescent="0.3">
      <c r="E72" s="187" cm="1">
        <f t="array" ref="E72">ROW()-ROW(UITranslationTable[#Headers])</f>
        <v>70</v>
      </c>
      <c r="F72" s="9" t="s">
        <v>240</v>
      </c>
      <c r="G72" s="176" t="s">
        <v>241</v>
      </c>
      <c r="H72" s="176" t="s">
        <v>242</v>
      </c>
      <c r="W72" s="1" cm="1">
        <f t="array" ref="W72">ROW()-ROW(structuredFormulaeTable[#Headers])</f>
        <v>70</v>
      </c>
      <c r="X72" s="1" t="s">
        <v>425</v>
      </c>
      <c r="Y72" s="1" t="s">
        <v>170</v>
      </c>
      <c r="Z72" s="1" cm="1">
        <f t="array" ref="Z72">numFactorsChart2</f>
        <v>0</v>
      </c>
      <c r="AA72" s="9" t="s">
        <v>561</v>
      </c>
      <c r="CD72" s="1" cm="1">
        <f t="array" ref="CD72">ROW()-ROW(recommendedCutoffTable[#Headers])</f>
        <v>70</v>
      </c>
      <c r="CE72" s="183">
        <f>(recommendedCutoffTable[[#This Row],[index]] - 1) / 100</f>
        <v>0.69</v>
      </c>
      <c r="CF72" s="1" cm="1">
        <f t="array" ref="CF72">ABS(
    numScores
  - 2 * SUMPRODUCT((behaviourScore &lt;&gt; "") * (behaviourScore &lt; recommendedCutoffTable[[#This Row],[cutoffLevel]]))
  )</f>
        <v>0</v>
      </c>
    </row>
    <row r="73" spans="5:84" ht="14.4" customHeight="1" x14ac:dyDescent="0.3">
      <c r="E73" s="187" cm="1">
        <f t="array" ref="E73">ROW()-ROW(UITranslationTable[#Headers])</f>
        <v>71</v>
      </c>
      <c r="F73" s="9" t="s">
        <v>243</v>
      </c>
      <c r="G73" s="176" t="s">
        <v>244</v>
      </c>
      <c r="H73" s="176" t="s">
        <v>245</v>
      </c>
      <c r="W73" s="1" cm="1">
        <f t="array" ref="W73">ROW()-ROW(structuredFormulaeTable[#Headers])</f>
        <v>71</v>
      </c>
      <c r="X73" s="1" t="s">
        <v>425</v>
      </c>
      <c r="Y73" s="1" t="s">
        <v>45</v>
      </c>
      <c r="Z73" s="1" cm="1">
        <f t="array" ref="Z73">numLanguages</f>
        <v>2</v>
      </c>
      <c r="AA73" s="9" t="s">
        <v>562</v>
      </c>
      <c r="CD73" s="1" cm="1">
        <f t="array" ref="CD73">ROW()-ROW(recommendedCutoffTable[#Headers])</f>
        <v>71</v>
      </c>
      <c r="CE73" s="183">
        <f>(recommendedCutoffTable[[#This Row],[index]] - 1) / 100</f>
        <v>0.7</v>
      </c>
      <c r="CF73" s="1" cm="1">
        <f t="array" ref="CF73">ABS(
    numScores
  - 2 * SUMPRODUCT((behaviourScore &lt;&gt; "") * (behaviourScore &lt; recommendedCutoffTable[[#This Row],[cutoffLevel]]))
  )</f>
        <v>0</v>
      </c>
    </row>
    <row r="74" spans="5:84" ht="14.4" customHeight="1" x14ac:dyDescent="0.3">
      <c r="E74" s="187" cm="1">
        <f t="array" ref="E74">ROW()-ROW(UITranslationTable[#Headers])</f>
        <v>72</v>
      </c>
      <c r="F74" s="9" t="s">
        <v>255</v>
      </c>
      <c r="G74" s="176" t="s">
        <v>271</v>
      </c>
      <c r="H74" s="176" t="s">
        <v>270</v>
      </c>
      <c r="W74" s="1" cm="1">
        <f t="array" ref="W74">ROW()-ROW(structuredFormulaeTable[#Headers])</f>
        <v>72</v>
      </c>
      <c r="X74" s="1" t="s">
        <v>425</v>
      </c>
      <c r="Y74" s="1" t="s">
        <v>80</v>
      </c>
      <c r="Z74" s="1" cm="1">
        <f t="array" ref="Z74">numScores</f>
        <v>0</v>
      </c>
      <c r="AA74" s="9" t="s">
        <v>483</v>
      </c>
      <c r="CD74" s="1" cm="1">
        <f t="array" ref="CD74">ROW()-ROW(recommendedCutoffTable[#Headers])</f>
        <v>72</v>
      </c>
      <c r="CE74" s="183">
        <f>(recommendedCutoffTable[[#This Row],[index]] - 1) / 100</f>
        <v>0.71</v>
      </c>
      <c r="CF74" s="1" cm="1">
        <f t="array" ref="CF74">ABS(
    numScores
  - 2 * SUMPRODUCT((behaviourScore &lt;&gt; "") * (behaviourScore &lt; recommendedCutoffTable[[#This Row],[cutoffLevel]]))
  )</f>
        <v>0</v>
      </c>
    </row>
    <row r="75" spans="5:84" ht="14.4" customHeight="1" x14ac:dyDescent="0.3">
      <c r="E75" s="187" cm="1">
        <f t="array" ref="E75">ROW()-ROW(UITranslationTable[#Headers])</f>
        <v>73</v>
      </c>
      <c r="F75" s="9" t="s">
        <v>256</v>
      </c>
      <c r="G75" s="176" t="str" cm="1">
        <f t="array" aca="1" ref="G75" ca="1">"No sorting is applied. The factors are displayed in the same order as in the """ &amp; sheetNameConfiguration &amp; """ sheet."</f>
        <v>No sorting is applied. The factors are displayed in the same order as in the "Configuration" sheet.</v>
      </c>
      <c r="H75" s="176" t="str" cm="1">
        <f t="array" aca="1" ref="H75" ca="1">"Aucun tri n'est appliqué. Les facteurs sont affichés dans le même ordre que sur la feuille «" &amp; sheetNameConfiguration &amp; "»."</f>
        <v>Aucun tri n'est appliqué. Les facteurs sont affichés dans le même ordre que sur la feuille «Configuration».</v>
      </c>
      <c r="W75" s="1" cm="1">
        <f t="array" ref="W75">ROW()-ROW(structuredFormulaeTable[#Headers])</f>
        <v>73</v>
      </c>
      <c r="X75" s="1" t="s">
        <v>425</v>
      </c>
      <c r="Y75" s="1" t="s">
        <v>368</v>
      </c>
      <c r="AA75" s="178" t="s">
        <v>367</v>
      </c>
      <c r="CD75" s="1" cm="1">
        <f t="array" ref="CD75">ROW()-ROW(recommendedCutoffTable[#Headers])</f>
        <v>73</v>
      </c>
      <c r="CE75" s="183">
        <f>(recommendedCutoffTable[[#This Row],[index]] - 1) / 100</f>
        <v>0.72</v>
      </c>
      <c r="CF75" s="1" cm="1">
        <f t="array" ref="CF75">ABS(
    numScores
  - 2 * SUMPRODUCT((behaviourScore &lt;&gt; "") * (behaviourScore &lt; recommendedCutoffTable[[#This Row],[cutoffLevel]]))
  )</f>
        <v>0</v>
      </c>
    </row>
    <row r="76" spans="5:84" ht="14.4" customHeight="1" x14ac:dyDescent="0.3">
      <c r="E76" s="187" cm="1">
        <f t="array" ref="E76">ROW()-ROW(UITranslationTable[#Headers])</f>
        <v>74</v>
      </c>
      <c r="F76" s="9" t="s">
        <v>257</v>
      </c>
      <c r="G76" s="176" t="s">
        <v>260</v>
      </c>
      <c r="H76" s="176" t="s">
        <v>263</v>
      </c>
      <c r="W76" s="1" cm="1">
        <f t="array" ref="W76">ROW()-ROW(structuredFormulaeTable[#Headers])</f>
        <v>74</v>
      </c>
      <c r="X76" s="1" t="s">
        <v>425</v>
      </c>
      <c r="Y76" s="1" t="s">
        <v>277</v>
      </c>
      <c r="Z76" s="1" t="str" cm="1">
        <f t="array" aca="1" ref="Z76" ca="1">sheetNameAnalysis</f>
        <v>Analysis</v>
      </c>
      <c r="AA76" s="178" t="s">
        <v>403</v>
      </c>
      <c r="AB76" s="193" t="s">
        <v>411</v>
      </c>
      <c r="CD76" s="1" cm="1">
        <f t="array" ref="CD76">ROW()-ROW(recommendedCutoffTable[#Headers])</f>
        <v>74</v>
      </c>
      <c r="CE76" s="183">
        <f>(recommendedCutoffTable[[#This Row],[index]] - 1) / 100</f>
        <v>0.73</v>
      </c>
      <c r="CF76" s="1" cm="1">
        <f t="array" ref="CF76">ABS(
    numScores
  - 2 * SUMPRODUCT((behaviourScore &lt;&gt; "") * (behaviourScore &lt; recommendedCutoffTable[[#This Row],[cutoffLevel]]))
  )</f>
        <v>0</v>
      </c>
    </row>
    <row r="77" spans="5:84" ht="14.4" customHeight="1" x14ac:dyDescent="0.3">
      <c r="E77" s="187" cm="1">
        <f t="array" ref="E77">ROW()-ROW(UITranslationTable[#Headers])</f>
        <v>75</v>
      </c>
      <c r="F77" s="9" t="s">
        <v>258</v>
      </c>
      <c r="G77" s="176" t="s">
        <v>261</v>
      </c>
      <c r="H77" s="176" t="s">
        <v>264</v>
      </c>
      <c r="W77" s="1" cm="1">
        <f t="array" ref="W77">ROW()-ROW(structuredFormulaeTable[#Headers])</f>
        <v>75</v>
      </c>
      <c r="X77" s="1" t="s">
        <v>425</v>
      </c>
      <c r="Y77" s="1" t="s">
        <v>275</v>
      </c>
      <c r="Z77" s="1" t="str" cm="1">
        <f t="array" aca="1" ref="Z77" ca="1">sheetNameConfiguration</f>
        <v>Configuration</v>
      </c>
      <c r="AA77" s="9" t="s">
        <v>401</v>
      </c>
      <c r="AB77" s="193" t="s">
        <v>409</v>
      </c>
      <c r="CD77" s="1" cm="1">
        <f t="array" ref="CD77">ROW()-ROW(recommendedCutoffTable[#Headers])</f>
        <v>75</v>
      </c>
      <c r="CE77" s="183">
        <f>(recommendedCutoffTable[[#This Row],[index]] - 1) / 100</f>
        <v>0.74</v>
      </c>
      <c r="CF77" s="1" cm="1">
        <f t="array" ref="CF77">ABS(
    numScores
  - 2 * SUMPRODUCT((behaviourScore &lt;&gt; "") * (behaviourScore &lt; recommendedCutoffTable[[#This Row],[cutoffLevel]]))
  )</f>
        <v>0</v>
      </c>
    </row>
    <row r="78" spans="5:84" ht="14.4" customHeight="1" x14ac:dyDescent="0.3">
      <c r="E78" s="187" cm="1">
        <f t="array" ref="E78">ROW()-ROW(UITranslationTable[#Headers])</f>
        <v>76</v>
      </c>
      <c r="F78" s="9" t="s">
        <v>259</v>
      </c>
      <c r="G78" s="176" t="s">
        <v>262</v>
      </c>
      <c r="H78" s="176" t="s">
        <v>265</v>
      </c>
      <c r="W78" s="1" cm="1">
        <f t="array" ref="W78">ROW()-ROW(structuredFormulaeTable[#Headers])</f>
        <v>76</v>
      </c>
      <c r="X78" s="1" t="s">
        <v>425</v>
      </c>
      <c r="Y78" s="1" t="s">
        <v>276</v>
      </c>
      <c r="Z78" s="1" t="str" cm="1">
        <f t="array" aca="1" ref="Z78" ca="1">sheetNameCutoff</f>
        <v>Cutoff - Seuil</v>
      </c>
      <c r="AA78" s="9" t="s">
        <v>402</v>
      </c>
      <c r="AB78" s="193" t="s">
        <v>410</v>
      </c>
      <c r="CD78" s="1" cm="1">
        <f t="array" ref="CD78">ROW()-ROW(recommendedCutoffTable[#Headers])</f>
        <v>76</v>
      </c>
      <c r="CE78" s="183">
        <f>(recommendedCutoffTable[[#This Row],[index]] - 1) / 100</f>
        <v>0.75</v>
      </c>
      <c r="CF78" s="1" cm="1">
        <f t="array" ref="CF78">ABS(
    numScores
  - 2 * SUMPRODUCT((behaviourScore &lt;&gt; "") * (behaviourScore &lt; recommendedCutoffTable[[#This Row],[cutoffLevel]]))
  )</f>
        <v>0</v>
      </c>
    </row>
    <row r="79" spans="5:84" ht="14.4" customHeight="1" x14ac:dyDescent="0.3">
      <c r="E79" s="187" cm="1">
        <f t="array" ref="E79">ROW()-ROW(UITranslationTable[#Headers])</f>
        <v>77</v>
      </c>
      <c r="F79" s="9" t="s">
        <v>191</v>
      </c>
      <c r="G79" s="176" t="s">
        <v>144</v>
      </c>
      <c r="H79" s="176" t="s">
        <v>192</v>
      </c>
      <c r="W79" s="1" cm="1">
        <f t="array" ref="W79">ROW()-ROW(structuredFormulaeTable[#Headers])</f>
        <v>77</v>
      </c>
      <c r="X79" s="1" t="s">
        <v>425</v>
      </c>
      <c r="Y79" s="1" t="s">
        <v>274</v>
      </c>
      <c r="Z79" s="1" t="str" cm="1">
        <f t="array" aca="1" ref="Z79" ca="1">sheetNameHiddenTables</f>
        <v>HiddenTables</v>
      </c>
      <c r="AA79" s="9" t="s">
        <v>484</v>
      </c>
      <c r="AB79" s="193" t="s">
        <v>485</v>
      </c>
      <c r="CD79" s="1" cm="1">
        <f t="array" ref="CD79">ROW()-ROW(recommendedCutoffTable[#Headers])</f>
        <v>77</v>
      </c>
      <c r="CE79" s="183">
        <f>(recommendedCutoffTable[[#This Row],[index]] - 1) / 100</f>
        <v>0.76</v>
      </c>
      <c r="CF79" s="1" cm="1">
        <f t="array" ref="CF79">ABS(
    numScores
  - 2 * SUMPRODUCT((behaviourScore &lt;&gt; "") * (behaviourScore &lt; recommendedCutoffTable[[#This Row],[cutoffLevel]]))
  )</f>
        <v>0</v>
      </c>
    </row>
    <row r="80" spans="5:84" ht="14.4" customHeight="1" x14ac:dyDescent="0.3">
      <c r="E80" s="187" cm="1">
        <f t="array" ref="E80">ROW()-ROW(UITranslationTable[#Headers])</f>
        <v>78</v>
      </c>
      <c r="F80" s="9"/>
      <c r="G80" s="176"/>
      <c r="H80" s="176"/>
      <c r="W80" s="1" cm="1">
        <f t="array" ref="W80">ROW()-ROW(structuredFormulaeTable[#Headers])</f>
        <v>78</v>
      </c>
      <c r="X80" s="1" t="s">
        <v>425</v>
      </c>
      <c r="Y80" s="1" t="s">
        <v>342</v>
      </c>
      <c r="Z80" s="1" t="str" cm="1">
        <f t="array" aca="1" ref="Z80" ca="1">sheetNameIntroduction</f>
        <v>Introduction</v>
      </c>
      <c r="AA80" s="9" t="s">
        <v>400</v>
      </c>
      <c r="AB80" s="193" t="s">
        <v>408</v>
      </c>
      <c r="CD80" s="1" cm="1">
        <f t="array" ref="CD80">ROW()-ROW(recommendedCutoffTable[#Headers])</f>
        <v>78</v>
      </c>
      <c r="CE80" s="183">
        <f>(recommendedCutoffTable[[#This Row],[index]] - 1) / 100</f>
        <v>0.77</v>
      </c>
      <c r="CF80" s="1" cm="1">
        <f t="array" ref="CF80">ABS(
    numScores
  - 2 * SUMPRODUCT((behaviourScore &lt;&gt; "") * (behaviourScore &lt; recommendedCutoffTable[[#This Row],[cutoffLevel]]))
  )</f>
        <v>0</v>
      </c>
    </row>
    <row r="81" spans="5:84" ht="14.4" customHeight="1" x14ac:dyDescent="0.3">
      <c r="E81" s="187" cm="1">
        <f t="array" ref="E81">ROW()-ROW(UITranslationTable[#Headers])</f>
        <v>79</v>
      </c>
      <c r="F81" s="9" t="s">
        <v>378</v>
      </c>
      <c r="G81" s="176" t="s">
        <v>390</v>
      </c>
      <c r="H81" s="176" t="s">
        <v>391</v>
      </c>
      <c r="W81" s="1" cm="1">
        <f t="array" ref="W81">ROW()-ROW(structuredFormulaeTable[#Headers])</f>
        <v>79</v>
      </c>
      <c r="X81" s="1" t="s">
        <v>425</v>
      </c>
      <c r="Y81" s="1" t="s">
        <v>172</v>
      </c>
      <c r="Z81" s="1" t="str" cm="1">
        <f t="array" ref="Z81">sortingMethodTag</f>
        <v>absDiff</v>
      </c>
      <c r="AA81" s="9" t="s">
        <v>563</v>
      </c>
      <c r="AB81" s="193" t="s">
        <v>412</v>
      </c>
      <c r="CD81" s="1" cm="1">
        <f t="array" ref="CD81">ROW()-ROW(recommendedCutoffTable[#Headers])</f>
        <v>79</v>
      </c>
      <c r="CE81" s="183">
        <f>(recommendedCutoffTable[[#This Row],[index]] - 1) / 100</f>
        <v>0.78</v>
      </c>
      <c r="CF81" s="1" cm="1">
        <f t="array" ref="CF81">ABS(
    numScores
  - 2 * SUMPRODUCT((behaviourScore &lt;&gt; "") * (behaviourScore &lt; recommendedCutoffTable[[#This Row],[cutoffLevel]]))
  )</f>
        <v>0</v>
      </c>
    </row>
    <row r="82" spans="5:84" ht="14.4" customHeight="1" x14ac:dyDescent="0.3">
      <c r="E82" s="187" cm="1">
        <f t="array" ref="E82">ROW()-ROW(UITranslationTable[#Headers])</f>
        <v>80</v>
      </c>
      <c r="F82" s="9" t="s">
        <v>379</v>
      </c>
      <c r="G82" s="176"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 &amp; " Note that, for the sake of clarity, only the data columns relevant to this demonstration have been kept in the dataset."</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H82" s="176"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 &amp; " Notez que, par souci de clarté, seules les colonnes de données utiles à cette démonstration ont été conservées dans le jeu de données."</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 Notez que, par souci de clarté, seules les colonnes de données utiles à cette démonstration ont été conservées dans le jeu de données.</v>
      </c>
      <c r="W82" s="1" cm="1">
        <f t="array" ref="W82">ROW()-ROW(structuredFormulaeTable[#Headers])</f>
        <v>80</v>
      </c>
      <c r="X82" s="1" t="s">
        <v>425</v>
      </c>
      <c r="Y82" s="1" t="s">
        <v>370</v>
      </c>
      <c r="AA82" s="178" t="s">
        <v>369</v>
      </c>
      <c r="AB82" s="176"/>
      <c r="CD82" s="1" cm="1">
        <f t="array" ref="CD82">ROW()-ROW(recommendedCutoffTable[#Headers])</f>
        <v>80</v>
      </c>
      <c r="CE82" s="183">
        <f>(recommendedCutoffTable[[#This Row],[index]] - 1) / 100</f>
        <v>0.79</v>
      </c>
      <c r="CF82" s="1" cm="1">
        <f t="array" ref="CF82">ABS(
    numScores
  - 2 * SUMPRODUCT((behaviourScore &lt;&gt; "") * (behaviourScore &lt; recommendedCutoffTable[[#This Row],[cutoffLevel]]))
  )</f>
        <v>0</v>
      </c>
    </row>
    <row r="83" spans="5:84" ht="14.4" customHeight="1" x14ac:dyDescent="0.3">
      <c r="E83" s="187" cm="1">
        <f t="array" ref="E83">ROW()-ROW(UITranslationTable[#Headers])</f>
        <v>81</v>
      </c>
      <c r="F83" s="9" t="s">
        <v>380</v>
      </c>
      <c r="G83" s="176" t="str" cm="1">
        <f t="array" aca="1" ref="G83" ca="1">"Setting up the """ &amp; sheetNameConfiguration &amp; """ sheet"</f>
        <v>Setting up the "Configuration" sheet</v>
      </c>
      <c r="H83" s="176" t="str" cm="1">
        <f t="array" aca="1" ref="H83" ca="1">"Paramétrer la feuille «" &amp; sheetNameConfiguration &amp; "»"</f>
        <v>Paramétrer la feuille «Configuration»</v>
      </c>
      <c r="W83" s="1" cm="1">
        <f t="array" ref="W83">ROW()-ROW(structuredFormulaeTable[#Headers])</f>
        <v>81</v>
      </c>
      <c r="X83" s="1" t="s">
        <v>425</v>
      </c>
      <c r="Y83" s="1" t="s">
        <v>371</v>
      </c>
      <c r="AA83" s="178" t="s">
        <v>669</v>
      </c>
      <c r="AB83" s="176"/>
      <c r="CD83" s="1" cm="1">
        <f t="array" ref="CD83">ROW()-ROW(recommendedCutoffTable[#Headers])</f>
        <v>81</v>
      </c>
      <c r="CE83" s="183">
        <f>(recommendedCutoffTable[[#This Row],[index]] - 1) / 100</f>
        <v>0.8</v>
      </c>
      <c r="CF83" s="1" cm="1">
        <f t="array" ref="CF83">ABS(
    numScores
  - 2 * SUMPRODUCT((behaviourScore &lt;&gt; "") * (behaviourScore &lt; recommendedCutoffTable[[#This Row],[cutoffLevel]]))
  )</f>
        <v>0</v>
      </c>
    </row>
    <row r="84" spans="5:84" ht="14.4" customHeight="1" x14ac:dyDescent="0.3">
      <c r="E84" s="187" cm="1">
        <f t="array" ref="E84">ROW()-ROW(UITranslationTable[#Headers])</f>
        <v>82</v>
      </c>
      <c r="F84" s="9" t="s">
        <v>381</v>
      </c>
      <c r="G84" s="176"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176"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c r="W84" s="177" cm="1">
        <f t="array" ref="W84">ROW()-ROW(structuredFormulaeTable[#Headers])</f>
        <v>82</v>
      </c>
      <c r="X84" s="1" t="s">
        <v>425</v>
      </c>
      <c r="Y84" s="1" t="s">
        <v>373</v>
      </c>
      <c r="Z84" s="1" t="str" cm="1">
        <f t="array" ref="Z84">yesLabel</f>
        <v>✔</v>
      </c>
      <c r="AA84" s="178" t="s">
        <v>372</v>
      </c>
      <c r="AB84" s="164" t="s">
        <v>667</v>
      </c>
      <c r="CD84" s="1" cm="1">
        <f t="array" ref="CD84">ROW()-ROW(recommendedCutoffTable[#Headers])</f>
        <v>82</v>
      </c>
      <c r="CE84" s="183">
        <f>(recommendedCutoffTable[[#This Row],[index]] - 1) / 100</f>
        <v>0.81</v>
      </c>
      <c r="CF84" s="1" cm="1">
        <f t="array" ref="CF84">ABS(
    numScores
  - 2 * SUMPRODUCT((behaviourScore &lt;&gt; "") * (behaviourScore &lt; recommendedCutoffTable[[#This Row],[cutoffLevel]]))
  )</f>
        <v>0</v>
      </c>
    </row>
    <row r="85" spans="5:84" ht="14.4" customHeight="1" x14ac:dyDescent="0.3">
      <c r="E85" s="187" cm="1">
        <f t="array" ref="E85">ROW()-ROW(UITranslationTable[#Headers])</f>
        <v>83</v>
      </c>
      <c r="F85" s="9" t="s">
        <v>382</v>
      </c>
      <c r="G85" s="176"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176"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c r="W85" s="177" cm="1">
        <f t="array" ref="W85">ROW()-ROW(structuredFormulaeTable[#Headers])</f>
        <v>83</v>
      </c>
      <c r="X85" s="1" t="s">
        <v>425</v>
      </c>
      <c r="Y85" s="1" t="s">
        <v>375</v>
      </c>
      <c r="AA85" s="178" t="s">
        <v>374</v>
      </c>
      <c r="AB85" s="188"/>
      <c r="CD85" s="1" cm="1">
        <f t="array" ref="CD85">ROW()-ROW(recommendedCutoffTable[#Headers])</f>
        <v>83</v>
      </c>
      <c r="CE85" s="183">
        <f>(recommendedCutoffTable[[#This Row],[index]] - 1) / 100</f>
        <v>0.82</v>
      </c>
      <c r="CF85" s="1" cm="1">
        <f t="array" ref="CF85">ABS(
    numScores
  - 2 * SUMPRODUCT((behaviourScore &lt;&gt; "") * (behaviourScore &lt; recommendedCutoffTable[[#This Row],[cutoffLevel]]))
  )</f>
        <v>0</v>
      </c>
    </row>
    <row r="86" spans="5:84" ht="14.4" customHeight="1" x14ac:dyDescent="0.3">
      <c r="E86" s="187" cm="1">
        <f t="array" ref="E86">ROW()-ROW(UITranslationTable[#Headers])</f>
        <v>84</v>
      </c>
      <c r="F86" s="9" t="s">
        <v>383</v>
      </c>
      <c r="G86" s="176"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176"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c r="W86" s="177" cm="1">
        <f t="array" ref="W86">ROW()-ROW(structuredFormulaeTable[#Headers])</f>
        <v>84</v>
      </c>
      <c r="X86" s="1" t="s">
        <v>571</v>
      </c>
      <c r="Y86" s="1" t="s">
        <v>572</v>
      </c>
      <c r="AA86" s="178" t="s">
        <v>580</v>
      </c>
      <c r="AB86" s="9"/>
      <c r="CD86" s="1" cm="1">
        <f t="array" ref="CD86">ROW()-ROW(recommendedCutoffTable[#Headers])</f>
        <v>84</v>
      </c>
      <c r="CE86" s="183">
        <f>(recommendedCutoffTable[[#This Row],[index]] - 1) / 100</f>
        <v>0.83</v>
      </c>
      <c r="CF86" s="1" cm="1">
        <f t="array" ref="CF86">ABS(
    numScores
  - 2 * SUMPRODUCT((behaviourScore &lt;&gt; "") * (behaviourScore &lt; recommendedCutoffTable[[#This Row],[cutoffLevel]]))
  )</f>
        <v>0</v>
      </c>
    </row>
    <row r="87" spans="5:84" ht="14.4" customHeight="1" x14ac:dyDescent="0.3">
      <c r="E87" s="187" cm="1">
        <f t="array" ref="E87">ROW()-ROW(UITranslationTable[#Headers])</f>
        <v>85</v>
      </c>
      <c r="F87" s="9" t="s">
        <v>384</v>
      </c>
      <c r="G87" s="188"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176"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c r="W87" s="177" cm="1">
        <f t="array" ref="W87">ROW()-ROW(structuredFormulaeTable[#Headers])</f>
        <v>85</v>
      </c>
      <c r="X87" s="1" t="s">
        <v>571</v>
      </c>
      <c r="Y87" s="1" t="s">
        <v>573</v>
      </c>
      <c r="AA87" s="178" t="s">
        <v>579</v>
      </c>
      <c r="AB87" s="9"/>
      <c r="CD87" s="1" cm="1">
        <f t="array" ref="CD87">ROW()-ROW(recommendedCutoffTable[#Headers])</f>
        <v>85</v>
      </c>
      <c r="CE87" s="183">
        <f>(recommendedCutoffTable[[#This Row],[index]] - 1) / 100</f>
        <v>0.84</v>
      </c>
      <c r="CF87" s="1" cm="1">
        <f t="array" ref="CF87">ABS(
    numScores
  - 2 * SUMPRODUCT((behaviourScore &lt;&gt; "") * (behaviourScore &lt; recommendedCutoffTable[[#This Row],[cutoffLevel]]))
  )</f>
        <v>0</v>
      </c>
    </row>
    <row r="88" spans="5:84" ht="14.4" customHeight="1" x14ac:dyDescent="0.3">
      <c r="E88" s="187" cm="1">
        <f t="array" ref="E88">ROW()-ROW(UITranslationTable[#Headers])</f>
        <v>86</v>
      </c>
      <c r="F88" s="9" t="s">
        <v>385</v>
      </c>
      <c r="G88" s="176"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176"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c r="W88" s="177" cm="1">
        <f t="array" ref="W88">ROW()-ROW(structuredFormulaeTable[#Headers])</f>
        <v>86</v>
      </c>
      <c r="X88" s="1" t="s">
        <v>571</v>
      </c>
      <c r="Y88" s="1" t="s">
        <v>574</v>
      </c>
      <c r="AA88" s="178" t="s">
        <v>578</v>
      </c>
      <c r="AB88" s="9"/>
      <c r="CD88" s="1" cm="1">
        <f t="array" ref="CD88">ROW()-ROW(recommendedCutoffTable[#Headers])</f>
        <v>86</v>
      </c>
      <c r="CE88" s="183">
        <f>(recommendedCutoffTable[[#This Row],[index]] - 1) / 100</f>
        <v>0.85</v>
      </c>
      <c r="CF88" s="1" cm="1">
        <f t="array" ref="CF88">ABS(
    numScores
  - 2 * SUMPRODUCT((behaviourScore &lt;&gt; "") * (behaviourScore &lt; recommendedCutoffTable[[#This Row],[cutoffLevel]]))
  )</f>
        <v>0</v>
      </c>
    </row>
    <row r="89" spans="5:84" ht="14.4" customHeight="1" x14ac:dyDescent="0.3">
      <c r="E89" s="187" cm="1">
        <f t="array" ref="E89">ROW()-ROW(UITranslationTable[#Headers])</f>
        <v>87</v>
      </c>
      <c r="F89" s="9" t="s">
        <v>386</v>
      </c>
      <c r="G89" s="176" t="s">
        <v>228</v>
      </c>
      <c r="H89" s="176" t="s">
        <v>229</v>
      </c>
      <c r="W89" s="177" cm="1">
        <f t="array" ref="W89">ROW()-ROW(structuredFormulaeTable[#Headers])</f>
        <v>87</v>
      </c>
      <c r="X89" s="1" t="s">
        <v>571</v>
      </c>
      <c r="Y89" s="1" t="s">
        <v>575</v>
      </c>
      <c r="AA89" s="178" t="s">
        <v>577</v>
      </c>
      <c r="AB89" s="9"/>
      <c r="CD89" s="1" cm="1">
        <f t="array" ref="CD89">ROW()-ROW(recommendedCutoffTable[#Headers])</f>
        <v>87</v>
      </c>
      <c r="CE89" s="183">
        <f>(recommendedCutoffTable[[#This Row],[index]] - 1) / 100</f>
        <v>0.86</v>
      </c>
      <c r="CF89" s="1" cm="1">
        <f t="array" ref="CF89">ABS(
    numScores
  - 2 * SUMPRODUCT((behaviourScore &lt;&gt; "") * (behaviourScore &lt; recommendedCutoffTable[[#This Row],[cutoffLevel]]))
  )</f>
        <v>0</v>
      </c>
    </row>
    <row r="90" spans="5:84" ht="14.4" customHeight="1" x14ac:dyDescent="0.3">
      <c r="E90" s="187" cm="1">
        <f t="array" ref="E90">ROW()-ROW(UITranslationTable[#Headers])</f>
        <v>88</v>
      </c>
      <c r="F90" s="9" t="s">
        <v>387</v>
      </c>
      <c r="G90" s="176"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176"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c r="W90" s="177" cm="1">
        <f t="array" ref="W90">ROW()-ROW(structuredFormulaeTable[#Headers])</f>
        <v>88</v>
      </c>
      <c r="X90" s="1" t="s">
        <v>571</v>
      </c>
      <c r="Y90" s="1" t="s">
        <v>581</v>
      </c>
      <c r="AA90" s="178" t="s">
        <v>576</v>
      </c>
      <c r="AB90" s="9"/>
      <c r="CD90" s="1" cm="1">
        <f t="array" ref="CD90">ROW()-ROW(recommendedCutoffTable[#Headers])</f>
        <v>88</v>
      </c>
      <c r="CE90" s="183">
        <f>(recommendedCutoffTable[[#This Row],[index]] - 1) / 100</f>
        <v>0.87</v>
      </c>
      <c r="CF90" s="1" cm="1">
        <f t="array" ref="CF90">ABS(
    numScores
  - 2 * SUMPRODUCT((behaviourScore &lt;&gt; "") * (behaviourScore &lt; recommendedCutoffTable[[#This Row],[cutoffLevel]]))
  )</f>
        <v>0</v>
      </c>
    </row>
    <row r="91" spans="5:84" ht="14.4" customHeight="1" x14ac:dyDescent="0.3">
      <c r="E91" s="187" cm="1">
        <f t="array" ref="E91">ROW()-ROW(UITranslationTable[#Headers])</f>
        <v>89</v>
      </c>
      <c r="F91" s="9" t="s">
        <v>388</v>
      </c>
      <c r="G91" s="176" t="s">
        <v>393</v>
      </c>
      <c r="H91" s="176" t="s">
        <v>394</v>
      </c>
      <c r="W91" s="177" cm="1">
        <f t="array" ref="W91">ROW()-ROW(structuredFormulaeTable[#Headers])</f>
        <v>89</v>
      </c>
      <c r="X91" s="1" t="s">
        <v>571</v>
      </c>
      <c r="Y91" s="1" t="s">
        <v>582</v>
      </c>
      <c r="AA91" s="178" t="s">
        <v>583</v>
      </c>
      <c r="AB91" s="9"/>
      <c r="CD91" s="1" cm="1">
        <f t="array" ref="CD91">ROW()-ROW(recommendedCutoffTable[#Headers])</f>
        <v>89</v>
      </c>
      <c r="CE91" s="183">
        <f>(recommendedCutoffTable[[#This Row],[index]] - 1) / 100</f>
        <v>0.88</v>
      </c>
      <c r="CF91" s="1" cm="1">
        <f t="array" ref="CF91">ABS(
    numScores
  - 2 * SUMPRODUCT((behaviourScore &lt;&gt; "") * (behaviourScore &lt; recommendedCutoffTable[[#This Row],[cutoffLevel]]))
  )</f>
        <v>0</v>
      </c>
    </row>
    <row r="92" spans="5:84" ht="14.4" customHeight="1" x14ac:dyDescent="0.3">
      <c r="E92" s="187" cm="1">
        <f t="array" ref="E92">ROW()-ROW(UITranslationTable[#Headers])</f>
        <v>90</v>
      </c>
      <c r="F92" s="9" t="s">
        <v>389</v>
      </c>
      <c r="G92" s="176"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176"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c r="W92" s="177" cm="1">
        <f t="array" ref="W92">ROW()-ROW(structuredFormulaeTable[#Headers])</f>
        <v>90</v>
      </c>
      <c r="X92" s="1" t="s">
        <v>571</v>
      </c>
      <c r="Y92" s="1" t="s">
        <v>584</v>
      </c>
      <c r="AA92" s="178" t="s">
        <v>585</v>
      </c>
      <c r="AB92" s="9"/>
      <c r="CD92" s="1" cm="1">
        <f t="array" ref="CD92">ROW()-ROW(recommendedCutoffTable[#Headers])</f>
        <v>90</v>
      </c>
      <c r="CE92" s="183">
        <f>(recommendedCutoffTable[[#This Row],[index]] - 1) / 100</f>
        <v>0.89</v>
      </c>
      <c r="CF92" s="1" cm="1">
        <f t="array" ref="CF92">ABS(
    numScores
  - 2 * SUMPRODUCT((behaviourScore &lt;&gt; "") * (behaviourScore &lt; recommendedCutoffTable[[#This Row],[cutoffLevel]]))
  )</f>
        <v>0</v>
      </c>
    </row>
    <row r="93" spans="5:84" ht="14.4" customHeight="1" x14ac:dyDescent="0.3">
      <c r="E93" s="187" cm="1">
        <f t="array" ref="E93">ROW()-ROW(UITranslationTable[#Headers])</f>
        <v>91</v>
      </c>
      <c r="F93" s="9" t="s">
        <v>392</v>
      </c>
      <c r="G93" s="176" t="s">
        <v>395</v>
      </c>
      <c r="H93" s="176" t="s">
        <v>396</v>
      </c>
      <c r="W93" s="177" cm="1">
        <f t="array" ref="W93">ROW()-ROW(structuredFormulaeTable[#Headers])</f>
        <v>91</v>
      </c>
      <c r="X93" s="1" t="s">
        <v>586</v>
      </c>
      <c r="Y93" s="1" t="s">
        <v>588</v>
      </c>
      <c r="AA93" s="178" t="s">
        <v>544</v>
      </c>
      <c r="AB93" s="9"/>
      <c r="CD93" s="1" cm="1">
        <f t="array" ref="CD93">ROW()-ROW(recommendedCutoffTable[#Headers])</f>
        <v>91</v>
      </c>
      <c r="CE93" s="183">
        <f>(recommendedCutoffTable[[#This Row],[index]] - 1) / 100</f>
        <v>0.9</v>
      </c>
      <c r="CF93" s="1" cm="1">
        <f t="array" ref="CF93">ABS(
    numScores
  - 2 * SUMPRODUCT((behaviourScore &lt;&gt; "") * (behaviourScore &lt; recommendedCutoffTable[[#This Row],[cutoffLevel]]))
  )</f>
        <v>0</v>
      </c>
    </row>
    <row r="94" spans="5:84" ht="14.4" customHeight="1" x14ac:dyDescent="0.3">
      <c r="W94" s="177" cm="1">
        <f t="array" ref="W94">ROW()-ROW(structuredFormulaeTable[#Headers])</f>
        <v>92</v>
      </c>
      <c r="X94" s="1" t="s">
        <v>586</v>
      </c>
      <c r="Y94" s="1" t="s">
        <v>587</v>
      </c>
      <c r="AA94" s="178" t="s">
        <v>549</v>
      </c>
      <c r="AB94" s="9"/>
      <c r="CD94" s="1" cm="1">
        <f t="array" ref="CD94">ROW()-ROW(recommendedCutoffTable[#Headers])</f>
        <v>92</v>
      </c>
      <c r="CE94" s="183">
        <f>(recommendedCutoffTable[[#This Row],[index]] - 1) / 100</f>
        <v>0.91</v>
      </c>
      <c r="CF94" s="1" cm="1">
        <f t="array" ref="CF94">ABS(
    numScores
  - 2 * SUMPRODUCT((behaviourScore &lt;&gt; "") * (behaviourScore &lt; recommendedCutoffTable[[#This Row],[cutoffLevel]]))
  )</f>
        <v>0</v>
      </c>
    </row>
    <row r="95" spans="5:84" ht="14.4" customHeight="1" x14ac:dyDescent="0.3">
      <c r="W95" s="177" cm="1">
        <f t="array" ref="W95">ROW()-ROW(structuredFormulaeTable[#Headers])</f>
        <v>93</v>
      </c>
      <c r="X95" s="1" t="s">
        <v>586</v>
      </c>
      <c r="Y95" s="1" t="s">
        <v>591</v>
      </c>
      <c r="AA95" s="178" t="s">
        <v>605</v>
      </c>
      <c r="AB95" s="9"/>
      <c r="CD95" s="1" cm="1">
        <f t="array" ref="CD95">ROW()-ROW(recommendedCutoffTable[#Headers])</f>
        <v>93</v>
      </c>
      <c r="CE95" s="183">
        <f>(recommendedCutoffTable[[#This Row],[index]] - 1) / 100</f>
        <v>0.92</v>
      </c>
      <c r="CF95" s="1" cm="1">
        <f t="array" ref="CF95">ABS(
    numScores
  - 2 * SUMPRODUCT((behaviourScore &lt;&gt; "") * (behaviourScore &lt; recommendedCutoffTable[[#This Row],[cutoffLevel]]))
  )</f>
        <v>0</v>
      </c>
    </row>
    <row r="96" spans="5:84" ht="14.4" customHeight="1" x14ac:dyDescent="0.3">
      <c r="W96" s="177" cm="1">
        <f t="array" ref="W96">ROW()-ROW(structuredFormulaeTable[#Headers])</f>
        <v>94</v>
      </c>
      <c r="X96" s="1" t="s">
        <v>586</v>
      </c>
      <c r="Y96" s="1" t="s">
        <v>589</v>
      </c>
      <c r="AA96" s="178" t="s">
        <v>606</v>
      </c>
      <c r="AB96" s="9"/>
      <c r="CD96" s="1" cm="1">
        <f t="array" ref="CD96">ROW()-ROW(recommendedCutoffTable[#Headers])</f>
        <v>94</v>
      </c>
      <c r="CE96" s="183">
        <f>(recommendedCutoffTable[[#This Row],[index]] - 1) / 100</f>
        <v>0.93</v>
      </c>
      <c r="CF96" s="1" cm="1">
        <f t="array" ref="CF96">ABS(
    numScores
  - 2 * SUMPRODUCT((behaviourScore &lt;&gt; "") * (behaviourScore &lt; recommendedCutoffTable[[#This Row],[cutoffLevel]]))
  )</f>
        <v>0</v>
      </c>
    </row>
    <row r="97" spans="23:84" ht="14.4" customHeight="1" x14ac:dyDescent="0.3">
      <c r="W97" s="177" cm="1">
        <f t="array" ref="W97">ROW()-ROW(structuredFormulaeTable[#Headers])</f>
        <v>95</v>
      </c>
      <c r="X97" s="1" t="s">
        <v>586</v>
      </c>
      <c r="Y97" s="1" t="s">
        <v>590</v>
      </c>
      <c r="AA97" s="178" t="s">
        <v>607</v>
      </c>
      <c r="AB97" s="9"/>
      <c r="CD97" s="1" cm="1">
        <f t="array" ref="CD97">ROW()-ROW(recommendedCutoffTable[#Headers])</f>
        <v>95</v>
      </c>
      <c r="CE97" s="183">
        <f>(recommendedCutoffTable[[#This Row],[index]] - 1) / 100</f>
        <v>0.94</v>
      </c>
      <c r="CF97" s="1" cm="1">
        <f t="array" ref="CF97">ABS(
    numScores
  - 2 * SUMPRODUCT((behaviourScore &lt;&gt; "") * (behaviourScore &lt; recommendedCutoffTable[[#This Row],[cutoffLevel]]))
  )</f>
        <v>0</v>
      </c>
    </row>
    <row r="98" spans="23:84" ht="14.4" customHeight="1" x14ac:dyDescent="0.3">
      <c r="W98" s="177" cm="1">
        <f t="array" ref="W98">ROW()-ROW(structuredFormulaeTable[#Headers])</f>
        <v>96</v>
      </c>
      <c r="X98" s="1" t="s">
        <v>586</v>
      </c>
      <c r="Y98" s="1" t="s">
        <v>592</v>
      </c>
      <c r="AA98" s="178" t="s">
        <v>608</v>
      </c>
      <c r="AB98" s="9"/>
      <c r="CD98" s="1" cm="1">
        <f t="array" ref="CD98">ROW()-ROW(recommendedCutoffTable[#Headers])</f>
        <v>96</v>
      </c>
      <c r="CE98" s="183">
        <f>(recommendedCutoffTable[[#This Row],[index]] - 1) / 100</f>
        <v>0.95</v>
      </c>
      <c r="CF98" s="1" cm="1">
        <f t="array" ref="CF98">ABS(
    numScores
  - 2 * SUMPRODUCT((behaviourScore &lt;&gt; "") * (behaviourScore &lt; recommendedCutoffTable[[#This Row],[cutoffLevel]]))
  )</f>
        <v>0</v>
      </c>
    </row>
    <row r="99" spans="23:84" ht="14.4" customHeight="1" x14ac:dyDescent="0.3">
      <c r="W99" s="177" cm="1">
        <f t="array" ref="W99">ROW()-ROW(structuredFormulaeTable[#Headers])</f>
        <v>97</v>
      </c>
      <c r="X99" s="1" t="s">
        <v>586</v>
      </c>
      <c r="Y99" s="1" t="s">
        <v>593</v>
      </c>
      <c r="AA99" s="178" t="s">
        <v>609</v>
      </c>
      <c r="AB99" s="9"/>
      <c r="CD99" s="1" cm="1">
        <f t="array" ref="CD99">ROW()-ROW(recommendedCutoffTable[#Headers])</f>
        <v>97</v>
      </c>
      <c r="CE99" s="183">
        <f>(recommendedCutoffTable[[#This Row],[index]] - 1) / 100</f>
        <v>0.96</v>
      </c>
      <c r="CF99" s="1" cm="1">
        <f t="array" ref="CF99">ABS(
    numScores
  - 2 * SUMPRODUCT((behaviourScore &lt;&gt; "") * (behaviourScore &lt; recommendedCutoffTable[[#This Row],[cutoffLevel]]))
  )</f>
        <v>0</v>
      </c>
    </row>
    <row r="100" spans="23:84" ht="14.4" customHeight="1" x14ac:dyDescent="0.3">
      <c r="W100" s="177" cm="1">
        <f t="array" ref="W100">ROW()-ROW(structuredFormulaeTable[#Headers])</f>
        <v>98</v>
      </c>
      <c r="X100" s="1" t="s">
        <v>586</v>
      </c>
      <c r="Y100" s="1" t="s">
        <v>594</v>
      </c>
      <c r="AA100" s="178" t="s">
        <v>610</v>
      </c>
      <c r="AB100" s="9"/>
      <c r="CD100" s="1" cm="1">
        <f t="array" ref="CD100">ROW()-ROW(recommendedCutoffTable[#Headers])</f>
        <v>98</v>
      </c>
      <c r="CE100" s="183">
        <f>(recommendedCutoffTable[[#This Row],[index]] - 1) / 100</f>
        <v>0.97</v>
      </c>
      <c r="CF100" s="1" cm="1">
        <f t="array" ref="CF100">ABS(
    numScores
  - 2 * SUMPRODUCT((behaviourScore &lt;&gt; "") * (behaviourScore &lt; recommendedCutoffTable[[#This Row],[cutoffLevel]]))
  )</f>
        <v>0</v>
      </c>
    </row>
    <row r="101" spans="23:84" ht="14.4" customHeight="1" x14ac:dyDescent="0.3">
      <c r="W101" s="177" cm="1">
        <f t="array" ref="W101">ROW()-ROW(structuredFormulaeTable[#Headers])</f>
        <v>99</v>
      </c>
      <c r="X101" s="1" t="s">
        <v>586</v>
      </c>
      <c r="Y101" s="1" t="s">
        <v>595</v>
      </c>
      <c r="AA101" s="178" t="s">
        <v>611</v>
      </c>
      <c r="AB101" s="9"/>
      <c r="CD101" s="1" cm="1">
        <f t="array" ref="CD101">ROW()-ROW(recommendedCutoffTable[#Headers])</f>
        <v>99</v>
      </c>
      <c r="CE101" s="183">
        <f>(recommendedCutoffTable[[#This Row],[index]] - 1) / 100</f>
        <v>0.98</v>
      </c>
      <c r="CF101" s="1" cm="1">
        <f t="array" ref="CF101">ABS(
    numScores
  - 2 * SUMPRODUCT((behaviourScore &lt;&gt; "") * (behaviourScore &lt; recommendedCutoffTable[[#This Row],[cutoffLevel]]))
  )</f>
        <v>0</v>
      </c>
    </row>
    <row r="102" spans="23:84" ht="14.4" customHeight="1" x14ac:dyDescent="0.3">
      <c r="W102" s="177" cm="1">
        <f t="array" ref="W102">ROW()-ROW(structuredFormulaeTable[#Headers])</f>
        <v>100</v>
      </c>
      <c r="X102" s="1" t="s">
        <v>586</v>
      </c>
      <c r="Y102" s="1" t="s">
        <v>601</v>
      </c>
      <c r="AA102" s="178" t="s">
        <v>612</v>
      </c>
      <c r="AB102" s="9"/>
      <c r="CD102" s="1" cm="1">
        <f t="array" ref="CD102">ROW()-ROW(recommendedCutoffTable[#Headers])</f>
        <v>100</v>
      </c>
      <c r="CE102" s="183">
        <f>(recommendedCutoffTable[[#This Row],[index]] - 1) / 100</f>
        <v>0.99</v>
      </c>
      <c r="CF102" s="1" cm="1">
        <f t="array" ref="CF102">ABS(
    numScores
  - 2 * SUMPRODUCT((behaviourScore &lt;&gt; "") * (behaviourScore &lt; recommendedCutoffTable[[#This Row],[cutoffLevel]]))
  )</f>
        <v>0</v>
      </c>
    </row>
    <row r="103" spans="23:84" ht="14.4" customHeight="1" x14ac:dyDescent="0.3">
      <c r="W103" s="177" cm="1">
        <f t="array" ref="W103">ROW()-ROW(structuredFormulaeTable[#Headers])</f>
        <v>101</v>
      </c>
      <c r="X103" s="1" t="s">
        <v>586</v>
      </c>
      <c r="Y103" s="1" t="s">
        <v>602</v>
      </c>
      <c r="AA103" s="178" t="s">
        <v>613</v>
      </c>
      <c r="AB103" s="9"/>
      <c r="CD103" s="1" cm="1">
        <f t="array" ref="CD103">ROW()-ROW(recommendedCutoffTable[#Headers])</f>
        <v>101</v>
      </c>
      <c r="CE103" s="183">
        <f>(recommendedCutoffTable[[#This Row],[index]] - 1) / 100</f>
        <v>1</v>
      </c>
      <c r="CF103" s="177" cm="1">
        <f t="array" ref="CF103">ABS(
    numScores
  - 2 * SUMPRODUCT((behaviourScore &lt;&gt; "") * (behaviourScore &lt; recommendedCutoffTable[[#This Row],[cutoffLevel]]))
  )</f>
        <v>0</v>
      </c>
    </row>
    <row r="104" spans="23:84" ht="14.4" customHeight="1" x14ac:dyDescent="0.3">
      <c r="W104" s="177" cm="1">
        <f t="array" ref="W104">ROW()-ROW(structuredFormulaeTable[#Headers])</f>
        <v>102</v>
      </c>
      <c r="X104" s="1" t="s">
        <v>586</v>
      </c>
      <c r="Y104" s="1" t="s">
        <v>596</v>
      </c>
      <c r="AA104" s="178" t="s">
        <v>614</v>
      </c>
      <c r="AB104" s="9"/>
    </row>
    <row r="105" spans="23:84" ht="14.4" customHeight="1" x14ac:dyDescent="0.3">
      <c r="W105" s="177" cm="1">
        <f t="array" ref="W105">ROW()-ROW(structuredFormulaeTable[#Headers])</f>
        <v>103</v>
      </c>
      <c r="X105" s="1" t="s">
        <v>586</v>
      </c>
      <c r="Y105" s="1" t="s">
        <v>597</v>
      </c>
      <c r="AA105" s="178" t="s">
        <v>615</v>
      </c>
      <c r="AB105" s="9"/>
    </row>
    <row r="106" spans="23:84" ht="14.4" customHeight="1" x14ac:dyDescent="0.3">
      <c r="W106" s="177" cm="1">
        <f t="array" ref="W106">ROW()-ROW(structuredFormulaeTable[#Headers])</f>
        <v>104</v>
      </c>
      <c r="X106" s="1" t="s">
        <v>586</v>
      </c>
      <c r="Y106" s="1" t="s">
        <v>598</v>
      </c>
      <c r="AA106" s="178" t="s">
        <v>616</v>
      </c>
      <c r="AB106" s="9"/>
    </row>
    <row r="107" spans="23:84" ht="14.4" customHeight="1" x14ac:dyDescent="0.3">
      <c r="W107" s="177" cm="1">
        <f t="array" ref="W107">ROW()-ROW(structuredFormulaeTable[#Headers])</f>
        <v>105</v>
      </c>
      <c r="X107" s="1" t="s">
        <v>586</v>
      </c>
      <c r="Y107" s="1" t="s">
        <v>599</v>
      </c>
      <c r="AA107" s="178" t="s">
        <v>617</v>
      </c>
      <c r="AB107" s="9"/>
    </row>
    <row r="108" spans="23:84" ht="14.4" customHeight="1" x14ac:dyDescent="0.3">
      <c r="W108" s="177" cm="1">
        <f t="array" ref="W108">ROW()-ROW(structuredFormulaeTable[#Headers])</f>
        <v>106</v>
      </c>
      <c r="X108" s="1" t="s">
        <v>586</v>
      </c>
      <c r="Y108" s="1" t="s">
        <v>600</v>
      </c>
      <c r="AA108" s="178" t="s">
        <v>618</v>
      </c>
      <c r="AB108" s="9"/>
    </row>
    <row r="109" spans="23:84" ht="14.4" customHeight="1" x14ac:dyDescent="0.3">
      <c r="W109" s="177" cm="1">
        <f t="array" ref="W109">ROW()-ROW(structuredFormulaeTable[#Headers])</f>
        <v>107</v>
      </c>
      <c r="X109" s="1" t="s">
        <v>586</v>
      </c>
      <c r="Y109" s="1" t="s">
        <v>603</v>
      </c>
      <c r="AA109" s="178" t="s">
        <v>619</v>
      </c>
      <c r="AB109" s="9"/>
    </row>
    <row r="110" spans="23:84" ht="14.4" customHeight="1" x14ac:dyDescent="0.3">
      <c r="W110" s="177" cm="1">
        <f t="array" ref="W110">ROW()-ROW(structuredFormulaeTable[#Headers])</f>
        <v>108</v>
      </c>
      <c r="X110" s="1" t="s">
        <v>586</v>
      </c>
      <c r="Y110" s="1" t="s">
        <v>604</v>
      </c>
      <c r="AA110" s="178" t="s">
        <v>620</v>
      </c>
      <c r="AB110" s="9"/>
    </row>
    <row r="111" spans="23:84" ht="14.4" customHeight="1" x14ac:dyDescent="0.3">
      <c r="W111" s="177" cm="1">
        <f t="array" ref="W111">ROW()-ROW(structuredFormulaeTable[#Headers])</f>
        <v>109</v>
      </c>
      <c r="X111" s="1" t="s">
        <v>586</v>
      </c>
      <c r="Y111" s="1" t="s">
        <v>621</v>
      </c>
      <c r="AA111" s="178" t="s">
        <v>623</v>
      </c>
      <c r="AB111" s="9"/>
    </row>
    <row r="112" spans="23:84" ht="14.4" customHeight="1" x14ac:dyDescent="0.3">
      <c r="W112" s="177" cm="1">
        <f t="array" ref="W112">ROW()-ROW(structuredFormulaeTable[#Headers])</f>
        <v>110</v>
      </c>
      <c r="X112" s="1" t="s">
        <v>586</v>
      </c>
      <c r="Y112" s="1" t="s">
        <v>622</v>
      </c>
      <c r="AA112" s="178" t="s">
        <v>633</v>
      </c>
      <c r="AB112" s="9"/>
    </row>
    <row r="113" spans="23:28" ht="14.4" customHeight="1" x14ac:dyDescent="0.3">
      <c r="W113" s="177" cm="1">
        <f t="array" ref="W113">ROW()-ROW(structuredFormulaeTable[#Headers])</f>
        <v>111</v>
      </c>
      <c r="X113" s="1" t="s">
        <v>586</v>
      </c>
      <c r="Y113" s="1" t="s">
        <v>624</v>
      </c>
      <c r="AA113" s="178" t="s">
        <v>625</v>
      </c>
      <c r="AB113" s="9"/>
    </row>
    <row r="114" spans="23:28" ht="14.4" customHeight="1" x14ac:dyDescent="0.3">
      <c r="W114" s="177" cm="1">
        <f t="array" ref="W114">ROW()-ROW(structuredFormulaeTable[#Headers])</f>
        <v>112</v>
      </c>
      <c r="X114" s="1" t="s">
        <v>586</v>
      </c>
      <c r="Y114" s="1" t="s">
        <v>627</v>
      </c>
      <c r="AA114" s="178" t="s">
        <v>626</v>
      </c>
      <c r="AB114" s="9"/>
    </row>
    <row r="115" spans="23:28" ht="14.4" customHeight="1" x14ac:dyDescent="0.3">
      <c r="W115" s="177" cm="1">
        <f t="array" ref="W115">ROW()-ROW(structuredFormulaeTable[#Headers])</f>
        <v>113</v>
      </c>
      <c r="X115" s="1" t="s">
        <v>586</v>
      </c>
      <c r="Y115" s="1" t="s">
        <v>628</v>
      </c>
      <c r="AA115" s="178" t="s">
        <v>629</v>
      </c>
      <c r="AB115" s="9"/>
    </row>
    <row r="116" spans="23:28" ht="14.4" customHeight="1" x14ac:dyDescent="0.3">
      <c r="W116" s="177" cm="1">
        <f t="array" ref="W116">ROW()-ROW(structuredFormulaeTable[#Headers])</f>
        <v>114</v>
      </c>
      <c r="X116" s="1" t="s">
        <v>586</v>
      </c>
      <c r="Y116" s="1" t="s">
        <v>630</v>
      </c>
      <c r="AA116" s="178" t="s">
        <v>631</v>
      </c>
      <c r="AB116" s="9"/>
    </row>
    <row r="117" spans="23:28" ht="14.4" customHeight="1" x14ac:dyDescent="0.3">
      <c r="W117" s="177" cm="1">
        <f t="array" ref="W117">ROW()-ROW(structuredFormulaeTable[#Headers])</f>
        <v>115</v>
      </c>
      <c r="X117" s="1" t="s">
        <v>586</v>
      </c>
      <c r="Y117" s="1" t="s">
        <v>635</v>
      </c>
      <c r="AA117" s="178" t="s">
        <v>634</v>
      </c>
      <c r="AB117" s="9"/>
    </row>
    <row r="118" spans="23:28" ht="14.4" customHeight="1" x14ac:dyDescent="0.3">
      <c r="W118" s="177" cm="1">
        <f t="array" ref="W118">ROW()-ROW(structuredFormulaeTable[#Headers])</f>
        <v>116</v>
      </c>
      <c r="X118" s="1" t="s">
        <v>586</v>
      </c>
      <c r="Y118" s="1" t="s">
        <v>636</v>
      </c>
      <c r="AA118" s="178" t="s">
        <v>637</v>
      </c>
      <c r="AB118" s="9"/>
    </row>
  </sheetData>
  <sheetProtection algorithmName="SHA-512" hashValue="E3MM4EDD5yFYCsksRANZkN2W94mwjcXJ3rdWZnnHED2Bvyw4S70QwQ2CUncwkfJQjga9/WBopyUy9Y/FcF899w==" saltValue="Mm7p9A063cWfYaGZiRQcOQ==" spinCount="100000" sheet="1" objects="1" scenarios="1"/>
  <phoneticPr fontId="5" type="noConversion"/>
  <dataValidations disablePrompts="1" count="1">
    <dataValidation type="list" allowBlank="1" showInputMessage="1" showErrorMessage="1" sqref="X3:X118" xr:uid="{E4D10EFD-060B-4417-8791-ED29617ADC8D}">
      <formula1>"Named variable, User-defined function, Conditional formatting, Data validation"</formula1>
    </dataValidation>
  </dataValidations>
  <pageMargins left="0.7" right="0.7" top="0.75" bottom="0.75" header="0.3" footer="0.3"/>
  <pageSetup paperSize="9" orientation="portrait" r:id="rId1"/>
  <drawing r:id="rId2"/>
  <legacyDrawing r:id="rId3"/>
  <tableParts count="14">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90" zoomScaleNormal="90" workbookViewId="0">
      <selection activeCell="C5" sqref="C5"/>
    </sheetView>
  </sheetViews>
  <sheetFormatPr defaultColWidth="0" defaultRowHeight="14.4" zeroHeight="1" x14ac:dyDescent="0.3"/>
  <cols>
    <col min="1" max="1" width="3.77734375" style="1" customWidth="1"/>
    <col min="2" max="2" width="30.77734375" style="1" customWidth="1"/>
    <col min="3" max="3" width="15.77734375" style="1" customWidth="1"/>
    <col min="4" max="4" width="55.77734375" style="1" customWidth="1"/>
    <col min="5" max="6" width="3.77734375" style="1" customWidth="1"/>
    <col min="7" max="7" width="15.77734375" style="1" customWidth="1"/>
    <col min="8" max="8" width="8.77734375" style="1" customWidth="1"/>
    <col min="9" max="9" width="15.77734375" style="1" customWidth="1"/>
    <col min="10" max="10" width="63.77734375" style="1" customWidth="1"/>
    <col min="11" max="12" width="3.77734375" style="1" customWidth="1"/>
    <col min="13" max="16384" width="8.88671875" style="1" hidden="1"/>
  </cols>
  <sheetData>
    <row r="1" spans="1:12" ht="48" customHeight="1" x14ac:dyDescent="0.75">
      <c r="A1" s="62"/>
      <c r="B1" s="215" t="str" cm="1">
        <f t="array" ref="B1">"RANAS Analyser v" &amp; versionNumber</f>
        <v>RANAS Analyser v1.0.1</v>
      </c>
      <c r="C1" s="215"/>
      <c r="D1" s="215"/>
      <c r="E1" s="215"/>
      <c r="F1" s="215"/>
      <c r="G1" s="215"/>
      <c r="H1" s="215"/>
      <c r="I1" s="215"/>
      <c r="J1" s="215"/>
      <c r="K1" s="215"/>
      <c r="L1" s="62"/>
    </row>
    <row r="2" spans="1:12" ht="30" x14ac:dyDescent="0.5">
      <c r="A2" s="62"/>
      <c r="B2" s="216" t="s">
        <v>305</v>
      </c>
      <c r="C2" s="217"/>
      <c r="D2" s="217"/>
      <c r="E2" s="217"/>
      <c r="F2" s="217"/>
      <c r="G2" s="217"/>
      <c r="H2" s="217"/>
      <c r="I2" s="217"/>
      <c r="J2" s="217"/>
      <c r="K2" s="217"/>
      <c r="L2" s="62"/>
    </row>
    <row r="3" spans="1:12" ht="16.05" customHeight="1" x14ac:dyDescent="0.3">
      <c r="A3" s="62"/>
      <c r="B3" s="218" t="s">
        <v>306</v>
      </c>
      <c r="C3" s="219"/>
      <c r="D3" s="219"/>
      <c r="E3" s="219"/>
      <c r="F3" s="219"/>
      <c r="G3" s="219"/>
      <c r="H3" s="219"/>
      <c r="I3" s="219"/>
      <c r="J3" s="219"/>
      <c r="K3" s="219"/>
      <c r="L3" s="62"/>
    </row>
    <row r="4" spans="1:12" ht="16.05" customHeight="1" thickBot="1" x14ac:dyDescent="0.35">
      <c r="A4" s="62"/>
      <c r="B4" s="220" t="s">
        <v>13</v>
      </c>
      <c r="C4" s="45"/>
      <c r="D4" s="223" t="str" cm="1">
        <f t="array" ref="D4">UITranslateForValueTable("introUILangText", UITranslationTable[tag], UITranslationTable[], UITranslationTable[#Headers])</f>
        <v>This menu defines which of the built-in languages is used for the user interface.</v>
      </c>
      <c r="E4" s="46"/>
      <c r="F4" s="46"/>
      <c r="G4" s="47"/>
      <c r="H4" s="47"/>
      <c r="I4" s="48"/>
      <c r="J4" s="223" t="str" cm="1">
        <f t="array" aca="1" ref="J4" ca="1">UITranslateForValueTable("introChartLangText", UITranslationTable[tag], UITranslationTable[], UITranslationTable[#Headers])</f>
        <v>This menu defines which language (built-in or user-defined in the "Configuration" sheet) is used in the charts and data tables.</v>
      </c>
      <c r="K4" s="49"/>
      <c r="L4" s="50"/>
    </row>
    <row r="5" spans="1:12" ht="16.05" customHeight="1" thickBot="1" x14ac:dyDescent="0.35">
      <c r="A5" s="62"/>
      <c r="B5" s="221"/>
      <c r="C5" s="67" t="s">
        <v>3</v>
      </c>
      <c r="D5" s="224"/>
      <c r="E5" s="51"/>
      <c r="F5" s="51"/>
      <c r="G5" s="52"/>
      <c r="H5" s="52" t="str" cm="1">
        <f t="array" ref="H5">UITranslateForValueTable("introChartLang", UITranslationTable[tag], UITranslationTable[], UITranslationTable[#Headers])</f>
        <v>Chart language:</v>
      </c>
      <c r="I5" s="67" t="s">
        <v>3</v>
      </c>
      <c r="J5" s="224"/>
      <c r="K5" s="53"/>
      <c r="L5" s="50"/>
    </row>
    <row r="6" spans="1:12" ht="16.05" customHeight="1" x14ac:dyDescent="0.3">
      <c r="A6" s="62"/>
      <c r="B6" s="222"/>
      <c r="C6" s="54"/>
      <c r="D6" s="225"/>
      <c r="E6" s="55"/>
      <c r="F6" s="55"/>
      <c r="G6" s="56"/>
      <c r="H6" s="56"/>
      <c r="I6" s="57"/>
      <c r="J6" s="225"/>
      <c r="K6" s="58"/>
      <c r="L6" s="50"/>
    </row>
    <row r="7" spans="1:12" x14ac:dyDescent="0.3">
      <c r="A7" s="62"/>
      <c r="B7" s="62"/>
      <c r="C7" s="62"/>
      <c r="D7" s="62"/>
      <c r="E7" s="62"/>
      <c r="F7" s="62"/>
      <c r="G7" s="62"/>
      <c r="H7" s="62"/>
      <c r="I7" s="62"/>
      <c r="J7" s="62"/>
      <c r="K7" s="62"/>
      <c r="L7" s="62"/>
    </row>
    <row r="8" spans="1:12" ht="16.05" customHeight="1" x14ac:dyDescent="0.3">
      <c r="A8" s="62"/>
      <c r="B8" s="167" t="str" cm="1">
        <f t="array" ref="B8">UITranslateForValueTable("introIntroTitle", UITranslationTable[tag], UITranslationTable[], UITranslationTable[#Headers])</f>
        <v>Introduction</v>
      </c>
      <c r="C8" s="50"/>
      <c r="D8" s="59"/>
      <c r="E8" s="60"/>
      <c r="F8" s="60"/>
      <c r="G8" s="60"/>
      <c r="H8" s="61"/>
      <c r="I8" s="50"/>
      <c r="J8" s="50"/>
      <c r="K8" s="62"/>
      <c r="L8" s="62"/>
    </row>
    <row r="9" spans="1:12" ht="36" customHeight="1" x14ac:dyDescent="0.3">
      <c r="A9" s="62"/>
      <c r="B9" s="194" t="str" cm="1">
        <f t="array" ref="B9">UITranslateForValueTable("introIntroText1", UITranslationTable[tag], UITranslationTable[], UITranslationTable[#Headers])</f>
        <v>RANAS Analyser is a tool used to perform a doer / non-doer analysis of a RANAS quantitative survey. It computes the difference in behavioural factors – called RANAS factors – between "doers" and "non-doers" of a predefined behaviour.</v>
      </c>
      <c r="C9" s="195"/>
      <c r="D9" s="195"/>
      <c r="E9" s="195"/>
      <c r="F9" s="195"/>
      <c r="G9" s="195"/>
      <c r="H9" s="195"/>
      <c r="I9" s="195"/>
      <c r="J9" s="195"/>
      <c r="K9" s="83"/>
      <c r="L9" s="62"/>
    </row>
    <row r="10" spans="1:12" ht="48" customHeight="1" x14ac:dyDescent="0.3">
      <c r="A10" s="62"/>
      <c r="B10" s="198" t="str" cm="1">
        <f t="array" aca="1" ref="B10" ca="1">UITranslateForValueTable("introIntroText2", UITranslationTable[tag], UITranslationTable[], UITranslationTable[#Headers])</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199"/>
      <c r="D10" s="199"/>
      <c r="E10" s="199"/>
      <c r="F10" s="199"/>
      <c r="G10" s="199"/>
      <c r="H10" s="199"/>
      <c r="I10" s="199"/>
      <c r="J10" s="199"/>
      <c r="K10" s="85"/>
      <c r="L10" s="62"/>
    </row>
    <row r="11" spans="1:12" ht="24" customHeight="1" x14ac:dyDescent="0.3">
      <c r="A11" s="62"/>
      <c r="B11" s="210" t="str" cm="1">
        <f t="array" aca="1" ref="B11" ca="1">UITranslateForValueTable("introIntroText3", UITranslationTable[tag], UITranslationTable[], UITranslationTable[#Headers])</f>
        <v>Errors detected by the RANAS Analyser (e.g., missing or inconsistent values) are highlighted in red and explanations are displayed in the two "Error messages" boards of the "Configuration" sheet.</v>
      </c>
      <c r="C11" s="211"/>
      <c r="D11" s="211"/>
      <c r="E11" s="211"/>
      <c r="F11" s="211"/>
      <c r="G11" s="211"/>
      <c r="H11" s="211"/>
      <c r="I11" s="211"/>
      <c r="J11" s="211"/>
      <c r="K11" s="87"/>
      <c r="L11" s="62"/>
    </row>
    <row r="12" spans="1:12" x14ac:dyDescent="0.3">
      <c r="A12" s="62"/>
      <c r="B12" s="62"/>
      <c r="C12" s="62"/>
      <c r="D12" s="62"/>
      <c r="E12" s="62"/>
      <c r="F12" s="62"/>
      <c r="G12" s="62"/>
      <c r="H12" s="62"/>
      <c r="I12" s="62"/>
      <c r="J12" s="62"/>
      <c r="K12" s="62"/>
      <c r="L12" s="62"/>
    </row>
    <row r="13" spans="1:12" ht="16.05" customHeight="1" x14ac:dyDescent="0.3">
      <c r="A13" s="62"/>
      <c r="B13" s="167" t="str" cm="1">
        <f t="array" ref="B13">UITranslateForValueTable("introCreditsTitle", UITranslationTable[tag], UITranslationTable[], UITranslationTable[#Headers])</f>
        <v>Credits</v>
      </c>
      <c r="C13" s="50"/>
      <c r="D13" s="59"/>
      <c r="E13" s="60"/>
      <c r="F13" s="60"/>
      <c r="G13" s="60"/>
      <c r="H13" s="61"/>
      <c r="I13" s="50"/>
      <c r="J13" s="50"/>
      <c r="K13" s="62"/>
      <c r="L13" s="62"/>
    </row>
    <row r="14" spans="1:12" ht="12" customHeight="1" x14ac:dyDescent="0.3">
      <c r="A14" s="62"/>
      <c r="B14" s="63"/>
      <c r="C14" s="64"/>
      <c r="D14" s="64"/>
      <c r="E14" s="64"/>
      <c r="F14" s="64"/>
      <c r="G14" s="64"/>
      <c r="H14" s="64"/>
      <c r="I14" s="64"/>
      <c r="J14" s="64"/>
      <c r="K14" s="83"/>
      <c r="L14" s="62"/>
    </row>
    <row r="15" spans="1:12" ht="66" customHeight="1" x14ac:dyDescent="0.3">
      <c r="A15" s="62"/>
      <c r="B15" s="212"/>
      <c r="C15" s="213"/>
      <c r="D15" s="213"/>
      <c r="E15" s="213"/>
      <c r="F15" s="213"/>
      <c r="G15" s="213"/>
      <c r="H15" s="213"/>
      <c r="I15" s="213"/>
      <c r="J15" s="213"/>
      <c r="K15" s="214"/>
      <c r="L15" s="128"/>
    </row>
    <row r="16" spans="1:12" ht="60" customHeight="1" x14ac:dyDescent="0.3">
      <c r="A16" s="62"/>
      <c r="B16" s="210" t="str" cm="1">
        <f t="array" ref="B16">UITranslateForValueTable("introCreditsText1", UITranslationTable[tag], UITranslationTable[], UITranslationTable[#Headers])</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11"/>
      <c r="D16" s="211"/>
      <c r="E16" s="211"/>
      <c r="F16" s="211"/>
      <c r="G16" s="211"/>
      <c r="H16" s="211"/>
      <c r="I16" s="211"/>
      <c r="J16" s="211"/>
      <c r="K16" s="129"/>
      <c r="L16" s="128"/>
    </row>
    <row r="17" spans="1:12" x14ac:dyDescent="0.3">
      <c r="A17" s="62"/>
      <c r="B17" s="62"/>
      <c r="C17" s="62"/>
      <c r="D17" s="62"/>
      <c r="E17" s="62"/>
      <c r="F17" s="62"/>
      <c r="G17" s="62"/>
      <c r="H17" s="62"/>
      <c r="I17" s="62"/>
      <c r="J17" s="62"/>
      <c r="K17" s="62"/>
      <c r="L17" s="62"/>
    </row>
    <row r="18" spans="1:12" ht="16.05" customHeight="1" x14ac:dyDescent="0.3">
      <c r="A18" s="62"/>
      <c r="B18" s="167" t="str" cm="1">
        <f t="array" ref="B18">UITranslateForValueTable("introLinksTitle", UITranslationTable[tag], UITranslationTable[], UITranslationTable[#Headers])</f>
        <v>Links</v>
      </c>
      <c r="C18" s="50"/>
      <c r="D18" s="59"/>
      <c r="E18" s="60"/>
      <c r="F18" s="60"/>
      <c r="G18" s="167" t="str" cm="1">
        <f t="array" ref="G18">UITranslateForValueTable("introLicenseTitle", UITranslationTable[tag], UITranslationTable[], UITranslationTable[#Headers])</f>
        <v>License</v>
      </c>
      <c r="H18" s="62"/>
      <c r="I18" s="50"/>
      <c r="J18" s="50"/>
      <c r="K18" s="62"/>
      <c r="L18" s="62"/>
    </row>
    <row r="19" spans="1:12" ht="24" customHeight="1" x14ac:dyDescent="0.3">
      <c r="A19" s="62"/>
      <c r="B19" s="194" t="str" cm="1">
        <f t="array" ref="B19">UITranslateForValueTable("introLinksText1", UITranslationTable[tag], UITranslationTable[], UITranslationTable[#Headers])</f>
        <v>The latest version of this file and additional documentation are available at this link:</v>
      </c>
      <c r="C19" s="195"/>
      <c r="D19" s="195"/>
      <c r="E19" s="170"/>
      <c r="F19" s="172"/>
      <c r="G19" s="207"/>
      <c r="H19" s="204" t="str" cm="1">
        <f t="array" ref="H19">UITranslateForValueTable("introLicenseText1", UITranslationTable[tag], UITranslationTable[], UITranslationTable[#Headers])</f>
        <v>This work is licensed under Creative Commons Attribution-NonCommercial-NoDerivatives 4.0 International (CC BY­NC­ND 4.0).
To view a copy of this license, visit:</v>
      </c>
      <c r="I19" s="205"/>
      <c r="J19" s="205"/>
      <c r="K19" s="83"/>
      <c r="L19" s="62"/>
    </row>
    <row r="20" spans="1:12" ht="24" customHeight="1" x14ac:dyDescent="0.3">
      <c r="A20" s="62"/>
      <c r="B20" s="196" t="str">
        <f>HYPERLINK(ranasAnalyserLink)</f>
        <v>https://ranas.ch/analyser/download</v>
      </c>
      <c r="C20" s="197"/>
      <c r="D20" s="197"/>
      <c r="E20" s="65"/>
      <c r="F20" s="62"/>
      <c r="G20" s="208"/>
      <c r="H20" s="206"/>
      <c r="I20" s="206"/>
      <c r="J20" s="206"/>
      <c r="K20" s="85"/>
      <c r="L20" s="62"/>
    </row>
    <row r="21" spans="1:12" ht="36" customHeight="1" x14ac:dyDescent="0.3">
      <c r="A21" s="62"/>
      <c r="B21" s="198" t="str" cm="1">
        <f t="array" ref="B21">UITranslateForValueTable("introLinksText2", UITranslationTable[tag], UITranslationTable[], UITranslationTable[#Headers])</f>
        <v>For more information about the RANAS methodology, you can visit the RANAS website (in English, but some documents are available in other languages):</v>
      </c>
      <c r="C21" s="199"/>
      <c r="D21" s="199"/>
      <c r="E21" s="171"/>
      <c r="F21" s="62"/>
      <c r="G21" s="208"/>
      <c r="H21" s="206"/>
      <c r="I21" s="206"/>
      <c r="J21" s="206"/>
      <c r="K21" s="85"/>
      <c r="L21" s="62"/>
    </row>
    <row r="22" spans="1:12" ht="24" customHeight="1" x14ac:dyDescent="0.3">
      <c r="A22" s="62"/>
      <c r="B22" s="200" t="str">
        <f>HYPERLINK(ranasWebsiteLink)</f>
        <v>https://ranas.ch</v>
      </c>
      <c r="C22" s="201"/>
      <c r="D22" s="201"/>
      <c r="E22" s="66"/>
      <c r="F22" s="62"/>
      <c r="G22" s="209"/>
      <c r="H22" s="202" t="str" cm="1">
        <f t="array" ref="H22">HYPERLINK(
    UITranslateForValueTable("introLicenseLink", UITranslationTable[tag], UITranslationTable[], UITranslationTable[#Headers])
  )</f>
        <v>https://creativecommons.org/licenses/by-nc-nd/4.0/</v>
      </c>
      <c r="I22" s="203"/>
      <c r="J22" s="203"/>
      <c r="K22" s="87"/>
      <c r="L22" s="62"/>
    </row>
    <row r="23" spans="1:12" x14ac:dyDescent="0.3">
      <c r="A23" s="62"/>
      <c r="B23" s="62"/>
      <c r="C23" s="62"/>
      <c r="D23" s="62"/>
      <c r="E23" s="62"/>
      <c r="F23" s="62"/>
      <c r="G23" s="62"/>
      <c r="H23" s="62"/>
      <c r="I23" s="62"/>
      <c r="J23" s="62"/>
      <c r="K23" s="62"/>
      <c r="L23" s="62"/>
    </row>
  </sheetData>
  <sheetProtection algorithmName="SHA-512" hashValue="X9NFIgV6+P27EoPdXhTt0fRJm9hpJNQeROwZI+kBL71lm9TajCiSlsZN8G5FVlV7Z75Skq1Tr6YHK/1cCw2eeg==" saltValue="Gk5E3iBtQNcqVPX9j/o8Rw==" spinCount="100000" sheet="1" objects="1" scenarios="1"/>
  <mergeCells count="18">
    <mergeCell ref="B1:K1"/>
    <mergeCell ref="B2:K2"/>
    <mergeCell ref="B3:K3"/>
    <mergeCell ref="B4:B6"/>
    <mergeCell ref="D4:D6"/>
    <mergeCell ref="J4:J6"/>
    <mergeCell ref="B10:J10"/>
    <mergeCell ref="B9:J9"/>
    <mergeCell ref="B11:J11"/>
    <mergeCell ref="B16:J16"/>
    <mergeCell ref="B15:K15"/>
    <mergeCell ref="B19:D19"/>
    <mergeCell ref="B20:D20"/>
    <mergeCell ref="B21:D21"/>
    <mergeCell ref="B22:D22"/>
    <mergeCell ref="H22:J22"/>
    <mergeCell ref="H19:J21"/>
    <mergeCell ref="G19:G22"/>
  </mergeCells>
  <conditionalFormatting sqref="C5">
    <cfRule type="expression" dxfId="39" priority="2">
      <formula>ISERROR(MATCH(UILanguage, UILanguageList, 0))</formula>
    </cfRule>
  </conditionalFormatting>
  <conditionalFormatting sqref="I5">
    <cfRule type="expression" dxfId="38" priority="1">
      <formula>ISERROR(MATCH(chartLanguage, chartLanguageList, 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90" zoomScaleNormal="90" workbookViewId="0">
      <selection activeCell="E16" sqref="E16"/>
    </sheetView>
  </sheetViews>
  <sheetFormatPr defaultColWidth="0" defaultRowHeight="14.4" zeroHeight="1" x14ac:dyDescent="0.3"/>
  <cols>
    <col min="1" max="1" width="1.6640625" style="1" customWidth="1"/>
    <col min="2" max="2" width="1.6640625" style="9" customWidth="1"/>
    <col min="3" max="3" width="10.6640625" style="9" customWidth="1"/>
    <col min="4" max="4" width="16.6640625" style="10" customWidth="1"/>
    <col min="5" max="5" width="21.6640625" style="1" customWidth="1"/>
    <col min="6" max="7" width="10.6640625" style="1" customWidth="1"/>
    <col min="8" max="12" width="21.6640625" style="1" customWidth="1"/>
    <col min="13" max="13" width="21.6640625" style="12" customWidth="1"/>
    <col min="14" max="14" width="21.6640625" style="1" customWidth="1"/>
    <col min="15" max="15" width="1.6640625" style="1" customWidth="1"/>
    <col min="16" max="16" width="15.88671875" style="1" hidden="1" customWidth="1"/>
    <col min="17" max="17" width="8.6640625" style="1" hidden="1" customWidth="1"/>
    <col min="18" max="18" width="20.44140625" style="12" hidden="1" customWidth="1"/>
    <col min="19" max="19" width="21.33203125" style="12" hidden="1" customWidth="1"/>
    <col min="20" max="20" width="1.6640625" style="12" customWidth="1"/>
    <col min="21" max="16384" width="8.88671875" style="1" hidden="1"/>
  </cols>
  <sheetData>
    <row r="1" spans="1:20" ht="19.95" customHeight="1" x14ac:dyDescent="0.3">
      <c r="A1" s="62"/>
      <c r="B1" s="74"/>
      <c r="C1" s="121"/>
      <c r="D1" s="115"/>
      <c r="E1" s="62"/>
      <c r="F1" s="62"/>
      <c r="G1" s="62"/>
      <c r="H1" s="62"/>
      <c r="I1" s="62"/>
      <c r="J1" s="62"/>
      <c r="K1" s="122"/>
      <c r="L1" s="62"/>
      <c r="M1" s="123"/>
      <c r="N1" s="62"/>
      <c r="O1" s="62"/>
      <c r="P1" s="62"/>
      <c r="Q1" s="62"/>
      <c r="R1" s="62"/>
      <c r="S1" s="62"/>
      <c r="T1" s="62"/>
    </row>
    <row r="2" spans="1:20" ht="19.95" customHeight="1" x14ac:dyDescent="0.3">
      <c r="A2" s="50"/>
      <c r="B2" s="93"/>
      <c r="C2" s="111" t="str" cm="1">
        <f t="array" ref="C2">UITranslateForValueTable("configImportTitle", UITranslationTable[tag], UITranslationTable[], UITranslationTable[#Headers])</f>
        <v>1. Data import</v>
      </c>
      <c r="D2" s="50"/>
      <c r="E2" s="50"/>
      <c r="F2" s="50"/>
      <c r="G2" s="50"/>
      <c r="H2" s="50"/>
      <c r="I2" s="50"/>
      <c r="J2" s="50"/>
      <c r="K2" s="50"/>
      <c r="L2" s="50"/>
      <c r="M2" s="117"/>
      <c r="N2" s="117"/>
      <c r="O2" s="117"/>
      <c r="P2" s="117"/>
      <c r="Q2" s="62"/>
      <c r="R2" s="62"/>
      <c r="S2" s="62"/>
      <c r="T2" s="62"/>
    </row>
    <row r="3" spans="1:20" ht="90" customHeight="1" x14ac:dyDescent="0.6">
      <c r="A3" s="50"/>
      <c r="B3" s="63"/>
      <c r="C3" s="204" t="str" cm="1">
        <f t="array" ref="C3">UITranslateForValueTable("configImportText1", UITranslationTable[tag], UITranslationTable[], UITranslationTable[#Headers])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05"/>
      <c r="E3" s="205"/>
      <c r="F3" s="205"/>
      <c r="G3" s="205"/>
      <c r="H3" s="205"/>
      <c r="I3" s="205"/>
      <c r="J3" s="205"/>
      <c r="K3" s="272"/>
      <c r="L3" s="276" t="str" cm="1">
        <f t="array" ref="L3">"RANAS Analyser v" &amp; versionNumber</f>
        <v>RANAS Analyser v1.0.1</v>
      </c>
      <c r="M3" s="277"/>
      <c r="N3" s="277"/>
      <c r="O3" s="277"/>
      <c r="P3" s="62"/>
      <c r="Q3" s="62"/>
      <c r="R3" s="62"/>
      <c r="S3" s="62"/>
      <c r="T3" s="62"/>
    </row>
    <row r="4" spans="1:20" ht="16.2" customHeight="1" x14ac:dyDescent="0.3">
      <c r="A4" s="50"/>
      <c r="B4" s="169"/>
      <c r="C4" s="261" t="str" cm="1">
        <f t="array" ref="C4">UITranslateForValueTable("configImportText2", UITranslationTable[tag], UITranslationTable[], UITranslationTable[#Headers])</f>
        <v>Then, you must copy this data file as a new spreadsheet in this Excel workbook and rename this new sheet "data" (without the quotes).</v>
      </c>
      <c r="D4" s="206"/>
      <c r="E4" s="206"/>
      <c r="F4" s="206"/>
      <c r="G4" s="206"/>
      <c r="H4" s="206"/>
      <c r="I4" s="206"/>
      <c r="J4" s="206"/>
      <c r="K4" s="278"/>
      <c r="L4" s="279" t="s">
        <v>305</v>
      </c>
      <c r="M4" s="280"/>
      <c r="N4" s="280"/>
      <c r="O4" s="118"/>
      <c r="P4" s="62"/>
      <c r="Q4" s="62"/>
      <c r="R4" s="62"/>
      <c r="S4" s="62"/>
      <c r="T4" s="62"/>
    </row>
    <row r="5" spans="1:20" ht="36" customHeight="1" x14ac:dyDescent="0.3">
      <c r="A5" s="50"/>
      <c r="B5" s="81"/>
      <c r="C5" s="273" t="str" cm="1">
        <f t="array" ref="C5">UITranslateForValueTable("configImportText3", UITranslationTable[tag], UITranslationTable[], UITranslationTable[#Headers])</f>
        <v>CAUTION: You should ALWAYS import your data as a new spreadsheet, because simply pasting new data in an existing "data" sheet could produce unexpected and undesirable results.</v>
      </c>
      <c r="D5" s="274"/>
      <c r="E5" s="274"/>
      <c r="F5" s="274"/>
      <c r="G5" s="274"/>
      <c r="H5" s="274"/>
      <c r="I5" s="274"/>
      <c r="J5" s="274"/>
      <c r="K5" s="275"/>
      <c r="L5" s="281"/>
      <c r="M5" s="280"/>
      <c r="N5" s="280"/>
      <c r="O5" s="119"/>
      <c r="P5" s="62"/>
      <c r="Q5" s="62"/>
      <c r="R5" s="62"/>
      <c r="S5" s="62"/>
      <c r="T5" s="62"/>
    </row>
    <row r="6" spans="1:20" x14ac:dyDescent="0.3">
      <c r="A6" s="62"/>
      <c r="B6" s="62"/>
      <c r="C6" s="62"/>
      <c r="D6" s="62"/>
      <c r="E6" s="62"/>
      <c r="F6" s="62"/>
      <c r="G6" s="62"/>
      <c r="H6" s="62"/>
      <c r="I6" s="62"/>
      <c r="J6" s="116"/>
      <c r="K6" s="62"/>
      <c r="L6" s="62"/>
      <c r="M6" s="117"/>
      <c r="N6" s="117"/>
      <c r="O6" s="117"/>
      <c r="P6" s="117"/>
      <c r="Q6" s="62"/>
      <c r="R6" s="62"/>
      <c r="S6" s="62"/>
      <c r="T6" s="62"/>
    </row>
    <row r="7" spans="1:20" ht="19.95" customHeight="1" thickBot="1" x14ac:dyDescent="0.35">
      <c r="A7" s="62"/>
      <c r="B7" s="62"/>
      <c r="C7" s="111" t="str" cm="1">
        <f t="array" ref="C7">UITranslateForValueTable("configBehaviourTitle", UITranslationTable[tag], UITranslationTable[], UITranslationTable[#Headers])</f>
        <v>2. Behaviour</v>
      </c>
      <c r="D7" s="62"/>
      <c r="E7" s="62"/>
      <c r="F7" s="62"/>
      <c r="G7" s="62"/>
      <c r="H7" s="62"/>
      <c r="I7" s="62"/>
      <c r="J7" s="62"/>
      <c r="K7" s="62"/>
      <c r="L7" s="228" t="str" cm="1">
        <f t="array" ref="L7">UITranslateForValueTable("configErrorMessages", UITranslationTable[tag], UITranslationTable[], UITranslationTable[#Headers])</f>
        <v>Error Messages</v>
      </c>
      <c r="M7" s="229"/>
      <c r="N7" s="229"/>
      <c r="O7" s="117"/>
      <c r="P7" s="117"/>
      <c r="Q7" s="62"/>
      <c r="R7" s="62"/>
      <c r="S7" s="62"/>
      <c r="T7" s="62"/>
    </row>
    <row r="8" spans="1:20" ht="46.2" customHeight="1" x14ac:dyDescent="0.3">
      <c r="A8" s="62"/>
      <c r="B8" s="63"/>
      <c r="C8" s="226" t="str" cm="1">
        <f t="array" ref="C8">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D8" s="227"/>
      <c r="E8" s="227"/>
      <c r="F8" s="227"/>
      <c r="G8" s="227"/>
      <c r="H8" s="227"/>
      <c r="I8" s="227"/>
      <c r="J8" s="227"/>
      <c r="K8" s="227"/>
      <c r="L8" s="230" t="str" cm="1">
        <f t="array" aca="1" ref="L8" ca="1">errorMessages</f>
        <v xml:space="preserve">
1. The "data" sheet cannot be found. Make sure you have imported your data file as a new spreadsheet in this Excel workbook and renamed that sheet "data" (without quotes).</v>
      </c>
      <c r="M8" s="231"/>
      <c r="N8" s="231"/>
      <c r="O8" s="232"/>
      <c r="P8" s="117"/>
      <c r="Q8" s="62"/>
      <c r="R8" s="62"/>
      <c r="S8" s="62"/>
      <c r="T8" s="62"/>
    </row>
    <row r="9" spans="1:20" ht="64.2" customHeight="1" x14ac:dyDescent="0.3">
      <c r="A9" s="62"/>
      <c r="B9" s="169"/>
      <c r="C9" s="261" t="str" cm="1">
        <f t="array" ref="C9">UITranslateForValueTable("configBehaviourText1", UITranslationTable[tag], UITranslationTable[], UITranslationTable[#Headers])</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06"/>
      <c r="E9" s="206"/>
      <c r="F9" s="206"/>
      <c r="G9" s="206"/>
      <c r="H9" s="206"/>
      <c r="I9" s="206"/>
      <c r="J9" s="206"/>
      <c r="K9" s="206"/>
      <c r="L9" s="233"/>
      <c r="M9" s="234"/>
      <c r="N9" s="234"/>
      <c r="O9" s="235"/>
      <c r="P9" s="117"/>
      <c r="Q9" s="62"/>
      <c r="R9" s="62"/>
      <c r="S9" s="62"/>
      <c r="T9" s="62"/>
    </row>
    <row r="10" spans="1:20" ht="16.2" customHeight="1" x14ac:dyDescent="0.3">
      <c r="A10" s="62"/>
      <c r="B10" s="169"/>
      <c r="C10" s="241" t="str" cm="1">
        <f t="array" ref="C10">UITranslateForValueTable("configInThisTable", UITranslationTable[tag], UITranslationTable[], UITranslationTable[#Headers])</f>
        <v>In this table:</v>
      </c>
      <c r="D10" s="242"/>
      <c r="E10" s="242"/>
      <c r="F10" s="242"/>
      <c r="G10" s="242"/>
      <c r="H10" s="242"/>
      <c r="I10" s="242"/>
      <c r="J10" s="242"/>
      <c r="K10" s="243"/>
      <c r="L10" s="233"/>
      <c r="M10" s="234"/>
      <c r="N10" s="234"/>
      <c r="O10" s="235"/>
      <c r="P10" s="117"/>
      <c r="Q10" s="62"/>
      <c r="R10" s="62"/>
      <c r="S10" s="62"/>
      <c r="T10" s="62"/>
    </row>
    <row r="11" spans="1:20" ht="36" customHeight="1" x14ac:dyDescent="0.3">
      <c r="A11" s="62"/>
      <c r="B11" s="169"/>
      <c r="C11" s="266" t="str" cm="1">
        <f t="array" ref="C11">UITranslateForValueTable("configBehaviourText2", UITranslationTable[tag], UITranslationTable[], UITranslationTable[#Headers])</f>
        <v>a. You MUST enter the data headers for the (groups of) questions that you want to include in the behaviour score, EXACTLY as they appear in your "data" sheet.</v>
      </c>
      <c r="D11" s="224"/>
      <c r="E11" s="224"/>
      <c r="F11" s="224"/>
      <c r="G11" s="224"/>
      <c r="H11" s="224"/>
      <c r="I11" s="224"/>
      <c r="J11" s="224"/>
      <c r="K11" s="224"/>
      <c r="L11" s="233"/>
      <c r="M11" s="234"/>
      <c r="N11" s="234"/>
      <c r="O11" s="235"/>
      <c r="P11" s="117"/>
      <c r="Q11" s="62"/>
      <c r="R11" s="62"/>
      <c r="S11" s="62"/>
      <c r="T11" s="62"/>
    </row>
    <row r="12" spans="1:20" ht="55.95" customHeight="1" x14ac:dyDescent="0.3">
      <c r="A12" s="62"/>
      <c r="B12" s="169"/>
      <c r="C12" s="266" t="str" cm="1">
        <f t="array" ref="C12">UITranslateForValueTable("configBehaviourText3", UITranslationTable[tag], UITranslationTable[], UITranslationTable[#Headers])</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24"/>
      <c r="E12" s="224"/>
      <c r="F12" s="224"/>
      <c r="G12" s="224"/>
      <c r="H12" s="224"/>
      <c r="I12" s="224"/>
      <c r="J12" s="224"/>
      <c r="K12" s="224"/>
      <c r="L12" s="233"/>
      <c r="M12" s="234"/>
      <c r="N12" s="234"/>
      <c r="O12" s="235"/>
      <c r="P12" s="117"/>
      <c r="Q12" s="62"/>
      <c r="R12" s="62"/>
      <c r="S12" s="62"/>
      <c r="T12" s="62"/>
    </row>
    <row r="13" spans="1:20" ht="36" customHeight="1" x14ac:dyDescent="0.3">
      <c r="A13" s="62"/>
      <c r="B13" s="169"/>
      <c r="C13" s="266" t="str" cm="1">
        <f t="array" ref="C13">UITranslateForValueTable("configBehaviourText4", UITranslationTable[tag], UITranslationTable[], UITranslationTable[#Headers])</f>
        <v>c. You MUST use the drop-down menu in the "Include?" column to select (✔) or deselect (✘) each entry in the table. Only the selected entries will be used to compute the behaviour score. This allows you to test different combinations of questions.</v>
      </c>
      <c r="D13" s="224"/>
      <c r="E13" s="224"/>
      <c r="F13" s="224"/>
      <c r="G13" s="224"/>
      <c r="H13" s="224"/>
      <c r="I13" s="224"/>
      <c r="J13" s="224"/>
      <c r="K13" s="224"/>
      <c r="L13" s="233"/>
      <c r="M13" s="234"/>
      <c r="N13" s="234"/>
      <c r="O13" s="235"/>
      <c r="P13" s="117"/>
      <c r="Q13" s="62"/>
      <c r="R13" s="62"/>
      <c r="S13" s="62"/>
      <c r="T13" s="62"/>
    </row>
    <row r="14" spans="1:20" ht="14.4" customHeight="1" thickBot="1" x14ac:dyDescent="0.35">
      <c r="A14" s="62"/>
      <c r="B14" s="103"/>
      <c r="C14" s="69" t="str" cm="1">
        <f t="array" ref="C14">UITranslateForValueTable("configBehaviourInclude", UITranslationTable[tag], UITranslationTable[], UITranslationTable[#Headers])</f>
        <v>Include?</v>
      </c>
      <c r="D14" s="69" t="str" cm="1">
        <f t="array" ref="D14">UITranslateForValueTable("configBehaviourNum", UITranslationTable[tag], UITranslationTable[], UITranslationTable[#Headers])</f>
        <v>Behaviour #</v>
      </c>
      <c r="E14" s="68" t="str" cm="1">
        <f t="array" ref="E14">UITranslateForValueTable("configDataHeader", UITranslationTable[tag], UITranslationTable[], UITranslationTable[#Headers])</f>
        <v>Data header</v>
      </c>
      <c r="F14" s="68" t="str" cm="1">
        <f t="array" ref="F14">UITranslateForValueTable("configMinScore", UITranslationTable[tag], UITranslationTable[], UITranslationTable[#Headers])</f>
        <v>Min. score</v>
      </c>
      <c r="G14" s="68" t="str" cm="1">
        <f t="array" ref="G14">UITranslateForValueTable("configMaxScore", UITranslationTable[tag], UITranslationTable[], UITranslationTable[#Headers])</f>
        <v>Max. score</v>
      </c>
      <c r="H14" s="68" t="str" cm="1">
        <f t="array" ref="H14">UITranslateForValueTable("configNumResponses", UITranslationTable[tag], UITranslationTable[], UITranslationTable[#Headers])</f>
        <v># of responses</v>
      </c>
      <c r="I14" s="68" t="str" cm="1">
        <f t="array" ref="I14">UITranslateForValueTable("configNumBlanks", UITranslationTable[tag], UITranslationTable[], UITranslationTable[#Headers])</f>
        <v># of blank responses</v>
      </c>
      <c r="J14" s="267" t="str" cm="1">
        <f t="array" ref="J14">UITranslateForValueTable("configNumRespInfo", UITranslationTable[tag], UITranslationTable[], UITranslationTable[#Headers])</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68"/>
      <c r="L14" s="233"/>
      <c r="M14" s="234"/>
      <c r="N14" s="234"/>
      <c r="O14" s="235"/>
      <c r="P14" s="62"/>
      <c r="Q14" s="62"/>
      <c r="R14" s="62"/>
      <c r="S14" s="62"/>
      <c r="T14" s="62"/>
    </row>
    <row r="15" spans="1:20" ht="14.4" hidden="1" customHeight="1" thickBot="1" x14ac:dyDescent="0.35">
      <c r="A15" s="62"/>
      <c r="B15" s="169"/>
      <c r="C15" s="3" t="s">
        <v>147</v>
      </c>
      <c r="D15" s="2" t="s">
        <v>1</v>
      </c>
      <c r="E15" s="3" t="s">
        <v>65</v>
      </c>
      <c r="F15" s="3" t="s">
        <v>66</v>
      </c>
      <c r="G15" s="3" t="s">
        <v>67</v>
      </c>
      <c r="H15" s="2" t="s">
        <v>35</v>
      </c>
      <c r="I15" s="2" t="s">
        <v>79</v>
      </c>
      <c r="J15" s="267"/>
      <c r="K15" s="268"/>
      <c r="L15" s="233"/>
      <c r="M15" s="234"/>
      <c r="N15" s="234"/>
      <c r="O15" s="235"/>
      <c r="P15" s="62"/>
      <c r="Q15" s="62"/>
      <c r="R15" s="62"/>
      <c r="S15" s="62"/>
      <c r="T15" s="62"/>
    </row>
    <row r="16" spans="1:20" ht="14.4" customHeight="1" x14ac:dyDescent="0.3">
      <c r="A16" s="62"/>
      <c r="B16" s="169"/>
      <c r="C16" s="107"/>
      <c r="D16" s="155" cm="1">
        <f t="array" ref="D16">ROW()-ROW(behaviourConfigTable[#Headers])</f>
        <v>1</v>
      </c>
      <c r="E16" s="13"/>
      <c r="F16" s="24"/>
      <c r="G16" s="29"/>
      <c r="H16" s="149" t="str">
        <f>_xlfn.XLOOKUP(behaviourConfigTable[[#This Row],[index]], behaviourTable[index], behaviourTable[numResponses])</f>
        <v/>
      </c>
      <c r="I16" s="150" t="str">
        <f>_xlfn.XLOOKUP(behaviourConfigTable[[#This Row],[index]], behaviourTable[index], behaviourTable[numBlanks])</f>
        <v/>
      </c>
      <c r="J16" s="267"/>
      <c r="K16" s="268"/>
      <c r="L16" s="233"/>
      <c r="M16" s="234"/>
      <c r="N16" s="234"/>
      <c r="O16" s="235"/>
      <c r="P16" s="62"/>
      <c r="Q16" s="62"/>
      <c r="R16" s="62"/>
      <c r="S16" s="62"/>
      <c r="T16" s="62"/>
    </row>
    <row r="17" spans="1:20" ht="14.4" customHeight="1" x14ac:dyDescent="0.3">
      <c r="A17" s="62"/>
      <c r="B17" s="169"/>
      <c r="C17" s="108"/>
      <c r="D17" s="156" cm="1">
        <f t="array" ref="D17">ROW()-ROW(behaviourConfigTable[#Headers])</f>
        <v>2</v>
      </c>
      <c r="E17" s="16"/>
      <c r="F17" s="25"/>
      <c r="G17" s="30"/>
      <c r="H17" s="151" t="str">
        <f>_xlfn.XLOOKUP(behaviourConfigTable[[#This Row],[index]], behaviourTable[index], behaviourTable[numResponses])</f>
        <v/>
      </c>
      <c r="I17" s="152" t="str">
        <f>_xlfn.XLOOKUP(behaviourConfigTable[[#This Row],[index]], behaviourTable[index], behaviourTable[numBlanks])</f>
        <v/>
      </c>
      <c r="J17" s="267"/>
      <c r="K17" s="268"/>
      <c r="L17" s="233"/>
      <c r="M17" s="234"/>
      <c r="N17" s="234"/>
      <c r="O17" s="235"/>
      <c r="P17" s="62"/>
      <c r="Q17" s="62"/>
      <c r="R17" s="62"/>
      <c r="S17" s="62"/>
      <c r="T17" s="62"/>
    </row>
    <row r="18" spans="1:20" ht="14.4" customHeight="1" x14ac:dyDescent="0.3">
      <c r="A18" s="62"/>
      <c r="B18" s="169"/>
      <c r="C18" s="108"/>
      <c r="D18" s="156" cm="1">
        <f t="array" ref="D18">ROW()-ROW(behaviourConfigTable[#Headers])</f>
        <v>3</v>
      </c>
      <c r="E18" s="16"/>
      <c r="F18" s="25"/>
      <c r="G18" s="30"/>
      <c r="H18" s="151" t="str">
        <f>_xlfn.XLOOKUP(behaviourConfigTable[[#This Row],[index]], behaviourTable[index], behaviourTable[numResponses])</f>
        <v/>
      </c>
      <c r="I18" s="152" t="str">
        <f>_xlfn.XLOOKUP(behaviourConfigTable[[#This Row],[index]], behaviourTable[index], behaviourTable[numBlanks])</f>
        <v/>
      </c>
      <c r="J18" s="267"/>
      <c r="K18" s="268"/>
      <c r="L18" s="233"/>
      <c r="M18" s="234"/>
      <c r="N18" s="234"/>
      <c r="O18" s="235"/>
      <c r="P18" s="62"/>
      <c r="Q18" s="62"/>
      <c r="R18" s="62"/>
      <c r="S18" s="62"/>
      <c r="T18" s="62"/>
    </row>
    <row r="19" spans="1:20" ht="14.4" customHeight="1" x14ac:dyDescent="0.3">
      <c r="A19" s="62"/>
      <c r="B19" s="169"/>
      <c r="C19" s="108"/>
      <c r="D19" s="156" cm="1">
        <f t="array" ref="D19">ROW()-ROW(behaviourConfigTable[#Headers])</f>
        <v>4</v>
      </c>
      <c r="E19" s="16"/>
      <c r="F19" s="25"/>
      <c r="G19" s="30"/>
      <c r="H19" s="151" t="str">
        <f>_xlfn.XLOOKUP(behaviourConfigTable[[#This Row],[index]], behaviourTable[index], behaviourTable[numResponses])</f>
        <v/>
      </c>
      <c r="I19" s="152" t="str">
        <f>_xlfn.XLOOKUP(behaviourConfigTable[[#This Row],[index]], behaviourTable[index], behaviourTable[numBlanks])</f>
        <v/>
      </c>
      <c r="J19" s="267"/>
      <c r="K19" s="268"/>
      <c r="L19" s="233"/>
      <c r="M19" s="234"/>
      <c r="N19" s="234"/>
      <c r="O19" s="235"/>
      <c r="P19" s="62"/>
      <c r="Q19" s="62"/>
      <c r="R19" s="62"/>
      <c r="S19" s="62"/>
      <c r="T19" s="62"/>
    </row>
    <row r="20" spans="1:20" ht="14.4" customHeight="1" thickBot="1" x14ac:dyDescent="0.35">
      <c r="A20" s="62"/>
      <c r="B20" s="169"/>
      <c r="C20" s="109"/>
      <c r="D20" s="157" cm="1">
        <f t="array" ref="D20">ROW()-ROW(behaviourConfigTable[#Headers])</f>
        <v>5</v>
      </c>
      <c r="E20" s="19"/>
      <c r="F20" s="31"/>
      <c r="G20" s="32"/>
      <c r="H20" s="153" t="str">
        <f>_xlfn.XLOOKUP(behaviourConfigTable[[#This Row],[index]], behaviourTable[index], behaviourTable[numResponses])</f>
        <v/>
      </c>
      <c r="I20" s="154" t="str">
        <f>_xlfn.XLOOKUP(behaviourConfigTable[[#This Row],[index]], behaviourTable[index], behaviourTable[numBlanks])</f>
        <v/>
      </c>
      <c r="J20" s="267"/>
      <c r="K20" s="268"/>
      <c r="L20" s="233"/>
      <c r="M20" s="234"/>
      <c r="N20" s="234"/>
      <c r="O20" s="235"/>
      <c r="P20" s="62"/>
      <c r="Q20" s="62"/>
      <c r="R20" s="62"/>
      <c r="S20" s="62"/>
      <c r="T20" s="62"/>
    </row>
    <row r="21" spans="1:20" ht="14.4" customHeight="1" x14ac:dyDescent="0.3">
      <c r="A21" s="62"/>
      <c r="B21" s="103"/>
      <c r="C21" s="269" t="str" cm="1">
        <f t="array" ref="C21">UITranslateForValueTable("configNumScoresInfo", UITranslationTable[tag], UITranslationTable[], UITranslationTable[#Headers])</f>
        <v>ⓘ The number of scores corresponds to the number of respondents who answered at least one SELECTED "behaviour" question (i.e., a score could be calculated). The number of blank scores is the number of respondents who answered none of the selected "behaviour" questions.</v>
      </c>
      <c r="D21" s="270"/>
      <c r="E21" s="270"/>
      <c r="F21" s="270"/>
      <c r="G21" s="270"/>
      <c r="H21" s="50"/>
      <c r="I21" s="50"/>
      <c r="J21" s="267"/>
      <c r="K21" s="268"/>
      <c r="L21" s="233"/>
      <c r="M21" s="234"/>
      <c r="N21" s="234"/>
      <c r="O21" s="235"/>
      <c r="P21" s="62"/>
      <c r="Q21" s="62"/>
      <c r="R21" s="62"/>
      <c r="S21" s="62"/>
      <c r="T21" s="62"/>
    </row>
    <row r="22" spans="1:20" ht="14.4" customHeight="1" x14ac:dyDescent="0.3">
      <c r="A22" s="62"/>
      <c r="B22" s="103"/>
      <c r="C22" s="270"/>
      <c r="D22" s="270"/>
      <c r="E22" s="270"/>
      <c r="F22" s="270"/>
      <c r="G22" s="270"/>
      <c r="H22" s="71" t="str" cm="1">
        <f t="array" ref="H22">UITranslateForValueTable("configNumScores", UITranslationTable[tag], UITranslationTable[], UITranslationTable[#Headers])</f>
        <v># of scores</v>
      </c>
      <c r="I22" s="71" t="str" cm="1">
        <f t="array" ref="I22">UITranslateForValueTable("configNumBlankScores", UITranslationTable[tag], UITranslationTable[], UITranslationTable[#Headers])</f>
        <v># of blank scores</v>
      </c>
      <c r="J22" s="91"/>
      <c r="K22" s="91"/>
      <c r="L22" s="233"/>
      <c r="M22" s="234"/>
      <c r="N22" s="234"/>
      <c r="O22" s="235"/>
      <c r="P22" s="62"/>
      <c r="Q22" s="62"/>
      <c r="R22" s="62"/>
      <c r="S22" s="62"/>
      <c r="T22" s="62"/>
    </row>
    <row r="23" spans="1:20" ht="14.4" hidden="1" customHeight="1" thickBot="1" x14ac:dyDescent="0.35">
      <c r="A23" s="62"/>
      <c r="B23" s="103"/>
      <c r="C23" s="270"/>
      <c r="D23" s="270"/>
      <c r="E23" s="270"/>
      <c r="F23" s="270"/>
      <c r="G23" s="270"/>
      <c r="H23" s="7" t="s">
        <v>80</v>
      </c>
      <c r="I23" s="7" t="s">
        <v>81</v>
      </c>
      <c r="J23" s="91"/>
      <c r="K23" s="91"/>
      <c r="L23" s="233"/>
      <c r="M23" s="234"/>
      <c r="N23" s="234"/>
      <c r="O23" s="235"/>
      <c r="P23" s="62"/>
      <c r="Q23" s="62"/>
      <c r="R23" s="62"/>
      <c r="S23" s="62"/>
      <c r="T23" s="62"/>
    </row>
    <row r="24" spans="1:20" ht="14.4" customHeight="1" x14ac:dyDescent="0.3">
      <c r="A24" s="62"/>
      <c r="B24" s="103"/>
      <c r="C24" s="270"/>
      <c r="D24" s="270"/>
      <c r="E24" s="270"/>
      <c r="F24" s="270"/>
      <c r="G24" s="270"/>
      <c r="H24" s="158" cm="1">
        <f t="array" ref="H24">numScores</f>
        <v>0</v>
      </c>
      <c r="I24" s="158" t="e" cm="1">
        <f t="array" aca="1" ref="I24" ca="1">numEntries - numScores</f>
        <v>#N/A</v>
      </c>
      <c r="J24" s="91"/>
      <c r="K24" s="91"/>
      <c r="L24" s="233"/>
      <c r="M24" s="234"/>
      <c r="N24" s="234"/>
      <c r="O24" s="235"/>
      <c r="P24" s="62"/>
      <c r="Q24" s="62"/>
      <c r="R24" s="62"/>
      <c r="S24" s="62"/>
      <c r="T24" s="62"/>
    </row>
    <row r="25" spans="1:20" ht="19.95" customHeight="1" x14ac:dyDescent="0.3">
      <c r="A25" s="62"/>
      <c r="B25" s="104"/>
      <c r="C25" s="271"/>
      <c r="D25" s="271"/>
      <c r="E25" s="271"/>
      <c r="F25" s="271"/>
      <c r="G25" s="271"/>
      <c r="H25" s="82"/>
      <c r="I25" s="82"/>
      <c r="J25" s="82"/>
      <c r="K25" s="82"/>
      <c r="L25" s="233"/>
      <c r="M25" s="234"/>
      <c r="N25" s="234"/>
      <c r="O25" s="235"/>
      <c r="P25" s="62"/>
      <c r="Q25" s="62"/>
      <c r="R25" s="62"/>
      <c r="S25" s="62"/>
      <c r="T25" s="62"/>
    </row>
    <row r="26" spans="1:20" ht="14.4" customHeight="1" x14ac:dyDescent="0.3">
      <c r="A26" s="62"/>
      <c r="B26" s="105"/>
      <c r="C26" s="110"/>
      <c r="D26" s="110"/>
      <c r="E26" s="110"/>
      <c r="F26" s="110"/>
      <c r="G26" s="110"/>
      <c r="H26" s="50"/>
      <c r="I26" s="50"/>
      <c r="J26" s="50"/>
      <c r="K26" s="50"/>
      <c r="L26" s="233"/>
      <c r="M26" s="234"/>
      <c r="N26" s="234"/>
      <c r="O26" s="235"/>
      <c r="P26" s="62"/>
      <c r="Q26" s="62"/>
      <c r="R26" s="62"/>
      <c r="S26" s="62"/>
      <c r="T26" s="62"/>
    </row>
    <row r="27" spans="1:20" ht="19.95" customHeight="1" x14ac:dyDescent="0.3">
      <c r="A27" s="62"/>
      <c r="B27" s="105"/>
      <c r="C27" s="111" t="str" cm="1">
        <f t="array" ref="C27">UITranslateForValueTable("configFactorsTitle", UITranslationTable[tag], UITranslationTable[], UITranslationTable[#Headers])</f>
        <v>3. RANAS factors</v>
      </c>
      <c r="D27" s="110"/>
      <c r="E27" s="110"/>
      <c r="F27" s="110"/>
      <c r="G27" s="110"/>
      <c r="H27" s="62"/>
      <c r="I27" s="62"/>
      <c r="J27" s="62"/>
      <c r="K27" s="62"/>
      <c r="L27" s="233"/>
      <c r="M27" s="234"/>
      <c r="N27" s="234"/>
      <c r="O27" s="235"/>
      <c r="P27" s="62"/>
      <c r="Q27" s="62"/>
      <c r="R27" s="62"/>
      <c r="S27" s="62"/>
      <c r="T27" s="62"/>
    </row>
    <row r="28" spans="1:20" ht="46.2" customHeight="1" x14ac:dyDescent="0.3">
      <c r="A28" s="62"/>
      <c r="B28" s="106"/>
      <c r="C28" s="226" t="str" cm="1">
        <f t="array" ref="C28">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D28" s="227"/>
      <c r="E28" s="227"/>
      <c r="F28" s="227"/>
      <c r="G28" s="227"/>
      <c r="H28" s="227"/>
      <c r="I28" s="227"/>
      <c r="J28" s="227"/>
      <c r="K28" s="227"/>
      <c r="L28" s="233"/>
      <c r="M28" s="234"/>
      <c r="N28" s="234"/>
      <c r="O28" s="235"/>
      <c r="P28" s="62"/>
      <c r="Q28" s="62"/>
      <c r="R28" s="62"/>
      <c r="S28" s="62"/>
      <c r="T28" s="62"/>
    </row>
    <row r="29" spans="1:20" ht="36" customHeight="1" x14ac:dyDescent="0.3">
      <c r="A29" s="62"/>
      <c r="B29" s="103"/>
      <c r="C29" s="262" t="str" cm="1">
        <f t="array" ref="C29">UITranslateForValueTable("configFactorsText1", UITranslationTable[tag], UITranslationTable[], UITranslationTable[#Headers])</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63"/>
      <c r="E29" s="263"/>
      <c r="F29" s="263"/>
      <c r="G29" s="263"/>
      <c r="H29" s="263"/>
      <c r="I29" s="263"/>
      <c r="J29" s="263"/>
      <c r="K29" s="263"/>
      <c r="L29" s="233"/>
      <c r="M29" s="234"/>
      <c r="N29" s="234"/>
      <c r="O29" s="235"/>
      <c r="P29" s="62"/>
      <c r="Q29" s="62"/>
      <c r="R29" s="62"/>
      <c r="S29" s="62"/>
      <c r="T29" s="62"/>
    </row>
    <row r="30" spans="1:20" ht="16.2" customHeight="1" x14ac:dyDescent="0.3">
      <c r="A30" s="62"/>
      <c r="B30" s="103"/>
      <c r="C30" s="264" t="str" cm="1">
        <f t="array" ref="C30">UITranslateForValueTable("configInThisTable", UITranslationTable[tag], UITranslationTable[], UITranslationTable[#Headers])</f>
        <v>In this table:</v>
      </c>
      <c r="D30" s="265"/>
      <c r="E30" s="265"/>
      <c r="F30" s="265"/>
      <c r="G30" s="265"/>
      <c r="H30" s="265"/>
      <c r="I30" s="265"/>
      <c r="J30" s="265"/>
      <c r="K30" s="265"/>
      <c r="L30" s="233"/>
      <c r="M30" s="234"/>
      <c r="N30" s="234"/>
      <c r="O30" s="235"/>
      <c r="P30" s="62"/>
      <c r="Q30" s="62"/>
      <c r="R30" s="62"/>
      <c r="S30" s="62"/>
      <c r="T30" s="62"/>
    </row>
    <row r="31" spans="1:20" ht="24" customHeight="1" x14ac:dyDescent="0.3">
      <c r="A31" s="62"/>
      <c r="B31" s="103"/>
      <c r="C31" s="244" t="str" cm="1">
        <f t="array" ref="C31">UITranslateForValueTable("configFactorsText2", UITranslationTable[tag], UITranslationTable[], UITranslationTable[#Headers])</f>
        <v>a. You MUST enter the data headers for the factors that you want to analyse, EXACTLY as they appear in your "data" sheet.</v>
      </c>
      <c r="D31" s="245"/>
      <c r="E31" s="245"/>
      <c r="F31" s="245"/>
      <c r="G31" s="245"/>
      <c r="H31" s="245"/>
      <c r="I31" s="245"/>
      <c r="J31" s="245"/>
      <c r="K31" s="245"/>
      <c r="L31" s="233"/>
      <c r="M31" s="234"/>
      <c r="N31" s="234"/>
      <c r="O31" s="235"/>
      <c r="P31" s="62"/>
      <c r="Q31" s="62"/>
      <c r="R31" s="62"/>
      <c r="S31" s="62"/>
      <c r="T31" s="62"/>
    </row>
    <row r="32" spans="1:20" ht="36" customHeight="1" x14ac:dyDescent="0.3">
      <c r="A32" s="62"/>
      <c r="B32" s="103"/>
      <c r="C32" s="244" t="str" cm="1">
        <f t="array" ref="C32">UITranslateForValueTable("configFactorsText3", UITranslationTable[tag], UITranslationTable[], UITranslationTable[#Headers])</f>
        <v>b. You MUST enter, for each one, the minimum and maximum possible scores. Be careful to enter the appropriate values. (See the examples given above in 2. Behaviour &gt; b.")</v>
      </c>
      <c r="D32" s="245"/>
      <c r="E32" s="245"/>
      <c r="F32" s="245"/>
      <c r="G32" s="245"/>
      <c r="H32" s="245"/>
      <c r="I32" s="245"/>
      <c r="J32" s="245"/>
      <c r="K32" s="245"/>
      <c r="L32" s="233"/>
      <c r="M32" s="234"/>
      <c r="N32" s="234"/>
      <c r="O32" s="235"/>
      <c r="P32" s="62"/>
      <c r="Q32" s="62"/>
      <c r="R32" s="62"/>
      <c r="S32" s="62"/>
      <c r="T32" s="62"/>
    </row>
    <row r="33" spans="1:20" ht="24" customHeight="1" x14ac:dyDescent="0.3">
      <c r="A33" s="62"/>
      <c r="B33" s="103"/>
      <c r="C33" s="244" t="str" cm="1">
        <f t="array" ref="C33">UITranslateForValueTable("configFactorsText4", UITranslationTable[tag], UITranslationTable[], UITranslationTable[#Headers])</f>
        <v>c. You MUST define, for each factor, the RANAS block to which it belongs by selecting it from the drop-down menu in the corresponding column.</v>
      </c>
      <c r="D33" s="245"/>
      <c r="E33" s="245"/>
      <c r="F33" s="245"/>
      <c r="G33" s="245"/>
      <c r="H33" s="245"/>
      <c r="I33" s="245"/>
      <c r="J33" s="245"/>
      <c r="K33" s="245"/>
      <c r="L33" s="233"/>
      <c r="M33" s="234"/>
      <c r="N33" s="234"/>
      <c r="O33" s="235"/>
      <c r="P33" s="62"/>
      <c r="Q33" s="62"/>
      <c r="R33" s="62"/>
      <c r="S33" s="62"/>
      <c r="T33" s="62"/>
    </row>
    <row r="34" spans="1:20" ht="36" customHeight="1" x14ac:dyDescent="0.3">
      <c r="A34" s="62"/>
      <c r="B34" s="103"/>
      <c r="C34" s="244" t="str" cm="1">
        <f t="array" ref="C34">UITranslateForValueTable("configFactorsText5", UITranslationTable[tag], UITranslationTable[], UITranslationTable[#Headers])</f>
        <v>d. You MUST use the drop-down menus in the "Display?" column to select (✔) or deselect (✘) each factor in the table. Only the selected factors will be displayed in the analysis charts and table. This allows you to customise your charts.</v>
      </c>
      <c r="D34" s="245"/>
      <c r="E34" s="245"/>
      <c r="F34" s="245"/>
      <c r="G34" s="245"/>
      <c r="H34" s="245"/>
      <c r="I34" s="245"/>
      <c r="J34" s="245"/>
      <c r="K34" s="245"/>
      <c r="L34" s="233"/>
      <c r="M34" s="234"/>
      <c r="N34" s="234"/>
      <c r="O34" s="235"/>
      <c r="P34" s="62"/>
      <c r="Q34" s="62"/>
      <c r="R34" s="62"/>
      <c r="S34" s="62"/>
      <c r="T34" s="62"/>
    </row>
    <row r="35" spans="1:20" ht="36" customHeight="1" thickBot="1" x14ac:dyDescent="0.35">
      <c r="A35" s="62"/>
      <c r="B35" s="103"/>
      <c r="C35" s="244" t="str" cm="1">
        <f t="array" aca="1" ref="C35" ca="1">UITranslateForValueTable("configFactorsText6", UITranslationTable[tag], UITranslationTable[], UITranslationTable[#Headers])</f>
        <v>e. You CAN define, in the yellow cells of the top row, additional languages that you want to use to display results in the charts and tables. They will then be available for selection in the "Chart language" menu of the "Introduction" sheet.</v>
      </c>
      <c r="D35" s="245"/>
      <c r="E35" s="245"/>
      <c r="F35" s="245"/>
      <c r="G35" s="245"/>
      <c r="H35" s="245"/>
      <c r="I35" s="245"/>
      <c r="J35" s="245"/>
      <c r="K35" s="245"/>
      <c r="L35" s="236"/>
      <c r="M35" s="237"/>
      <c r="N35" s="237"/>
      <c r="O35" s="238"/>
      <c r="P35" s="62"/>
      <c r="Q35" s="62"/>
      <c r="R35" s="62"/>
      <c r="S35" s="62"/>
      <c r="T35" s="62"/>
    </row>
    <row r="36" spans="1:20" ht="36" customHeight="1" thickBot="1" x14ac:dyDescent="0.35">
      <c r="A36" s="62"/>
      <c r="B36" s="103"/>
      <c r="C36" s="244" t="str" cm="1">
        <f t="array" aca="1" ref="C36" ca="1">UITranslateForValueTable("configFactorsText7", UITranslationTable[tag], UITranslationTable[], UITranslationTable[#Headers])</f>
        <v>f. You MUST provide translations for all factors defined in the "Data header" column, at least for the "Chart language" selected in the "Introduction" sheet.</v>
      </c>
      <c r="D36" s="245"/>
      <c r="E36" s="245"/>
      <c r="F36" s="245"/>
      <c r="G36" s="245"/>
      <c r="H36" s="245"/>
      <c r="I36" s="245"/>
      <c r="J36" s="245"/>
      <c r="K36" s="245"/>
      <c r="L36" s="62"/>
      <c r="M36" s="62"/>
      <c r="N36" s="62"/>
      <c r="O36" s="85"/>
      <c r="P36" s="62"/>
      <c r="Q36" s="62"/>
      <c r="R36" s="62"/>
      <c r="S36" s="62"/>
      <c r="T36" s="62"/>
    </row>
    <row r="37" spans="1:20" ht="15" thickBot="1" x14ac:dyDescent="0.35">
      <c r="A37" s="62"/>
      <c r="B37" s="75"/>
      <c r="C37" s="69" t="str" cm="1">
        <f t="array" ref="C37">UITranslateForValueTable("configFactorsDisplay", UITranslationTable[tag], UITranslationTable[], UITranslationTable[#Headers])</f>
        <v>Display?</v>
      </c>
      <c r="D37" s="69" t="str" cm="1">
        <f t="array" ref="D37">UITranslateForValueTable("configFactorsNum", UITranslationTable[tag], UITranslationTable[], UITranslationTable[#Headers])</f>
        <v>Factor #</v>
      </c>
      <c r="E37" s="68" t="str" cm="1">
        <f t="array" ref="E37">UITranslateForValueTable("configDataHeader", UITranslationTable[tag], UITranslationTable[], UITranslationTable[#Headers])</f>
        <v>Data header</v>
      </c>
      <c r="F37" s="68" t="str" cm="1">
        <f t="array" ref="F37">UITranslateForValueTable("configMinScore", UITranslationTable[tag], UITranslationTable[], UITranslationTable[#Headers])</f>
        <v>Min. score</v>
      </c>
      <c r="G37" s="68" t="str" cm="1">
        <f t="array" ref="G37">UITranslateForValueTable("configMaxScore", UITranslationTable[tag], UITranslationTable[], UITranslationTable[#Headers])</f>
        <v>Max. score</v>
      </c>
      <c r="H37" s="68" t="str" cm="1">
        <f t="array" ref="H37">UITranslateForValueTable("configNumResponses", UITranslationTable[tag], UITranslationTable[], UITranslationTable[#Headers])</f>
        <v># of responses</v>
      </c>
      <c r="I37" s="68" t="str" cm="1">
        <f t="array" ref="I37">UITranslateForValueTable("configRANASBlock", UITranslationTable[tag], UITranslationTable[], UITranslationTable[#Headers])</f>
        <v>RANAS block</v>
      </c>
      <c r="J37" s="68" t="str">
        <f>UITranslationTable[[#Headers],[English]]</f>
        <v>English</v>
      </c>
      <c r="K37" s="70" t="str">
        <f>UITranslationTable[[#Headers],[Français]]</f>
        <v>Français</v>
      </c>
      <c r="L37" s="42"/>
      <c r="M37" s="147"/>
      <c r="N37" s="148"/>
      <c r="O37" s="85"/>
      <c r="P37" s="62"/>
      <c r="Q37" s="62"/>
      <c r="R37" s="62"/>
      <c r="S37" s="62"/>
      <c r="T37" s="62"/>
    </row>
    <row r="38" spans="1:20" ht="15" hidden="1" thickBot="1" x14ac:dyDescent="0.35">
      <c r="A38" s="62"/>
      <c r="B38" s="103"/>
      <c r="C38" s="3" t="s">
        <v>183</v>
      </c>
      <c r="D38" s="2" t="s">
        <v>1</v>
      </c>
      <c r="E38" s="3" t="s">
        <v>55</v>
      </c>
      <c r="F38" s="3" t="s">
        <v>66</v>
      </c>
      <c r="G38" s="3" t="s">
        <v>67</v>
      </c>
      <c r="H38" s="2" t="s">
        <v>35</v>
      </c>
      <c r="I38" s="2" t="s">
        <v>68</v>
      </c>
      <c r="J38" s="2" t="s">
        <v>14</v>
      </c>
      <c r="K38" s="2" t="s">
        <v>15</v>
      </c>
      <c r="L38" s="2" t="s">
        <v>16</v>
      </c>
      <c r="M38" s="2" t="s">
        <v>17</v>
      </c>
      <c r="N38" s="36" t="s">
        <v>18</v>
      </c>
      <c r="O38" s="85"/>
      <c r="P38" s="62"/>
      <c r="Q38" s="62"/>
      <c r="R38" s="62"/>
      <c r="S38" s="62"/>
      <c r="T38" s="62"/>
    </row>
    <row r="39" spans="1:20" x14ac:dyDescent="0.3">
      <c r="A39" s="62"/>
      <c r="B39" s="103"/>
      <c r="C39" s="107"/>
      <c r="D39" s="155" cm="1">
        <f t="array" ref="D39">ROW()-ROW(factorsConfigTable[#Headers])</f>
        <v>1</v>
      </c>
      <c r="E39" s="13"/>
      <c r="F39" s="24"/>
      <c r="G39" s="29"/>
      <c r="H39" s="161" t="str">
        <f>_xlfn.XLOOKUP(factorsConfigTable[[#This Row],[index]], factorsTable[index], factorsTable[numTotal])</f>
        <v/>
      </c>
      <c r="I39" s="33"/>
      <c r="J39" s="14"/>
      <c r="K39" s="14"/>
      <c r="L39" s="15"/>
      <c r="M39" s="15"/>
      <c r="N39" s="37"/>
      <c r="O39" s="85"/>
      <c r="P39" s="62"/>
      <c r="Q39" s="62"/>
      <c r="R39" s="62"/>
      <c r="S39" s="62"/>
      <c r="T39" s="62"/>
    </row>
    <row r="40" spans="1:20" x14ac:dyDescent="0.3">
      <c r="A40" s="62"/>
      <c r="B40" s="103"/>
      <c r="C40" s="108"/>
      <c r="D40" s="156" cm="1">
        <f t="array" ref="D40">ROW()-ROW(factorsConfigTable[#Headers])</f>
        <v>2</v>
      </c>
      <c r="E40" s="16"/>
      <c r="F40" s="25"/>
      <c r="G40" s="30"/>
      <c r="H40" s="162" t="str">
        <f>_xlfn.XLOOKUP(factorsConfigTable[[#This Row],[index]], factorsTable[index], factorsTable[numTotal])</f>
        <v/>
      </c>
      <c r="I40" s="34"/>
      <c r="J40" s="17"/>
      <c r="K40" s="17"/>
      <c r="L40" s="17"/>
      <c r="M40" s="17"/>
      <c r="N40" s="38"/>
      <c r="O40" s="85"/>
      <c r="P40" s="62"/>
      <c r="Q40" s="62"/>
      <c r="R40" s="62"/>
      <c r="S40" s="62"/>
      <c r="T40" s="62"/>
    </row>
    <row r="41" spans="1:20" x14ac:dyDescent="0.3">
      <c r="A41" s="62"/>
      <c r="B41" s="103"/>
      <c r="C41" s="108"/>
      <c r="D41" s="156" cm="1">
        <f t="array" ref="D41">ROW()-ROW(factorsConfigTable[#Headers])</f>
        <v>3</v>
      </c>
      <c r="E41" s="16"/>
      <c r="F41" s="25"/>
      <c r="G41" s="30"/>
      <c r="H41" s="162" t="str">
        <f>_xlfn.XLOOKUP(factorsConfigTable[[#This Row],[index]], factorsTable[index], factorsTable[numTotal])</f>
        <v/>
      </c>
      <c r="I41" s="34"/>
      <c r="J41" s="17"/>
      <c r="K41" s="17"/>
      <c r="L41" s="17"/>
      <c r="M41" s="17"/>
      <c r="N41" s="38"/>
      <c r="O41" s="85"/>
      <c r="P41" s="62"/>
      <c r="Q41" s="62"/>
      <c r="R41" s="62"/>
      <c r="S41" s="62"/>
      <c r="T41" s="62"/>
    </row>
    <row r="42" spans="1:20" ht="14.4" customHeight="1" x14ac:dyDescent="0.3">
      <c r="A42" s="62"/>
      <c r="B42" s="103"/>
      <c r="C42" s="108"/>
      <c r="D42" s="156" cm="1">
        <f t="array" ref="D42">ROW()-ROW(factorsConfigTable[#Headers])</f>
        <v>4</v>
      </c>
      <c r="E42" s="16"/>
      <c r="F42" s="25"/>
      <c r="G42" s="30"/>
      <c r="H42" s="162" t="str">
        <f>_xlfn.XLOOKUP(factorsConfigTable[[#This Row],[index]], factorsTable[index], factorsTable[numTotal])</f>
        <v/>
      </c>
      <c r="I42" s="34"/>
      <c r="J42" s="17"/>
      <c r="K42" s="17"/>
      <c r="L42" s="17"/>
      <c r="M42" s="17"/>
      <c r="N42" s="38"/>
      <c r="O42" s="85"/>
      <c r="P42" s="62"/>
      <c r="Q42" s="62"/>
      <c r="R42" s="62"/>
      <c r="S42" s="62"/>
      <c r="T42" s="62"/>
    </row>
    <row r="43" spans="1:20" ht="14.4" customHeight="1" x14ac:dyDescent="0.3">
      <c r="A43" s="62"/>
      <c r="B43" s="103"/>
      <c r="C43" s="108"/>
      <c r="D43" s="156" cm="1">
        <f t="array" ref="D43">ROW()-ROW(factorsConfigTable[#Headers])</f>
        <v>5</v>
      </c>
      <c r="E43" s="16"/>
      <c r="F43" s="25"/>
      <c r="G43" s="30"/>
      <c r="H43" s="162" t="str">
        <f>_xlfn.XLOOKUP(factorsConfigTable[[#This Row],[index]], factorsTable[index], factorsTable[numTotal])</f>
        <v/>
      </c>
      <c r="I43" s="34"/>
      <c r="J43" s="17"/>
      <c r="K43" s="17"/>
      <c r="L43" s="17"/>
      <c r="M43" s="17"/>
      <c r="N43" s="38"/>
      <c r="O43" s="85"/>
      <c r="P43" s="62"/>
      <c r="Q43" s="62"/>
      <c r="R43" s="62"/>
      <c r="S43" s="62"/>
      <c r="T43" s="50"/>
    </row>
    <row r="44" spans="1:20" ht="14.4" customHeight="1" x14ac:dyDescent="0.3">
      <c r="A44" s="62"/>
      <c r="B44" s="103"/>
      <c r="C44" s="108"/>
      <c r="D44" s="156" cm="1">
        <f t="array" ref="D44">ROW()-ROW(factorsConfigTable[#Headers])</f>
        <v>6</v>
      </c>
      <c r="E44" s="16"/>
      <c r="F44" s="25"/>
      <c r="G44" s="30"/>
      <c r="H44" s="162" t="str">
        <f>_xlfn.XLOOKUP(factorsConfigTable[[#This Row],[index]], factorsTable[index], factorsTable[numTotal])</f>
        <v/>
      </c>
      <c r="I44" s="34"/>
      <c r="J44" s="17"/>
      <c r="K44" s="17"/>
      <c r="L44" s="17"/>
      <c r="M44" s="17"/>
      <c r="N44" s="38"/>
      <c r="O44" s="85"/>
      <c r="P44" s="62"/>
      <c r="Q44" s="62"/>
      <c r="R44" s="62"/>
      <c r="S44" s="50"/>
      <c r="T44" s="50"/>
    </row>
    <row r="45" spans="1:20" ht="14.4" customHeight="1" x14ac:dyDescent="0.3">
      <c r="A45" s="62"/>
      <c r="B45" s="103"/>
      <c r="C45" s="108"/>
      <c r="D45" s="156" cm="1">
        <f t="array" ref="D45">ROW()-ROW(factorsConfigTable[#Headers])</f>
        <v>7</v>
      </c>
      <c r="E45" s="16"/>
      <c r="F45" s="25"/>
      <c r="G45" s="30"/>
      <c r="H45" s="162" t="str">
        <f>_xlfn.XLOOKUP(factorsConfigTable[[#This Row],[index]], factorsTable[index], factorsTable[numTotal])</f>
        <v/>
      </c>
      <c r="I45" s="34"/>
      <c r="J45" s="17"/>
      <c r="K45" s="17"/>
      <c r="L45" s="17"/>
      <c r="M45" s="17"/>
      <c r="N45" s="38"/>
      <c r="O45" s="85"/>
      <c r="P45" s="62"/>
      <c r="Q45" s="62"/>
      <c r="R45" s="62"/>
      <c r="S45" s="50"/>
      <c r="T45" s="50"/>
    </row>
    <row r="46" spans="1:20" ht="14.4" customHeight="1" x14ac:dyDescent="0.3">
      <c r="A46" s="62"/>
      <c r="B46" s="103"/>
      <c r="C46" s="108"/>
      <c r="D46" s="156" cm="1">
        <f t="array" ref="D46">ROW()-ROW(factorsConfigTable[#Headers])</f>
        <v>8</v>
      </c>
      <c r="E46" s="16"/>
      <c r="F46" s="25"/>
      <c r="G46" s="30"/>
      <c r="H46" s="162" t="str">
        <f>_xlfn.XLOOKUP(factorsConfigTable[[#This Row],[index]], factorsTable[index], factorsTable[numTotal])</f>
        <v/>
      </c>
      <c r="I46" s="34"/>
      <c r="J46" s="17"/>
      <c r="K46" s="17"/>
      <c r="L46" s="17"/>
      <c r="M46" s="17"/>
      <c r="N46" s="38"/>
      <c r="O46" s="85"/>
      <c r="P46" s="62"/>
      <c r="Q46" s="62"/>
      <c r="R46" s="62"/>
      <c r="S46" s="50"/>
      <c r="T46" s="50"/>
    </row>
    <row r="47" spans="1:20" ht="14.4" customHeight="1" x14ac:dyDescent="0.3">
      <c r="A47" s="62"/>
      <c r="B47" s="103"/>
      <c r="C47" s="108"/>
      <c r="D47" s="156" cm="1">
        <f t="array" ref="D47">ROW()-ROW(factorsConfigTable[#Headers])</f>
        <v>9</v>
      </c>
      <c r="E47" s="16"/>
      <c r="F47" s="25"/>
      <c r="G47" s="30"/>
      <c r="H47" s="162" t="str">
        <f>_xlfn.XLOOKUP(factorsConfigTable[[#This Row],[index]], factorsTable[index], factorsTable[numTotal])</f>
        <v/>
      </c>
      <c r="I47" s="34"/>
      <c r="J47" s="17"/>
      <c r="K47" s="17"/>
      <c r="L47" s="17"/>
      <c r="M47" s="17"/>
      <c r="N47" s="38"/>
      <c r="O47" s="85"/>
      <c r="P47" s="62"/>
      <c r="Q47" s="62"/>
      <c r="R47" s="62"/>
      <c r="S47" s="50"/>
      <c r="T47" s="50"/>
    </row>
    <row r="48" spans="1:20" ht="14.4" customHeight="1" x14ac:dyDescent="0.3">
      <c r="A48" s="62"/>
      <c r="B48" s="103"/>
      <c r="C48" s="108"/>
      <c r="D48" s="156" cm="1">
        <f t="array" ref="D48">ROW()-ROW(factorsConfigTable[#Headers])</f>
        <v>10</v>
      </c>
      <c r="E48" s="16"/>
      <c r="F48" s="25"/>
      <c r="G48" s="30"/>
      <c r="H48" s="162" t="str">
        <f>_xlfn.XLOOKUP(factorsConfigTable[[#This Row],[index]], factorsTable[index], factorsTable[numTotal])</f>
        <v/>
      </c>
      <c r="I48" s="34"/>
      <c r="J48" s="17"/>
      <c r="K48" s="17"/>
      <c r="L48" s="17"/>
      <c r="M48" s="17"/>
      <c r="N48" s="38"/>
      <c r="O48" s="85"/>
      <c r="P48" s="62"/>
      <c r="Q48" s="62"/>
      <c r="R48" s="62"/>
      <c r="S48" s="50"/>
      <c r="T48" s="50"/>
    </row>
    <row r="49" spans="1:20" ht="14.4" customHeight="1" x14ac:dyDescent="0.3">
      <c r="A49" s="62"/>
      <c r="B49" s="103"/>
      <c r="C49" s="108"/>
      <c r="D49" s="159" cm="1">
        <f t="array" ref="D49">ROW()-ROW(factorsConfigTable[#Headers])</f>
        <v>11</v>
      </c>
      <c r="E49" s="16"/>
      <c r="F49" s="25"/>
      <c r="G49" s="30"/>
      <c r="H49" s="162" t="str">
        <f>_xlfn.XLOOKUP(factorsConfigTable[[#This Row],[index]], factorsTable[index], factorsTable[numTotal])</f>
        <v/>
      </c>
      <c r="I49" s="34"/>
      <c r="J49" s="17"/>
      <c r="K49" s="17"/>
      <c r="L49" s="22"/>
      <c r="M49" s="22"/>
      <c r="N49" s="39"/>
      <c r="O49" s="85"/>
      <c r="P49" s="62"/>
      <c r="Q49" s="62"/>
      <c r="R49" s="62"/>
      <c r="S49" s="50"/>
      <c r="T49" s="50"/>
    </row>
    <row r="50" spans="1:20" ht="14.4" customHeight="1" x14ac:dyDescent="0.3">
      <c r="A50" s="62"/>
      <c r="B50" s="103"/>
      <c r="C50" s="108"/>
      <c r="D50" s="159" cm="1">
        <f t="array" ref="D50">ROW()-ROW(factorsConfigTable[#Headers])</f>
        <v>12</v>
      </c>
      <c r="E50" s="16"/>
      <c r="F50" s="25"/>
      <c r="G50" s="30"/>
      <c r="H50" s="162" t="str">
        <f>_xlfn.XLOOKUP(factorsConfigTable[[#This Row],[index]], factorsTable[index], factorsTable[numTotal])</f>
        <v/>
      </c>
      <c r="I50" s="34"/>
      <c r="J50" s="17"/>
      <c r="K50" s="17"/>
      <c r="L50" s="22"/>
      <c r="M50" s="22"/>
      <c r="N50" s="39"/>
      <c r="O50" s="85"/>
      <c r="P50" s="62"/>
      <c r="Q50" s="62"/>
      <c r="R50" s="62"/>
      <c r="S50" s="50"/>
      <c r="T50" s="62"/>
    </row>
    <row r="51" spans="1:20" ht="14.4" customHeight="1" x14ac:dyDescent="0.3">
      <c r="A51" s="62"/>
      <c r="B51" s="103"/>
      <c r="C51" s="108"/>
      <c r="D51" s="159" cm="1">
        <f t="array" ref="D51">ROW()-ROW(factorsConfigTable[#Headers])</f>
        <v>13</v>
      </c>
      <c r="E51" s="16"/>
      <c r="F51" s="25"/>
      <c r="G51" s="30"/>
      <c r="H51" s="162" t="str">
        <f>_xlfn.XLOOKUP(factorsConfigTable[[#This Row],[index]], factorsTable[index], factorsTable[numTotal])</f>
        <v/>
      </c>
      <c r="I51" s="34"/>
      <c r="J51" s="17"/>
      <c r="K51" s="17"/>
      <c r="L51" s="22"/>
      <c r="M51" s="22"/>
      <c r="N51" s="39"/>
      <c r="O51" s="85"/>
      <c r="P51" s="62"/>
      <c r="Q51" s="62"/>
      <c r="R51" s="62"/>
      <c r="S51" s="50"/>
      <c r="T51" s="62"/>
    </row>
    <row r="52" spans="1:20" ht="14.4" customHeight="1" x14ac:dyDescent="0.3">
      <c r="A52" s="62"/>
      <c r="B52" s="103"/>
      <c r="C52" s="108"/>
      <c r="D52" s="159" cm="1">
        <f t="array" ref="D52">ROW()-ROW(factorsConfigTable[#Headers])</f>
        <v>14</v>
      </c>
      <c r="E52" s="16"/>
      <c r="F52" s="25"/>
      <c r="G52" s="30"/>
      <c r="H52" s="162" t="str">
        <f>_xlfn.XLOOKUP(factorsConfigTable[[#This Row],[index]], factorsTable[index], factorsTable[numTotal])</f>
        <v/>
      </c>
      <c r="I52" s="34"/>
      <c r="J52" s="17"/>
      <c r="K52" s="17"/>
      <c r="L52" s="22"/>
      <c r="M52" s="22"/>
      <c r="N52" s="39"/>
      <c r="O52" s="85"/>
      <c r="P52" s="62"/>
      <c r="Q52" s="62"/>
      <c r="R52" s="62"/>
      <c r="S52" s="50"/>
      <c r="T52" s="62"/>
    </row>
    <row r="53" spans="1:20" ht="14.4" customHeight="1" x14ac:dyDescent="0.3">
      <c r="A53" s="62"/>
      <c r="B53" s="103"/>
      <c r="C53" s="108"/>
      <c r="D53" s="159" cm="1">
        <f t="array" ref="D53">ROW()-ROW(factorsConfigTable[#Headers])</f>
        <v>15</v>
      </c>
      <c r="E53" s="16"/>
      <c r="F53" s="25"/>
      <c r="G53" s="30"/>
      <c r="H53" s="162" t="str">
        <f>_xlfn.XLOOKUP(factorsConfigTable[[#This Row],[index]], factorsTable[index], factorsTable[numTotal])</f>
        <v/>
      </c>
      <c r="I53" s="34"/>
      <c r="J53" s="17"/>
      <c r="K53" s="17"/>
      <c r="L53" s="22"/>
      <c r="M53" s="22"/>
      <c r="N53" s="39"/>
      <c r="O53" s="85"/>
      <c r="P53" s="62"/>
      <c r="Q53" s="62"/>
      <c r="R53" s="62"/>
      <c r="S53" s="50"/>
      <c r="T53" s="62"/>
    </row>
    <row r="54" spans="1:20" ht="14.4" customHeight="1" x14ac:dyDescent="0.3">
      <c r="A54" s="62"/>
      <c r="B54" s="103"/>
      <c r="C54" s="108"/>
      <c r="D54" s="159" cm="1">
        <f t="array" ref="D54">ROW()-ROW(factorsConfigTable[#Headers])</f>
        <v>16</v>
      </c>
      <c r="E54" s="16"/>
      <c r="F54" s="25"/>
      <c r="G54" s="30"/>
      <c r="H54" s="162" t="str">
        <f>_xlfn.XLOOKUP(factorsConfigTable[[#This Row],[index]], factorsTable[index], factorsTable[numTotal])</f>
        <v/>
      </c>
      <c r="I54" s="34"/>
      <c r="J54" s="17"/>
      <c r="K54" s="17"/>
      <c r="L54" s="22"/>
      <c r="M54" s="22"/>
      <c r="N54" s="39"/>
      <c r="O54" s="85"/>
      <c r="P54" s="62"/>
      <c r="Q54" s="62"/>
      <c r="R54" s="62"/>
      <c r="S54" s="50"/>
      <c r="T54" s="62"/>
    </row>
    <row r="55" spans="1:20" ht="14.4" customHeight="1" x14ac:dyDescent="0.3">
      <c r="A55" s="62"/>
      <c r="B55" s="103"/>
      <c r="C55" s="108"/>
      <c r="D55" s="159" cm="1">
        <f t="array" ref="D55">ROW()-ROW(factorsConfigTable[#Headers])</f>
        <v>17</v>
      </c>
      <c r="E55" s="16"/>
      <c r="F55" s="25"/>
      <c r="G55" s="30"/>
      <c r="H55" s="162" t="str">
        <f>_xlfn.XLOOKUP(factorsConfigTable[[#This Row],[index]], factorsTable[index], factorsTable[numTotal])</f>
        <v/>
      </c>
      <c r="I55" s="34"/>
      <c r="J55" s="17"/>
      <c r="K55" s="17"/>
      <c r="L55" s="22"/>
      <c r="M55" s="22"/>
      <c r="N55" s="39"/>
      <c r="O55" s="85"/>
      <c r="P55" s="62"/>
      <c r="Q55" s="62"/>
      <c r="R55" s="62"/>
      <c r="S55" s="50"/>
      <c r="T55" s="62"/>
    </row>
    <row r="56" spans="1:20" ht="14.4" customHeight="1" x14ac:dyDescent="0.3">
      <c r="A56" s="62"/>
      <c r="B56" s="103"/>
      <c r="C56" s="108"/>
      <c r="D56" s="159" cm="1">
        <f t="array" ref="D56">ROW()-ROW(factorsConfigTable[#Headers])</f>
        <v>18</v>
      </c>
      <c r="E56" s="16"/>
      <c r="F56" s="25"/>
      <c r="G56" s="30"/>
      <c r="H56" s="162" t="str">
        <f>_xlfn.XLOOKUP(factorsConfigTable[[#This Row],[index]], factorsTable[index], factorsTable[numTotal])</f>
        <v/>
      </c>
      <c r="I56" s="34"/>
      <c r="J56" s="17"/>
      <c r="K56" s="17"/>
      <c r="L56" s="22"/>
      <c r="M56" s="22"/>
      <c r="N56" s="39"/>
      <c r="O56" s="85"/>
      <c r="P56" s="62"/>
      <c r="Q56" s="62"/>
      <c r="R56" s="62"/>
      <c r="S56" s="50"/>
      <c r="T56" s="62"/>
    </row>
    <row r="57" spans="1:20" ht="14.4" customHeight="1" x14ac:dyDescent="0.3">
      <c r="A57" s="62"/>
      <c r="B57" s="103"/>
      <c r="C57" s="108"/>
      <c r="D57" s="159" cm="1">
        <f t="array" ref="D57">ROW()-ROW(factorsConfigTable[#Headers])</f>
        <v>19</v>
      </c>
      <c r="E57" s="16"/>
      <c r="F57" s="25"/>
      <c r="G57" s="30"/>
      <c r="H57" s="162" t="str">
        <f>_xlfn.XLOOKUP(factorsConfigTable[[#This Row],[index]], factorsTable[index], factorsTable[numTotal])</f>
        <v/>
      </c>
      <c r="I57" s="34"/>
      <c r="J57" s="17"/>
      <c r="K57" s="17"/>
      <c r="L57" s="22"/>
      <c r="M57" s="22"/>
      <c r="N57" s="39"/>
      <c r="O57" s="85"/>
      <c r="P57" s="62"/>
      <c r="Q57" s="62"/>
      <c r="R57" s="62"/>
      <c r="S57" s="50"/>
      <c r="T57" s="62"/>
    </row>
    <row r="58" spans="1:20" ht="14.4" customHeight="1" x14ac:dyDescent="0.3">
      <c r="A58" s="62"/>
      <c r="B58" s="103"/>
      <c r="C58" s="108"/>
      <c r="D58" s="159" cm="1">
        <f t="array" ref="D58">ROW()-ROW(factorsConfigTable[#Headers])</f>
        <v>20</v>
      </c>
      <c r="E58" s="16"/>
      <c r="F58" s="25"/>
      <c r="G58" s="30"/>
      <c r="H58" s="162" t="str">
        <f>_xlfn.XLOOKUP(factorsConfigTable[[#This Row],[index]], factorsTable[index], factorsTable[numTotal])</f>
        <v/>
      </c>
      <c r="I58" s="34"/>
      <c r="J58" s="17"/>
      <c r="K58" s="17"/>
      <c r="L58" s="22"/>
      <c r="M58" s="22"/>
      <c r="N58" s="39"/>
      <c r="O58" s="85"/>
      <c r="P58" s="62"/>
      <c r="Q58" s="62"/>
      <c r="R58" s="62"/>
      <c r="S58" s="50"/>
      <c r="T58" s="62"/>
    </row>
    <row r="59" spans="1:20" ht="14.4" customHeight="1" x14ac:dyDescent="0.3">
      <c r="A59" s="62"/>
      <c r="B59" s="103"/>
      <c r="C59" s="108"/>
      <c r="D59" s="159" cm="1">
        <f t="array" ref="D59">ROW()-ROW(factorsConfigTable[#Headers])</f>
        <v>21</v>
      </c>
      <c r="E59" s="16"/>
      <c r="F59" s="25"/>
      <c r="G59" s="30"/>
      <c r="H59" s="162" t="str">
        <f>_xlfn.XLOOKUP(factorsConfigTable[[#This Row],[index]], factorsTable[index], factorsTable[numTotal])</f>
        <v/>
      </c>
      <c r="I59" s="34"/>
      <c r="J59" s="17"/>
      <c r="K59" s="17"/>
      <c r="L59" s="22"/>
      <c r="M59" s="22"/>
      <c r="N59" s="39"/>
      <c r="O59" s="85"/>
      <c r="P59" s="62"/>
      <c r="Q59" s="62"/>
      <c r="R59" s="62"/>
      <c r="S59" s="50"/>
      <c r="T59" s="62"/>
    </row>
    <row r="60" spans="1:20" ht="14.4" customHeight="1" x14ac:dyDescent="0.3">
      <c r="A60" s="62"/>
      <c r="B60" s="103"/>
      <c r="C60" s="108"/>
      <c r="D60" s="159" cm="1">
        <f t="array" ref="D60">ROW()-ROW(factorsConfigTable[#Headers])</f>
        <v>22</v>
      </c>
      <c r="E60" s="16"/>
      <c r="F60" s="25"/>
      <c r="G60" s="30"/>
      <c r="H60" s="162" t="str">
        <f>_xlfn.XLOOKUP(factorsConfigTable[[#This Row],[index]], factorsTable[index], factorsTable[numTotal])</f>
        <v/>
      </c>
      <c r="I60" s="34"/>
      <c r="J60" s="17"/>
      <c r="K60" s="17"/>
      <c r="L60" s="22"/>
      <c r="M60" s="22"/>
      <c r="N60" s="39"/>
      <c r="O60" s="85"/>
      <c r="P60" s="62"/>
      <c r="Q60" s="62"/>
      <c r="R60" s="62"/>
      <c r="S60" s="50"/>
      <c r="T60" s="62"/>
    </row>
    <row r="61" spans="1:20" ht="14.4" customHeight="1" x14ac:dyDescent="0.3">
      <c r="A61" s="62"/>
      <c r="B61" s="103"/>
      <c r="C61" s="108"/>
      <c r="D61" s="159" cm="1">
        <f t="array" ref="D61">ROW()-ROW(factorsConfigTable[#Headers])</f>
        <v>23</v>
      </c>
      <c r="E61" s="16"/>
      <c r="F61" s="25"/>
      <c r="G61" s="30"/>
      <c r="H61" s="162" t="str">
        <f>_xlfn.XLOOKUP(factorsConfigTable[[#This Row],[index]], factorsTable[index], factorsTable[numTotal])</f>
        <v/>
      </c>
      <c r="I61" s="34"/>
      <c r="J61" s="17"/>
      <c r="K61" s="17"/>
      <c r="L61" s="22"/>
      <c r="M61" s="22"/>
      <c r="N61" s="39"/>
      <c r="O61" s="85"/>
      <c r="P61" s="62"/>
      <c r="Q61" s="62"/>
      <c r="R61" s="62"/>
      <c r="S61" s="50"/>
      <c r="T61" s="62"/>
    </row>
    <row r="62" spans="1:20" ht="14.4" customHeight="1" x14ac:dyDescent="0.3">
      <c r="A62" s="62"/>
      <c r="B62" s="103"/>
      <c r="C62" s="108"/>
      <c r="D62" s="159" cm="1">
        <f t="array" ref="D62">ROW()-ROW(factorsConfigTable[#Headers])</f>
        <v>24</v>
      </c>
      <c r="E62" s="16"/>
      <c r="F62" s="25"/>
      <c r="G62" s="30"/>
      <c r="H62" s="162" t="str">
        <f>_xlfn.XLOOKUP(factorsConfigTable[[#This Row],[index]], factorsTable[index], factorsTable[numTotal])</f>
        <v/>
      </c>
      <c r="I62" s="34"/>
      <c r="J62" s="17"/>
      <c r="K62" s="17"/>
      <c r="L62" s="22"/>
      <c r="M62" s="22"/>
      <c r="N62" s="39"/>
      <c r="O62" s="85"/>
      <c r="P62" s="62"/>
      <c r="Q62" s="62"/>
      <c r="R62" s="62"/>
      <c r="S62" s="50"/>
      <c r="T62" s="62"/>
    </row>
    <row r="63" spans="1:20" ht="14.4" customHeight="1" x14ac:dyDescent="0.3">
      <c r="A63" s="62"/>
      <c r="B63" s="103"/>
      <c r="C63" s="108"/>
      <c r="D63" s="159" cm="1">
        <f t="array" ref="D63">ROW()-ROW(factorsConfigTable[#Headers])</f>
        <v>25</v>
      </c>
      <c r="E63" s="16"/>
      <c r="F63" s="25"/>
      <c r="G63" s="30"/>
      <c r="H63" s="162" t="str">
        <f>_xlfn.XLOOKUP(factorsConfigTable[[#This Row],[index]], factorsTable[index], factorsTable[numTotal])</f>
        <v/>
      </c>
      <c r="I63" s="34"/>
      <c r="J63" s="17"/>
      <c r="K63" s="17"/>
      <c r="L63" s="22"/>
      <c r="M63" s="22"/>
      <c r="N63" s="39"/>
      <c r="O63" s="85"/>
      <c r="P63" s="62"/>
      <c r="Q63" s="62"/>
      <c r="R63" s="62"/>
      <c r="S63" s="50"/>
      <c r="T63" s="62"/>
    </row>
    <row r="64" spans="1:20" ht="14.4" customHeight="1" x14ac:dyDescent="0.3">
      <c r="A64" s="62"/>
      <c r="B64" s="103"/>
      <c r="C64" s="108"/>
      <c r="D64" s="159" cm="1">
        <f t="array" ref="D64">ROW()-ROW(factorsConfigTable[#Headers])</f>
        <v>26</v>
      </c>
      <c r="E64" s="16"/>
      <c r="F64" s="25"/>
      <c r="G64" s="30"/>
      <c r="H64" s="162" t="str">
        <f>_xlfn.XLOOKUP(factorsConfigTable[[#This Row],[index]], factorsTable[index], factorsTable[numTotal])</f>
        <v/>
      </c>
      <c r="I64" s="34"/>
      <c r="J64" s="17"/>
      <c r="K64" s="17"/>
      <c r="L64" s="22"/>
      <c r="M64" s="22"/>
      <c r="N64" s="39"/>
      <c r="O64" s="85"/>
      <c r="P64" s="62"/>
      <c r="Q64" s="62"/>
      <c r="R64" s="62"/>
      <c r="S64" s="50"/>
      <c r="T64" s="62"/>
    </row>
    <row r="65" spans="1:20" ht="14.4" customHeight="1" x14ac:dyDescent="0.3">
      <c r="A65" s="62"/>
      <c r="B65" s="103"/>
      <c r="C65" s="108"/>
      <c r="D65" s="159" cm="1">
        <f t="array" ref="D65">ROW()-ROW(factorsConfigTable[#Headers])</f>
        <v>27</v>
      </c>
      <c r="E65" s="16"/>
      <c r="F65" s="25"/>
      <c r="G65" s="30"/>
      <c r="H65" s="162" t="str">
        <f>_xlfn.XLOOKUP(factorsConfigTable[[#This Row],[index]], factorsTable[index], factorsTable[numTotal])</f>
        <v/>
      </c>
      <c r="I65" s="34"/>
      <c r="J65" s="17"/>
      <c r="K65" s="17"/>
      <c r="L65" s="22"/>
      <c r="M65" s="22"/>
      <c r="N65" s="39"/>
      <c r="O65" s="85"/>
      <c r="P65" s="62"/>
      <c r="Q65" s="62"/>
      <c r="R65" s="62"/>
      <c r="S65" s="50"/>
      <c r="T65" s="62"/>
    </row>
    <row r="66" spans="1:20" ht="14.4" customHeight="1" x14ac:dyDescent="0.3">
      <c r="A66" s="62"/>
      <c r="B66" s="103"/>
      <c r="C66" s="108"/>
      <c r="D66" s="159" cm="1">
        <f t="array" ref="D66">ROW()-ROW(factorsConfigTable[#Headers])</f>
        <v>28</v>
      </c>
      <c r="E66" s="16"/>
      <c r="F66" s="25"/>
      <c r="G66" s="30"/>
      <c r="H66" s="162" t="str">
        <f>_xlfn.XLOOKUP(factorsConfigTable[[#This Row],[index]], factorsTable[index], factorsTable[numTotal])</f>
        <v/>
      </c>
      <c r="I66" s="34"/>
      <c r="J66" s="17"/>
      <c r="K66" s="17"/>
      <c r="L66" s="22"/>
      <c r="M66" s="22"/>
      <c r="N66" s="39"/>
      <c r="O66" s="85"/>
      <c r="P66" s="62"/>
      <c r="Q66" s="62"/>
      <c r="R66" s="62"/>
      <c r="S66" s="50"/>
      <c r="T66" s="62"/>
    </row>
    <row r="67" spans="1:20" ht="14.4" customHeight="1" x14ac:dyDescent="0.3">
      <c r="A67" s="62"/>
      <c r="B67" s="103"/>
      <c r="C67" s="108"/>
      <c r="D67" s="159" cm="1">
        <f t="array" ref="D67">ROW()-ROW(factorsConfigTable[#Headers])</f>
        <v>29</v>
      </c>
      <c r="E67" s="16"/>
      <c r="F67" s="25"/>
      <c r="G67" s="30"/>
      <c r="H67" s="162" t="str">
        <f>_xlfn.XLOOKUP(factorsConfigTable[[#This Row],[index]], factorsTable[index], factorsTable[numTotal])</f>
        <v/>
      </c>
      <c r="I67" s="34"/>
      <c r="J67" s="17"/>
      <c r="K67" s="17"/>
      <c r="L67" s="22"/>
      <c r="M67" s="22"/>
      <c r="N67" s="39"/>
      <c r="O67" s="85"/>
      <c r="P67" s="62"/>
      <c r="Q67" s="62"/>
      <c r="R67" s="62"/>
      <c r="S67" s="50"/>
      <c r="T67" s="62"/>
    </row>
    <row r="68" spans="1:20" ht="14.4" customHeight="1" thickBot="1" x14ac:dyDescent="0.35">
      <c r="A68" s="62"/>
      <c r="B68" s="103"/>
      <c r="C68" s="109"/>
      <c r="D68" s="160" cm="1">
        <f t="array" ref="D68">ROW()-ROW(factorsConfigTable[#Headers])</f>
        <v>30</v>
      </c>
      <c r="E68" s="19"/>
      <c r="F68" s="31"/>
      <c r="G68" s="32"/>
      <c r="H68" s="163" t="str">
        <f>_xlfn.XLOOKUP(factorsConfigTable[[#This Row],[index]], factorsTable[index], factorsTable[numTotal])</f>
        <v/>
      </c>
      <c r="I68" s="35"/>
      <c r="J68" s="20"/>
      <c r="K68" s="20"/>
      <c r="L68" s="40"/>
      <c r="M68" s="40"/>
      <c r="N68" s="41"/>
      <c r="O68" s="85"/>
      <c r="P68" s="62"/>
      <c r="Q68" s="62"/>
      <c r="R68" s="62"/>
      <c r="S68" s="50"/>
      <c r="T68" s="62"/>
    </row>
    <row r="69" spans="1:20" ht="14.4" customHeight="1" x14ac:dyDescent="0.3">
      <c r="A69" s="62"/>
      <c r="B69" s="102"/>
      <c r="C69" s="112"/>
      <c r="D69" s="113"/>
      <c r="E69" s="82"/>
      <c r="F69" s="82"/>
      <c r="G69" s="82"/>
      <c r="H69" s="82"/>
      <c r="I69" s="82"/>
      <c r="J69" s="82"/>
      <c r="K69" s="82"/>
      <c r="L69" s="82"/>
      <c r="M69" s="82"/>
      <c r="N69" s="82"/>
      <c r="O69" s="87"/>
      <c r="P69" s="62"/>
      <c r="Q69" s="62"/>
      <c r="R69" s="62"/>
      <c r="S69" s="62"/>
      <c r="T69" s="62"/>
    </row>
    <row r="70" spans="1:20" ht="14.4" customHeight="1" x14ac:dyDescent="0.3">
      <c r="A70" s="62"/>
      <c r="B70" s="74"/>
      <c r="C70" s="93"/>
      <c r="D70" s="114"/>
      <c r="E70" s="50"/>
      <c r="F70" s="50"/>
      <c r="G70" s="50"/>
      <c r="H70" s="50"/>
      <c r="I70" s="50"/>
      <c r="J70" s="50"/>
      <c r="K70" s="50"/>
      <c r="L70" s="62"/>
      <c r="M70" s="62"/>
      <c r="N70" s="62"/>
      <c r="O70" s="62"/>
      <c r="P70" s="62"/>
      <c r="Q70" s="62"/>
      <c r="R70" s="62"/>
      <c r="S70" s="62"/>
      <c r="T70" s="62"/>
    </row>
    <row r="71" spans="1:20" ht="19.95" customHeight="1" thickBot="1" x14ac:dyDescent="0.35">
      <c r="A71" s="62"/>
      <c r="B71" s="74"/>
      <c r="C71" s="239" t="str" cm="1">
        <f t="array" ref="C71">UITranslateForValueTable("configErrorMessages", UITranslationTable[tag], UITranslationTable[], UITranslationTable[#Headers])</f>
        <v>Error Messages</v>
      </c>
      <c r="D71" s="240"/>
      <c r="E71" s="240"/>
      <c r="F71" s="240"/>
      <c r="G71" s="240"/>
      <c r="H71" s="240"/>
      <c r="I71" s="167" t="str" cm="1">
        <f t="array" ref="I71">UITranslateForValueTable("configChartsTitle", UITranslationTable[tag], UITranslationTable[], UITranslationTable[#Headers])</f>
        <v>4. Translations for charts and data tables</v>
      </c>
      <c r="J71" s="50"/>
      <c r="K71" s="50"/>
      <c r="L71" s="50"/>
      <c r="M71" s="50"/>
      <c r="N71" s="50"/>
      <c r="O71" s="50"/>
      <c r="P71" s="50"/>
      <c r="Q71" s="50"/>
      <c r="R71" s="62"/>
      <c r="S71" s="62"/>
      <c r="T71" s="62"/>
    </row>
    <row r="72" spans="1:20" ht="37.950000000000003" customHeight="1" x14ac:dyDescent="0.3">
      <c r="A72" s="62"/>
      <c r="B72" s="74"/>
      <c r="C72" s="250" t="str" cm="1">
        <f t="array" aca="1" ref="C72" ca="1">errorMessages</f>
        <v xml:space="preserve">
1. The "data" sheet cannot be found. Make sure you have imported your data file as a new spreadsheet in this Excel workbook and renamed that sheet "data" (without quotes).</v>
      </c>
      <c r="D72" s="251"/>
      <c r="E72" s="251"/>
      <c r="F72" s="251"/>
      <c r="G72" s="251"/>
      <c r="H72" s="252"/>
      <c r="I72" s="259" t="str" cm="1">
        <f t="array" ref="I72">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J72" s="260"/>
      <c r="K72" s="260"/>
      <c r="L72" s="260"/>
      <c r="M72" s="260"/>
      <c r="N72" s="260"/>
      <c r="O72" s="83"/>
      <c r="P72" s="62"/>
      <c r="Q72" s="62"/>
      <c r="R72" s="62"/>
      <c r="S72" s="62"/>
      <c r="T72" s="62"/>
    </row>
    <row r="73" spans="1:20" ht="16.2" customHeight="1" x14ac:dyDescent="0.3">
      <c r="A73" s="62"/>
      <c r="B73" s="74"/>
      <c r="C73" s="253"/>
      <c r="D73" s="254"/>
      <c r="E73" s="254"/>
      <c r="F73" s="254"/>
      <c r="G73" s="254"/>
      <c r="H73" s="255"/>
      <c r="I73" s="246" t="str" cm="1">
        <f t="array" ref="I73">UITranslateForValueTable("configInThisTable", UITranslationTable[tag], UITranslationTable[], UITranslationTable[#Headers])</f>
        <v>In this table:</v>
      </c>
      <c r="J73" s="247"/>
      <c r="K73" s="247"/>
      <c r="L73" s="247"/>
      <c r="M73" s="247"/>
      <c r="N73" s="247"/>
      <c r="O73" s="85"/>
      <c r="P73" s="62"/>
      <c r="Q73" s="62"/>
      <c r="R73" s="62"/>
      <c r="S73" s="62"/>
      <c r="T73" s="62"/>
    </row>
    <row r="74" spans="1:20" ht="55.95" customHeight="1" x14ac:dyDescent="0.3">
      <c r="A74" s="62"/>
      <c r="B74" s="74"/>
      <c r="C74" s="253"/>
      <c r="D74" s="254"/>
      <c r="E74" s="254"/>
      <c r="F74" s="254"/>
      <c r="G74" s="254"/>
      <c r="H74" s="255"/>
      <c r="I74" s="248" t="str" cm="1">
        <f t="array" ref="I74">UITranslateForValueTable("configChartsText1", UITranslationTable[tag], UITranslationTable[], UITranslationTable[#Headers])</f>
        <v>You MUST provide translations for the text elements of charts and data tables, but only if you have selected a user-defined language in the "Chart language" menu. Cells with missing translations appear in red.</v>
      </c>
      <c r="J74" s="249"/>
      <c r="K74" s="249"/>
      <c r="L74" s="249"/>
      <c r="M74" s="249"/>
      <c r="N74" s="249"/>
      <c r="O74" s="85"/>
      <c r="P74" s="62"/>
      <c r="Q74" s="62"/>
      <c r="R74" s="62"/>
      <c r="S74" s="62"/>
      <c r="T74" s="62"/>
    </row>
    <row r="75" spans="1:20" ht="15" thickBot="1" x14ac:dyDescent="0.35">
      <c r="A75" s="62"/>
      <c r="B75" s="74"/>
      <c r="C75" s="253"/>
      <c r="D75" s="254"/>
      <c r="E75" s="254"/>
      <c r="F75" s="254"/>
      <c r="G75" s="254"/>
      <c r="H75" s="255"/>
      <c r="I75" s="50"/>
      <c r="J75" s="68" t="str">
        <f>INDEX(languageTable[languageHeaders], 1)</f>
        <v>English</v>
      </c>
      <c r="K75" s="68" t="str">
        <f>INDEX(languageTable[languageHeaders], 2)</f>
        <v>Français</v>
      </c>
      <c r="L75" s="68" t="str">
        <f>INDEX(languageTable[languageHeaders], 3)</f>
        <v/>
      </c>
      <c r="M75" s="68" t="str">
        <f>INDEX(languageTable[languageHeaders], 4)</f>
        <v/>
      </c>
      <c r="N75" s="68" t="str">
        <f>INDEX(languageTable[languageHeaders], 5)</f>
        <v/>
      </c>
      <c r="O75" s="85"/>
      <c r="P75" s="62"/>
      <c r="Q75" s="62"/>
      <c r="R75" s="165"/>
      <c r="S75" s="166" t="s">
        <v>505</v>
      </c>
      <c r="T75" s="62"/>
    </row>
    <row r="76" spans="1:20" ht="15" hidden="1" customHeight="1" thickBot="1" x14ac:dyDescent="0.35">
      <c r="A76" s="62"/>
      <c r="B76" s="74"/>
      <c r="C76" s="253"/>
      <c r="D76" s="254"/>
      <c r="E76" s="254"/>
      <c r="F76" s="254"/>
      <c r="G76" s="254"/>
      <c r="H76" s="255"/>
      <c r="I76" s="50"/>
      <c r="J76" s="7" t="s">
        <v>14</v>
      </c>
      <c r="K76" s="7" t="s">
        <v>15</v>
      </c>
      <c r="L76" s="5" t="s">
        <v>16</v>
      </c>
      <c r="M76" s="5" t="s">
        <v>17</v>
      </c>
      <c r="N76" s="5" t="s">
        <v>18</v>
      </c>
      <c r="O76" s="28" t="s">
        <v>204</v>
      </c>
      <c r="P76" s="27" t="s">
        <v>12</v>
      </c>
      <c r="Q76" s="2" t="s">
        <v>1</v>
      </c>
      <c r="R76" s="2" t="s">
        <v>41</v>
      </c>
      <c r="S76" s="2" t="s">
        <v>42</v>
      </c>
      <c r="T76" s="62"/>
    </row>
    <row r="77" spans="1:20" x14ac:dyDescent="0.3">
      <c r="A77" s="62"/>
      <c r="B77" s="74"/>
      <c r="C77" s="253"/>
      <c r="D77" s="254"/>
      <c r="E77" s="254"/>
      <c r="F77" s="254"/>
      <c r="G77" s="254"/>
      <c r="H77" s="255"/>
      <c r="I77" s="50"/>
      <c r="J77" s="3" t="s">
        <v>53</v>
      </c>
      <c r="K77" s="4" t="s">
        <v>54</v>
      </c>
      <c r="L77" s="13"/>
      <c r="M77" s="14"/>
      <c r="N77" s="23"/>
      <c r="O77" s="120"/>
      <c r="P77" s="124" t="s">
        <v>52</v>
      </c>
      <c r="Q77" s="125" cm="1">
        <f t="array" ref="Q77">ROW()-ROW(chartTranslationTable[#Headers])</f>
        <v>1</v>
      </c>
      <c r="R77" s="126" t="str" cm="1">
        <f t="array" ref="R77">IF(
    chartTranslationTable[[#This Row],[tag]] = "",
    "",
    INDEX(
      INDEX(
        chartTranslationTable[],
        0,
        MATCH(
          IF(
            errorChartLanguage,
            "English",
            chartLanguage
          ),
          languageHeadersList,
          0
        )
        + MATCH(chartTranslationTable[[#Headers],[lang1]], chartTranslationTable[#Headers], 0)
        - 1
      ),
      chartTranslationTable[[#This Row],[index]]
    ) &amp; ""
  )</f>
        <v>Factor</v>
      </c>
      <c r="S77" s="127" t="str" cm="1">
        <f t="array" ref="S77">IF(
    chartTranslationTable[[#This Row],[tag]] = "",
    "",
    IF(
      chartTranslationTable[[#This Row],[langSpecText]] = "",
      UITranslateForValueTable("noTranslation", UITranslationTable[tag], UITranslationTable[], UITranslationTable[#Headers]),
      chartTranslationTable[[#This Row],[langSpecText]]
    )
  )</f>
        <v>Factor</v>
      </c>
      <c r="T77" s="62"/>
    </row>
    <row r="78" spans="1:20" x14ac:dyDescent="0.3">
      <c r="A78" s="62"/>
      <c r="B78" s="74"/>
      <c r="C78" s="253"/>
      <c r="D78" s="254"/>
      <c r="E78" s="254"/>
      <c r="F78" s="254"/>
      <c r="G78" s="254"/>
      <c r="H78" s="255"/>
      <c r="I78" s="50"/>
      <c r="J78" s="5" t="s">
        <v>4</v>
      </c>
      <c r="K78" s="6" t="s">
        <v>6</v>
      </c>
      <c r="L78" s="16"/>
      <c r="M78" s="17"/>
      <c r="N78" s="18"/>
      <c r="O78" s="120"/>
      <c r="P78" s="124" t="s">
        <v>24</v>
      </c>
      <c r="Q78" s="125" cm="1">
        <f t="array" ref="Q78">ROW()-ROW(chartTranslationTable[#Headers])</f>
        <v>2</v>
      </c>
      <c r="R78" s="126" t="str" cm="1">
        <f t="array" ref="R78">IF(
    chartTranslationTable[[#This Row],[tag]] = "",
    "",
    INDEX(
      INDEX(
        chartTranslationTable[],
        0,
        MATCH(
          IF(
            errorChartLanguage,
            "English",
            chartLanguage
          ),
          languageHeadersList,
          0
        )
        + MATCH(chartTranslationTable[[#Headers],[lang1]], chartTranslationTable[#Headers], 0)
        - 1
      ),
      chartTranslationTable[[#This Row],[index]]
    ) &amp; ""
  )</f>
        <v>Doers</v>
      </c>
      <c r="S78" s="127" t="str" cm="1">
        <f t="array" ref="S78">IF(
    chartTranslationTable[[#This Row],[tag]] = "",
    "",
    IF(
      chartTranslationTable[[#This Row],[langSpecText]] = "",
      UITranslateForValueTable("noTranslation", UITranslationTable[tag], UITranslationTable[], UITranslationTable[#Headers]),
      chartTranslationTable[[#This Row],[langSpecText]]
    )
  )</f>
        <v>Doers</v>
      </c>
      <c r="T78" s="62"/>
    </row>
    <row r="79" spans="1:20" x14ac:dyDescent="0.3">
      <c r="A79" s="62"/>
      <c r="B79" s="74"/>
      <c r="C79" s="253"/>
      <c r="D79" s="254"/>
      <c r="E79" s="254"/>
      <c r="F79" s="254"/>
      <c r="G79" s="254"/>
      <c r="H79" s="255"/>
      <c r="I79" s="50"/>
      <c r="J79" s="5" t="s">
        <v>7</v>
      </c>
      <c r="K79" s="6" t="s">
        <v>8</v>
      </c>
      <c r="L79" s="16"/>
      <c r="M79" s="17"/>
      <c r="N79" s="18"/>
      <c r="O79" s="120"/>
      <c r="P79" s="124" t="s">
        <v>25</v>
      </c>
      <c r="Q79" s="125" cm="1">
        <f t="array" ref="Q79">ROW()-ROW(chartTranslationTable[#Headers])</f>
        <v>3</v>
      </c>
      <c r="R79" s="126" t="str" cm="1">
        <f t="array" ref="R79">IF(
    chartTranslationTable[[#This Row],[tag]] = "",
    "",
    INDEX(
      INDEX(
        chartTranslationTable[],
        0,
        MATCH(
          IF(
            errorChartLanguage,
            "English",
            chartLanguage
          ),
          languageHeadersList,
          0
        )
        + MATCH(chartTranslationTable[[#Headers],[lang1]], chartTranslationTable[#Headers], 0)
        - 1
      ),
      chartTranslationTable[[#This Row],[index]]
    ) &amp; ""
  )</f>
        <v>Non-doers</v>
      </c>
      <c r="S79" s="127" t="str" cm="1">
        <f t="array" ref="S79">IF(
    chartTranslationTable[[#This Row],[tag]] = "",
    "",
    IF(
      chartTranslationTable[[#This Row],[langSpecText]] = "",
      UITranslateForValueTable("noTranslation", UITranslationTable[tag], UITranslationTable[], UITranslationTable[#Headers]),
      chartTranslationTable[[#This Row],[langSpecText]]
    )
  )</f>
        <v>Non-doers</v>
      </c>
      <c r="T79" s="62"/>
    </row>
    <row r="80" spans="1:20" x14ac:dyDescent="0.3">
      <c r="A80" s="62"/>
      <c r="B80" s="74"/>
      <c r="C80" s="253"/>
      <c r="D80" s="254"/>
      <c r="E80" s="254"/>
      <c r="F80" s="254"/>
      <c r="G80" s="254"/>
      <c r="H80" s="255"/>
      <c r="I80" s="50"/>
      <c r="J80" s="5" t="s">
        <v>2</v>
      </c>
      <c r="K80" s="6" t="s">
        <v>9</v>
      </c>
      <c r="L80" s="16"/>
      <c r="M80" s="17"/>
      <c r="N80" s="18"/>
      <c r="O80" s="120"/>
      <c r="P80" s="124" t="s">
        <v>26</v>
      </c>
      <c r="Q80" s="125" cm="1">
        <f t="array" ref="Q80">ROW()-ROW(chartTranslationTable[#Headers])</f>
        <v>4</v>
      </c>
      <c r="R80" s="126" t="str" cm="1">
        <f t="array" ref="R80">IF(
    chartTranslationTable[[#This Row],[tag]] = "",
    "",
    INDEX(
      INDEX(
        chartTranslationTable[],
        0,
        MATCH(
          IF(
            errorChartLanguage,
            "English",
            chartLanguage
          ),
          languageHeadersList,
          0
        )
        + MATCH(chartTranslationTable[[#Headers],[lang1]], chartTranslationTable[#Headers], 0)
        - 1
      ),
      chartTranslationTable[[#This Row],[index]]
    ) &amp; ""
  )</f>
        <v>Difference</v>
      </c>
      <c r="S80" s="127" t="str" cm="1">
        <f t="array" ref="S80">IF(
    chartTranslationTable[[#This Row],[tag]] = "",
    "",
    IF(
      chartTranslationTable[[#This Row],[langSpecText]] = "",
      UITranslateForValueTable("noTranslation", UITranslationTable[tag], UITranslationTable[], UITranslationTable[#Headers]),
      chartTranslationTable[[#This Row],[langSpecText]]
    )
  )</f>
        <v>Difference</v>
      </c>
      <c r="T80" s="62"/>
    </row>
    <row r="81" spans="1:20" x14ac:dyDescent="0.3">
      <c r="A81" s="62"/>
      <c r="B81" s="74"/>
      <c r="C81" s="253"/>
      <c r="D81" s="254"/>
      <c r="E81" s="254"/>
      <c r="F81" s="254"/>
      <c r="G81" s="254"/>
      <c r="H81" s="255"/>
      <c r="I81" s="50"/>
      <c r="J81" s="5" t="s">
        <v>36</v>
      </c>
      <c r="K81" s="6" t="s">
        <v>10</v>
      </c>
      <c r="L81" s="16"/>
      <c r="M81" s="17"/>
      <c r="N81" s="18"/>
      <c r="O81" s="120"/>
      <c r="P81" s="124" t="s">
        <v>35</v>
      </c>
      <c r="Q81" s="125" cm="1">
        <f t="array" ref="Q81">ROW()-ROW(chartTranslationTable[#Headers])</f>
        <v>5</v>
      </c>
      <c r="R81" s="126" t="str" cm="1">
        <f t="array" ref="R81">IF(
    chartTranslationTable[[#This Row],[tag]] = "",
    "",
    INDEX(
      INDEX(
        chartTranslationTable[],
        0,
        MATCH(
          IF(
            errorChartLanguage,
            "English",
            chartLanguage
          ),
          languageHeadersList,
          0
        )
        + MATCH(chartTranslationTable[[#Headers],[lang1]], chartTranslationTable[#Headers], 0)
        - 1
      ),
      chartTranslationTable[[#This Row],[index]]
    ) &amp; ""
  )</f>
        <v># of responses</v>
      </c>
      <c r="S81" s="127" t="str" cm="1">
        <f t="array" ref="S81">IF(
    chartTranslationTable[[#This Row],[tag]] = "",
    "",
    IF(
      chartTranslationTable[[#This Row],[langSpecText]] = "",
      UITranslateForValueTable("noTranslation", UITranslationTable[tag], UITranslationTable[], UITranslationTable[#Headers]),
      chartTranslationTable[[#This Row],[langSpecText]]
    )
  )</f>
        <v># of responses</v>
      </c>
      <c r="T81" s="62"/>
    </row>
    <row r="82" spans="1:20" x14ac:dyDescent="0.3">
      <c r="A82" s="62"/>
      <c r="B82" s="74"/>
      <c r="C82" s="253"/>
      <c r="D82" s="254"/>
      <c r="E82" s="254"/>
      <c r="F82" s="254"/>
      <c r="G82" s="254"/>
      <c r="H82" s="255"/>
      <c r="I82" s="50"/>
      <c r="J82" s="5" t="s">
        <v>120</v>
      </c>
      <c r="K82" s="6" t="s">
        <v>107</v>
      </c>
      <c r="L82" s="16"/>
      <c r="M82" s="17"/>
      <c r="N82" s="18"/>
      <c r="O82" s="120"/>
      <c r="P82" s="124" t="s">
        <v>106</v>
      </c>
      <c r="Q82" s="125" cm="1">
        <f t="array" ref="Q82">ROW()-ROW(chartTranslationTable[#Headers])</f>
        <v>6</v>
      </c>
      <c r="R82" s="126" t="str" cm="1">
        <f t="array" ref="R82">IF(
    chartTranslationTable[[#This Row],[tag]] = "",
    "",
    INDEX(
      INDEX(
        chartTranslationTable[],
        0,
        MATCH(
          IF(
            errorChartLanguage,
            "English",
            chartLanguage
          ),
          languageHeadersList,
          0
        )
        + MATCH(chartTranslationTable[[#Headers],[lang1]], chartTranslationTable[#Headers], 0)
        - 1
      ),
      chartTranslationTable[[#This Row],[index]]
    ) &amp; ""
  )</f>
        <v>% of responses</v>
      </c>
      <c r="S82" s="127" t="str" cm="1">
        <f t="array" ref="S82">IF(
    chartTranslationTable[[#This Row],[tag]] = "",
    "",
    IF(
      chartTranslationTable[[#This Row],[langSpecText]] = "",
      UITranslateForValueTable("noTranslation", UITranslationTable[tag], UITranslationTable[], UITranslationTable[#Headers]),
      chartTranslationTable[[#This Row],[langSpecText]]
    )
  )</f>
        <v>% of responses</v>
      </c>
      <c r="T82" s="62"/>
    </row>
    <row r="83" spans="1:20" x14ac:dyDescent="0.3">
      <c r="A83" s="62"/>
      <c r="B83" s="74"/>
      <c r="C83" s="253"/>
      <c r="D83" s="254"/>
      <c r="E83" s="254"/>
      <c r="F83" s="254"/>
      <c r="G83" s="254"/>
      <c r="H83" s="255"/>
      <c r="I83" s="50"/>
      <c r="J83" s="5" t="s">
        <v>38</v>
      </c>
      <c r="K83" s="6" t="s">
        <v>40</v>
      </c>
      <c r="L83" s="16"/>
      <c r="M83" s="17"/>
      <c r="N83" s="18"/>
      <c r="O83" s="120"/>
      <c r="P83" s="124" t="s">
        <v>39</v>
      </c>
      <c r="Q83" s="125" cm="1">
        <f t="array" ref="Q83">ROW()-ROW(chartTranslationTable[#Headers])</f>
        <v>7</v>
      </c>
      <c r="R83" s="126" t="str" cm="1">
        <f t="array" ref="R83">IF(
    chartTranslationTable[[#This Row],[tag]] = "",
    "",
    INDEX(
      INDEX(
        chartTranslationTable[],
        0,
        MATCH(
          IF(
            errorChartLanguage,
            "English",
            chartLanguage
          ),
          languageHeadersList,
          0
        )
        + MATCH(chartTranslationTable[[#Headers],[lang1]], chartTranslationTable[#Headers], 0)
        - 1
      ),
      chartTranslationTable[[#This Row],[index]]
    ) &amp; ""
  )</f>
        <v>Cutoff level</v>
      </c>
      <c r="S83" s="127" t="str" cm="1">
        <f t="array" ref="S83">IF(
    chartTranslationTable[[#This Row],[tag]] = "",
    "",
    IF(
      chartTranslationTable[[#This Row],[langSpecText]] = "",
      UITranslateForValueTable("noTranslation", UITranslationTable[tag], UITranslationTable[], UITranslationTable[#Headers]),
      chartTranslationTable[[#This Row],[langSpecText]]
    )
  )</f>
        <v>Cutoff level</v>
      </c>
      <c r="T83" s="62"/>
    </row>
    <row r="84" spans="1:20" x14ac:dyDescent="0.3">
      <c r="A84" s="62"/>
      <c r="B84" s="74"/>
      <c r="C84" s="253"/>
      <c r="D84" s="254"/>
      <c r="E84" s="254"/>
      <c r="F84" s="254"/>
      <c r="G84" s="254"/>
      <c r="H84" s="255"/>
      <c r="I84" s="50"/>
      <c r="J84" s="5" t="s">
        <v>102</v>
      </c>
      <c r="K84" s="6" t="s">
        <v>103</v>
      </c>
      <c r="L84" s="16"/>
      <c r="M84" s="17"/>
      <c r="N84" s="18"/>
      <c r="O84" s="120"/>
      <c r="P84" s="124" t="s">
        <v>104</v>
      </c>
      <c r="Q84" s="125" cm="1">
        <f t="array" ref="Q84">ROW()-ROW(chartTranslationTable[#Headers])</f>
        <v>8</v>
      </c>
      <c r="R84" s="126" t="str" cm="1">
        <f t="array" ref="R84">IF(
    chartTranslationTable[[#This Row],[tag]] = "",
    "",
    INDEX(
      INDEX(
        chartTranslationTable[],
        0,
        MATCH(
          IF(
            errorChartLanguage,
            "English",
            chartLanguage
          ),
          languageHeadersList,
          0
        )
        + MATCH(chartTranslationTable[[#Headers],[lang1]], chartTranslationTable[#Headers], 0)
        - 1
      ),
      chartTranslationTable[[#This Row],[index]]
    ) &amp; ""
  )</f>
        <v>Behaviour score</v>
      </c>
      <c r="S84" s="127" t="str" cm="1">
        <f t="array" ref="S84">IF(
    chartTranslationTable[[#This Row],[tag]] = "",
    "",
    IF(
      chartTranslationTable[[#This Row],[langSpecText]] = "",
      UITranslateForValueTable("noTranslation", UITranslationTable[tag], UITranslationTable[], UITranslationTable[#Headers]),
      chartTranslationTable[[#This Row],[langSpecText]]
    )
  )</f>
        <v>Behaviour score</v>
      </c>
      <c r="T84" s="62"/>
    </row>
    <row r="85" spans="1:20" x14ac:dyDescent="0.3">
      <c r="A85" s="62"/>
      <c r="B85" s="74"/>
      <c r="C85" s="253"/>
      <c r="D85" s="254"/>
      <c r="E85" s="254"/>
      <c r="F85" s="254"/>
      <c r="G85" s="254"/>
      <c r="H85" s="255"/>
      <c r="I85" s="50"/>
      <c r="J85" s="5" t="s">
        <v>200</v>
      </c>
      <c r="K85" s="6" t="s">
        <v>129</v>
      </c>
      <c r="L85" s="16"/>
      <c r="M85" s="17"/>
      <c r="N85" s="18"/>
      <c r="O85" s="120"/>
      <c r="P85" s="124" t="s">
        <v>128</v>
      </c>
      <c r="Q85" s="125" cm="1">
        <f t="array" ref="Q85">ROW()-ROW(chartTranslationTable[#Headers])</f>
        <v>9</v>
      </c>
      <c r="R85" s="126" t="str" cm="1">
        <f t="array" ref="R85">IF(
    chartTranslationTable[[#This Row],[tag]] = "",
    "",
    INDEX(
      INDEX(
        chartTranslationTable[],
        0,
        MATCH(
          IF(
            errorChartLanguage,
            "English",
            chartLanguage
          ),
          languageHeadersList,
          0
        )
        + MATCH(chartTranslationTable[[#Headers],[lang1]], chartTranslationTable[#Headers], 0)
        - 1
      ),
      chartTranslationTable[[#This Row],[index]]
    ) &amp; ""
  )</f>
        <v>Normalised mean score</v>
      </c>
      <c r="S85" s="127" t="str" cm="1">
        <f t="array" ref="S85">IF(
    chartTranslationTable[[#This Row],[tag]] = "",
    "",
    IF(
      chartTranslationTable[[#This Row],[langSpecText]] = "",
      UITranslateForValueTable("noTranslation", UITranslationTable[tag], UITranslationTable[], UITranslationTable[#Headers]),
      chartTranslationTable[[#This Row],[langSpecText]]
    )
  )</f>
        <v>Normalised mean score</v>
      </c>
      <c r="T85" s="62"/>
    </row>
    <row r="86" spans="1:20" x14ac:dyDescent="0.3">
      <c r="A86" s="62"/>
      <c r="B86" s="74"/>
      <c r="C86" s="253"/>
      <c r="D86" s="254"/>
      <c r="E86" s="254"/>
      <c r="F86" s="254"/>
      <c r="G86" s="254"/>
      <c r="H86" s="255"/>
      <c r="I86" s="50"/>
      <c r="J86" s="5" t="s">
        <v>158</v>
      </c>
      <c r="K86" s="6" t="s">
        <v>159</v>
      </c>
      <c r="L86" s="16"/>
      <c r="M86" s="17"/>
      <c r="N86" s="18"/>
      <c r="O86" s="120"/>
      <c r="P86" s="124" t="s">
        <v>68</v>
      </c>
      <c r="Q86" s="125" cm="1">
        <f t="array" ref="Q86">ROW()-ROW(chartTranslationTable[#Headers])</f>
        <v>10</v>
      </c>
      <c r="R86" s="126" t="str" cm="1">
        <f t="array" ref="R86">IF(
    chartTranslationTable[[#This Row],[tag]] = "",
    "",
    INDEX(
      INDEX(
        chartTranslationTable[],
        0,
        MATCH(
          IF(
            errorChartLanguage,
            "English",
            chartLanguage
          ),
          languageHeadersList,
          0
        )
        + MATCH(chartTranslationTable[[#Headers],[lang1]], chartTranslationTable[#Headers], 0)
        - 1
      ),
      chartTranslationTable[[#This Row],[index]]
    ) &amp; ""
  )</f>
        <v>RANAS block</v>
      </c>
      <c r="S86" s="127" t="str" cm="1">
        <f t="array" ref="S86">IF(
    chartTranslationTable[[#This Row],[tag]] = "",
    "",
    IF(
      chartTranslationTable[[#This Row],[langSpecText]] = "",
      UITranslateForValueTable("noTranslation", UITranslationTable[tag], UITranslationTable[], UITranslationTable[#Headers]),
      chartTranslationTable[[#This Row],[langSpecText]]
    )
  )</f>
        <v>RANAS block</v>
      </c>
      <c r="T86" s="62"/>
    </row>
    <row r="87" spans="1:20" x14ac:dyDescent="0.3">
      <c r="A87" s="62"/>
      <c r="B87" s="74"/>
      <c r="C87" s="253"/>
      <c r="D87" s="254"/>
      <c r="E87" s="254"/>
      <c r="F87" s="254"/>
      <c r="G87" s="254"/>
      <c r="H87" s="255"/>
      <c r="I87" s="50"/>
      <c r="J87" s="5" t="s">
        <v>114</v>
      </c>
      <c r="K87" s="6" t="s">
        <v>131</v>
      </c>
      <c r="L87" s="16"/>
      <c r="M87" s="17"/>
      <c r="N87" s="18"/>
      <c r="O87" s="120"/>
      <c r="P87" s="124" t="s">
        <v>130</v>
      </c>
      <c r="Q87" s="125" cm="1">
        <f t="array" ref="Q87">ROW()-ROW(chartTranslationTable[#Headers])</f>
        <v>11</v>
      </c>
      <c r="R87" s="126" t="str" cm="1">
        <f t="array" ref="R87">IF(
    chartTranslationTable[[#This Row],[tag]] = "",
    "",
    INDEX(
      INDEX(
        chartTranslationTable[],
        0,
        MATCH(
          IF(
            errorChartLanguage,
            "English",
            chartLanguage
          ),
          languageHeadersList,
          0
        )
        + MATCH(chartTranslationTable[[#Headers],[lang1]], chartTranslationTable[#Headers], 0)
        - 1
      ),
      chartTranslationTable[[#This Row],[index]]
    ) &amp; ""
  )</f>
        <v>Risks</v>
      </c>
      <c r="S87" s="127" t="str" cm="1">
        <f t="array" ref="S87">IF(
    chartTranslationTable[[#This Row],[tag]] = "",
    "",
    IF(
      chartTranslationTable[[#This Row],[langSpecText]] = "",
      UITranslateForValueTable("noTranslation", UITranslationTable[tag], UITranslationTable[], UITranslationTable[#Headers]),
      chartTranslationTable[[#This Row],[langSpecText]]
    )
  )</f>
        <v>Risks</v>
      </c>
      <c r="T87" s="62"/>
    </row>
    <row r="88" spans="1:20" x14ac:dyDescent="0.3">
      <c r="A88" s="62"/>
      <c r="B88" s="74"/>
      <c r="C88" s="253"/>
      <c r="D88" s="254"/>
      <c r="E88" s="254"/>
      <c r="F88" s="254"/>
      <c r="G88" s="254"/>
      <c r="H88" s="255"/>
      <c r="I88" s="50"/>
      <c r="J88" s="5" t="s">
        <v>115</v>
      </c>
      <c r="K88" s="6" t="s">
        <v>115</v>
      </c>
      <c r="L88" s="16"/>
      <c r="M88" s="17"/>
      <c r="N88" s="18"/>
      <c r="O88" s="120"/>
      <c r="P88" s="124" t="s">
        <v>132</v>
      </c>
      <c r="Q88" s="125" cm="1">
        <f t="array" ref="Q88">ROW()-ROW(chartTranslationTable[#Headers])</f>
        <v>12</v>
      </c>
      <c r="R88" s="126" t="str" cm="1">
        <f t="array" ref="R88">IF(
    chartTranslationTable[[#This Row],[tag]] = "",
    "",
    INDEX(
      INDEX(
        chartTranslationTable[],
        0,
        MATCH(
          IF(
            errorChartLanguage,
            "English",
            chartLanguage
          ),
          languageHeadersList,
          0
        )
        + MATCH(chartTranslationTable[[#Headers],[lang1]], chartTranslationTable[#Headers], 0)
        - 1
      ),
      chartTranslationTable[[#This Row],[index]]
    ) &amp; ""
  )</f>
        <v>Attitudes</v>
      </c>
      <c r="S88" s="127" t="str" cm="1">
        <f t="array" ref="S88">IF(
    chartTranslationTable[[#This Row],[tag]] = "",
    "",
    IF(
      chartTranslationTable[[#This Row],[langSpecText]] = "",
      UITranslateForValueTable("noTranslation", UITranslationTable[tag], UITranslationTable[], UITranslationTable[#Headers]),
      chartTranslationTable[[#This Row],[langSpecText]]
    )
  )</f>
        <v>Attitudes</v>
      </c>
      <c r="T88" s="62"/>
    </row>
    <row r="89" spans="1:20" x14ac:dyDescent="0.3">
      <c r="A89" s="62"/>
      <c r="B89" s="74"/>
      <c r="C89" s="253"/>
      <c r="D89" s="254"/>
      <c r="E89" s="254"/>
      <c r="F89" s="254"/>
      <c r="G89" s="254"/>
      <c r="H89" s="255"/>
      <c r="I89" s="50"/>
      <c r="J89" s="5" t="s">
        <v>113</v>
      </c>
      <c r="K89" s="6" t="s">
        <v>134</v>
      </c>
      <c r="L89" s="16"/>
      <c r="M89" s="17"/>
      <c r="N89" s="18"/>
      <c r="O89" s="120"/>
      <c r="P89" s="124" t="s">
        <v>133</v>
      </c>
      <c r="Q89" s="125" cm="1">
        <f t="array" ref="Q89">ROW()-ROW(chartTranslationTable[#Headers])</f>
        <v>13</v>
      </c>
      <c r="R89" s="126" t="str" cm="1">
        <f t="array" ref="R89">IF(
    chartTranslationTable[[#This Row],[tag]] = "",
    "",
    INDEX(
      INDEX(
        chartTranslationTable[],
        0,
        MATCH(
          IF(
            errorChartLanguage,
            "English",
            chartLanguage
          ),
          languageHeadersList,
          0
        )
        + MATCH(chartTranslationTable[[#Headers],[lang1]], chartTranslationTable[#Headers], 0)
        - 1
      ),
      chartTranslationTable[[#This Row],[index]]
    ) &amp; ""
  )</f>
        <v>Norms</v>
      </c>
      <c r="S89" s="127" t="str" cm="1">
        <f t="array" ref="S89">IF(
    chartTranslationTable[[#This Row],[tag]] = "",
    "",
    IF(
      chartTranslationTable[[#This Row],[langSpecText]] = "",
      UITranslateForValueTable("noTranslation", UITranslationTable[tag], UITranslationTable[], UITranslationTable[#Headers]),
      chartTranslationTable[[#This Row],[langSpecText]]
    )
  )</f>
        <v>Norms</v>
      </c>
      <c r="T89" s="62"/>
    </row>
    <row r="90" spans="1:20" x14ac:dyDescent="0.3">
      <c r="A90" s="62"/>
      <c r="B90" s="74"/>
      <c r="C90" s="253"/>
      <c r="D90" s="254"/>
      <c r="E90" s="254"/>
      <c r="F90" s="254"/>
      <c r="G90" s="254"/>
      <c r="H90" s="255"/>
      <c r="I90" s="50"/>
      <c r="J90" s="5" t="s">
        <v>116</v>
      </c>
      <c r="K90" s="6" t="s">
        <v>136</v>
      </c>
      <c r="L90" s="16"/>
      <c r="M90" s="17"/>
      <c r="N90" s="18"/>
      <c r="O90" s="120"/>
      <c r="P90" s="124" t="s">
        <v>135</v>
      </c>
      <c r="Q90" s="125" cm="1">
        <f t="array" ref="Q90">ROW()-ROW(chartTranslationTable[#Headers])</f>
        <v>14</v>
      </c>
      <c r="R90" s="126" t="str" cm="1">
        <f t="array" ref="R90">IF(
    chartTranslationTable[[#This Row],[tag]] = "",
    "",
    INDEX(
      INDEX(
        chartTranslationTable[],
        0,
        MATCH(
          IF(
            errorChartLanguage,
            "English",
            chartLanguage
          ),
          languageHeadersList,
          0
        )
        + MATCH(chartTranslationTable[[#Headers],[lang1]], chartTranslationTable[#Headers], 0)
        - 1
      ),
      chartTranslationTable[[#This Row],[index]]
    ) &amp; ""
  )</f>
        <v>Abilities</v>
      </c>
      <c r="S90" s="127" t="str" cm="1">
        <f t="array" ref="S90">IF(
    chartTranslationTable[[#This Row],[tag]] = "",
    "",
    IF(
      chartTranslationTable[[#This Row],[langSpecText]] = "",
      UITranslateForValueTable("noTranslation", UITranslationTable[tag], UITranslationTable[], UITranslationTable[#Headers]),
      chartTranslationTable[[#This Row],[langSpecText]]
    )
  )</f>
        <v>Abilities</v>
      </c>
      <c r="T90" s="62"/>
    </row>
    <row r="91" spans="1:20" ht="15" thickBot="1" x14ac:dyDescent="0.35">
      <c r="A91" s="62"/>
      <c r="B91" s="74"/>
      <c r="C91" s="253"/>
      <c r="D91" s="254"/>
      <c r="E91" s="254"/>
      <c r="F91" s="254"/>
      <c r="G91" s="254"/>
      <c r="H91" s="255"/>
      <c r="I91" s="50"/>
      <c r="J91" s="7" t="s">
        <v>117</v>
      </c>
      <c r="K91" s="8" t="s">
        <v>138</v>
      </c>
      <c r="L91" s="19"/>
      <c r="M91" s="20"/>
      <c r="N91" s="21"/>
      <c r="O91" s="120"/>
      <c r="P91" s="124" t="s">
        <v>137</v>
      </c>
      <c r="Q91" s="125" cm="1">
        <f t="array" ref="Q91">ROW()-ROW(chartTranslationTable[#Headers])</f>
        <v>15</v>
      </c>
      <c r="R91" s="126" t="str" cm="1">
        <f t="array" ref="R91">IF(
    chartTranslationTable[[#This Row],[tag]] = "",
    "",
    INDEX(
      INDEX(
        chartTranslationTable[],
        0,
        MATCH(
          IF(
            errorChartLanguage,
            "English",
            chartLanguage
          ),
          languageHeadersList,
          0
        )
        + MATCH(chartTranslationTable[[#Headers],[lang1]], chartTranslationTable[#Headers], 0)
        - 1
      ),
      chartTranslationTable[[#This Row],[index]]
    ) &amp; ""
  )</f>
        <v>Self-regulation</v>
      </c>
      <c r="S91" s="127" t="str" cm="1">
        <f t="array" ref="S91">IF(
    chartTranslationTable[[#This Row],[tag]] = "",
    "",
    IF(
      chartTranslationTable[[#This Row],[langSpecText]] = "",
      UITranslateForValueTable("noTranslation", UITranslationTable[tag], UITranslationTable[], UITranslationTable[#Headers]),
      chartTranslationTable[[#This Row],[langSpecText]]
    )
  )</f>
        <v>Self-regulation</v>
      </c>
      <c r="T91" s="62"/>
    </row>
    <row r="92" spans="1:20" ht="15" thickBot="1" x14ac:dyDescent="0.35">
      <c r="A92" s="62"/>
      <c r="B92" s="74"/>
      <c r="C92" s="256"/>
      <c r="D92" s="257"/>
      <c r="E92" s="257"/>
      <c r="F92" s="257"/>
      <c r="G92" s="257"/>
      <c r="H92" s="258"/>
      <c r="I92" s="82"/>
      <c r="J92" s="82"/>
      <c r="K92" s="82"/>
      <c r="L92" s="82"/>
      <c r="M92" s="82"/>
      <c r="N92" s="82"/>
      <c r="O92" s="87"/>
      <c r="P92" s="62"/>
      <c r="Q92" s="62"/>
      <c r="R92" s="62"/>
      <c r="S92" s="62"/>
      <c r="T92" s="62"/>
    </row>
    <row r="93" spans="1:20" x14ac:dyDescent="0.3">
      <c r="A93" s="62"/>
      <c r="B93" s="74"/>
      <c r="C93" s="74"/>
      <c r="D93" s="115"/>
      <c r="E93" s="62"/>
      <c r="F93" s="62"/>
      <c r="G93" s="62"/>
      <c r="H93" s="62"/>
      <c r="I93" s="62"/>
      <c r="J93" s="62"/>
      <c r="K93" s="62"/>
      <c r="L93" s="62"/>
      <c r="M93" s="62"/>
      <c r="N93" s="62"/>
      <c r="O93" s="62"/>
      <c r="P93" s="62"/>
      <c r="Q93" s="62"/>
      <c r="R93" s="62"/>
      <c r="S93" s="62"/>
      <c r="T93" s="62"/>
    </row>
  </sheetData>
  <sheetProtection algorithmName="SHA-512" hashValue="gpuLyc0sBMVp1Ac2rXZEDNsW62uIS9VKjUIw+vYdfBWHDH+sDlaKlBK+PXfW0nCe4FnaY1BQef3hY0z284wC5g==" saltValue="EfnUQlYIkSOEbBWo3uAgXw==" spinCount="100000" sheet="1" objects="1" scenarios="1"/>
  <mergeCells count="29">
    <mergeCell ref="C3:K3"/>
    <mergeCell ref="C5:K5"/>
    <mergeCell ref="L3:O3"/>
    <mergeCell ref="C4:K4"/>
    <mergeCell ref="L4:N5"/>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8:K8"/>
    <mergeCell ref="L7:N7"/>
    <mergeCell ref="L8:O35"/>
    <mergeCell ref="C71:H71"/>
    <mergeCell ref="C10:K10"/>
    <mergeCell ref="C33:K33"/>
    <mergeCell ref="C34:K34"/>
    <mergeCell ref="C35:K35"/>
    <mergeCell ref="C36:K36"/>
    <mergeCell ref="C28:K28"/>
  </mergeCells>
  <phoneticPr fontId="5" type="noConversion"/>
  <conditionalFormatting sqref="C16:C20 E16:G20 C39:C68 E39:G68 I39:N68 L77:N91 L37:N37">
    <cfRule type="expression" dxfId="37" priority="34">
      <formula>TRUE</formula>
    </cfRule>
  </conditionalFormatting>
  <conditionalFormatting sqref="C16:C20 E16:G20">
    <cfRule type="expression" dxfId="36" priority="32">
      <formula>MOD(ROW() - ROW($C$15), 2)</formula>
    </cfRule>
  </conditionalFormatting>
  <conditionalFormatting sqref="C16:C20">
    <cfRule type="expression" dxfId="35" priority="22">
      <formula>AND(     NOT(errorNoDataSheet),     C16 &lt;&gt; yesLabel,     ISNUMBER(INDEX(behaviourColNumColumn, D16)),     errorBehaviourNoneSelected   )</formula>
    </cfRule>
    <cfRule type="expression" dxfId="34" priority="23">
      <formula>AND(     NOT(errorNoDataSheet),     ISNA(MATCH($C16, yesNoList, 0)),     $E16 &lt;&gt; ""   )</formula>
    </cfRule>
  </conditionalFormatting>
  <conditionalFormatting sqref="C39:C68 E39:G68 I39:N68">
    <cfRule type="expression" dxfId="33" priority="29">
      <formula>MOD(ROW() - ROW($C$38), 2)</formula>
    </cfRule>
  </conditionalFormatting>
  <conditionalFormatting sqref="C39:C68">
    <cfRule type="expression" dxfId="32" priority="12">
      <formula>AND(     NOT(errorNoDataSheet),     $C39 &lt;&gt; yesLabel,     ISNUMBER(INDEX(factorColNumColumn, $D39)),     errorFactorNoneSelected   )</formula>
    </cfRule>
    <cfRule type="expression" dxfId="31" priority="13">
      <formula>AND(     NOT(errorNoDataSheet),     ISNA(MATCH($C39, yesNoList, 0)),     $E39 &lt;&gt; ""   )</formula>
    </cfRule>
  </conditionalFormatting>
  <conditionalFormatting sqref="D16:D20 H16:I20 D39:D68 H39:H68 J77:K91">
    <cfRule type="expression" dxfId="30" priority="35">
      <formula>TRUE</formula>
    </cfRule>
  </conditionalFormatting>
  <conditionalFormatting sqref="D16:D20 H16:I20">
    <cfRule type="expression" dxfId="29" priority="33">
      <formula>MOD(ROW() - ROW($D$15), 2)</formula>
    </cfRule>
  </conditionalFormatting>
  <conditionalFormatting sqref="D39:D68 H39:H68">
    <cfRule type="expression" dxfId="28" priority="30">
      <formula>MOD(ROW() - ROW($D$38), 2)</formula>
    </cfRule>
  </conditionalFormatting>
  <conditionalFormatting sqref="E16:E20">
    <cfRule type="expression" dxfId="27" priority="21">
      <formula>AND(     NOT(errorNoDataSheet),     $C16 = yesLabel,     $E16 &lt;&gt; "",     ISNA(INDEX(behaviourColNumColumn, $D16))   )</formula>
    </cfRule>
  </conditionalFormatting>
  <conditionalFormatting sqref="E39:E68">
    <cfRule type="expression" dxfId="26" priority="11">
      <formula>AND(     NOT(errorNoDataSheet),     $C39 = yesLabel,     $E39 &lt;&gt; "",     ISNA(INDEX(factorColNumColumn, $D39))   )</formula>
    </cfRule>
  </conditionalFormatting>
  <conditionalFormatting sqref="F16:F20">
    <cfRule type="expression" dxfId="25" priority="16">
      <formula>INDEX(behaviourMinOutOfRangeColumn, $D16)</formula>
    </cfRule>
    <cfRule type="expression" dxfId="24" priority="18">
      <formula>AND(     NOT(errorNoDataSheet),     C16 = yesLabel,     E16 &lt;&gt; "",     (NOT(ISNUMBER(F16))      + (ISNUMBER(G16) * (F16 &gt;= G16))     )   )</formula>
    </cfRule>
  </conditionalFormatting>
  <conditionalFormatting sqref="F39:F68">
    <cfRule type="expression" dxfId="23" priority="9">
      <formula>INDEX(factorsMinOutOfRangeColumn, $D39)</formula>
    </cfRule>
    <cfRule type="expression" dxfId="22" priority="10">
      <formula>AND(     NOT(errorNoDataSheet),     $C39 = yesLabel,     $E39 &lt;&gt; "",     (NOT(ISNUMBER($F39))      + (ISNUMBER($G39) * ($F39 &gt;= $G39))     )   )</formula>
    </cfRule>
  </conditionalFormatting>
  <conditionalFormatting sqref="G16:G20">
    <cfRule type="expression" dxfId="21" priority="14">
      <formula>INDEX(behaviourMaxOutOfRangeColumn, $D16)</formula>
    </cfRule>
    <cfRule type="expression" dxfId="20" priority="15">
      <formula>AND(     NOT(errorNoDataSheet),     $C16 = yesLabel,     $E16 &lt;&gt; "",     (NOT(ISNUMBER($G16))      + (ISNUMBER($F16) * ($F16 &gt;= $G16))     )   )</formula>
    </cfRule>
  </conditionalFormatting>
  <conditionalFormatting sqref="G39:G68">
    <cfRule type="expression" dxfId="19" priority="4">
      <formula>INDEX(factorsMaxOutOfRangeColumn, $D39)</formula>
    </cfRule>
    <cfRule type="expression" dxfId="18" priority="8">
      <formula>AND(     NOT(errorNoDataSheet),     $C39 = yesLabel,     $E39 &lt;&gt; "",     (NOT(ISNUMBER($G39))      + (ISNUMBER($F39) * ($F39 &gt;= $G39))     )   )</formula>
    </cfRule>
  </conditionalFormatting>
  <conditionalFormatting sqref="I39:I68">
    <cfRule type="expression" dxfId="17" priority="3">
      <formula>AND(     NOT(errorNoDataSheet),     $C39 = yesLabel,     $E39 &lt;&gt; "",     ISNA(MATCH($I39, RANASList, 0))   )</formula>
    </cfRule>
  </conditionalFormatting>
  <conditionalFormatting sqref="J77:K91">
    <cfRule type="expression" dxfId="16" priority="28">
      <formula>MOD(ROW() - ROW($J$76), 2)</formula>
    </cfRule>
  </conditionalFormatting>
  <conditionalFormatting sqref="J39:N68">
    <cfRule type="expression" dxfId="15" priority="2">
      <formula>AND(     NOT(errorNoDataSheet),     $C39 = yesLabel,     $E39 &lt;&gt; "",     J$37 = chartLanguage,     J39 = ""   )</formula>
    </cfRule>
  </conditionalFormatting>
  <conditionalFormatting sqref="J77:N91">
    <cfRule type="expression" dxfId="14" priority="1">
      <formula>AND(     NOT(errorNoDataSheet),     $P77 &lt;&gt; "",     J$75 = chartLanguage,     J77 = ""   )</formula>
    </cfRule>
  </conditionalFormatting>
  <conditionalFormatting sqref="L77:N91">
    <cfRule type="expression" dxfId="13" priority="26">
      <formula>MOD(ROW() - ROW($L$76), 2)</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ISNUMBER(F16)</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90" zoomScaleNormal="90" workbookViewId="0">
      <selection activeCell="H6" sqref="H6"/>
    </sheetView>
  </sheetViews>
  <sheetFormatPr defaultColWidth="0" defaultRowHeight="14.4" zeroHeight="1" x14ac:dyDescent="0.3"/>
  <cols>
    <col min="1" max="1" width="3.77734375" style="1" customWidth="1"/>
    <col min="2" max="2" width="65.77734375" style="11" customWidth="1"/>
    <col min="3" max="3" width="3.77734375" style="1" customWidth="1"/>
    <col min="4" max="5" width="23.77734375" style="1" customWidth="1"/>
    <col min="6" max="7" width="1.77734375" style="1" customWidth="1"/>
    <col min="8" max="8" width="8.77734375" style="1" customWidth="1"/>
    <col min="9" max="9" width="4.77734375" style="1" customWidth="1"/>
    <col min="10" max="10" width="12.77734375" style="1" customWidth="1"/>
    <col min="11" max="13" width="20.77734375" style="1" customWidth="1"/>
    <col min="14" max="14" width="7.77734375" style="1" customWidth="1"/>
    <col min="15" max="15" width="3.77734375" style="11" customWidth="1"/>
    <col min="16" max="16" width="3.77734375" style="1" customWidth="1"/>
    <col min="17" max="16384" width="8.88671875" style="1" hidden="1"/>
  </cols>
  <sheetData>
    <row r="1" spans="1:16" ht="19.95" customHeight="1" x14ac:dyDescent="0.3">
      <c r="A1" s="62"/>
      <c r="B1" s="50"/>
      <c r="C1" s="62"/>
      <c r="D1" s="62"/>
      <c r="E1" s="62"/>
      <c r="F1" s="62"/>
      <c r="G1" s="62"/>
      <c r="H1" s="62"/>
      <c r="I1" s="62"/>
      <c r="J1" s="62"/>
      <c r="K1" s="62"/>
      <c r="L1" s="62"/>
      <c r="M1" s="62"/>
      <c r="N1" s="62"/>
      <c r="O1" s="62"/>
      <c r="P1" s="62"/>
    </row>
    <row r="2" spans="1:16" ht="19.95" customHeight="1" x14ac:dyDescent="0.3">
      <c r="A2" s="62"/>
      <c r="B2" s="167" t="str" cm="1">
        <f t="array" ref="B2">UITranslateForValueTable("cutoffTitle", UITranslationTable[tag], UITranslationTable[], UITranslationTable[#Headers])</f>
        <v>Selecting the doer / non-doer cutoff level</v>
      </c>
      <c r="C2" s="62"/>
      <c r="D2" s="62"/>
      <c r="E2" s="62"/>
      <c r="F2" s="62"/>
      <c r="G2" s="62"/>
      <c r="H2" s="62"/>
      <c r="I2" s="62"/>
      <c r="J2" s="62"/>
      <c r="K2" s="82"/>
      <c r="L2" s="82"/>
      <c r="M2" s="82"/>
      <c r="N2" s="82"/>
      <c r="O2" s="82"/>
      <c r="P2" s="62"/>
    </row>
    <row r="3" spans="1:16" ht="58.2" customHeight="1" x14ac:dyDescent="0.3">
      <c r="A3" s="62"/>
      <c r="B3" s="194" t="str" cm="1">
        <f t="array" ref="B3">UITranslateForValueTable("cutoffText1", UITranslationTable[tag], UITranslationTable[], UITranslationTable[#Headers])</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195"/>
      <c r="D3" s="195"/>
      <c r="E3" s="195"/>
      <c r="F3" s="195"/>
      <c r="G3" s="195"/>
      <c r="H3" s="195"/>
      <c r="I3" s="168"/>
      <c r="J3" s="97"/>
      <c r="K3" s="282" t="str" cm="1">
        <f t="array" aca="1" ref="K3" ca="1">IF(
    errorMessages = "",
    "",
    UITranslateForValueTable("errorMessageNotice", UITranslationTable[tag], UITranslationTable[], UITranslationTable[#Headers])
  )</f>
        <v>Some error has been detected. Please refer to one of the "Error messages" boards in the "Configuration" sheet for detailed explanations.</v>
      </c>
      <c r="L3" s="283"/>
      <c r="M3" s="283"/>
      <c r="N3" s="64"/>
      <c r="O3" s="83"/>
      <c r="P3" s="62"/>
    </row>
    <row r="4" spans="1:16" ht="64.2" customHeight="1" x14ac:dyDescent="0.3">
      <c r="A4" s="62"/>
      <c r="B4" s="198" t="str" cm="1">
        <f t="array" ref="B4">UITranslateForValueTable("cutoffText2", UITranslationTable[tag], UITranslationTable[], UITranslationTable[#Headers])</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199"/>
      <c r="D4" s="199"/>
      <c r="E4" s="199"/>
      <c r="F4" s="199"/>
      <c r="G4" s="199"/>
      <c r="H4" s="199"/>
      <c r="I4" s="172"/>
      <c r="J4" s="98"/>
      <c r="K4" s="98"/>
      <c r="L4" s="98"/>
      <c r="M4" s="98"/>
      <c r="N4" s="50"/>
      <c r="O4" s="85"/>
      <c r="P4" s="62"/>
    </row>
    <row r="5" spans="1:16" ht="24" customHeight="1" thickBot="1" x14ac:dyDescent="0.35">
      <c r="A5" s="62"/>
      <c r="B5" s="284" t="str" cm="1">
        <f t="array" ref="B5">UITranslateForValueTable("cutoffText3", UITranslationTable[tag], UITranslationTable[], UITranslationTable[#Headers])</f>
        <v>The chart on the right displays the resulting split between non-doers and doers as a percentage of the total number of respondents for whom a score could be computed, as well as the difference between both groups.</v>
      </c>
      <c r="C5" s="285"/>
      <c r="D5" s="285"/>
      <c r="E5" s="90"/>
      <c r="F5" s="94"/>
      <c r="G5" s="50"/>
      <c r="H5" s="95" t="str" cm="1">
        <f t="array" ref="H5">UITranslateForValueTable("cutoffLevelRecomText", UITranslationTable[tag], UITranslationTable[], UITranslationTable[#Headers])</f>
        <v>ⓘ Recommended cutoff level: 50%</v>
      </c>
      <c r="I5" s="94"/>
      <c r="J5" s="98"/>
      <c r="K5" s="98"/>
      <c r="L5" s="98"/>
      <c r="M5" s="98"/>
      <c r="N5" s="50"/>
      <c r="O5" s="85"/>
      <c r="P5" s="62"/>
    </row>
    <row r="6" spans="1:16" ht="19.95" customHeight="1" thickBot="1" x14ac:dyDescent="0.35">
      <c r="A6" s="62"/>
      <c r="B6" s="286"/>
      <c r="C6" s="285"/>
      <c r="D6" s="285"/>
      <c r="E6" s="90"/>
      <c r="F6" s="91"/>
      <c r="G6" s="92" t="str" cm="1">
        <f t="array" ref="G6">UITranslateForValueTable("cutoffLevelText", UITranslationTable[tag], UITranslationTable[], UITranslationTable[#Headers])</f>
        <v>Cutoff level:</v>
      </c>
      <c r="H6" s="44">
        <v>57</v>
      </c>
      <c r="I6" s="96"/>
      <c r="J6" s="96"/>
      <c r="K6" s="96"/>
      <c r="L6" s="96"/>
      <c r="M6" s="96"/>
      <c r="N6" s="50"/>
      <c r="O6" s="85"/>
      <c r="P6" s="62"/>
    </row>
    <row r="7" spans="1:16" ht="10.95" customHeight="1" x14ac:dyDescent="0.3">
      <c r="A7" s="62"/>
      <c r="B7" s="286"/>
      <c r="C7" s="285"/>
      <c r="D7" s="285"/>
      <c r="E7" s="90"/>
      <c r="F7" s="50"/>
      <c r="G7" s="93"/>
      <c r="H7" s="93"/>
      <c r="I7" s="93"/>
      <c r="J7" s="93"/>
      <c r="K7" s="93"/>
      <c r="L7" s="93"/>
      <c r="M7" s="93"/>
      <c r="N7" s="50"/>
      <c r="O7" s="85"/>
      <c r="P7" s="62"/>
    </row>
    <row r="8" spans="1:16" ht="14.4" customHeight="1" x14ac:dyDescent="0.3">
      <c r="A8" s="62"/>
      <c r="B8" s="169"/>
      <c r="C8" s="50"/>
      <c r="D8" s="50"/>
      <c r="E8" s="50"/>
      <c r="F8" s="50"/>
      <c r="G8" s="50"/>
      <c r="H8" s="50"/>
      <c r="I8" s="50"/>
      <c r="J8" s="50"/>
      <c r="K8" s="50"/>
      <c r="L8" s="50"/>
      <c r="M8" s="50"/>
      <c r="N8" s="50"/>
      <c r="O8" s="85"/>
      <c r="P8" s="62"/>
    </row>
    <row r="9" spans="1:16" ht="14.4" customHeight="1" x14ac:dyDescent="0.3">
      <c r="A9" s="62"/>
      <c r="B9" s="169"/>
      <c r="C9" s="50"/>
      <c r="D9" s="50"/>
      <c r="E9" s="50"/>
      <c r="F9" s="50"/>
      <c r="G9" s="50"/>
      <c r="H9" s="50"/>
      <c r="I9" s="50"/>
      <c r="J9" s="50"/>
      <c r="K9" s="50"/>
      <c r="L9" s="50"/>
      <c r="M9" s="50"/>
      <c r="N9" s="50"/>
      <c r="O9" s="85"/>
      <c r="P9" s="62"/>
    </row>
    <row r="10" spans="1:16" ht="14.4" customHeight="1" x14ac:dyDescent="0.3">
      <c r="A10" s="62"/>
      <c r="B10" s="169"/>
      <c r="C10" s="50"/>
      <c r="D10" s="50"/>
      <c r="E10" s="50"/>
      <c r="F10" s="50"/>
      <c r="G10" s="50"/>
      <c r="H10" s="50"/>
      <c r="I10" s="50"/>
      <c r="J10" s="50"/>
      <c r="K10" s="50"/>
      <c r="L10" s="50"/>
      <c r="M10" s="50"/>
      <c r="N10" s="50"/>
      <c r="O10" s="85"/>
      <c r="P10" s="62"/>
    </row>
    <row r="11" spans="1:16" ht="14.4" customHeight="1" x14ac:dyDescent="0.3">
      <c r="A11" s="62"/>
      <c r="B11" s="169"/>
      <c r="C11" s="50"/>
      <c r="D11" s="50"/>
      <c r="E11" s="50"/>
      <c r="F11" s="50"/>
      <c r="G11" s="50"/>
      <c r="H11" s="50"/>
      <c r="I11" s="50"/>
      <c r="J11" s="50"/>
      <c r="K11" s="50"/>
      <c r="L11" s="50"/>
      <c r="M11" s="50"/>
      <c r="N11" s="50"/>
      <c r="O11" s="85"/>
      <c r="P11" s="62"/>
    </row>
    <row r="12" spans="1:16" ht="14.4" customHeight="1" x14ac:dyDescent="0.3">
      <c r="A12" s="62"/>
      <c r="B12" s="169"/>
      <c r="C12" s="50"/>
      <c r="D12" s="50"/>
      <c r="E12" s="50"/>
      <c r="F12" s="50"/>
      <c r="G12" s="50"/>
      <c r="H12" s="50"/>
      <c r="I12" s="50"/>
      <c r="J12" s="50"/>
      <c r="K12" s="50"/>
      <c r="L12" s="50"/>
      <c r="M12" s="50"/>
      <c r="N12" s="50"/>
      <c r="O12" s="85"/>
      <c r="P12" s="62"/>
    </row>
    <row r="13" spans="1:16" ht="14.4" customHeight="1" x14ac:dyDescent="0.3">
      <c r="A13" s="62"/>
      <c r="B13" s="169"/>
      <c r="C13" s="50"/>
      <c r="D13" s="50"/>
      <c r="E13" s="50"/>
      <c r="F13" s="50"/>
      <c r="G13" s="50"/>
      <c r="H13" s="50"/>
      <c r="I13" s="50"/>
      <c r="J13" s="50"/>
      <c r="K13" s="50"/>
      <c r="L13" s="50"/>
      <c r="M13" s="50"/>
      <c r="N13" s="50"/>
      <c r="O13" s="85"/>
      <c r="P13" s="62"/>
    </row>
    <row r="14" spans="1:16" ht="14.4" customHeight="1" x14ac:dyDescent="0.3">
      <c r="A14" s="62"/>
      <c r="B14" s="169"/>
      <c r="C14" s="50"/>
      <c r="D14" s="50"/>
      <c r="E14" s="50"/>
      <c r="F14" s="50"/>
      <c r="G14" s="50"/>
      <c r="H14" s="50"/>
      <c r="I14" s="50"/>
      <c r="J14" s="50"/>
      <c r="K14" s="50"/>
      <c r="L14" s="50"/>
      <c r="M14" s="50"/>
      <c r="N14" s="50"/>
      <c r="O14" s="85"/>
      <c r="P14" s="62"/>
    </row>
    <row r="15" spans="1:16" ht="14.4" customHeight="1" x14ac:dyDescent="0.3">
      <c r="A15" s="62"/>
      <c r="B15" s="169"/>
      <c r="C15" s="50"/>
      <c r="D15" s="50"/>
      <c r="E15" s="50"/>
      <c r="F15" s="50"/>
      <c r="G15" s="50"/>
      <c r="H15" s="50"/>
      <c r="I15" s="50"/>
      <c r="J15" s="50"/>
      <c r="K15" s="50"/>
      <c r="L15" s="50"/>
      <c r="M15" s="50"/>
      <c r="N15" s="50"/>
      <c r="O15" s="85"/>
      <c r="P15" s="62"/>
    </row>
    <row r="16" spans="1:16" ht="14.4" customHeight="1" x14ac:dyDescent="0.3">
      <c r="A16" s="62"/>
      <c r="B16" s="169"/>
      <c r="C16" s="50"/>
      <c r="D16" s="50"/>
      <c r="E16" s="50"/>
      <c r="F16" s="50"/>
      <c r="G16" s="50"/>
      <c r="H16" s="50"/>
      <c r="I16" s="50"/>
      <c r="J16" s="50"/>
      <c r="K16" s="50"/>
      <c r="L16" s="50"/>
      <c r="M16" s="50"/>
      <c r="N16" s="50"/>
      <c r="O16" s="85"/>
      <c r="P16" s="62"/>
    </row>
    <row r="17" spans="1:16" ht="14.4" customHeight="1" x14ac:dyDescent="0.3">
      <c r="A17" s="62"/>
      <c r="B17" s="169"/>
      <c r="C17" s="50"/>
      <c r="D17" s="50"/>
      <c r="E17" s="50"/>
      <c r="F17" s="50"/>
      <c r="G17" s="50"/>
      <c r="H17" s="50"/>
      <c r="I17" s="50"/>
      <c r="J17" s="50"/>
      <c r="K17" s="50"/>
      <c r="L17" s="50"/>
      <c r="M17" s="50"/>
      <c r="N17" s="50"/>
      <c r="O17" s="85"/>
      <c r="P17" s="62"/>
    </row>
    <row r="18" spans="1:16" ht="14.4" customHeight="1" x14ac:dyDescent="0.3">
      <c r="A18" s="62"/>
      <c r="B18" s="169"/>
      <c r="C18" s="50"/>
      <c r="D18" s="50"/>
      <c r="E18" s="50"/>
      <c r="F18" s="50"/>
      <c r="G18" s="50"/>
      <c r="H18" s="50"/>
      <c r="I18" s="50"/>
      <c r="J18" s="50"/>
      <c r="K18" s="50"/>
      <c r="L18" s="50"/>
      <c r="M18" s="50"/>
      <c r="N18" s="50"/>
      <c r="O18" s="85"/>
      <c r="P18" s="62"/>
    </row>
    <row r="19" spans="1:16" ht="14.4" customHeight="1" x14ac:dyDescent="0.3">
      <c r="A19" s="62"/>
      <c r="B19" s="169"/>
      <c r="C19" s="50"/>
      <c r="D19" s="50"/>
      <c r="E19" s="50"/>
      <c r="F19" s="50"/>
      <c r="G19" s="50"/>
      <c r="H19" s="50"/>
      <c r="I19" s="50"/>
      <c r="J19" s="50"/>
      <c r="K19" s="50"/>
      <c r="L19" s="50"/>
      <c r="M19" s="50"/>
      <c r="N19" s="50"/>
      <c r="O19" s="85"/>
      <c r="P19" s="62"/>
    </row>
    <row r="20" spans="1:16" ht="14.4" customHeight="1" x14ac:dyDescent="0.3">
      <c r="A20" s="62"/>
      <c r="B20" s="169"/>
      <c r="C20" s="50"/>
      <c r="D20" s="50"/>
      <c r="E20" s="50"/>
      <c r="F20" s="50"/>
      <c r="G20" s="50"/>
      <c r="H20" s="50"/>
      <c r="I20" s="50"/>
      <c r="J20" s="50"/>
      <c r="K20" s="50"/>
      <c r="L20" s="50"/>
      <c r="M20" s="50"/>
      <c r="N20" s="50"/>
      <c r="O20" s="85"/>
      <c r="P20" s="62"/>
    </row>
    <row r="21" spans="1:16" ht="14.4" customHeight="1" x14ac:dyDescent="0.3">
      <c r="A21" s="62"/>
      <c r="B21" s="169"/>
      <c r="C21" s="50"/>
      <c r="D21" s="50"/>
      <c r="E21" s="50"/>
      <c r="F21" s="50"/>
      <c r="G21" s="50"/>
      <c r="H21" s="50"/>
      <c r="I21" s="50"/>
      <c r="J21" s="50"/>
      <c r="K21" s="50"/>
      <c r="L21" s="50"/>
      <c r="M21" s="50"/>
      <c r="N21" s="50"/>
      <c r="O21" s="85"/>
      <c r="P21" s="62"/>
    </row>
    <row r="22" spans="1:16" x14ac:dyDescent="0.3">
      <c r="A22" s="62"/>
      <c r="B22" s="169"/>
      <c r="C22" s="50"/>
      <c r="D22" s="50"/>
      <c r="E22" s="50"/>
      <c r="F22" s="50"/>
      <c r="G22" s="50"/>
      <c r="H22" s="50"/>
      <c r="I22" s="50"/>
      <c r="J22" s="50"/>
      <c r="K22" s="50"/>
      <c r="L22" s="50"/>
      <c r="M22" s="50"/>
      <c r="N22" s="50"/>
      <c r="O22" s="85"/>
      <c r="P22" s="62"/>
    </row>
    <row r="23" spans="1:16" x14ac:dyDescent="0.3">
      <c r="A23" s="62"/>
      <c r="B23" s="169"/>
      <c r="C23" s="50"/>
      <c r="D23" s="50"/>
      <c r="E23" s="50"/>
      <c r="F23" s="50"/>
      <c r="G23" s="50"/>
      <c r="H23" s="50"/>
      <c r="I23" s="50"/>
      <c r="J23" s="50"/>
      <c r="K23" s="50"/>
      <c r="L23" s="50"/>
      <c r="M23" s="50"/>
      <c r="N23" s="50"/>
      <c r="O23" s="85"/>
      <c r="P23" s="62"/>
    </row>
    <row r="24" spans="1:16" ht="14.4" customHeight="1" x14ac:dyDescent="0.3">
      <c r="A24" s="62"/>
      <c r="B24" s="287" t="str" cm="1">
        <f t="array" ref="B24">UITranslateForValueTable("copyTableInfo", UITranslationTable[tag], UITranslationTable[], UITranslationTable[#Headers])</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50"/>
      <c r="D24" s="69" t="str">
        <f>_xlfn.XLOOKUP("behaviourScore", chartTranslationTable[tag], chartTranslationTable[displayedText])</f>
        <v>Behaviour score</v>
      </c>
      <c r="E24" s="69" t="str">
        <f>_xlfn.XLOOKUP("numResponses", chartTranslationTable[tag], chartTranslationTable[displayedText])</f>
        <v># of responses</v>
      </c>
      <c r="F24" s="99" t="str">
        <f>_xlfn.XLOOKUP("nondoers", chartTranslationTable[tag], chartTranslationTable[displayedText])</f>
        <v>Non-doers</v>
      </c>
      <c r="G24" s="99" t="str">
        <f>_xlfn.XLOOKUP("doers", chartTranslationTable[tag], chartTranslationTable[displayedText])</f>
        <v>Doers</v>
      </c>
      <c r="H24" s="50"/>
      <c r="I24" s="50"/>
      <c r="J24" s="50"/>
      <c r="K24" s="69" t="str">
        <f>_xlfn.XLOOKUP("nondoers", chartTranslationTable[tag], chartTranslationTable[displayedText])</f>
        <v>Non-doers</v>
      </c>
      <c r="L24" s="69" t="str">
        <f>_xlfn.XLOOKUP("doers", chartTranslationTable[tag], chartTranslationTable[displayedText])</f>
        <v>Doers</v>
      </c>
      <c r="M24" s="69" t="str">
        <f>_xlfn.XLOOKUP("difference", chartTranslationTable[tag], chartTranslationTable[displayedText])</f>
        <v>Difference</v>
      </c>
      <c r="N24" s="50"/>
      <c r="O24" s="85"/>
      <c r="P24" s="62"/>
    </row>
    <row r="25" spans="1:16" ht="14.4" hidden="1" customHeight="1" x14ac:dyDescent="0.3">
      <c r="A25" s="62"/>
      <c r="B25" s="288"/>
      <c r="C25" s="26" t="s">
        <v>1</v>
      </c>
      <c r="D25" s="130" t="s">
        <v>98</v>
      </c>
      <c r="E25" s="130" t="s">
        <v>35</v>
      </c>
      <c r="F25" s="26" t="s">
        <v>298</v>
      </c>
      <c r="G25" s="26" t="s">
        <v>299</v>
      </c>
      <c r="H25" s="50"/>
      <c r="I25" s="50"/>
      <c r="J25" s="2" t="s">
        <v>1</v>
      </c>
      <c r="K25" s="3" t="s">
        <v>110</v>
      </c>
      <c r="L25" s="3" t="s">
        <v>111</v>
      </c>
      <c r="M25" s="3" t="s">
        <v>26</v>
      </c>
      <c r="N25" s="50"/>
      <c r="O25" s="85"/>
      <c r="P25" s="62"/>
    </row>
    <row r="26" spans="1:16" x14ac:dyDescent="0.3">
      <c r="A26" s="62"/>
      <c r="B26" s="288"/>
      <c r="C26" s="88" cm="1">
        <f t="array" ref="C26">ROW()-ROW(cutoffChartTable[#Headers])</f>
        <v>1</v>
      </c>
      <c r="D26" s="131" t="str">
        <f>_xlfn.XLOOKUP(cutoffChartTable[[#This Row],[index]], cutoffTable[index], cutoffTable[label])</f>
        <v>0-9%</v>
      </c>
      <c r="E26" s="131">
        <f>_xlfn.XLOOKUP(cutoffChartTable[[#This Row],[index]], cutoffTable[index], cutoffTable[numResponses])</f>
        <v>0</v>
      </c>
      <c r="F26" s="88">
        <f>_xlfn.XLOOKUP(cutoffChartTable[[#This Row],[index]], cutoffTable[index], cutoffTable[numNondoersBin])</f>
        <v>0</v>
      </c>
      <c r="G26" s="88">
        <f>_xlfn.XLOOKUP(cutoffChartTable[[#This Row],[index]], cutoffTable[index], cutoffTable[numDoersBin])</f>
        <v>0</v>
      </c>
      <c r="H26" s="50"/>
      <c r="I26" s="50"/>
      <c r="J26" s="101">
        <v>1</v>
      </c>
      <c r="K26" s="135" t="e">
        <f>_xlfn.XLOOKUP(doersNondoersChartTable[[#This Row],[index]], doersNondoersTable[index], doersNondoersTable[percentNondoers])</f>
        <v>#DIV/0!</v>
      </c>
      <c r="L26" s="136" t="e">
        <f>_xlfn.XLOOKUP(doersNondoersChartTable[[#This Row],[index]], doersNondoersTable[index], doersNondoersTable[percentDoers])</f>
        <v>#DIV/0!</v>
      </c>
      <c r="M26" s="137" t="e">
        <f>_xlfn.XLOOKUP(doersNondoersChartTable[[#This Row],[index]], doersNondoersTable[index], doersNondoersTable[difference])</f>
        <v>#DIV/0!</v>
      </c>
      <c r="N26" s="50"/>
      <c r="O26" s="85"/>
      <c r="P26" s="62"/>
    </row>
    <row r="27" spans="1:16" x14ac:dyDescent="0.3">
      <c r="A27" s="62"/>
      <c r="B27" s="288"/>
      <c r="C27" s="88" cm="1">
        <f t="array" ref="C27">ROW()-ROW(cutoffChartTable[#Headers])</f>
        <v>2</v>
      </c>
      <c r="D27" s="132" t="str">
        <f>_xlfn.XLOOKUP(cutoffChartTable[[#This Row],[index]], cutoffTable[index], cutoffTable[label])</f>
        <v>10-19%</v>
      </c>
      <c r="E27" s="132">
        <f>_xlfn.XLOOKUP(cutoffChartTable[[#This Row],[index]], cutoffTable[index], cutoffTable[numResponses])</f>
        <v>0</v>
      </c>
      <c r="F27" s="88">
        <f>_xlfn.XLOOKUP(cutoffChartTable[[#This Row],[index]], cutoffTable[index], cutoffTable[numNondoersBin])</f>
        <v>0</v>
      </c>
      <c r="G27" s="88">
        <f>_xlfn.XLOOKUP(cutoffChartTable[[#This Row],[index]], cutoffTable[index], cutoffTable[numDoersBin])</f>
        <v>0</v>
      </c>
      <c r="H27" s="50"/>
      <c r="I27" s="50"/>
      <c r="J27" s="50"/>
      <c r="K27" s="50"/>
      <c r="L27" s="50"/>
      <c r="M27" s="50"/>
      <c r="N27" s="50"/>
      <c r="O27" s="85"/>
      <c r="P27" s="62"/>
    </row>
    <row r="28" spans="1:16" ht="14.4" customHeight="1" x14ac:dyDescent="0.3">
      <c r="A28" s="62"/>
      <c r="B28" s="288"/>
      <c r="C28" s="88" cm="1">
        <f t="array" ref="C28">ROW()-ROW(cutoffChartTable[#Headers])</f>
        <v>3</v>
      </c>
      <c r="D28" s="132" t="str">
        <f>_xlfn.XLOOKUP(cutoffChartTable[[#This Row],[index]], cutoffTable[index], cutoffTable[label])</f>
        <v>20-29%</v>
      </c>
      <c r="E28" s="132">
        <f>_xlfn.XLOOKUP(cutoffChartTable[[#This Row],[index]], cutoffTable[index], cutoffTable[numResponses])</f>
        <v>0</v>
      </c>
      <c r="F28" s="88">
        <f>_xlfn.XLOOKUP(cutoffChartTable[[#This Row],[index]], cutoffTable[index], cutoffTable[numNondoersBin])</f>
        <v>0</v>
      </c>
      <c r="G28" s="88">
        <f>_xlfn.XLOOKUP(cutoffChartTable[[#This Row],[index]], cutoffTable[index], cutoffTable[numDoersBin])</f>
        <v>0</v>
      </c>
      <c r="H28" s="290" t="str" cm="1">
        <f t="array" ref="H28">UITranslateForValueTable("copyChartInfo", UITranslationTable[tag], UITranslationTable[], UITranslationTable[#Headers])</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291"/>
      <c r="J28" s="291"/>
      <c r="K28" s="291"/>
      <c r="L28" s="291"/>
      <c r="M28" s="291"/>
      <c r="N28" s="291"/>
      <c r="O28" s="85"/>
      <c r="P28" s="62"/>
    </row>
    <row r="29" spans="1:16" x14ac:dyDescent="0.3">
      <c r="A29" s="62"/>
      <c r="B29" s="288"/>
      <c r="C29" s="89" cm="1">
        <f t="array" ref="C29">ROW()-ROW(cutoffChartTable[#Headers])</f>
        <v>4</v>
      </c>
      <c r="D29" s="133" t="str">
        <f>_xlfn.XLOOKUP(cutoffChartTable[[#This Row],[index]], cutoffTable[index], cutoffTable[label])</f>
        <v>30-39%</v>
      </c>
      <c r="E29" s="133">
        <f>_xlfn.XLOOKUP(cutoffChartTable[[#This Row],[index]], cutoffTable[index], cutoffTable[numResponses])</f>
        <v>0</v>
      </c>
      <c r="F29" s="89">
        <f>_xlfn.XLOOKUP(cutoffChartTable[[#This Row],[index]], cutoffTable[index], cutoffTable[numNondoersBin])</f>
        <v>0</v>
      </c>
      <c r="G29" s="89">
        <f>_xlfn.XLOOKUP(cutoffChartTable[[#This Row],[index]], cutoffTable[index], cutoffTable[numDoersBin])</f>
        <v>0</v>
      </c>
      <c r="H29" s="291"/>
      <c r="I29" s="291"/>
      <c r="J29" s="291"/>
      <c r="K29" s="291"/>
      <c r="L29" s="291"/>
      <c r="M29" s="291"/>
      <c r="N29" s="291"/>
      <c r="O29" s="85"/>
      <c r="P29" s="62"/>
    </row>
    <row r="30" spans="1:16" x14ac:dyDescent="0.3">
      <c r="A30" s="62"/>
      <c r="B30" s="288"/>
      <c r="C30" s="89" cm="1">
        <f t="array" ref="C30">ROW()-ROW(cutoffChartTable[#Headers])</f>
        <v>5</v>
      </c>
      <c r="D30" s="133" t="str">
        <f>_xlfn.XLOOKUP(cutoffChartTable[[#This Row],[index]], cutoffTable[index], cutoffTable[label])</f>
        <v>40-49%</v>
      </c>
      <c r="E30" s="133">
        <f>_xlfn.XLOOKUP(cutoffChartTable[[#This Row],[index]], cutoffTable[index], cutoffTable[numResponses])</f>
        <v>0</v>
      </c>
      <c r="F30" s="89">
        <f>_xlfn.XLOOKUP(cutoffChartTable[[#This Row],[index]], cutoffTable[index], cutoffTable[numNondoersBin])</f>
        <v>0</v>
      </c>
      <c r="G30" s="89">
        <f>_xlfn.XLOOKUP(cutoffChartTable[[#This Row],[index]], cutoffTable[index], cutoffTable[numDoersBin])</f>
        <v>0</v>
      </c>
      <c r="H30" s="291"/>
      <c r="I30" s="291"/>
      <c r="J30" s="291"/>
      <c r="K30" s="291"/>
      <c r="L30" s="291"/>
      <c r="M30" s="291"/>
      <c r="N30" s="291"/>
      <c r="O30" s="85"/>
      <c r="P30" s="62"/>
    </row>
    <row r="31" spans="1:16" x14ac:dyDescent="0.3">
      <c r="A31" s="62"/>
      <c r="B31" s="288"/>
      <c r="C31" s="89" cm="1">
        <f t="array" ref="C31">ROW()-ROW(cutoffChartTable[#Headers])</f>
        <v>6</v>
      </c>
      <c r="D31" s="133" t="str">
        <f>_xlfn.XLOOKUP(cutoffChartTable[[#This Row],[index]], cutoffTable[index], cutoffTable[label])</f>
        <v>50-59%</v>
      </c>
      <c r="E31" s="133">
        <f>_xlfn.XLOOKUP(cutoffChartTable[[#This Row],[index]], cutoffTable[index], cutoffTable[numResponses])</f>
        <v>0</v>
      </c>
      <c r="F31" s="100">
        <f>_xlfn.XLOOKUP(cutoffChartTable[[#This Row],[index]], cutoffTable[index], cutoffTable[numNondoersBin])</f>
        <v>0</v>
      </c>
      <c r="G31" s="100">
        <f>_xlfn.XLOOKUP(cutoffChartTable[[#This Row],[index]], cutoffTable[index], cutoffTable[numDoersBin])</f>
        <v>0</v>
      </c>
      <c r="H31" s="291"/>
      <c r="I31" s="291"/>
      <c r="J31" s="291"/>
      <c r="K31" s="291"/>
      <c r="L31" s="291"/>
      <c r="M31" s="291"/>
      <c r="N31" s="291"/>
      <c r="O31" s="85"/>
      <c r="P31" s="62"/>
    </row>
    <row r="32" spans="1:16" x14ac:dyDescent="0.3">
      <c r="A32" s="62"/>
      <c r="B32" s="288"/>
      <c r="C32" s="89" cm="1">
        <f t="array" ref="C32">ROW()-ROW(cutoffChartTable[#Headers])</f>
        <v>7</v>
      </c>
      <c r="D32" s="133" t="str">
        <f>_xlfn.XLOOKUP(cutoffChartTable[[#This Row],[index]], cutoffTable[index], cutoffTable[label])</f>
        <v>60-69%</v>
      </c>
      <c r="E32" s="133">
        <f>_xlfn.XLOOKUP(cutoffChartTable[[#This Row],[index]], cutoffTable[index], cutoffTable[numResponses])</f>
        <v>0</v>
      </c>
      <c r="F32" s="100">
        <f>_xlfn.XLOOKUP(cutoffChartTable[[#This Row],[index]], cutoffTable[index], cutoffTable[numNondoersBin])</f>
        <v>0</v>
      </c>
      <c r="G32" s="100">
        <f>_xlfn.XLOOKUP(cutoffChartTable[[#This Row],[index]], cutoffTable[index], cutoffTable[numDoersBin])</f>
        <v>0</v>
      </c>
      <c r="H32" s="291"/>
      <c r="I32" s="291"/>
      <c r="J32" s="291"/>
      <c r="K32" s="291"/>
      <c r="L32" s="291"/>
      <c r="M32" s="291"/>
      <c r="N32" s="291"/>
      <c r="O32" s="85"/>
      <c r="P32" s="62"/>
    </row>
    <row r="33" spans="1:16" x14ac:dyDescent="0.3">
      <c r="A33" s="62"/>
      <c r="B33" s="288"/>
      <c r="C33" s="89" cm="1">
        <f t="array" ref="C33">ROW()-ROW(cutoffChartTable[#Headers])</f>
        <v>8</v>
      </c>
      <c r="D33" s="133" t="str">
        <f>_xlfn.XLOOKUP(cutoffChartTable[[#This Row],[index]], cutoffTable[index], cutoffTable[label])</f>
        <v>70-79%</v>
      </c>
      <c r="E33" s="133">
        <f>_xlfn.XLOOKUP(cutoffChartTable[[#This Row],[index]], cutoffTable[index], cutoffTable[numResponses])</f>
        <v>0</v>
      </c>
      <c r="F33" s="100">
        <f>_xlfn.XLOOKUP(cutoffChartTable[[#This Row],[index]], cutoffTable[index], cutoffTable[numNondoersBin])</f>
        <v>0</v>
      </c>
      <c r="G33" s="100">
        <f>_xlfn.XLOOKUP(cutoffChartTable[[#This Row],[index]], cutoffTable[index], cutoffTable[numDoersBin])</f>
        <v>0</v>
      </c>
      <c r="H33" s="291"/>
      <c r="I33" s="291"/>
      <c r="J33" s="291"/>
      <c r="K33" s="291"/>
      <c r="L33" s="291"/>
      <c r="M33" s="291"/>
      <c r="N33" s="291"/>
      <c r="O33" s="85"/>
      <c r="P33" s="62"/>
    </row>
    <row r="34" spans="1:16" x14ac:dyDescent="0.3">
      <c r="A34" s="62"/>
      <c r="B34" s="288"/>
      <c r="C34" s="89" cm="1">
        <f t="array" ref="C34">ROW()-ROW(cutoffChartTable[#Headers])</f>
        <v>9</v>
      </c>
      <c r="D34" s="133" t="str">
        <f>_xlfn.XLOOKUP(cutoffChartTable[[#This Row],[index]], cutoffTable[index], cutoffTable[label])</f>
        <v>80-89%</v>
      </c>
      <c r="E34" s="133">
        <f>_xlfn.XLOOKUP(cutoffChartTable[[#This Row],[index]], cutoffTable[index], cutoffTable[numResponses])</f>
        <v>0</v>
      </c>
      <c r="F34" s="100">
        <f>_xlfn.XLOOKUP(cutoffChartTable[[#This Row],[index]], cutoffTable[index], cutoffTable[numNondoersBin])</f>
        <v>0</v>
      </c>
      <c r="G34" s="100">
        <f>_xlfn.XLOOKUP(cutoffChartTable[[#This Row],[index]], cutoffTable[index], cutoffTable[numDoersBin])</f>
        <v>0</v>
      </c>
      <c r="H34" s="291"/>
      <c r="I34" s="291"/>
      <c r="J34" s="291"/>
      <c r="K34" s="291"/>
      <c r="L34" s="291"/>
      <c r="M34" s="291"/>
      <c r="N34" s="291"/>
      <c r="O34" s="85"/>
      <c r="P34" s="62"/>
    </row>
    <row r="35" spans="1:16" x14ac:dyDescent="0.3">
      <c r="A35" s="62"/>
      <c r="B35" s="288"/>
      <c r="C35" s="89" cm="1">
        <f t="array" ref="C35">ROW()-ROW(cutoffChartTable[#Headers])</f>
        <v>10</v>
      </c>
      <c r="D35" s="134" t="str">
        <f>_xlfn.XLOOKUP(cutoffChartTable[[#This Row],[index]], cutoffTable[index], cutoffTable[label])</f>
        <v>90-100%</v>
      </c>
      <c r="E35" s="134">
        <f>_xlfn.XLOOKUP(cutoffChartTable[[#This Row],[index]], cutoffTable[index], cutoffTable[numResponses])</f>
        <v>0</v>
      </c>
      <c r="F35" s="100">
        <f>_xlfn.XLOOKUP(cutoffChartTable[[#This Row],[index]], cutoffTable[index], cutoffTable[numNondoersBin])</f>
        <v>0</v>
      </c>
      <c r="G35" s="100">
        <f>_xlfn.XLOOKUP(cutoffChartTable[[#This Row],[index]], cutoffTable[index], cutoffTable[numDoersBin])</f>
        <v>0</v>
      </c>
      <c r="H35" s="291"/>
      <c r="I35" s="291"/>
      <c r="J35" s="291"/>
      <c r="K35" s="291"/>
      <c r="L35" s="291"/>
      <c r="M35" s="291"/>
      <c r="N35" s="291"/>
      <c r="O35" s="85"/>
      <c r="P35" s="62"/>
    </row>
    <row r="36" spans="1:16" x14ac:dyDescent="0.3">
      <c r="A36" s="62"/>
      <c r="B36" s="288"/>
      <c r="C36" s="50"/>
      <c r="D36" s="50"/>
      <c r="E36" s="50"/>
      <c r="F36" s="50"/>
      <c r="G36" s="50"/>
      <c r="H36" s="291"/>
      <c r="I36" s="291"/>
      <c r="J36" s="291"/>
      <c r="K36" s="291"/>
      <c r="L36" s="291"/>
      <c r="M36" s="291"/>
      <c r="N36" s="291"/>
      <c r="O36" s="85"/>
      <c r="P36" s="62"/>
    </row>
    <row r="37" spans="1:16" x14ac:dyDescent="0.3">
      <c r="A37" s="62"/>
      <c r="B37" s="288"/>
      <c r="C37" s="50"/>
      <c r="D37" s="50"/>
      <c r="E37" s="50"/>
      <c r="F37" s="50"/>
      <c r="G37" s="50"/>
      <c r="H37" s="291"/>
      <c r="I37" s="291"/>
      <c r="J37" s="291"/>
      <c r="K37" s="291"/>
      <c r="L37" s="291"/>
      <c r="M37" s="291"/>
      <c r="N37" s="291"/>
      <c r="O37" s="85"/>
      <c r="P37" s="62"/>
    </row>
    <row r="38" spans="1:16" x14ac:dyDescent="0.3">
      <c r="A38" s="62"/>
      <c r="B38" s="289"/>
      <c r="C38" s="82"/>
      <c r="D38" s="82"/>
      <c r="E38" s="82"/>
      <c r="F38" s="82"/>
      <c r="G38" s="82"/>
      <c r="H38" s="292"/>
      <c r="I38" s="292"/>
      <c r="J38" s="292"/>
      <c r="K38" s="292"/>
      <c r="L38" s="292"/>
      <c r="M38" s="292"/>
      <c r="N38" s="292"/>
      <c r="O38" s="87"/>
      <c r="P38" s="62"/>
    </row>
    <row r="39" spans="1:16" ht="14.4" customHeight="1" x14ac:dyDescent="0.3">
      <c r="A39" s="62"/>
      <c r="B39" s="62"/>
      <c r="C39" s="62"/>
      <c r="D39" s="62"/>
      <c r="E39" s="62"/>
      <c r="F39" s="62"/>
      <c r="G39" s="62"/>
      <c r="H39" s="62"/>
      <c r="I39" s="62"/>
      <c r="J39" s="62"/>
      <c r="K39" s="62"/>
      <c r="L39" s="62"/>
      <c r="M39" s="62"/>
      <c r="N39" s="62"/>
      <c r="O39" s="62"/>
      <c r="P39" s="62"/>
    </row>
  </sheetData>
  <sheetProtection algorithmName="SHA-512" hashValue="3UsYm3fSW6S8qCb/yoS2eOQyMgWFyB6l1FlYfaXrPU1uBsB4iaLPhXk1ExC1BHQbbElk7f6+oE+ElbmZLRkh4Q==" saltValue="pFG+ZzG/mv46MnOnblbdxg==" spinCount="100000" sheet="1" objects="1" scenarios="1"/>
  <mergeCells count="6">
    <mergeCell ref="K3:M3"/>
    <mergeCell ref="B3:H3"/>
    <mergeCell ref="B4:H4"/>
    <mergeCell ref="B5:D7"/>
    <mergeCell ref="B24:B38"/>
    <mergeCell ref="H28:N38"/>
  </mergeCells>
  <conditionalFormatting sqref="D26:E35">
    <cfRule type="expression" dxfId="12" priority="1">
      <formula>(     IF(       $C26 = 1,       -1,       INDEX(cutoffLevelColumn, $C26 - 1)     ) &lt; cutoffLevel   ) * (     IF(       INDEX(cutoffLevelColumn, $C26) = 1,       2,       INDEX(cutoffLevelColumn, $C26)     ) &gt; cutoffLevel   )</formula>
    </cfRule>
    <cfRule type="expression" dxfId="11" priority="2">
      <formula>INDEX(cutoffLevelColumn, $C26) &gt; cutoffLevel</formula>
    </cfRule>
    <cfRule type="expression" dxfId="10" priority="6">
      <formula>INDEX(cutoffLevelColumn, $C26) &lt;= cutoffLevel</formula>
    </cfRule>
  </conditionalFormatting>
  <conditionalFormatting sqref="H6">
    <cfRule type="expression" dxfId="9" priority="8">
      <formula>MOD($H$6,1) &lt;&gt; 0</formula>
    </cfRule>
    <cfRule type="expression" dxfId="8" priority="10">
      <formula>AND(     NOT(errorNoDataSheet),     (cutoffLevel &lt; 0) + (cutoffLevel &gt; 1) + (MOD($H$6, 1) &lt;&gt; 0)   )</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90" zoomScaleNormal="90" workbookViewId="0">
      <selection activeCell="E8" sqref="E8"/>
    </sheetView>
  </sheetViews>
  <sheetFormatPr defaultColWidth="0" defaultRowHeight="14.4" zeroHeight="1" x14ac:dyDescent="0.3"/>
  <cols>
    <col min="1" max="1" width="3.77734375" style="1" customWidth="1"/>
    <col min="2" max="2" width="5.77734375" style="1" customWidth="1"/>
    <col min="3" max="4" width="7.77734375" style="1" customWidth="1"/>
    <col min="5" max="5" width="10.77734375" style="1" customWidth="1"/>
    <col min="6" max="6" width="35.77734375" style="1" customWidth="1"/>
    <col min="7" max="11" width="19.77734375" style="1" customWidth="1"/>
    <col min="12" max="13" width="12.77734375" style="1" customWidth="1"/>
    <col min="14" max="15" width="12.77734375" style="12" customWidth="1"/>
    <col min="16" max="16" width="3.77734375" style="12" customWidth="1"/>
    <col min="17" max="17" width="3.77734375" style="1" customWidth="1"/>
    <col min="18" max="16384" width="8.88671875" style="1" hidden="1"/>
  </cols>
  <sheetData>
    <row r="1" spans="1:17" ht="19.95" customHeight="1" x14ac:dyDescent="0.3">
      <c r="A1" s="62"/>
      <c r="B1" s="62"/>
      <c r="C1" s="62"/>
      <c r="D1" s="62"/>
      <c r="E1" s="62"/>
      <c r="F1" s="62"/>
      <c r="G1" s="62"/>
      <c r="H1" s="62"/>
      <c r="I1" s="62"/>
      <c r="J1" s="62"/>
      <c r="K1" s="62"/>
      <c r="L1" s="62"/>
      <c r="M1" s="62"/>
      <c r="N1" s="62"/>
      <c r="O1" s="62"/>
      <c r="P1" s="62"/>
      <c r="Q1" s="62"/>
    </row>
    <row r="2" spans="1:17" ht="19.95" customHeight="1" x14ac:dyDescent="0.3">
      <c r="A2" s="62"/>
      <c r="B2" s="167" t="str" cm="1">
        <f t="array" ref="B2">UITranslateForValueTable("analysisTitle", UITranslationTable[tag], UITranslationTable[], UITranslationTable[#Headers])</f>
        <v>Doer / Non-doer analysis</v>
      </c>
      <c r="C2" s="62"/>
      <c r="D2" s="62"/>
      <c r="E2" s="62"/>
      <c r="F2" s="62"/>
      <c r="G2" s="62"/>
      <c r="H2" s="62"/>
      <c r="I2" s="62"/>
      <c r="J2" s="62"/>
      <c r="K2" s="62"/>
      <c r="L2" s="62"/>
      <c r="M2" s="62"/>
      <c r="N2" s="62"/>
      <c r="O2" s="62"/>
      <c r="P2" s="62"/>
      <c r="Q2" s="62"/>
    </row>
    <row r="3" spans="1:17" ht="49.95" customHeight="1" x14ac:dyDescent="0.3">
      <c r="A3" s="62"/>
      <c r="B3" s="194" t="str" cm="1">
        <f t="array" ref="B3">UITranslateForValueTable("analysisText1", UITranslationTable[tag], UITranslationTable[], UITranslationTable[#Headers])</f>
        <v>The charts below display the mean scores of non-doers and doers for each selected RANAS factor, as well as the difference between them.</v>
      </c>
      <c r="C3" s="195"/>
      <c r="D3" s="195"/>
      <c r="E3" s="195"/>
      <c r="F3" s="195"/>
      <c r="G3" s="195"/>
      <c r="H3" s="168"/>
      <c r="I3" s="300" t="str" cm="1">
        <f t="array" aca="1" ref="I3" ca="1">IF(
    errorMessages = "",
    "",
    UITranslateForValueTable("errorMessageNotice", UITranslationTable[tag], UITranslationTable[], UITranslationTable[#Headers])
  )</f>
        <v>Some error has been detected. Please refer to one of the "Error messages" boards in the "Configuration" sheet for detailed explanations.</v>
      </c>
      <c r="J3" s="301"/>
      <c r="K3" s="301"/>
      <c r="L3" s="301"/>
      <c r="M3" s="301"/>
      <c r="N3" s="301"/>
      <c r="O3" s="301"/>
      <c r="P3" s="83"/>
      <c r="Q3" s="62"/>
    </row>
    <row r="4" spans="1:17" ht="24" customHeight="1" x14ac:dyDescent="0.3">
      <c r="A4" s="72"/>
      <c r="B4" s="284" t="str" cm="1">
        <f t="array" ref="B4">UITranslateForValueTable("analysisText2", UITranslationTable[tag], UITranslationTable[], UITranslationTable[#Headers])</f>
        <v>The factors for which the difference between non-doers and doers is the largest (in absolute value) are the most important ones. They are the critical factors that should be targeted through behaviour change techniques (BCTs).</v>
      </c>
      <c r="C4" s="285"/>
      <c r="D4" s="285"/>
      <c r="E4" s="285"/>
      <c r="F4" s="285"/>
      <c r="G4" s="285"/>
      <c r="H4" s="79"/>
      <c r="I4" s="298" t="str" cm="1">
        <f t="array" ref="I4">UITranslateForValueTable("analysisSortIntro", UITranslationTable[tag], UITranslationTable[], UITranslationTable[#Headers])</f>
        <v>The "Data sorting" drop-down menu above the chart offers various options for sorting the factors:</v>
      </c>
      <c r="J4" s="299"/>
      <c r="K4" s="299"/>
      <c r="L4" s="299"/>
      <c r="M4" s="299"/>
      <c r="N4" s="299"/>
      <c r="O4" s="299"/>
      <c r="P4" s="84"/>
      <c r="Q4" s="62"/>
    </row>
    <row r="5" spans="1:17" ht="24" customHeight="1" x14ac:dyDescent="0.3">
      <c r="A5" s="73"/>
      <c r="B5" s="286"/>
      <c r="C5" s="285"/>
      <c r="D5" s="285"/>
      <c r="E5" s="285"/>
      <c r="F5" s="285"/>
      <c r="G5" s="285"/>
      <c r="H5" s="80" t="s">
        <v>266</v>
      </c>
      <c r="I5" s="298" t="str" cm="1">
        <f t="array" aca="1" ref="I5" ca="1">UITranslateForValueTable("analysisSort1", UITranslationTable[tag], UITranslationTable[], UITranslationTable[#Headers])</f>
        <v>No sorting is applied. The factors are displayed in the same order as in the "Configuration" sheet.</v>
      </c>
      <c r="J5" s="299"/>
      <c r="K5" s="299"/>
      <c r="L5" s="299"/>
      <c r="M5" s="299"/>
      <c r="N5" s="299"/>
      <c r="O5" s="299"/>
      <c r="P5" s="85"/>
      <c r="Q5" s="62"/>
    </row>
    <row r="6" spans="1:17" ht="36" customHeight="1" x14ac:dyDescent="0.3">
      <c r="A6" s="73"/>
      <c r="B6" s="284" t="str" cm="1">
        <f t="array" ref="B6">UITranslateForValueTable("analysisText3", UITranslationTable[tag], UITranslationTable[], UITranslationTable[#Headers])</f>
        <v>The table below the charts contains the displayed values. As a visual aid, the cells in the "Difference" column are coloured with a more intense hue for larger (absolute) values.</v>
      </c>
      <c r="C6" s="285"/>
      <c r="D6" s="285"/>
      <c r="E6" s="285"/>
      <c r="F6" s="285"/>
      <c r="G6" s="285"/>
      <c r="H6" s="80" t="s">
        <v>267</v>
      </c>
      <c r="I6" s="298" t="str" cm="1">
        <f t="array" ref="I6">UITranslateForValueTable("analysisSort2", UITranslationTable[tag], UITranslationTable[], UITranslationTable[#Headers])</f>
        <v>The factors are sorted in descending order of the RELATIVE value of "Difference", i.e., from the most positive difference to the most negative difference.</v>
      </c>
      <c r="J6" s="299"/>
      <c r="K6" s="299"/>
      <c r="L6" s="299"/>
      <c r="M6" s="299"/>
      <c r="N6" s="299"/>
      <c r="O6" s="299"/>
      <c r="P6" s="85"/>
      <c r="Q6" s="62"/>
    </row>
    <row r="7" spans="1:17" ht="36" customHeight="1" thickBot="1" x14ac:dyDescent="0.35">
      <c r="A7" s="74"/>
      <c r="B7" s="286"/>
      <c r="C7" s="285"/>
      <c r="D7" s="285"/>
      <c r="E7" s="285"/>
      <c r="F7" s="285"/>
      <c r="G7" s="285"/>
      <c r="H7" s="80" t="s">
        <v>268</v>
      </c>
      <c r="I7" s="298" t="str" cm="1">
        <f t="array" ref="I7">UITranslateForValueTable("analysisSort3", UITranslationTable[tag], UITranslationTable[], UITranslationTable[#Headers])</f>
        <v>The factors are sorted in descending order of the ABSOLUTE value of "Difference", i.e., the largest differences come first, regardless of their sign, and the smallest come last.</v>
      </c>
      <c r="J7" s="299"/>
      <c r="K7" s="299"/>
      <c r="L7" s="299"/>
      <c r="M7" s="299"/>
      <c r="N7" s="299"/>
      <c r="O7" s="299"/>
      <c r="P7" s="85"/>
      <c r="Q7" s="62"/>
    </row>
    <row r="8" spans="1:17" ht="18" customHeight="1" thickBot="1" x14ac:dyDescent="0.35">
      <c r="A8" s="74"/>
      <c r="B8" s="75"/>
      <c r="C8" s="76"/>
      <c r="D8" s="77" t="str" cm="1">
        <f t="array" ref="D8">UITranslateForValueTable("analysisDataSorting", UITranslationTable[tag], UITranslationTable[], UITranslationTable[#Headers])</f>
        <v>Data sorting:</v>
      </c>
      <c r="E8" s="43" t="s">
        <v>126</v>
      </c>
      <c r="F8" s="76"/>
      <c r="G8" s="76"/>
      <c r="H8" s="80" t="s">
        <v>269</v>
      </c>
      <c r="I8" s="298" t="str" cm="1">
        <f t="array" ref="I8">UITranslateForValueTable("analysisSort4", UITranslationTable[tag], UITranslationTable[], UITranslationTable[#Headers])</f>
        <v>The factors are grouped by RANAS block.</v>
      </c>
      <c r="J8" s="299"/>
      <c r="K8" s="299"/>
      <c r="L8" s="299"/>
      <c r="M8" s="299"/>
      <c r="N8" s="299"/>
      <c r="O8" s="299"/>
      <c r="P8" s="85"/>
      <c r="Q8" s="62"/>
    </row>
    <row r="9" spans="1:17" x14ac:dyDescent="0.3">
      <c r="A9" s="74"/>
      <c r="B9" s="75"/>
      <c r="C9" s="62"/>
      <c r="D9" s="62"/>
      <c r="E9" s="62"/>
      <c r="F9" s="50"/>
      <c r="G9" s="50"/>
      <c r="H9" s="76"/>
      <c r="I9" s="76"/>
      <c r="J9" s="62"/>
      <c r="K9" s="62"/>
      <c r="L9" s="76"/>
      <c r="M9" s="50"/>
      <c r="N9" s="50"/>
      <c r="O9" s="50"/>
      <c r="P9" s="85"/>
      <c r="Q9" s="62"/>
    </row>
    <row r="10" spans="1:17" x14ac:dyDescent="0.3">
      <c r="A10" s="74"/>
      <c r="B10" s="75"/>
      <c r="C10" s="76"/>
      <c r="D10" s="76"/>
      <c r="E10" s="76"/>
      <c r="F10" s="76"/>
      <c r="G10" s="76"/>
      <c r="H10" s="76"/>
      <c r="I10" s="76"/>
      <c r="J10" s="76"/>
      <c r="K10" s="76"/>
      <c r="L10" s="76"/>
      <c r="M10" s="50"/>
      <c r="N10" s="50"/>
      <c r="O10" s="50"/>
      <c r="P10" s="85"/>
      <c r="Q10" s="62"/>
    </row>
    <row r="11" spans="1:17" x14ac:dyDescent="0.3">
      <c r="A11" s="74"/>
      <c r="B11" s="75"/>
      <c r="C11" s="76"/>
      <c r="D11" s="76"/>
      <c r="E11" s="76"/>
      <c r="F11" s="76"/>
      <c r="G11" s="76"/>
      <c r="H11" s="76"/>
      <c r="I11" s="76"/>
      <c r="J11" s="76"/>
      <c r="K11" s="76"/>
      <c r="L11" s="76"/>
      <c r="M11" s="50"/>
      <c r="N11" s="50"/>
      <c r="O11" s="50"/>
      <c r="P11" s="85"/>
      <c r="Q11" s="62"/>
    </row>
    <row r="12" spans="1:17" x14ac:dyDescent="0.3">
      <c r="A12" s="74"/>
      <c r="B12" s="75"/>
      <c r="C12" s="76"/>
      <c r="D12" s="76"/>
      <c r="E12" s="76"/>
      <c r="F12" s="76"/>
      <c r="G12" s="76"/>
      <c r="H12" s="76"/>
      <c r="I12" s="76"/>
      <c r="J12" s="76"/>
      <c r="K12" s="76"/>
      <c r="L12" s="76"/>
      <c r="M12" s="50"/>
      <c r="N12" s="50"/>
      <c r="O12" s="50"/>
      <c r="P12" s="85"/>
      <c r="Q12" s="62"/>
    </row>
    <row r="13" spans="1:17" x14ac:dyDescent="0.3">
      <c r="A13" s="74"/>
      <c r="B13" s="75"/>
      <c r="C13" s="76"/>
      <c r="D13" s="76"/>
      <c r="E13" s="76"/>
      <c r="F13" s="76"/>
      <c r="G13" s="76"/>
      <c r="H13" s="76"/>
      <c r="I13" s="76"/>
      <c r="J13" s="76"/>
      <c r="K13" s="76"/>
      <c r="L13" s="76"/>
      <c r="M13" s="50"/>
      <c r="N13" s="50"/>
      <c r="O13" s="50"/>
      <c r="P13" s="85"/>
      <c r="Q13" s="62"/>
    </row>
    <row r="14" spans="1:17" x14ac:dyDescent="0.3">
      <c r="A14" s="74"/>
      <c r="B14" s="75"/>
      <c r="C14" s="76"/>
      <c r="D14" s="76"/>
      <c r="E14" s="76"/>
      <c r="F14" s="76"/>
      <c r="G14" s="76"/>
      <c r="H14" s="76"/>
      <c r="I14" s="76"/>
      <c r="J14" s="76"/>
      <c r="K14" s="76"/>
      <c r="L14" s="76"/>
      <c r="M14" s="50"/>
      <c r="N14" s="50"/>
      <c r="O14" s="50"/>
      <c r="P14" s="85"/>
      <c r="Q14" s="62"/>
    </row>
    <row r="15" spans="1:17" x14ac:dyDescent="0.3">
      <c r="A15" s="74"/>
      <c r="B15" s="75"/>
      <c r="C15" s="50"/>
      <c r="D15" s="50"/>
      <c r="E15" s="50"/>
      <c r="F15" s="78"/>
      <c r="G15" s="78"/>
      <c r="H15" s="78"/>
      <c r="I15" s="78"/>
      <c r="J15" s="78"/>
      <c r="K15" s="78"/>
      <c r="L15" s="78"/>
      <c r="M15" s="50"/>
      <c r="N15" s="50"/>
      <c r="O15" s="50"/>
      <c r="P15" s="85"/>
      <c r="Q15" s="62"/>
    </row>
    <row r="16" spans="1:17" x14ac:dyDescent="0.3">
      <c r="A16" s="62"/>
      <c r="B16" s="169"/>
      <c r="C16" s="50"/>
      <c r="D16" s="50"/>
      <c r="E16" s="50"/>
      <c r="F16" s="50"/>
      <c r="G16" s="50"/>
      <c r="H16" s="50"/>
      <c r="I16" s="50"/>
      <c r="J16" s="50"/>
      <c r="K16" s="50"/>
      <c r="L16" s="50"/>
      <c r="M16" s="50"/>
      <c r="N16" s="50"/>
      <c r="O16" s="50"/>
      <c r="P16" s="85"/>
      <c r="Q16" s="62"/>
    </row>
    <row r="17" spans="1:17" x14ac:dyDescent="0.3">
      <c r="A17" s="62"/>
      <c r="B17" s="169"/>
      <c r="C17" s="50"/>
      <c r="D17" s="50"/>
      <c r="E17" s="50"/>
      <c r="F17" s="50"/>
      <c r="G17" s="50"/>
      <c r="H17" s="50"/>
      <c r="I17" s="50"/>
      <c r="J17" s="50"/>
      <c r="K17" s="50"/>
      <c r="L17" s="50"/>
      <c r="M17" s="50"/>
      <c r="N17" s="50"/>
      <c r="O17" s="50"/>
      <c r="P17" s="85"/>
      <c r="Q17" s="62"/>
    </row>
    <row r="18" spans="1:17" x14ac:dyDescent="0.3">
      <c r="A18" s="62"/>
      <c r="B18" s="169"/>
      <c r="C18" s="50"/>
      <c r="D18" s="50"/>
      <c r="E18" s="50"/>
      <c r="F18" s="50"/>
      <c r="G18" s="50"/>
      <c r="H18" s="50"/>
      <c r="I18" s="50"/>
      <c r="J18" s="50"/>
      <c r="K18" s="50"/>
      <c r="L18" s="50"/>
      <c r="M18" s="50"/>
      <c r="N18" s="50"/>
      <c r="O18" s="50"/>
      <c r="P18" s="85"/>
      <c r="Q18" s="62"/>
    </row>
    <row r="19" spans="1:17" x14ac:dyDescent="0.3">
      <c r="A19" s="62"/>
      <c r="B19" s="169"/>
      <c r="C19" s="50"/>
      <c r="D19" s="50"/>
      <c r="E19" s="50"/>
      <c r="F19" s="50"/>
      <c r="G19" s="50"/>
      <c r="H19" s="50"/>
      <c r="I19" s="50"/>
      <c r="J19" s="50"/>
      <c r="K19" s="50"/>
      <c r="L19" s="50"/>
      <c r="M19" s="50"/>
      <c r="N19" s="50"/>
      <c r="O19" s="50"/>
      <c r="P19" s="85"/>
      <c r="Q19" s="62"/>
    </row>
    <row r="20" spans="1:17" x14ac:dyDescent="0.3">
      <c r="A20" s="62"/>
      <c r="B20" s="169"/>
      <c r="C20" s="50"/>
      <c r="D20" s="50"/>
      <c r="E20" s="50"/>
      <c r="F20" s="50"/>
      <c r="G20" s="50"/>
      <c r="H20" s="50"/>
      <c r="I20" s="50"/>
      <c r="J20" s="50"/>
      <c r="K20" s="50"/>
      <c r="L20" s="50"/>
      <c r="M20" s="50"/>
      <c r="N20" s="50"/>
      <c r="O20" s="50"/>
      <c r="P20" s="85"/>
      <c r="Q20" s="62"/>
    </row>
    <row r="21" spans="1:17" x14ac:dyDescent="0.3">
      <c r="A21" s="62"/>
      <c r="B21" s="169"/>
      <c r="C21" s="50"/>
      <c r="D21" s="50"/>
      <c r="E21" s="50"/>
      <c r="F21" s="50"/>
      <c r="G21" s="50"/>
      <c r="H21" s="50"/>
      <c r="I21" s="50"/>
      <c r="J21" s="50"/>
      <c r="K21" s="50"/>
      <c r="L21" s="50"/>
      <c r="M21" s="50"/>
      <c r="N21" s="50"/>
      <c r="O21" s="50"/>
      <c r="P21" s="85"/>
      <c r="Q21" s="62"/>
    </row>
    <row r="22" spans="1:17" x14ac:dyDescent="0.3">
      <c r="A22" s="62"/>
      <c r="B22" s="169"/>
      <c r="C22" s="50"/>
      <c r="D22" s="50"/>
      <c r="E22" s="50"/>
      <c r="F22" s="50"/>
      <c r="G22" s="50"/>
      <c r="H22" s="50"/>
      <c r="I22" s="50"/>
      <c r="J22" s="50"/>
      <c r="K22" s="50"/>
      <c r="L22" s="50"/>
      <c r="M22" s="50"/>
      <c r="N22" s="50"/>
      <c r="O22" s="50"/>
      <c r="P22" s="85"/>
      <c r="Q22" s="62"/>
    </row>
    <row r="23" spans="1:17" x14ac:dyDescent="0.3">
      <c r="A23" s="62"/>
      <c r="B23" s="169"/>
      <c r="C23" s="50"/>
      <c r="D23" s="50"/>
      <c r="E23" s="50"/>
      <c r="F23" s="50"/>
      <c r="G23" s="50"/>
      <c r="H23" s="50"/>
      <c r="I23" s="50"/>
      <c r="J23" s="50"/>
      <c r="K23" s="50"/>
      <c r="L23" s="50"/>
      <c r="M23" s="50"/>
      <c r="N23" s="50"/>
      <c r="O23" s="50"/>
      <c r="P23" s="85"/>
      <c r="Q23" s="62"/>
    </row>
    <row r="24" spans="1:17" x14ac:dyDescent="0.3">
      <c r="A24" s="62"/>
      <c r="B24" s="169"/>
      <c r="C24" s="50"/>
      <c r="D24" s="50"/>
      <c r="E24" s="50"/>
      <c r="F24" s="50"/>
      <c r="G24" s="50"/>
      <c r="H24" s="50"/>
      <c r="I24" s="50"/>
      <c r="J24" s="50"/>
      <c r="K24" s="50"/>
      <c r="L24" s="50"/>
      <c r="M24" s="50"/>
      <c r="N24" s="50"/>
      <c r="O24" s="50"/>
      <c r="P24" s="85"/>
      <c r="Q24" s="62"/>
    </row>
    <row r="25" spans="1:17" x14ac:dyDescent="0.3">
      <c r="A25" s="62"/>
      <c r="B25" s="169"/>
      <c r="C25" s="50"/>
      <c r="D25" s="50"/>
      <c r="E25" s="50"/>
      <c r="F25" s="50"/>
      <c r="G25" s="50"/>
      <c r="H25" s="50"/>
      <c r="I25" s="50"/>
      <c r="J25" s="50"/>
      <c r="K25" s="50"/>
      <c r="L25" s="50"/>
      <c r="M25" s="50"/>
      <c r="N25" s="50"/>
      <c r="O25" s="50"/>
      <c r="P25" s="85"/>
      <c r="Q25" s="62"/>
    </row>
    <row r="26" spans="1:17" x14ac:dyDescent="0.3">
      <c r="A26" s="62"/>
      <c r="B26" s="169"/>
      <c r="C26" s="50"/>
      <c r="D26" s="50"/>
      <c r="E26" s="50"/>
      <c r="F26" s="50"/>
      <c r="G26" s="50"/>
      <c r="H26" s="50"/>
      <c r="I26" s="50"/>
      <c r="J26" s="50"/>
      <c r="K26" s="50"/>
      <c r="L26" s="50"/>
      <c r="M26" s="50"/>
      <c r="N26" s="50"/>
      <c r="O26" s="50"/>
      <c r="P26" s="85"/>
      <c r="Q26" s="62"/>
    </row>
    <row r="27" spans="1:17" x14ac:dyDescent="0.3">
      <c r="A27" s="62"/>
      <c r="B27" s="169"/>
      <c r="C27" s="50"/>
      <c r="D27" s="50"/>
      <c r="E27" s="50"/>
      <c r="F27" s="50"/>
      <c r="G27" s="50"/>
      <c r="H27" s="50"/>
      <c r="I27" s="50"/>
      <c r="J27" s="50"/>
      <c r="K27" s="50"/>
      <c r="L27" s="50"/>
      <c r="M27" s="50"/>
      <c r="N27" s="50"/>
      <c r="O27" s="50"/>
      <c r="P27" s="85"/>
      <c r="Q27" s="62"/>
    </row>
    <row r="28" spans="1:17" x14ac:dyDescent="0.3">
      <c r="A28" s="62"/>
      <c r="B28" s="169"/>
      <c r="C28" s="50"/>
      <c r="D28" s="50"/>
      <c r="E28" s="50"/>
      <c r="F28" s="50"/>
      <c r="G28" s="50"/>
      <c r="H28" s="50"/>
      <c r="I28" s="50"/>
      <c r="J28" s="50"/>
      <c r="K28" s="50"/>
      <c r="L28" s="50"/>
      <c r="M28" s="50"/>
      <c r="N28" s="50"/>
      <c r="O28" s="50"/>
      <c r="P28" s="85"/>
      <c r="Q28" s="62"/>
    </row>
    <row r="29" spans="1:17" x14ac:dyDescent="0.3">
      <c r="A29" s="62"/>
      <c r="B29" s="169"/>
      <c r="C29" s="50"/>
      <c r="D29" s="50"/>
      <c r="E29" s="50"/>
      <c r="F29" s="50"/>
      <c r="G29" s="50"/>
      <c r="H29" s="50"/>
      <c r="I29" s="50"/>
      <c r="J29" s="50"/>
      <c r="K29" s="50"/>
      <c r="L29" s="50"/>
      <c r="M29" s="50"/>
      <c r="N29" s="50"/>
      <c r="O29" s="50"/>
      <c r="P29" s="85"/>
      <c r="Q29" s="62"/>
    </row>
    <row r="30" spans="1:17" x14ac:dyDescent="0.3">
      <c r="A30" s="62"/>
      <c r="B30" s="169"/>
      <c r="C30" s="50"/>
      <c r="D30" s="50"/>
      <c r="E30" s="50"/>
      <c r="F30" s="50"/>
      <c r="G30" s="50"/>
      <c r="H30" s="50"/>
      <c r="I30" s="50"/>
      <c r="J30" s="50"/>
      <c r="K30" s="50"/>
      <c r="L30" s="50"/>
      <c r="M30" s="50"/>
      <c r="N30" s="50"/>
      <c r="O30" s="50"/>
      <c r="P30" s="85"/>
      <c r="Q30" s="62"/>
    </row>
    <row r="31" spans="1:17" x14ac:dyDescent="0.3">
      <c r="A31" s="62"/>
      <c r="B31" s="169"/>
      <c r="C31" s="50"/>
      <c r="D31" s="50"/>
      <c r="E31" s="50"/>
      <c r="F31" s="50"/>
      <c r="G31" s="50"/>
      <c r="H31" s="50"/>
      <c r="I31" s="50"/>
      <c r="J31" s="50"/>
      <c r="K31" s="50"/>
      <c r="L31" s="50"/>
      <c r="M31" s="50"/>
      <c r="N31" s="50"/>
      <c r="O31" s="50"/>
      <c r="P31" s="85"/>
      <c r="Q31" s="62"/>
    </row>
    <row r="32" spans="1:17" x14ac:dyDescent="0.3">
      <c r="A32" s="62"/>
      <c r="B32" s="169"/>
      <c r="C32" s="50"/>
      <c r="D32" s="50"/>
      <c r="E32" s="50"/>
      <c r="F32" s="50"/>
      <c r="G32" s="50"/>
      <c r="H32" s="50"/>
      <c r="I32" s="50"/>
      <c r="J32" s="50"/>
      <c r="K32" s="50"/>
      <c r="L32" s="50"/>
      <c r="M32" s="50"/>
      <c r="N32" s="50"/>
      <c r="O32" s="50"/>
      <c r="P32" s="85"/>
      <c r="Q32" s="62"/>
    </row>
    <row r="33" spans="1:17" x14ac:dyDescent="0.3">
      <c r="A33" s="62"/>
      <c r="B33" s="169"/>
      <c r="C33" s="50"/>
      <c r="D33" s="50"/>
      <c r="E33" s="50"/>
      <c r="F33" s="50"/>
      <c r="G33" s="50"/>
      <c r="H33" s="50"/>
      <c r="I33" s="50"/>
      <c r="J33" s="50"/>
      <c r="K33" s="50"/>
      <c r="L33" s="50"/>
      <c r="M33" s="50"/>
      <c r="N33" s="50"/>
      <c r="O33" s="50"/>
      <c r="P33" s="85"/>
      <c r="Q33" s="62"/>
    </row>
    <row r="34" spans="1:17" x14ac:dyDescent="0.3">
      <c r="A34" s="62"/>
      <c r="B34" s="169"/>
      <c r="C34" s="50"/>
      <c r="D34" s="50"/>
      <c r="E34" s="50"/>
      <c r="F34" s="50"/>
      <c r="G34" s="50"/>
      <c r="H34" s="50"/>
      <c r="I34" s="50"/>
      <c r="J34" s="50"/>
      <c r="K34" s="50"/>
      <c r="L34" s="50"/>
      <c r="M34" s="50"/>
      <c r="N34" s="50"/>
      <c r="O34" s="50"/>
      <c r="P34" s="85"/>
      <c r="Q34" s="62"/>
    </row>
    <row r="35" spans="1:17" x14ac:dyDescent="0.3">
      <c r="A35" s="62"/>
      <c r="B35" s="169"/>
      <c r="C35" s="50"/>
      <c r="D35" s="50"/>
      <c r="E35" s="50"/>
      <c r="F35" s="50"/>
      <c r="G35" s="50"/>
      <c r="H35" s="50"/>
      <c r="I35" s="50"/>
      <c r="J35" s="50"/>
      <c r="K35" s="50"/>
      <c r="L35" s="50"/>
      <c r="M35" s="50"/>
      <c r="N35" s="50"/>
      <c r="O35" s="50"/>
      <c r="P35" s="85"/>
      <c r="Q35" s="62"/>
    </row>
    <row r="36" spans="1:17" x14ac:dyDescent="0.3">
      <c r="A36" s="62"/>
      <c r="B36" s="169"/>
      <c r="C36" s="50"/>
      <c r="D36" s="50"/>
      <c r="E36" s="50"/>
      <c r="F36" s="50"/>
      <c r="G36" s="50"/>
      <c r="H36" s="50"/>
      <c r="I36" s="50"/>
      <c r="J36" s="50"/>
      <c r="K36" s="50"/>
      <c r="L36" s="50"/>
      <c r="M36" s="50"/>
      <c r="N36" s="50"/>
      <c r="O36" s="50"/>
      <c r="P36" s="85"/>
      <c r="Q36" s="62"/>
    </row>
    <row r="37" spans="1:17" x14ac:dyDescent="0.3">
      <c r="A37" s="62"/>
      <c r="B37" s="169"/>
      <c r="C37" s="50"/>
      <c r="D37" s="50"/>
      <c r="E37" s="50"/>
      <c r="F37" s="50"/>
      <c r="G37" s="50"/>
      <c r="H37" s="50"/>
      <c r="I37" s="50"/>
      <c r="J37" s="50"/>
      <c r="K37" s="50"/>
      <c r="L37" s="50"/>
      <c r="M37" s="50"/>
      <c r="N37" s="50"/>
      <c r="O37" s="50"/>
      <c r="P37" s="85"/>
      <c r="Q37" s="62"/>
    </row>
    <row r="38" spans="1:17" x14ac:dyDescent="0.3">
      <c r="A38" s="62"/>
      <c r="B38" s="169"/>
      <c r="C38" s="50"/>
      <c r="D38" s="50"/>
      <c r="E38" s="50"/>
      <c r="F38" s="50"/>
      <c r="G38" s="50"/>
      <c r="H38" s="50"/>
      <c r="I38" s="50"/>
      <c r="J38" s="50"/>
      <c r="K38" s="50"/>
      <c r="L38" s="50"/>
      <c r="M38" s="50"/>
      <c r="N38" s="50"/>
      <c r="O38" s="50"/>
      <c r="P38" s="85"/>
      <c r="Q38" s="62"/>
    </row>
    <row r="39" spans="1:17" x14ac:dyDescent="0.3">
      <c r="A39" s="62"/>
      <c r="B39" s="169"/>
      <c r="C39" s="50"/>
      <c r="D39" s="50"/>
      <c r="E39" s="50"/>
      <c r="F39" s="50"/>
      <c r="G39" s="50"/>
      <c r="H39" s="50"/>
      <c r="I39" s="50"/>
      <c r="J39" s="50"/>
      <c r="K39" s="50"/>
      <c r="L39" s="50"/>
      <c r="M39" s="50"/>
      <c r="N39" s="50"/>
      <c r="O39" s="50"/>
      <c r="P39" s="85"/>
      <c r="Q39" s="62"/>
    </row>
    <row r="40" spans="1:17" x14ac:dyDescent="0.3">
      <c r="A40" s="62"/>
      <c r="B40" s="169"/>
      <c r="C40" s="50"/>
      <c r="D40" s="50"/>
      <c r="E40" s="50"/>
      <c r="F40" s="50"/>
      <c r="G40" s="50"/>
      <c r="H40" s="50"/>
      <c r="I40" s="50"/>
      <c r="J40" s="50"/>
      <c r="K40" s="50"/>
      <c r="L40" s="50"/>
      <c r="M40" s="50"/>
      <c r="N40" s="50"/>
      <c r="O40" s="50"/>
      <c r="P40" s="85"/>
      <c r="Q40" s="62"/>
    </row>
    <row r="41" spans="1:17" x14ac:dyDescent="0.3">
      <c r="A41" s="62"/>
      <c r="B41" s="169"/>
      <c r="C41" s="50"/>
      <c r="D41" s="50"/>
      <c r="E41" s="50"/>
      <c r="F41" s="50"/>
      <c r="G41" s="50"/>
      <c r="H41" s="50"/>
      <c r="I41" s="50"/>
      <c r="J41" s="50"/>
      <c r="K41" s="50"/>
      <c r="L41" s="50"/>
      <c r="M41" s="50"/>
      <c r="N41" s="50"/>
      <c r="O41" s="50"/>
      <c r="P41" s="85"/>
      <c r="Q41" s="62"/>
    </row>
    <row r="42" spans="1:17" x14ac:dyDescent="0.3">
      <c r="A42" s="62"/>
      <c r="B42" s="169"/>
      <c r="C42" s="50"/>
      <c r="D42" s="50"/>
      <c r="E42" s="50"/>
      <c r="F42" s="50"/>
      <c r="G42" s="50"/>
      <c r="H42" s="50"/>
      <c r="I42" s="50"/>
      <c r="J42" s="50"/>
      <c r="K42" s="50"/>
      <c r="L42" s="50"/>
      <c r="M42" s="50"/>
      <c r="N42" s="50"/>
      <c r="O42" s="50"/>
      <c r="P42" s="85"/>
      <c r="Q42" s="62"/>
    </row>
    <row r="43" spans="1:17" x14ac:dyDescent="0.3">
      <c r="A43" s="62"/>
      <c r="B43" s="169"/>
      <c r="C43" s="50"/>
      <c r="D43" s="50"/>
      <c r="E43" s="50"/>
      <c r="F43" s="50"/>
      <c r="G43" s="50"/>
      <c r="H43" s="50"/>
      <c r="I43" s="50"/>
      <c r="J43" s="50"/>
      <c r="K43" s="50"/>
      <c r="L43" s="50"/>
      <c r="M43" s="50"/>
      <c r="N43" s="50"/>
      <c r="O43" s="50"/>
      <c r="P43" s="85"/>
      <c r="Q43" s="62"/>
    </row>
    <row r="44" spans="1:17" x14ac:dyDescent="0.3">
      <c r="A44" s="62"/>
      <c r="B44" s="169"/>
      <c r="C44" s="50"/>
      <c r="D44" s="50"/>
      <c r="E44" s="50"/>
      <c r="F44" s="50"/>
      <c r="G44" s="50"/>
      <c r="H44" s="50"/>
      <c r="I44" s="50"/>
      <c r="J44" s="50"/>
      <c r="K44" s="50"/>
      <c r="L44" s="50"/>
      <c r="M44" s="50"/>
      <c r="N44" s="50"/>
      <c r="O44" s="50"/>
      <c r="P44" s="85"/>
      <c r="Q44" s="62"/>
    </row>
    <row r="45" spans="1:17" x14ac:dyDescent="0.3">
      <c r="A45" s="62"/>
      <c r="B45" s="169"/>
      <c r="C45" s="50"/>
      <c r="D45" s="50"/>
      <c r="E45" s="50"/>
      <c r="F45" s="50"/>
      <c r="G45" s="50"/>
      <c r="H45" s="50"/>
      <c r="I45" s="50"/>
      <c r="J45" s="50"/>
      <c r="K45" s="50"/>
      <c r="L45" s="50"/>
      <c r="M45" s="50"/>
      <c r="N45" s="50"/>
      <c r="O45" s="50"/>
      <c r="P45" s="85"/>
      <c r="Q45" s="62"/>
    </row>
    <row r="46" spans="1:17" x14ac:dyDescent="0.3">
      <c r="A46" s="62"/>
      <c r="B46" s="169"/>
      <c r="C46" s="50"/>
      <c r="D46" s="50"/>
      <c r="E46" s="50"/>
      <c r="F46" s="50"/>
      <c r="G46" s="50"/>
      <c r="H46" s="50"/>
      <c r="I46" s="50"/>
      <c r="J46" s="50"/>
      <c r="K46" s="50"/>
      <c r="L46" s="50"/>
      <c r="M46" s="50"/>
      <c r="N46" s="50"/>
      <c r="O46" s="50"/>
      <c r="P46" s="85"/>
      <c r="Q46" s="62"/>
    </row>
    <row r="47" spans="1:17" x14ac:dyDescent="0.3">
      <c r="A47" s="62"/>
      <c r="B47" s="169"/>
      <c r="C47" s="50"/>
      <c r="D47" s="50"/>
      <c r="E47" s="50"/>
      <c r="F47" s="50"/>
      <c r="G47" s="50"/>
      <c r="H47" s="50"/>
      <c r="I47" s="50"/>
      <c r="J47" s="50"/>
      <c r="K47" s="50"/>
      <c r="L47" s="50"/>
      <c r="M47" s="50"/>
      <c r="N47" s="50"/>
      <c r="O47" s="50"/>
      <c r="P47" s="85"/>
      <c r="Q47" s="62"/>
    </row>
    <row r="48" spans="1:17" x14ac:dyDescent="0.3">
      <c r="A48" s="62"/>
      <c r="B48" s="169"/>
      <c r="C48" s="50"/>
      <c r="D48" s="50"/>
      <c r="E48" s="50"/>
      <c r="F48" s="50"/>
      <c r="G48" s="50"/>
      <c r="H48" s="50"/>
      <c r="I48" s="50"/>
      <c r="J48" s="50"/>
      <c r="K48" s="50"/>
      <c r="L48" s="50"/>
      <c r="M48" s="50"/>
      <c r="N48" s="50"/>
      <c r="O48" s="50"/>
      <c r="P48" s="85"/>
      <c r="Q48" s="62"/>
    </row>
    <row r="49" spans="1:17" ht="14.4" customHeight="1" x14ac:dyDescent="0.3">
      <c r="A49" s="62"/>
      <c r="B49" s="169"/>
      <c r="C49" s="50"/>
      <c r="D49" s="50"/>
      <c r="E49" s="50"/>
      <c r="F49" s="68" t="str">
        <f>_xlfn.XLOOKUP("factor", chartTranslationTable[tag], chartTranslationTable[displayedText])</f>
        <v>Factor</v>
      </c>
      <c r="G49" s="68" t="str">
        <f>_xlfn.XLOOKUP("RANASBlock", chartTranslationTable[tag], chartTranslationTable[displayedText])</f>
        <v>RANAS block</v>
      </c>
      <c r="H49" s="68" t="str">
        <f>_xlfn.XLOOKUP("nondoers", chartTranslationTable[tag], chartTranslationTable[displayedText])</f>
        <v>Non-doers</v>
      </c>
      <c r="I49" s="68" t="str">
        <f>_xlfn.XLOOKUP("doers", chartTranslationTable[tag], chartTranslationTable[displayedText])</f>
        <v>Doers</v>
      </c>
      <c r="J49" s="68" t="str">
        <f>_xlfn.XLOOKUP("difference", chartTranslationTable[tag], chartTranslationTable[displayedText])</f>
        <v>Difference</v>
      </c>
      <c r="K49" s="68" t="str">
        <f>_xlfn.XLOOKUP("numResponses", chartTranslationTable[tag], chartTranslationTable[displayedText])</f>
        <v># of responses</v>
      </c>
      <c r="L49" s="296" t="str" cm="1">
        <f t="array" ref="L49">UITranslateForValueTable("copyTableInfo", UITranslationTable[tag], UITranslationTable[], UITranslationTable[#Headers])</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297"/>
      <c r="N49" s="297"/>
      <c r="O49" s="297"/>
      <c r="P49" s="86"/>
      <c r="Q49" s="62"/>
    </row>
    <row r="50" spans="1:17" ht="14.4" hidden="1" customHeight="1" x14ac:dyDescent="0.3">
      <c r="A50" s="62"/>
      <c r="B50" s="169"/>
      <c r="C50" s="26" t="s">
        <v>1</v>
      </c>
      <c r="D50" s="26" t="s">
        <v>19</v>
      </c>
      <c r="E50" s="26" t="s">
        <v>164</v>
      </c>
      <c r="F50" s="26" t="s">
        <v>153</v>
      </c>
      <c r="G50" s="26" t="s">
        <v>157</v>
      </c>
      <c r="H50" s="26" t="s">
        <v>161</v>
      </c>
      <c r="I50" s="26" t="s">
        <v>162</v>
      </c>
      <c r="J50" s="26" t="s">
        <v>163</v>
      </c>
      <c r="K50" s="26" t="s">
        <v>160</v>
      </c>
      <c r="L50" s="297"/>
      <c r="M50" s="297"/>
      <c r="N50" s="297"/>
      <c r="O50" s="297"/>
      <c r="P50" s="86"/>
      <c r="Q50" s="62"/>
    </row>
    <row r="51" spans="1:17" x14ac:dyDescent="0.3">
      <c r="A51" s="62"/>
      <c r="B51" s="169"/>
      <c r="C51" s="88" cm="1">
        <f t="array" ref="C51">ROW()-ROW(analysisChartTable[#Headers])</f>
        <v>1</v>
      </c>
      <c r="D51" s="88" t="str">
        <f>_xlfn.XLOOKUP(analysisChartTable[[#This Row],[index]], factorsTable[index], factorsTable[chartLabel])</f>
        <v/>
      </c>
      <c r="E51" s="88" t="str">
        <f>_xlfn.XLOOKUP(analysisChartTable[[#This Row],[index]], factorsTable[index], factorsTable[RANASTag])</f>
        <v/>
      </c>
      <c r="F51" s="138" t="str">
        <f>_xlfn.XLOOKUP(analysisChartTable[[#This Row],[index]], factorsTable[index], factorsTable[displayedFactor])</f>
        <v/>
      </c>
      <c r="G51" s="138" t="str">
        <f>_xlfn.XLOOKUP(analysisChartTable[[#This Row],[index]], factorsTable[index], factorsTable[displayedRANASBlock])</f>
        <v/>
      </c>
      <c r="H51" s="139" t="str">
        <f>_xlfn.XLOOKUP(analysisChartTable[[#This Row],[index]], factorsTable[index], factorsTable[sortedNondoers])</f>
        <v/>
      </c>
      <c r="I51" s="139" t="str">
        <f>_xlfn.XLOOKUP(analysisChartTable[[#This Row],[index]], factorsTable[index], factorsTable[sortedDoers])</f>
        <v/>
      </c>
      <c r="J51" s="139" t="str">
        <f>_xlfn.XLOOKUP(analysisChartTable[[#This Row],[index]], factorsTable[index], factorsTable[sortedDifference])</f>
        <v/>
      </c>
      <c r="K51" s="140" t="str">
        <f>_xlfn.XLOOKUP(analysisChartTable[[#This Row],[index]], factorsTable[index], factorsTable[sortedNumTotal])</f>
        <v/>
      </c>
      <c r="L51" s="297"/>
      <c r="M51" s="297"/>
      <c r="N51" s="297"/>
      <c r="O51" s="297"/>
      <c r="P51" s="86"/>
      <c r="Q51" s="62"/>
    </row>
    <row r="52" spans="1:17" x14ac:dyDescent="0.3">
      <c r="A52" s="62"/>
      <c r="B52" s="169"/>
      <c r="C52" s="88" cm="1">
        <f t="array" ref="C52">ROW()-ROW(analysisChartTable[#Headers])</f>
        <v>2</v>
      </c>
      <c r="D52" s="88" t="str">
        <f>_xlfn.XLOOKUP(analysisChartTable[[#This Row],[index]], factorsTable[index], factorsTable[chartLabel])</f>
        <v/>
      </c>
      <c r="E52" s="88" t="str">
        <f>_xlfn.XLOOKUP(analysisChartTable[[#This Row],[index]], factorsTable[index], factorsTable[RANASTag])</f>
        <v/>
      </c>
      <c r="F52" s="141" t="str">
        <f>_xlfn.XLOOKUP(analysisChartTable[[#This Row],[index]], factorsTable[index], factorsTable[displayedFactor])</f>
        <v/>
      </c>
      <c r="G52" s="141" t="str">
        <f>_xlfn.XLOOKUP(analysisChartTable[[#This Row],[index]], factorsTable[index], factorsTable[displayedRANASBlock])</f>
        <v/>
      </c>
      <c r="H52" s="142" t="str">
        <f>_xlfn.XLOOKUP(analysisChartTable[[#This Row],[index]], factorsTable[index], factorsTable[sortedNondoers])</f>
        <v/>
      </c>
      <c r="I52" s="142" t="str">
        <f>_xlfn.XLOOKUP(analysisChartTable[[#This Row],[index]], factorsTable[index], factorsTable[sortedDoers])</f>
        <v/>
      </c>
      <c r="J52" s="142" t="str">
        <f>_xlfn.XLOOKUP(analysisChartTable[[#This Row],[index]], factorsTable[index], factorsTable[sortedDifference])</f>
        <v/>
      </c>
      <c r="K52" s="143" t="str">
        <f>_xlfn.XLOOKUP(analysisChartTable[[#This Row],[index]], factorsTable[index], factorsTable[sortedNumTotal])</f>
        <v/>
      </c>
      <c r="L52" s="297"/>
      <c r="M52" s="297"/>
      <c r="N52" s="297"/>
      <c r="O52" s="297"/>
      <c r="P52" s="86"/>
      <c r="Q52" s="62"/>
    </row>
    <row r="53" spans="1:17" x14ac:dyDescent="0.3">
      <c r="A53" s="62"/>
      <c r="B53" s="169"/>
      <c r="C53" s="88" cm="1">
        <f t="array" ref="C53">ROW()-ROW(analysisChartTable[#Headers])</f>
        <v>3</v>
      </c>
      <c r="D53" s="88" t="str">
        <f>_xlfn.XLOOKUP(analysisChartTable[[#This Row],[index]], factorsTable[index], factorsTable[chartLabel])</f>
        <v/>
      </c>
      <c r="E53" s="88" t="str">
        <f>_xlfn.XLOOKUP(analysisChartTable[[#This Row],[index]], factorsTable[index], factorsTable[RANASTag])</f>
        <v/>
      </c>
      <c r="F53" s="141" t="str">
        <f>_xlfn.XLOOKUP(analysisChartTable[[#This Row],[index]], factorsTable[index], factorsTable[displayedFactor])</f>
        <v/>
      </c>
      <c r="G53" s="141" t="str">
        <f>_xlfn.XLOOKUP(analysisChartTable[[#This Row],[index]], factorsTable[index], factorsTable[displayedRANASBlock])</f>
        <v/>
      </c>
      <c r="H53" s="142" t="str">
        <f>_xlfn.XLOOKUP(analysisChartTable[[#This Row],[index]], factorsTable[index], factorsTable[sortedNondoers])</f>
        <v/>
      </c>
      <c r="I53" s="142" t="str">
        <f>_xlfn.XLOOKUP(analysisChartTable[[#This Row],[index]], factorsTable[index], factorsTable[sortedDoers])</f>
        <v/>
      </c>
      <c r="J53" s="142" t="str">
        <f>_xlfn.XLOOKUP(analysisChartTable[[#This Row],[index]], factorsTable[index], factorsTable[sortedDifference])</f>
        <v/>
      </c>
      <c r="K53" s="143" t="str">
        <f>_xlfn.XLOOKUP(analysisChartTable[[#This Row],[index]], factorsTable[index], factorsTable[sortedNumTotal])</f>
        <v/>
      </c>
      <c r="L53" s="297"/>
      <c r="M53" s="297"/>
      <c r="N53" s="297"/>
      <c r="O53" s="297"/>
      <c r="P53" s="86"/>
      <c r="Q53" s="62"/>
    </row>
    <row r="54" spans="1:17" x14ac:dyDescent="0.3">
      <c r="A54" s="62"/>
      <c r="B54" s="169"/>
      <c r="C54" s="88" cm="1">
        <f t="array" ref="C54">ROW()-ROW(analysisChartTable[#Headers])</f>
        <v>4</v>
      </c>
      <c r="D54" s="88" t="str">
        <f>_xlfn.XLOOKUP(analysisChartTable[[#This Row],[index]], factorsTable[index], factorsTable[chartLabel])</f>
        <v/>
      </c>
      <c r="E54" s="88" t="str">
        <f>_xlfn.XLOOKUP(analysisChartTable[[#This Row],[index]], factorsTable[index], factorsTable[RANASTag])</f>
        <v/>
      </c>
      <c r="F54" s="141" t="str">
        <f>_xlfn.XLOOKUP(analysisChartTable[[#This Row],[index]], factorsTable[index], factorsTable[displayedFactor])</f>
        <v/>
      </c>
      <c r="G54" s="141" t="str">
        <f>_xlfn.XLOOKUP(analysisChartTable[[#This Row],[index]], factorsTable[index], factorsTable[displayedRANASBlock])</f>
        <v/>
      </c>
      <c r="H54" s="142" t="str">
        <f>_xlfn.XLOOKUP(analysisChartTable[[#This Row],[index]], factorsTable[index], factorsTable[sortedNondoers])</f>
        <v/>
      </c>
      <c r="I54" s="142" t="str">
        <f>_xlfn.XLOOKUP(analysisChartTable[[#This Row],[index]], factorsTable[index], factorsTable[sortedDoers])</f>
        <v/>
      </c>
      <c r="J54" s="142" t="str">
        <f>_xlfn.XLOOKUP(analysisChartTable[[#This Row],[index]], factorsTable[index], factorsTable[sortedDifference])</f>
        <v/>
      </c>
      <c r="K54" s="143" t="str">
        <f>_xlfn.XLOOKUP(analysisChartTable[[#This Row],[index]], factorsTable[index], factorsTable[sortedNumTotal])</f>
        <v/>
      </c>
      <c r="L54" s="297"/>
      <c r="M54" s="297"/>
      <c r="N54" s="297"/>
      <c r="O54" s="297"/>
      <c r="P54" s="86"/>
      <c r="Q54" s="62"/>
    </row>
    <row r="55" spans="1:17" x14ac:dyDescent="0.3">
      <c r="A55" s="62"/>
      <c r="B55" s="169"/>
      <c r="C55" s="88" cm="1">
        <f t="array" ref="C55">ROW()-ROW(analysisChartTable[#Headers])</f>
        <v>5</v>
      </c>
      <c r="D55" s="88" t="str">
        <f>_xlfn.XLOOKUP(analysisChartTable[[#This Row],[index]], factorsTable[index], factorsTable[chartLabel])</f>
        <v/>
      </c>
      <c r="E55" s="88" t="str">
        <f>_xlfn.XLOOKUP(analysisChartTable[[#This Row],[index]], factorsTable[index], factorsTable[RANASTag])</f>
        <v/>
      </c>
      <c r="F55" s="141" t="str">
        <f>_xlfn.XLOOKUP(analysisChartTable[[#This Row],[index]], factorsTable[index], factorsTable[displayedFactor])</f>
        <v/>
      </c>
      <c r="G55" s="141" t="str">
        <f>_xlfn.XLOOKUP(analysisChartTable[[#This Row],[index]], factorsTable[index], factorsTable[displayedRANASBlock])</f>
        <v/>
      </c>
      <c r="H55" s="142" t="str">
        <f>_xlfn.XLOOKUP(analysisChartTable[[#This Row],[index]], factorsTable[index], factorsTable[sortedNondoers])</f>
        <v/>
      </c>
      <c r="I55" s="142" t="str">
        <f>_xlfn.XLOOKUP(analysisChartTable[[#This Row],[index]], factorsTable[index], factorsTable[sortedDoers])</f>
        <v/>
      </c>
      <c r="J55" s="142" t="str">
        <f>_xlfn.XLOOKUP(analysisChartTable[[#This Row],[index]], factorsTable[index], factorsTable[sortedDifference])</f>
        <v/>
      </c>
      <c r="K55" s="143" t="str">
        <f>_xlfn.XLOOKUP(analysisChartTable[[#This Row],[index]], factorsTable[index], factorsTable[sortedNumTotal])</f>
        <v/>
      </c>
      <c r="L55" s="297"/>
      <c r="M55" s="297"/>
      <c r="N55" s="297"/>
      <c r="O55" s="297"/>
      <c r="P55" s="86"/>
      <c r="Q55" s="62"/>
    </row>
    <row r="56" spans="1:17" x14ac:dyDescent="0.3">
      <c r="A56" s="62"/>
      <c r="B56" s="169"/>
      <c r="C56" s="88" cm="1">
        <f t="array" ref="C56">ROW()-ROW(analysisChartTable[#Headers])</f>
        <v>6</v>
      </c>
      <c r="D56" s="88" t="str">
        <f>_xlfn.XLOOKUP(analysisChartTable[[#This Row],[index]], factorsTable[index], factorsTable[chartLabel])</f>
        <v/>
      </c>
      <c r="E56" s="88" t="str">
        <f>_xlfn.XLOOKUP(analysisChartTable[[#This Row],[index]], factorsTable[index], factorsTable[RANASTag])</f>
        <v/>
      </c>
      <c r="F56" s="141" t="str">
        <f>_xlfn.XLOOKUP(analysisChartTable[[#This Row],[index]], factorsTable[index], factorsTable[displayedFactor])</f>
        <v/>
      </c>
      <c r="G56" s="141" t="str">
        <f>_xlfn.XLOOKUP(analysisChartTable[[#This Row],[index]], factorsTable[index], factorsTable[displayedRANASBlock])</f>
        <v/>
      </c>
      <c r="H56" s="142" t="str">
        <f>_xlfn.XLOOKUP(analysisChartTable[[#This Row],[index]], factorsTable[index], factorsTable[sortedNondoers])</f>
        <v/>
      </c>
      <c r="I56" s="142" t="str">
        <f>_xlfn.XLOOKUP(analysisChartTable[[#This Row],[index]], factorsTable[index], factorsTable[sortedDoers])</f>
        <v/>
      </c>
      <c r="J56" s="142" t="str">
        <f>_xlfn.XLOOKUP(analysisChartTable[[#This Row],[index]], factorsTable[index], factorsTable[sortedDifference])</f>
        <v/>
      </c>
      <c r="K56" s="143" t="str">
        <f>_xlfn.XLOOKUP(analysisChartTable[[#This Row],[index]], factorsTable[index], factorsTable[sortedNumTotal])</f>
        <v/>
      </c>
      <c r="L56" s="297"/>
      <c r="M56" s="297"/>
      <c r="N56" s="297"/>
      <c r="O56" s="297"/>
      <c r="P56" s="86"/>
      <c r="Q56" s="62"/>
    </row>
    <row r="57" spans="1:17" x14ac:dyDescent="0.3">
      <c r="A57" s="62"/>
      <c r="B57" s="169"/>
      <c r="C57" s="88" cm="1">
        <f t="array" ref="C57">ROW()-ROW(analysisChartTable[#Headers])</f>
        <v>7</v>
      </c>
      <c r="D57" s="88" t="str">
        <f>_xlfn.XLOOKUP(analysisChartTable[[#This Row],[index]], factorsTable[index], factorsTable[chartLabel])</f>
        <v/>
      </c>
      <c r="E57" s="88" t="str">
        <f>_xlfn.XLOOKUP(analysisChartTable[[#This Row],[index]], factorsTable[index], factorsTable[RANASTag])</f>
        <v/>
      </c>
      <c r="F57" s="141" t="str">
        <f>_xlfn.XLOOKUP(analysisChartTable[[#This Row],[index]], factorsTable[index], factorsTable[displayedFactor])</f>
        <v/>
      </c>
      <c r="G57" s="141" t="str">
        <f>_xlfn.XLOOKUP(analysisChartTable[[#This Row],[index]], factorsTable[index], factorsTable[displayedRANASBlock])</f>
        <v/>
      </c>
      <c r="H57" s="142" t="str">
        <f>_xlfn.XLOOKUP(analysisChartTable[[#This Row],[index]], factorsTable[index], factorsTable[sortedNondoers])</f>
        <v/>
      </c>
      <c r="I57" s="142" t="str">
        <f>_xlfn.XLOOKUP(analysisChartTable[[#This Row],[index]], factorsTable[index], factorsTable[sortedDoers])</f>
        <v/>
      </c>
      <c r="J57" s="142" t="str">
        <f>_xlfn.XLOOKUP(analysisChartTable[[#This Row],[index]], factorsTable[index], factorsTable[sortedDifference])</f>
        <v/>
      </c>
      <c r="K57" s="143" t="str">
        <f>_xlfn.XLOOKUP(analysisChartTable[[#This Row],[index]], factorsTable[index], factorsTable[sortedNumTotal])</f>
        <v/>
      </c>
      <c r="L57" s="297"/>
      <c r="M57" s="297"/>
      <c r="N57" s="297"/>
      <c r="O57" s="297"/>
      <c r="P57" s="86"/>
      <c r="Q57" s="62"/>
    </row>
    <row r="58" spans="1:17" x14ac:dyDescent="0.3">
      <c r="A58" s="62"/>
      <c r="B58" s="169"/>
      <c r="C58" s="88" cm="1">
        <f t="array" ref="C58">ROW()-ROW(analysisChartTable[#Headers])</f>
        <v>8</v>
      </c>
      <c r="D58" s="88" t="str">
        <f>_xlfn.XLOOKUP(analysisChartTable[[#This Row],[index]], factorsTable[index], factorsTable[chartLabel])</f>
        <v/>
      </c>
      <c r="E58" s="88" t="str">
        <f>_xlfn.XLOOKUP(analysisChartTable[[#This Row],[index]], factorsTable[index], factorsTable[RANASTag])</f>
        <v/>
      </c>
      <c r="F58" s="141" t="str">
        <f>_xlfn.XLOOKUP(analysisChartTable[[#This Row],[index]], factorsTable[index], factorsTable[displayedFactor])</f>
        <v/>
      </c>
      <c r="G58" s="141" t="str">
        <f>_xlfn.XLOOKUP(analysisChartTable[[#This Row],[index]], factorsTable[index], factorsTable[displayedRANASBlock])</f>
        <v/>
      </c>
      <c r="H58" s="142" t="str">
        <f>_xlfn.XLOOKUP(analysisChartTable[[#This Row],[index]], factorsTable[index], factorsTable[sortedNondoers])</f>
        <v/>
      </c>
      <c r="I58" s="142" t="str">
        <f>_xlfn.XLOOKUP(analysisChartTable[[#This Row],[index]], factorsTable[index], factorsTable[sortedDoers])</f>
        <v/>
      </c>
      <c r="J58" s="142" t="str">
        <f>_xlfn.XLOOKUP(analysisChartTable[[#This Row],[index]], factorsTable[index], factorsTable[sortedDifference])</f>
        <v/>
      </c>
      <c r="K58" s="143" t="str">
        <f>_xlfn.XLOOKUP(analysisChartTable[[#This Row],[index]], factorsTable[index], factorsTable[sortedNumTotal])</f>
        <v/>
      </c>
      <c r="L58" s="297"/>
      <c r="M58" s="297"/>
      <c r="N58" s="297"/>
      <c r="O58" s="297"/>
      <c r="P58" s="86"/>
      <c r="Q58" s="62"/>
    </row>
    <row r="59" spans="1:17" x14ac:dyDescent="0.3">
      <c r="A59" s="62"/>
      <c r="B59" s="169"/>
      <c r="C59" s="88" cm="1">
        <f t="array" ref="C59">ROW()-ROW(analysisChartTable[#Headers])</f>
        <v>9</v>
      </c>
      <c r="D59" s="88" t="str">
        <f>_xlfn.XLOOKUP(analysisChartTable[[#This Row],[index]], factorsTable[index], factorsTable[chartLabel])</f>
        <v/>
      </c>
      <c r="E59" s="88" t="str">
        <f>_xlfn.XLOOKUP(analysisChartTable[[#This Row],[index]], factorsTable[index], factorsTable[RANASTag])</f>
        <v/>
      </c>
      <c r="F59" s="141" t="str">
        <f>_xlfn.XLOOKUP(analysisChartTable[[#This Row],[index]], factorsTable[index], factorsTable[displayedFactor])</f>
        <v/>
      </c>
      <c r="G59" s="141" t="str">
        <f>_xlfn.XLOOKUP(analysisChartTable[[#This Row],[index]], factorsTable[index], factorsTable[displayedRANASBlock])</f>
        <v/>
      </c>
      <c r="H59" s="142" t="str">
        <f>_xlfn.XLOOKUP(analysisChartTable[[#This Row],[index]], factorsTable[index], factorsTable[sortedNondoers])</f>
        <v/>
      </c>
      <c r="I59" s="142" t="str">
        <f>_xlfn.XLOOKUP(analysisChartTable[[#This Row],[index]], factorsTable[index], factorsTable[sortedDoers])</f>
        <v/>
      </c>
      <c r="J59" s="142" t="str">
        <f>_xlfn.XLOOKUP(analysisChartTable[[#This Row],[index]], factorsTable[index], factorsTable[sortedDifference])</f>
        <v/>
      </c>
      <c r="K59" s="143" t="str">
        <f>_xlfn.XLOOKUP(analysisChartTable[[#This Row],[index]], factorsTable[index], factorsTable[sortedNumTotal])</f>
        <v/>
      </c>
      <c r="L59" s="297"/>
      <c r="M59" s="297"/>
      <c r="N59" s="297"/>
      <c r="O59" s="297"/>
      <c r="P59" s="86"/>
      <c r="Q59" s="62"/>
    </row>
    <row r="60" spans="1:17" x14ac:dyDescent="0.3">
      <c r="A60" s="62"/>
      <c r="B60" s="169"/>
      <c r="C60" s="88" cm="1">
        <f t="array" ref="C60">ROW()-ROW(analysisChartTable[#Headers])</f>
        <v>10</v>
      </c>
      <c r="D60" s="88" t="str">
        <f>_xlfn.XLOOKUP(analysisChartTable[[#This Row],[index]], factorsTable[index], factorsTable[chartLabel])</f>
        <v/>
      </c>
      <c r="E60" s="88" t="str">
        <f>_xlfn.XLOOKUP(analysisChartTable[[#This Row],[index]], factorsTable[index], factorsTable[RANASTag])</f>
        <v/>
      </c>
      <c r="F60" s="141" t="str">
        <f>_xlfn.XLOOKUP(analysisChartTable[[#This Row],[index]], factorsTable[index], factorsTable[displayedFactor])</f>
        <v/>
      </c>
      <c r="G60" s="141" t="str">
        <f>_xlfn.XLOOKUP(analysisChartTable[[#This Row],[index]], factorsTable[index], factorsTable[displayedRANASBlock])</f>
        <v/>
      </c>
      <c r="H60" s="142" t="str">
        <f>_xlfn.XLOOKUP(analysisChartTable[[#This Row],[index]], factorsTable[index], factorsTable[sortedNondoers])</f>
        <v/>
      </c>
      <c r="I60" s="142" t="str">
        <f>_xlfn.XLOOKUP(analysisChartTable[[#This Row],[index]], factorsTable[index], factorsTable[sortedDoers])</f>
        <v/>
      </c>
      <c r="J60" s="142" t="str">
        <f>_xlfn.XLOOKUP(analysisChartTable[[#This Row],[index]], factorsTable[index], factorsTable[sortedDifference])</f>
        <v/>
      </c>
      <c r="K60" s="143" t="str">
        <f>_xlfn.XLOOKUP(analysisChartTable[[#This Row],[index]], factorsTable[index], factorsTable[sortedNumTotal])</f>
        <v/>
      </c>
      <c r="L60" s="297"/>
      <c r="M60" s="297"/>
      <c r="N60" s="297"/>
      <c r="O60" s="297"/>
      <c r="P60" s="86"/>
      <c r="Q60" s="62"/>
    </row>
    <row r="61" spans="1:17" x14ac:dyDescent="0.3">
      <c r="A61" s="62"/>
      <c r="B61" s="169"/>
      <c r="C61" s="89" cm="1">
        <f t="array" ref="C61">ROW()-ROW(analysisChartTable[#Headers])</f>
        <v>11</v>
      </c>
      <c r="D61" s="89" t="str">
        <f>_xlfn.XLOOKUP(analysisChartTable[[#This Row],[index]], factorsTable[index], factorsTable[chartLabel])</f>
        <v/>
      </c>
      <c r="E61" s="89" t="str">
        <f>_xlfn.XLOOKUP(analysisChartTable[[#This Row],[index]], factorsTable[index], factorsTable[RANASTag])</f>
        <v/>
      </c>
      <c r="F61" s="141" t="str">
        <f>_xlfn.XLOOKUP(analysisChartTable[[#This Row],[index]], factorsTable[index], factorsTable[displayedFactor])</f>
        <v/>
      </c>
      <c r="G61" s="141" t="str">
        <f>_xlfn.XLOOKUP(analysisChartTable[[#This Row],[index]], factorsTable[index], factorsTable[displayedRANASBlock])</f>
        <v/>
      </c>
      <c r="H61" s="142" t="str">
        <f>_xlfn.XLOOKUP(analysisChartTable[[#This Row],[index]], factorsTable[index], factorsTable[sortedNondoers])</f>
        <v/>
      </c>
      <c r="I61" s="142" t="str">
        <f>_xlfn.XLOOKUP(analysisChartTable[[#This Row],[index]], factorsTable[index], factorsTable[sortedDoers])</f>
        <v/>
      </c>
      <c r="J61" s="142" t="str">
        <f>_xlfn.XLOOKUP(analysisChartTable[[#This Row],[index]], factorsTable[index], factorsTable[sortedDifference])</f>
        <v/>
      </c>
      <c r="K61" s="143" t="str">
        <f>_xlfn.XLOOKUP(analysisChartTable[[#This Row],[index]], factorsTable[index], factorsTable[sortedNumTotal])</f>
        <v/>
      </c>
      <c r="L61" s="297"/>
      <c r="M61" s="297"/>
      <c r="N61" s="297"/>
      <c r="O61" s="297"/>
      <c r="P61" s="86"/>
      <c r="Q61" s="62"/>
    </row>
    <row r="62" spans="1:17" x14ac:dyDescent="0.3">
      <c r="A62" s="62"/>
      <c r="B62" s="169"/>
      <c r="C62" s="89" cm="1">
        <f t="array" ref="C62">ROW()-ROW(analysisChartTable[#Headers])</f>
        <v>12</v>
      </c>
      <c r="D62" s="89" t="str">
        <f>_xlfn.XLOOKUP(analysisChartTable[[#This Row],[index]], factorsTable[index], factorsTable[chartLabel])</f>
        <v/>
      </c>
      <c r="E62" s="89" t="str">
        <f>_xlfn.XLOOKUP(analysisChartTable[[#This Row],[index]], factorsTable[index], factorsTable[RANASTag])</f>
        <v/>
      </c>
      <c r="F62" s="141" t="str">
        <f>_xlfn.XLOOKUP(analysisChartTable[[#This Row],[index]], factorsTable[index], factorsTable[displayedFactor])</f>
        <v/>
      </c>
      <c r="G62" s="141" t="str">
        <f>_xlfn.XLOOKUP(analysisChartTable[[#This Row],[index]], factorsTable[index], factorsTable[displayedRANASBlock])</f>
        <v/>
      </c>
      <c r="H62" s="142" t="str">
        <f>_xlfn.XLOOKUP(analysisChartTable[[#This Row],[index]], factorsTable[index], factorsTable[sortedNondoers])</f>
        <v/>
      </c>
      <c r="I62" s="142" t="str">
        <f>_xlfn.XLOOKUP(analysisChartTable[[#This Row],[index]], factorsTable[index], factorsTable[sortedDoers])</f>
        <v/>
      </c>
      <c r="J62" s="142" t="str">
        <f>_xlfn.XLOOKUP(analysisChartTable[[#This Row],[index]], factorsTable[index], factorsTable[sortedDifference])</f>
        <v/>
      </c>
      <c r="K62" s="143" t="str">
        <f>_xlfn.XLOOKUP(analysisChartTable[[#This Row],[index]], factorsTable[index], factorsTable[sortedNumTotal])</f>
        <v/>
      </c>
      <c r="L62" s="297"/>
      <c r="M62" s="297"/>
      <c r="N62" s="297"/>
      <c r="O62" s="297"/>
      <c r="P62" s="86"/>
      <c r="Q62" s="62"/>
    </row>
    <row r="63" spans="1:17" x14ac:dyDescent="0.3">
      <c r="A63" s="62"/>
      <c r="B63" s="169"/>
      <c r="C63" s="89" cm="1">
        <f t="array" ref="C63">ROW()-ROW(analysisChartTable[#Headers])</f>
        <v>13</v>
      </c>
      <c r="D63" s="89" t="str">
        <f>_xlfn.XLOOKUP(analysisChartTable[[#This Row],[index]], factorsTable[index], factorsTable[chartLabel])</f>
        <v/>
      </c>
      <c r="E63" s="89" t="str">
        <f>_xlfn.XLOOKUP(analysisChartTable[[#This Row],[index]], factorsTable[index], factorsTable[RANASTag])</f>
        <v/>
      </c>
      <c r="F63" s="141" t="str">
        <f>_xlfn.XLOOKUP(analysisChartTable[[#This Row],[index]], factorsTable[index], factorsTable[displayedFactor])</f>
        <v/>
      </c>
      <c r="G63" s="141" t="str">
        <f>_xlfn.XLOOKUP(analysisChartTable[[#This Row],[index]], factorsTable[index], factorsTable[displayedRANASBlock])</f>
        <v/>
      </c>
      <c r="H63" s="142" t="str">
        <f>_xlfn.XLOOKUP(analysisChartTable[[#This Row],[index]], factorsTable[index], factorsTable[sortedNondoers])</f>
        <v/>
      </c>
      <c r="I63" s="142" t="str">
        <f>_xlfn.XLOOKUP(analysisChartTable[[#This Row],[index]], factorsTable[index], factorsTable[sortedDoers])</f>
        <v/>
      </c>
      <c r="J63" s="142" t="str">
        <f>_xlfn.XLOOKUP(analysisChartTable[[#This Row],[index]], factorsTable[index], factorsTable[sortedDifference])</f>
        <v/>
      </c>
      <c r="K63" s="143" t="str">
        <f>_xlfn.XLOOKUP(analysisChartTable[[#This Row],[index]], factorsTable[index], factorsTable[sortedNumTotal])</f>
        <v/>
      </c>
      <c r="L63" s="297"/>
      <c r="M63" s="297"/>
      <c r="N63" s="297"/>
      <c r="O63" s="297"/>
      <c r="P63" s="86"/>
      <c r="Q63" s="62"/>
    </row>
    <row r="64" spans="1:17" x14ac:dyDescent="0.3">
      <c r="A64" s="62"/>
      <c r="B64" s="169"/>
      <c r="C64" s="89" cm="1">
        <f t="array" ref="C64">ROW()-ROW(analysisChartTable[#Headers])</f>
        <v>14</v>
      </c>
      <c r="D64" s="89" t="str">
        <f>_xlfn.XLOOKUP(analysisChartTable[[#This Row],[index]], factorsTable[index], factorsTable[chartLabel])</f>
        <v/>
      </c>
      <c r="E64" s="89" t="str">
        <f>_xlfn.XLOOKUP(analysisChartTable[[#This Row],[index]], factorsTable[index], factorsTable[RANASTag])</f>
        <v/>
      </c>
      <c r="F64" s="141" t="str">
        <f>_xlfn.XLOOKUP(analysisChartTable[[#This Row],[index]], factorsTable[index], factorsTable[displayedFactor])</f>
        <v/>
      </c>
      <c r="G64" s="141" t="str">
        <f>_xlfn.XLOOKUP(analysisChartTable[[#This Row],[index]], factorsTable[index], factorsTable[displayedRANASBlock])</f>
        <v/>
      </c>
      <c r="H64" s="142" t="str">
        <f>_xlfn.XLOOKUP(analysisChartTable[[#This Row],[index]], factorsTable[index], factorsTable[sortedNondoers])</f>
        <v/>
      </c>
      <c r="I64" s="142" t="str">
        <f>_xlfn.XLOOKUP(analysisChartTable[[#This Row],[index]], factorsTable[index], factorsTable[sortedDoers])</f>
        <v/>
      </c>
      <c r="J64" s="142" t="str">
        <f>_xlfn.XLOOKUP(analysisChartTable[[#This Row],[index]], factorsTable[index], factorsTable[sortedDifference])</f>
        <v/>
      </c>
      <c r="K64" s="143" t="str">
        <f>_xlfn.XLOOKUP(analysisChartTable[[#This Row],[index]], factorsTable[index], factorsTable[sortedNumTotal])</f>
        <v/>
      </c>
      <c r="L64" s="297"/>
      <c r="M64" s="297"/>
      <c r="N64" s="297"/>
      <c r="O64" s="297"/>
      <c r="P64" s="86"/>
      <c r="Q64" s="62"/>
    </row>
    <row r="65" spans="1:17" x14ac:dyDescent="0.3">
      <c r="A65" s="62"/>
      <c r="B65" s="169"/>
      <c r="C65" s="89" cm="1">
        <f t="array" ref="C65">ROW()-ROW(analysisChartTable[#Headers])</f>
        <v>15</v>
      </c>
      <c r="D65" s="89" t="str">
        <f>_xlfn.XLOOKUP(analysisChartTable[[#This Row],[index]], factorsTable[index], factorsTable[chartLabel])</f>
        <v/>
      </c>
      <c r="E65" s="89" t="str">
        <f>_xlfn.XLOOKUP(analysisChartTable[[#This Row],[index]], factorsTable[index], factorsTable[RANASTag])</f>
        <v/>
      </c>
      <c r="F65" s="141" t="str">
        <f>_xlfn.XLOOKUP(analysisChartTable[[#This Row],[index]], factorsTable[index], factorsTable[displayedFactor])</f>
        <v/>
      </c>
      <c r="G65" s="141" t="str">
        <f>_xlfn.XLOOKUP(analysisChartTable[[#This Row],[index]], factorsTable[index], factorsTable[displayedRANASBlock])</f>
        <v/>
      </c>
      <c r="H65" s="142" t="str">
        <f>_xlfn.XLOOKUP(analysisChartTable[[#This Row],[index]], factorsTable[index], factorsTable[sortedNondoers])</f>
        <v/>
      </c>
      <c r="I65" s="142" t="str">
        <f>_xlfn.XLOOKUP(analysisChartTable[[#This Row],[index]], factorsTable[index], factorsTable[sortedDoers])</f>
        <v/>
      </c>
      <c r="J65" s="142" t="str">
        <f>_xlfn.XLOOKUP(analysisChartTable[[#This Row],[index]], factorsTable[index], factorsTable[sortedDifference])</f>
        <v/>
      </c>
      <c r="K65" s="143" t="str">
        <f>_xlfn.XLOOKUP(analysisChartTable[[#This Row],[index]], factorsTable[index], factorsTable[sortedNumTotal])</f>
        <v/>
      </c>
      <c r="L65" s="297"/>
      <c r="M65" s="297"/>
      <c r="N65" s="297"/>
      <c r="O65" s="297"/>
      <c r="P65" s="85"/>
      <c r="Q65" s="62"/>
    </row>
    <row r="66" spans="1:17" x14ac:dyDescent="0.3">
      <c r="A66" s="62"/>
      <c r="B66" s="169"/>
      <c r="C66" s="89" cm="1">
        <f t="array" ref="C66">ROW()-ROW(analysisChartTable[#Headers])</f>
        <v>16</v>
      </c>
      <c r="D66" s="89" t="str">
        <f>_xlfn.XLOOKUP(analysisChartTable[[#This Row],[index]], factorsTable[index], factorsTable[chartLabel])</f>
        <v/>
      </c>
      <c r="E66" s="89" t="str">
        <f>_xlfn.XLOOKUP(analysisChartTable[[#This Row],[index]], factorsTable[index], factorsTable[RANASTag])</f>
        <v/>
      </c>
      <c r="F66" s="141" t="str">
        <f>_xlfn.XLOOKUP(analysisChartTable[[#This Row],[index]], factorsTable[index], factorsTable[displayedFactor])</f>
        <v/>
      </c>
      <c r="G66" s="141" t="str">
        <f>_xlfn.XLOOKUP(analysisChartTable[[#This Row],[index]], factorsTable[index], factorsTable[displayedRANASBlock])</f>
        <v/>
      </c>
      <c r="H66" s="142" t="str">
        <f>_xlfn.XLOOKUP(analysisChartTable[[#This Row],[index]], factorsTable[index], factorsTable[sortedNondoers])</f>
        <v/>
      </c>
      <c r="I66" s="142" t="str">
        <f>_xlfn.XLOOKUP(analysisChartTable[[#This Row],[index]], factorsTable[index], factorsTable[sortedDoers])</f>
        <v/>
      </c>
      <c r="J66" s="142" t="str">
        <f>_xlfn.XLOOKUP(analysisChartTable[[#This Row],[index]], factorsTable[index], factorsTable[sortedDifference])</f>
        <v/>
      </c>
      <c r="K66" s="143" t="str">
        <f>_xlfn.XLOOKUP(analysisChartTable[[#This Row],[index]], factorsTable[index], factorsTable[sortedNumTotal])</f>
        <v/>
      </c>
      <c r="L66" s="293" t="str" cm="1">
        <f t="array" ref="L66">UITranslateForValueTable("copyChartInfo", UITranslationTable[tag], UITranslationTable[], UITranslationTable[#Headers])</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294"/>
      <c r="N66" s="294"/>
      <c r="O66" s="294"/>
      <c r="P66" s="85"/>
      <c r="Q66" s="62"/>
    </row>
    <row r="67" spans="1:17" ht="14.4" customHeight="1" x14ac:dyDescent="0.3">
      <c r="A67" s="62"/>
      <c r="B67" s="169"/>
      <c r="C67" s="89" cm="1">
        <f t="array" ref="C67">ROW()-ROW(analysisChartTable[#Headers])</f>
        <v>17</v>
      </c>
      <c r="D67" s="89" t="str">
        <f>_xlfn.XLOOKUP(analysisChartTable[[#This Row],[index]], factorsTable[index], factorsTable[chartLabel])</f>
        <v/>
      </c>
      <c r="E67" s="89" t="str">
        <f>_xlfn.XLOOKUP(analysisChartTable[[#This Row],[index]], factorsTable[index], factorsTable[RANASTag])</f>
        <v/>
      </c>
      <c r="F67" s="141" t="str">
        <f>_xlfn.XLOOKUP(analysisChartTable[[#This Row],[index]], factorsTable[index], factorsTable[displayedFactor])</f>
        <v/>
      </c>
      <c r="G67" s="141" t="str">
        <f>_xlfn.XLOOKUP(analysisChartTable[[#This Row],[index]], factorsTable[index], factorsTable[displayedRANASBlock])</f>
        <v/>
      </c>
      <c r="H67" s="142" t="str">
        <f>_xlfn.XLOOKUP(analysisChartTable[[#This Row],[index]], factorsTable[index], factorsTable[sortedNondoers])</f>
        <v/>
      </c>
      <c r="I67" s="142" t="str">
        <f>_xlfn.XLOOKUP(analysisChartTable[[#This Row],[index]], factorsTable[index], factorsTable[sortedDoers])</f>
        <v/>
      </c>
      <c r="J67" s="142" t="str">
        <f>_xlfn.XLOOKUP(analysisChartTable[[#This Row],[index]], factorsTable[index], factorsTable[sortedDifference])</f>
        <v/>
      </c>
      <c r="K67" s="143" t="str">
        <f>_xlfn.XLOOKUP(analysisChartTable[[#This Row],[index]], factorsTable[index], factorsTable[sortedNumTotal])</f>
        <v/>
      </c>
      <c r="L67" s="294"/>
      <c r="M67" s="294"/>
      <c r="N67" s="294"/>
      <c r="O67" s="294"/>
      <c r="P67" s="85"/>
      <c r="Q67" s="62"/>
    </row>
    <row r="68" spans="1:17" x14ac:dyDescent="0.3">
      <c r="A68" s="62"/>
      <c r="B68" s="169"/>
      <c r="C68" s="89" cm="1">
        <f t="array" ref="C68">ROW()-ROW(analysisChartTable[#Headers])</f>
        <v>18</v>
      </c>
      <c r="D68" s="89" t="str">
        <f>_xlfn.XLOOKUP(analysisChartTable[[#This Row],[index]], factorsTable[index], factorsTable[chartLabel])</f>
        <v/>
      </c>
      <c r="E68" s="89" t="str">
        <f>_xlfn.XLOOKUP(analysisChartTable[[#This Row],[index]], factorsTable[index], factorsTable[RANASTag])</f>
        <v/>
      </c>
      <c r="F68" s="141" t="str">
        <f>_xlfn.XLOOKUP(analysisChartTable[[#This Row],[index]], factorsTable[index], factorsTable[displayedFactor])</f>
        <v/>
      </c>
      <c r="G68" s="141" t="str">
        <f>_xlfn.XLOOKUP(analysisChartTable[[#This Row],[index]], factorsTable[index], factorsTable[displayedRANASBlock])</f>
        <v/>
      </c>
      <c r="H68" s="142" t="str">
        <f>_xlfn.XLOOKUP(analysisChartTable[[#This Row],[index]], factorsTable[index], factorsTable[sortedNondoers])</f>
        <v/>
      </c>
      <c r="I68" s="142" t="str">
        <f>_xlfn.XLOOKUP(analysisChartTable[[#This Row],[index]], factorsTable[index], factorsTable[sortedDoers])</f>
        <v/>
      </c>
      <c r="J68" s="142" t="str">
        <f>_xlfn.XLOOKUP(analysisChartTable[[#This Row],[index]], factorsTable[index], factorsTable[sortedDifference])</f>
        <v/>
      </c>
      <c r="K68" s="143" t="str">
        <f>_xlfn.XLOOKUP(analysisChartTable[[#This Row],[index]], factorsTable[index], factorsTable[sortedNumTotal])</f>
        <v/>
      </c>
      <c r="L68" s="294"/>
      <c r="M68" s="294"/>
      <c r="N68" s="294"/>
      <c r="O68" s="294"/>
      <c r="P68" s="85"/>
      <c r="Q68" s="62"/>
    </row>
    <row r="69" spans="1:17" x14ac:dyDescent="0.3">
      <c r="A69" s="62"/>
      <c r="B69" s="169"/>
      <c r="C69" s="89" cm="1">
        <f t="array" ref="C69">ROW()-ROW(analysisChartTable[#Headers])</f>
        <v>19</v>
      </c>
      <c r="D69" s="89" t="str">
        <f>_xlfn.XLOOKUP(analysisChartTable[[#This Row],[index]], factorsTable[index], factorsTable[chartLabel])</f>
        <v/>
      </c>
      <c r="E69" s="89" t="str">
        <f>_xlfn.XLOOKUP(analysisChartTable[[#This Row],[index]], factorsTable[index], factorsTable[RANASTag])</f>
        <v/>
      </c>
      <c r="F69" s="141" t="str">
        <f>_xlfn.XLOOKUP(analysisChartTable[[#This Row],[index]], factorsTable[index], factorsTable[displayedFactor])</f>
        <v/>
      </c>
      <c r="G69" s="141" t="str">
        <f>_xlfn.XLOOKUP(analysisChartTable[[#This Row],[index]], factorsTable[index], factorsTable[displayedRANASBlock])</f>
        <v/>
      </c>
      <c r="H69" s="142" t="str">
        <f>_xlfn.XLOOKUP(analysisChartTable[[#This Row],[index]], factorsTable[index], factorsTable[sortedNondoers])</f>
        <v/>
      </c>
      <c r="I69" s="142" t="str">
        <f>_xlfn.XLOOKUP(analysisChartTable[[#This Row],[index]], factorsTable[index], factorsTable[sortedDoers])</f>
        <v/>
      </c>
      <c r="J69" s="142" t="str">
        <f>_xlfn.XLOOKUP(analysisChartTable[[#This Row],[index]], factorsTable[index], factorsTable[sortedDifference])</f>
        <v/>
      </c>
      <c r="K69" s="143" t="str">
        <f>_xlfn.XLOOKUP(analysisChartTable[[#This Row],[index]], factorsTable[index], factorsTable[sortedNumTotal])</f>
        <v/>
      </c>
      <c r="L69" s="294"/>
      <c r="M69" s="294"/>
      <c r="N69" s="294"/>
      <c r="O69" s="294"/>
      <c r="P69" s="85"/>
      <c r="Q69" s="62"/>
    </row>
    <row r="70" spans="1:17" x14ac:dyDescent="0.3">
      <c r="A70" s="62"/>
      <c r="B70" s="169"/>
      <c r="C70" s="89" cm="1">
        <f t="array" ref="C70">ROW()-ROW(analysisChartTable[#Headers])</f>
        <v>20</v>
      </c>
      <c r="D70" s="89" t="str">
        <f>_xlfn.XLOOKUP(analysisChartTable[[#This Row],[index]], factorsTable[index], factorsTable[chartLabel])</f>
        <v/>
      </c>
      <c r="E70" s="89" t="str">
        <f>_xlfn.XLOOKUP(analysisChartTable[[#This Row],[index]], factorsTable[index], factorsTable[RANASTag])</f>
        <v/>
      </c>
      <c r="F70" s="141" t="str">
        <f>_xlfn.XLOOKUP(analysisChartTable[[#This Row],[index]], factorsTable[index], factorsTable[displayedFactor])</f>
        <v/>
      </c>
      <c r="G70" s="141" t="str">
        <f>_xlfn.XLOOKUP(analysisChartTable[[#This Row],[index]], factorsTable[index], factorsTable[displayedRANASBlock])</f>
        <v/>
      </c>
      <c r="H70" s="142" t="str">
        <f>_xlfn.XLOOKUP(analysisChartTable[[#This Row],[index]], factorsTable[index], factorsTable[sortedNondoers])</f>
        <v/>
      </c>
      <c r="I70" s="142" t="str">
        <f>_xlfn.XLOOKUP(analysisChartTable[[#This Row],[index]], factorsTable[index], factorsTable[sortedDoers])</f>
        <v/>
      </c>
      <c r="J70" s="142" t="str">
        <f>_xlfn.XLOOKUP(analysisChartTable[[#This Row],[index]], factorsTable[index], factorsTable[sortedDifference])</f>
        <v/>
      </c>
      <c r="K70" s="143" t="str">
        <f>_xlfn.XLOOKUP(analysisChartTable[[#This Row],[index]], factorsTable[index], factorsTable[sortedNumTotal])</f>
        <v/>
      </c>
      <c r="L70" s="294"/>
      <c r="M70" s="294"/>
      <c r="N70" s="294"/>
      <c r="O70" s="294"/>
      <c r="P70" s="85"/>
      <c r="Q70" s="62"/>
    </row>
    <row r="71" spans="1:17" x14ac:dyDescent="0.3">
      <c r="A71" s="62"/>
      <c r="B71" s="169"/>
      <c r="C71" s="89" cm="1">
        <f t="array" ref="C71">ROW()-ROW(analysisChartTable[#Headers])</f>
        <v>21</v>
      </c>
      <c r="D71" s="89" t="str">
        <f>_xlfn.XLOOKUP(analysisChartTable[[#This Row],[index]], factorsTable[index], factorsTable[chartLabel])</f>
        <v/>
      </c>
      <c r="E71" s="89" t="str">
        <f>_xlfn.XLOOKUP(analysisChartTable[[#This Row],[index]], factorsTable[index], factorsTable[RANASTag])</f>
        <v/>
      </c>
      <c r="F71" s="141" t="str">
        <f>_xlfn.XLOOKUP(analysisChartTable[[#This Row],[index]], factorsTable[index], factorsTable[displayedFactor])</f>
        <v/>
      </c>
      <c r="G71" s="141" t="str">
        <f>_xlfn.XLOOKUP(analysisChartTable[[#This Row],[index]], factorsTable[index], factorsTable[displayedRANASBlock])</f>
        <v/>
      </c>
      <c r="H71" s="142" t="str">
        <f>_xlfn.XLOOKUP(analysisChartTable[[#This Row],[index]], factorsTable[index], factorsTable[sortedNondoers])</f>
        <v/>
      </c>
      <c r="I71" s="142" t="str">
        <f>_xlfn.XLOOKUP(analysisChartTable[[#This Row],[index]], factorsTable[index], factorsTable[sortedDoers])</f>
        <v/>
      </c>
      <c r="J71" s="142" t="str">
        <f>_xlfn.XLOOKUP(analysisChartTable[[#This Row],[index]], factorsTable[index], factorsTable[sortedDifference])</f>
        <v/>
      </c>
      <c r="K71" s="143" t="str">
        <f>_xlfn.XLOOKUP(analysisChartTable[[#This Row],[index]], factorsTable[index], factorsTable[sortedNumTotal])</f>
        <v/>
      </c>
      <c r="L71" s="294"/>
      <c r="M71" s="294"/>
      <c r="N71" s="294"/>
      <c r="O71" s="294"/>
      <c r="P71" s="85"/>
      <c r="Q71" s="62"/>
    </row>
    <row r="72" spans="1:17" x14ac:dyDescent="0.3">
      <c r="A72" s="62"/>
      <c r="B72" s="169"/>
      <c r="C72" s="89" cm="1">
        <f t="array" ref="C72">ROW()-ROW(analysisChartTable[#Headers])</f>
        <v>22</v>
      </c>
      <c r="D72" s="89" t="str">
        <f>_xlfn.XLOOKUP(analysisChartTable[[#This Row],[index]], factorsTable[index], factorsTable[chartLabel])</f>
        <v/>
      </c>
      <c r="E72" s="89" t="str">
        <f>_xlfn.XLOOKUP(analysisChartTable[[#This Row],[index]], factorsTable[index], factorsTable[RANASTag])</f>
        <v/>
      </c>
      <c r="F72" s="141" t="str">
        <f>_xlfn.XLOOKUP(analysisChartTable[[#This Row],[index]], factorsTable[index], factorsTable[displayedFactor])</f>
        <v/>
      </c>
      <c r="G72" s="141" t="str">
        <f>_xlfn.XLOOKUP(analysisChartTable[[#This Row],[index]], factorsTable[index], factorsTable[displayedRANASBlock])</f>
        <v/>
      </c>
      <c r="H72" s="142" t="str">
        <f>_xlfn.XLOOKUP(analysisChartTable[[#This Row],[index]], factorsTable[index], factorsTable[sortedNondoers])</f>
        <v/>
      </c>
      <c r="I72" s="142" t="str">
        <f>_xlfn.XLOOKUP(analysisChartTable[[#This Row],[index]], factorsTable[index], factorsTable[sortedDoers])</f>
        <v/>
      </c>
      <c r="J72" s="142" t="str">
        <f>_xlfn.XLOOKUP(analysisChartTable[[#This Row],[index]], factorsTable[index], factorsTable[sortedDifference])</f>
        <v/>
      </c>
      <c r="K72" s="143" t="str">
        <f>_xlfn.XLOOKUP(analysisChartTable[[#This Row],[index]], factorsTable[index], factorsTable[sortedNumTotal])</f>
        <v/>
      </c>
      <c r="L72" s="294"/>
      <c r="M72" s="294"/>
      <c r="N72" s="294"/>
      <c r="O72" s="294"/>
      <c r="P72" s="85"/>
      <c r="Q72" s="62"/>
    </row>
    <row r="73" spans="1:17" x14ac:dyDescent="0.3">
      <c r="A73" s="62"/>
      <c r="B73" s="169"/>
      <c r="C73" s="89" cm="1">
        <f t="array" ref="C73">ROW()-ROW(analysisChartTable[#Headers])</f>
        <v>23</v>
      </c>
      <c r="D73" s="89" t="str">
        <f>_xlfn.XLOOKUP(analysisChartTable[[#This Row],[index]], factorsTable[index], factorsTable[chartLabel])</f>
        <v/>
      </c>
      <c r="E73" s="89" t="str">
        <f>_xlfn.XLOOKUP(analysisChartTable[[#This Row],[index]], factorsTable[index], factorsTable[RANASTag])</f>
        <v/>
      </c>
      <c r="F73" s="141" t="str">
        <f>_xlfn.XLOOKUP(analysisChartTable[[#This Row],[index]], factorsTable[index], factorsTable[displayedFactor])</f>
        <v/>
      </c>
      <c r="G73" s="141" t="str">
        <f>_xlfn.XLOOKUP(analysisChartTable[[#This Row],[index]], factorsTable[index], factorsTable[displayedRANASBlock])</f>
        <v/>
      </c>
      <c r="H73" s="142" t="str">
        <f>_xlfn.XLOOKUP(analysisChartTable[[#This Row],[index]], factorsTable[index], factorsTable[sortedNondoers])</f>
        <v/>
      </c>
      <c r="I73" s="142" t="str">
        <f>_xlfn.XLOOKUP(analysisChartTable[[#This Row],[index]], factorsTable[index], factorsTable[sortedDoers])</f>
        <v/>
      </c>
      <c r="J73" s="142" t="str">
        <f>_xlfn.XLOOKUP(analysisChartTable[[#This Row],[index]], factorsTable[index], factorsTable[sortedDifference])</f>
        <v/>
      </c>
      <c r="K73" s="143" t="str">
        <f>_xlfn.XLOOKUP(analysisChartTable[[#This Row],[index]], factorsTable[index], factorsTable[sortedNumTotal])</f>
        <v/>
      </c>
      <c r="L73" s="294"/>
      <c r="M73" s="294"/>
      <c r="N73" s="294"/>
      <c r="O73" s="294"/>
      <c r="P73" s="85"/>
      <c r="Q73" s="62"/>
    </row>
    <row r="74" spans="1:17" x14ac:dyDescent="0.3">
      <c r="A74" s="62"/>
      <c r="B74" s="169"/>
      <c r="C74" s="89" cm="1">
        <f t="array" ref="C74">ROW()-ROW(analysisChartTable[#Headers])</f>
        <v>24</v>
      </c>
      <c r="D74" s="89" t="str">
        <f>_xlfn.XLOOKUP(analysisChartTable[[#This Row],[index]], factorsTable[index], factorsTable[chartLabel])</f>
        <v/>
      </c>
      <c r="E74" s="89" t="str">
        <f>_xlfn.XLOOKUP(analysisChartTable[[#This Row],[index]], factorsTable[index], factorsTable[RANASTag])</f>
        <v/>
      </c>
      <c r="F74" s="141" t="str">
        <f>_xlfn.XLOOKUP(analysisChartTable[[#This Row],[index]], factorsTable[index], factorsTable[displayedFactor])</f>
        <v/>
      </c>
      <c r="G74" s="141" t="str">
        <f>_xlfn.XLOOKUP(analysisChartTable[[#This Row],[index]], factorsTable[index], factorsTable[displayedRANASBlock])</f>
        <v/>
      </c>
      <c r="H74" s="142" t="str">
        <f>_xlfn.XLOOKUP(analysisChartTable[[#This Row],[index]], factorsTable[index], factorsTable[sortedNondoers])</f>
        <v/>
      </c>
      <c r="I74" s="142" t="str">
        <f>_xlfn.XLOOKUP(analysisChartTable[[#This Row],[index]], factorsTable[index], factorsTable[sortedDoers])</f>
        <v/>
      </c>
      <c r="J74" s="142" t="str">
        <f>_xlfn.XLOOKUP(analysisChartTable[[#This Row],[index]], factorsTable[index], factorsTable[sortedDifference])</f>
        <v/>
      </c>
      <c r="K74" s="143" t="str">
        <f>_xlfn.XLOOKUP(analysisChartTable[[#This Row],[index]], factorsTable[index], factorsTable[sortedNumTotal])</f>
        <v/>
      </c>
      <c r="L74" s="294"/>
      <c r="M74" s="294"/>
      <c r="N74" s="294"/>
      <c r="O74" s="294"/>
      <c r="P74" s="85"/>
      <c r="Q74" s="62"/>
    </row>
    <row r="75" spans="1:17" x14ac:dyDescent="0.3">
      <c r="A75" s="62"/>
      <c r="B75" s="169"/>
      <c r="C75" s="89" cm="1">
        <f t="array" ref="C75">ROW()-ROW(analysisChartTable[#Headers])</f>
        <v>25</v>
      </c>
      <c r="D75" s="89" t="str">
        <f>_xlfn.XLOOKUP(analysisChartTable[[#This Row],[index]], factorsTable[index], factorsTable[chartLabel])</f>
        <v/>
      </c>
      <c r="E75" s="89" t="str">
        <f>_xlfn.XLOOKUP(analysisChartTable[[#This Row],[index]], factorsTable[index], factorsTable[RANASTag])</f>
        <v/>
      </c>
      <c r="F75" s="141" t="str">
        <f>_xlfn.XLOOKUP(analysisChartTable[[#This Row],[index]], factorsTable[index], factorsTable[displayedFactor])</f>
        <v/>
      </c>
      <c r="G75" s="141" t="str">
        <f>_xlfn.XLOOKUP(analysisChartTable[[#This Row],[index]], factorsTable[index], factorsTable[displayedRANASBlock])</f>
        <v/>
      </c>
      <c r="H75" s="142" t="str">
        <f>_xlfn.XLOOKUP(analysisChartTable[[#This Row],[index]], factorsTable[index], factorsTable[sortedNondoers])</f>
        <v/>
      </c>
      <c r="I75" s="142" t="str">
        <f>_xlfn.XLOOKUP(analysisChartTable[[#This Row],[index]], factorsTable[index], factorsTable[sortedDoers])</f>
        <v/>
      </c>
      <c r="J75" s="142" t="str">
        <f>_xlfn.XLOOKUP(analysisChartTable[[#This Row],[index]], factorsTable[index], factorsTable[sortedDifference])</f>
        <v/>
      </c>
      <c r="K75" s="143" t="str">
        <f>_xlfn.XLOOKUP(analysisChartTable[[#This Row],[index]], factorsTable[index], factorsTable[sortedNumTotal])</f>
        <v/>
      </c>
      <c r="L75" s="294"/>
      <c r="M75" s="294"/>
      <c r="N75" s="294"/>
      <c r="O75" s="294"/>
      <c r="P75" s="85"/>
      <c r="Q75" s="62"/>
    </row>
    <row r="76" spans="1:17" x14ac:dyDescent="0.3">
      <c r="A76" s="62"/>
      <c r="B76" s="169"/>
      <c r="C76" s="89" cm="1">
        <f t="array" ref="C76">ROW()-ROW(analysisChartTable[#Headers])</f>
        <v>26</v>
      </c>
      <c r="D76" s="89" t="str">
        <f>_xlfn.XLOOKUP(analysisChartTable[[#This Row],[index]], factorsTable[index], factorsTable[chartLabel])</f>
        <v/>
      </c>
      <c r="E76" s="89" t="str">
        <f>_xlfn.XLOOKUP(analysisChartTable[[#This Row],[index]], factorsTable[index], factorsTable[RANASTag])</f>
        <v/>
      </c>
      <c r="F76" s="141" t="str">
        <f>_xlfn.XLOOKUP(analysisChartTable[[#This Row],[index]], factorsTable[index], factorsTable[displayedFactor])</f>
        <v/>
      </c>
      <c r="G76" s="141" t="str">
        <f>_xlfn.XLOOKUP(analysisChartTable[[#This Row],[index]], factorsTable[index], factorsTable[displayedRANASBlock])</f>
        <v/>
      </c>
      <c r="H76" s="142" t="str">
        <f>_xlfn.XLOOKUP(analysisChartTable[[#This Row],[index]], factorsTable[index], factorsTable[sortedNondoers])</f>
        <v/>
      </c>
      <c r="I76" s="142" t="str">
        <f>_xlfn.XLOOKUP(analysisChartTable[[#This Row],[index]], factorsTable[index], factorsTable[sortedDoers])</f>
        <v/>
      </c>
      <c r="J76" s="142" t="str">
        <f>_xlfn.XLOOKUP(analysisChartTable[[#This Row],[index]], factorsTable[index], factorsTable[sortedDifference])</f>
        <v/>
      </c>
      <c r="K76" s="143" t="str">
        <f>_xlfn.XLOOKUP(analysisChartTable[[#This Row],[index]], factorsTable[index], factorsTable[sortedNumTotal])</f>
        <v/>
      </c>
      <c r="L76" s="294"/>
      <c r="M76" s="294"/>
      <c r="N76" s="294"/>
      <c r="O76" s="294"/>
      <c r="P76" s="85"/>
      <c r="Q76" s="62"/>
    </row>
    <row r="77" spans="1:17" x14ac:dyDescent="0.3">
      <c r="A77" s="62"/>
      <c r="B77" s="169"/>
      <c r="C77" s="89" cm="1">
        <f t="array" ref="C77">ROW()-ROW(analysisChartTable[#Headers])</f>
        <v>27</v>
      </c>
      <c r="D77" s="89" t="str">
        <f>_xlfn.XLOOKUP(analysisChartTable[[#This Row],[index]], factorsTable[index], factorsTable[chartLabel])</f>
        <v/>
      </c>
      <c r="E77" s="89" t="str">
        <f>_xlfn.XLOOKUP(analysisChartTable[[#This Row],[index]], factorsTable[index], factorsTable[RANASTag])</f>
        <v/>
      </c>
      <c r="F77" s="141" t="str">
        <f>_xlfn.XLOOKUP(analysisChartTable[[#This Row],[index]], factorsTable[index], factorsTable[displayedFactor])</f>
        <v/>
      </c>
      <c r="G77" s="141" t="str">
        <f>_xlfn.XLOOKUP(analysisChartTable[[#This Row],[index]], factorsTable[index], factorsTable[displayedRANASBlock])</f>
        <v/>
      </c>
      <c r="H77" s="142" t="str">
        <f>_xlfn.XLOOKUP(analysisChartTable[[#This Row],[index]], factorsTable[index], factorsTable[sortedNondoers])</f>
        <v/>
      </c>
      <c r="I77" s="142" t="str">
        <f>_xlfn.XLOOKUP(analysisChartTable[[#This Row],[index]], factorsTable[index], factorsTable[sortedDoers])</f>
        <v/>
      </c>
      <c r="J77" s="142" t="str">
        <f>_xlfn.XLOOKUP(analysisChartTable[[#This Row],[index]], factorsTable[index], factorsTable[sortedDifference])</f>
        <v/>
      </c>
      <c r="K77" s="143" t="str">
        <f>_xlfn.XLOOKUP(analysisChartTable[[#This Row],[index]], factorsTable[index], factorsTable[sortedNumTotal])</f>
        <v/>
      </c>
      <c r="L77" s="294"/>
      <c r="M77" s="294"/>
      <c r="N77" s="294"/>
      <c r="O77" s="294"/>
      <c r="P77" s="85"/>
      <c r="Q77" s="62"/>
    </row>
    <row r="78" spans="1:17" x14ac:dyDescent="0.3">
      <c r="A78" s="62"/>
      <c r="B78" s="169"/>
      <c r="C78" s="89" cm="1">
        <f t="array" ref="C78">ROW()-ROW(analysisChartTable[#Headers])</f>
        <v>28</v>
      </c>
      <c r="D78" s="89" t="str">
        <f>_xlfn.XLOOKUP(analysisChartTable[[#This Row],[index]], factorsTable[index], factorsTable[chartLabel])</f>
        <v/>
      </c>
      <c r="E78" s="89" t="str">
        <f>_xlfn.XLOOKUP(analysisChartTable[[#This Row],[index]], factorsTable[index], factorsTable[RANASTag])</f>
        <v/>
      </c>
      <c r="F78" s="141" t="str">
        <f>_xlfn.XLOOKUP(analysisChartTable[[#This Row],[index]], factorsTable[index], factorsTable[displayedFactor])</f>
        <v/>
      </c>
      <c r="G78" s="141" t="str">
        <f>_xlfn.XLOOKUP(analysisChartTable[[#This Row],[index]], factorsTable[index], factorsTable[displayedRANASBlock])</f>
        <v/>
      </c>
      <c r="H78" s="142" t="str">
        <f>_xlfn.XLOOKUP(analysisChartTable[[#This Row],[index]], factorsTable[index], factorsTable[sortedNondoers])</f>
        <v/>
      </c>
      <c r="I78" s="142" t="str">
        <f>_xlfn.XLOOKUP(analysisChartTable[[#This Row],[index]], factorsTable[index], factorsTable[sortedDoers])</f>
        <v/>
      </c>
      <c r="J78" s="142" t="str">
        <f>_xlfn.XLOOKUP(analysisChartTable[[#This Row],[index]], factorsTable[index], factorsTable[sortedDifference])</f>
        <v/>
      </c>
      <c r="K78" s="143" t="str">
        <f>_xlfn.XLOOKUP(analysisChartTable[[#This Row],[index]], factorsTable[index], factorsTable[sortedNumTotal])</f>
        <v/>
      </c>
      <c r="L78" s="294"/>
      <c r="M78" s="294"/>
      <c r="N78" s="294"/>
      <c r="O78" s="294"/>
      <c r="P78" s="85"/>
      <c r="Q78" s="62"/>
    </row>
    <row r="79" spans="1:17" x14ac:dyDescent="0.3">
      <c r="A79" s="62"/>
      <c r="B79" s="169"/>
      <c r="C79" s="89" cm="1">
        <f t="array" ref="C79">ROW()-ROW(analysisChartTable[#Headers])</f>
        <v>29</v>
      </c>
      <c r="D79" s="89" t="str">
        <f>_xlfn.XLOOKUP(analysisChartTable[[#This Row],[index]], factorsTable[index], factorsTable[chartLabel])</f>
        <v/>
      </c>
      <c r="E79" s="89" t="str">
        <f>_xlfn.XLOOKUP(analysisChartTable[[#This Row],[index]], factorsTable[index], factorsTable[RANASTag])</f>
        <v/>
      </c>
      <c r="F79" s="141" t="str">
        <f>_xlfn.XLOOKUP(analysisChartTable[[#This Row],[index]], factorsTable[index], factorsTable[displayedFactor])</f>
        <v/>
      </c>
      <c r="G79" s="141" t="str">
        <f>_xlfn.XLOOKUP(analysisChartTable[[#This Row],[index]], factorsTable[index], factorsTable[displayedRANASBlock])</f>
        <v/>
      </c>
      <c r="H79" s="142" t="str">
        <f>_xlfn.XLOOKUP(analysisChartTable[[#This Row],[index]], factorsTable[index], factorsTable[sortedNondoers])</f>
        <v/>
      </c>
      <c r="I79" s="142" t="str">
        <f>_xlfn.XLOOKUP(analysisChartTable[[#This Row],[index]], factorsTable[index], factorsTable[sortedDoers])</f>
        <v/>
      </c>
      <c r="J79" s="142" t="str">
        <f>_xlfn.XLOOKUP(analysisChartTable[[#This Row],[index]], factorsTable[index], factorsTable[sortedDifference])</f>
        <v/>
      </c>
      <c r="K79" s="143" t="str">
        <f>_xlfn.XLOOKUP(analysisChartTable[[#This Row],[index]], factorsTable[index], factorsTable[sortedNumTotal])</f>
        <v/>
      </c>
      <c r="L79" s="294"/>
      <c r="M79" s="294"/>
      <c r="N79" s="294"/>
      <c r="O79" s="294"/>
      <c r="P79" s="85"/>
      <c r="Q79" s="62"/>
    </row>
    <row r="80" spans="1:17" x14ac:dyDescent="0.3">
      <c r="A80" s="62"/>
      <c r="B80" s="169"/>
      <c r="C80" s="89" cm="1">
        <f t="array" ref="C80">ROW()-ROW(analysisChartTable[#Headers])</f>
        <v>30</v>
      </c>
      <c r="D80" s="89" t="str">
        <f>_xlfn.XLOOKUP(analysisChartTable[[#This Row],[index]], factorsTable[index], factorsTable[chartLabel])</f>
        <v/>
      </c>
      <c r="E80" s="89" t="str">
        <f>_xlfn.XLOOKUP(analysisChartTable[[#This Row],[index]], factorsTable[index], factorsTable[RANASTag])</f>
        <v/>
      </c>
      <c r="F80" s="144" t="str">
        <f>_xlfn.XLOOKUP(analysisChartTable[[#This Row],[index]], factorsTable[index], factorsTable[displayedFactor])</f>
        <v/>
      </c>
      <c r="G80" s="144" t="str">
        <f>_xlfn.XLOOKUP(analysisChartTable[[#This Row],[index]], factorsTable[index], factorsTable[displayedRANASBlock])</f>
        <v/>
      </c>
      <c r="H80" s="145" t="str">
        <f>_xlfn.XLOOKUP(analysisChartTable[[#This Row],[index]], factorsTable[index], factorsTable[sortedNondoers])</f>
        <v/>
      </c>
      <c r="I80" s="145" t="str">
        <f>_xlfn.XLOOKUP(analysisChartTable[[#This Row],[index]], factorsTable[index], factorsTable[sortedDoers])</f>
        <v/>
      </c>
      <c r="J80" s="145" t="str">
        <f>_xlfn.XLOOKUP(analysisChartTable[[#This Row],[index]], factorsTable[index], factorsTable[sortedDifference])</f>
        <v/>
      </c>
      <c r="K80" s="146" t="str">
        <f>_xlfn.XLOOKUP(analysisChartTable[[#This Row],[index]], factorsTable[index], factorsTable[sortedNumTotal])</f>
        <v/>
      </c>
      <c r="L80" s="294"/>
      <c r="M80" s="294"/>
      <c r="N80" s="294"/>
      <c r="O80" s="294"/>
      <c r="P80" s="85"/>
      <c r="Q80" s="62"/>
    </row>
    <row r="81" spans="1:17" x14ac:dyDescent="0.3">
      <c r="A81" s="62"/>
      <c r="B81" s="81"/>
      <c r="C81" s="82"/>
      <c r="D81" s="82"/>
      <c r="E81" s="82"/>
      <c r="F81" s="82"/>
      <c r="G81" s="82"/>
      <c r="H81" s="82"/>
      <c r="I81" s="82"/>
      <c r="J81" s="82"/>
      <c r="K81" s="82"/>
      <c r="L81" s="295"/>
      <c r="M81" s="295"/>
      <c r="N81" s="295"/>
      <c r="O81" s="295"/>
      <c r="P81" s="87"/>
      <c r="Q81" s="62"/>
    </row>
    <row r="82" spans="1:17" x14ac:dyDescent="0.3">
      <c r="A82" s="62"/>
      <c r="B82" s="62"/>
      <c r="C82" s="62"/>
      <c r="D82" s="62"/>
      <c r="E82" s="62"/>
      <c r="F82" s="62"/>
      <c r="G82" s="62"/>
      <c r="H82" s="62"/>
      <c r="I82" s="62"/>
      <c r="J82" s="62"/>
      <c r="K82" s="62"/>
      <c r="L82" s="62"/>
      <c r="M82" s="62"/>
      <c r="N82" s="62"/>
      <c r="O82" s="62"/>
      <c r="P82" s="62"/>
      <c r="Q82" s="62"/>
    </row>
  </sheetData>
  <sheetProtection algorithmName="SHA-512" hashValue="zt6l/om+wHQtyeWxE+CVcow+/xD4GpYe9glbzCZ8+I0RsgtxIsA8rkJxjztevUpKeWSKI23Cn1u60xz7QJJV0w==" saltValue="71+pq9gkrX2Q0gLyn1a7iw==" spinCount="100000" sheet="1" objects="1" scenarios="1"/>
  <mergeCells count="11">
    <mergeCell ref="B3:G3"/>
    <mergeCell ref="I3:O3"/>
    <mergeCell ref="I4:O4"/>
    <mergeCell ref="I5:O5"/>
    <mergeCell ref="I6:O6"/>
    <mergeCell ref="L66:O81"/>
    <mergeCell ref="L49:O65"/>
    <mergeCell ref="I7:O7"/>
    <mergeCell ref="I8:O8"/>
    <mergeCell ref="B4:G5"/>
    <mergeCell ref="B6:G7"/>
  </mergeCells>
  <conditionalFormatting sqref="E8">
    <cfRule type="expression" dxfId="7" priority="1">
      <formula>ISERROR(MATCH(sortingMethod, sortMenuList, 0))</formula>
    </cfRule>
  </conditionalFormatting>
  <conditionalFormatting sqref="G51:G80">
    <cfRule type="expression" dxfId="6" priority="2">
      <formula>$E51 = "selfRegulation"</formula>
    </cfRule>
    <cfRule type="expression" dxfId="5" priority="3">
      <formula>$E51 = "abilities"</formula>
    </cfRule>
    <cfRule type="expression" dxfId="4" priority="4">
      <formula>$E51 = "norms"</formula>
    </cfRule>
    <cfRule type="expression" dxfId="3" priority="5">
      <formula>$E51 = "attitudes"</formula>
    </cfRule>
    <cfRule type="expression" dxfId="2" priority="6">
      <formula>$E51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Introduction</vt:lpstr>
      <vt:lpstr>Configuration</vt:lpstr>
      <vt:lpstr>Cutoff - Seuil</vt:lpstr>
      <vt:lpstr>Analysis</vt:lpstr>
      <vt:lpstr>behaviourColNumColumn</vt:lpstr>
      <vt:lpstr>behaviourMaxOutOfRangeColumn</vt:lpstr>
      <vt:lpstr>behaviourMinOutOfRangeColumn</vt:lpstr>
      <vt:lpstr>chartLanguage</vt:lpstr>
      <vt:lpstr>cutoffLevelColumn</vt:lpstr>
      <vt:lpstr>editableAreas</vt:lpstr>
      <vt:lpstr>factorColNumColumn</vt:lpstr>
      <vt:lpstr>factorsMaxOutOfRangeColumn</vt:lpstr>
      <vt:lpstr>factorsMinOutOfRangeColumn</vt:lpstr>
      <vt:lpstr>languageHeadersList</vt:lpstr>
      <vt:lpstr>RANASList</vt:lpstr>
      <vt:lpstr>sortingMethod</vt:lpstr>
      <vt:lpstr>sortMenuList</vt:lpstr>
      <vt:lpstr>UILanguage</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2026-02-05T14:57:39Z</dcterms:modified>
  <cp:contentStatus/>
</cp:coreProperties>
</file>