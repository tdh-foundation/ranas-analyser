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4.xml" ContentType="application/vnd.openxmlformats-officedocument.drawing+xml"/>
  <Override PartName="/xl/ctrlProps/ctrlProp1.xml" ContentType="application/vnd.ms-excel.controlproperties+xml"/>
  <Override PartName="/xl/tables/table19.xml" ContentType="application/vnd.openxmlformats-officedocument.spreadsheetml.table+xml"/>
  <Override PartName="/xl/tables/table2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2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tdhch-my.sharepoint.com/personal/sebastien_mercier_tdh_ch/Documents/Gravit'eau/RANAS/RANAS Analyser/Current published versions/"/>
    </mc:Choice>
  </mc:AlternateContent>
  <xr:revisionPtr revIDLastSave="17704" documentId="8_{0D220551-2BE6-4D46-A044-3A706D0A2BAB}" xr6:coauthVersionLast="47" xr6:coauthVersionMax="47" xr10:uidLastSave="{60D00361-0AD6-4649-8FD9-E772E8A5BEE3}"/>
  <bookViews>
    <workbookView xWindow="2145" yWindow="-18120" windowWidth="24240" windowHeight="17520" tabRatio="697" firstSheet="2" activeTab="2" xr2:uid="{85543DA6-F95A-4457-9F61-0C74C53DF323}"/>
  </bookViews>
  <sheets>
    <sheet name="dataCopy" sheetId="54" state="veryHidden" r:id="rId1"/>
    <sheet name="HiddenTables" sheetId="41" state="veryHidden" r:id="rId2"/>
    <sheet name="Introduction" sheetId="48" r:id="rId3"/>
    <sheet name="Configuration" sheetId="39" r:id="rId4"/>
    <sheet name="Cutoff - Seuil" sheetId="42" r:id="rId5"/>
    <sheet name="Analysis" sheetId="43" r:id="rId6"/>
  </sheets>
  <definedNames>
    <definedName name="behaviourColNumColumn" comment="Reference to the behaviourColNum column in behaviourTable. Used to be able to reference that column in conditional formatting rules.">behaviourTable[behaviourColNum]</definedName>
    <definedName name="behaviourData1" comment="Copy of the &quot;data&quot; column for behaviour header #1. Used to simplify formulae.">_xlfn.ANCHORARRAY(HiddenTables!$BM$4)</definedName>
    <definedName name="behaviourData2" comment="Copy of the &quot;data&quot; column for behaviour header #2. Used to simplify formulae.">_xlfn.ANCHORARRAY(HiddenTables!$BN$4)</definedName>
    <definedName name="behaviourData3" comment="Copy of the &quot;data&quot; column for behaviour header #3. Used to simplify formulae.">_xlfn.ANCHORARRAY(HiddenTables!$BO$4)</definedName>
    <definedName name="behaviourData4" comment="Copy of the &quot;data&quot; column for behaviour header #4. Used to simplify formulae.">_xlfn.ANCHORARRAY(HiddenTables!$BP$4)</definedName>
    <definedName name="behaviourData5" comment="Copy of the &quot;data&quot; column for behaviour header #5. Used to simplify formulae.">_xlfn.ANCHORARRAY(HiddenTables!$BQ$4)</definedName>
    <definedName name="behaviourInclude1" comment="Value of the &quot;include&quot; parameter for behaviour header #1, combining the user selection in the &quot;Include?&quot; column and whether a data header for that question is defined or not. Used to simplify formulae.">INDEX(behaviourTable[include], MATCH(1, behaviourTable[index], 0))</definedName>
    <definedName name="behaviourInclude2" comment="Value of the &quot;include&quot; parameter for behaviour header #2, combining the user selection in the &quot;Include?&quot; column and whether a data header for that question is defined or not. Used to simplify formulae.">INDEX(behaviourTable[include], MATCH(2, behaviourTable[index], 0))</definedName>
    <definedName name="behaviourInclude3" comment="Value of the &quot;include&quot; parameter for behaviour header #3, combining the user selection in the &quot;Include?&quot; column and whether a data header for that question is defined or not. Used to simplify formulae.">INDEX(behaviourTable[include], MATCH(3, behaviourTable[index], 0))</definedName>
    <definedName name="behaviourInclude4" comment="Value of the &quot;include&quot; parameter for behaviour header #4, combining the user selection in the &quot;Include?&quot; column and whether a data header for that question is defined or not. Used to simplify formulae.">INDEX(behaviourTable[include], MATCH(4, behaviourTable[index], 0))</definedName>
    <definedName name="behaviourInclude5" comment="Value of the &quot;include&quot; parameter for behaviour header #5, combining the user selection in the &quot;Include?&quot; column and whether a data header for that question is defined or not. Used to simplify formulae.">INDEX(behaviourTable[include], MATCH(5, behaviourTable[index], 0))</definedName>
    <definedName name="behaviourMaxOutOfRangeColumn" comment="Reference to the maxOutOfRange column in behaviourTable. Used to be able to reference that column in conditional formatting rules.">behaviourTable[maxOutOfRange]</definedName>
    <definedName name="behaviourMaxScore1" comment="Reference to the maximum score for behaviour header #1. Used to simplify formulae.">INDEX(behaviourTable[maxScore], MATCH(1, behaviourTable[index], 0))</definedName>
    <definedName name="behaviourMaxScore2" comment="Reference to the maximum score for behaviour header #2. Used to simplify formulae.">INDEX(behaviourTable[maxScore], MATCH(2, behaviourTable[index], 0))</definedName>
    <definedName name="behaviourMaxScore3" comment="Reference to the maximum score for behaviour header #3. Used to simplify formulae.">INDEX(behaviourTable[maxScore], MATCH(3, behaviourTable[index], 0))</definedName>
    <definedName name="behaviourMaxScore4" comment="Reference to the maximum score for behaviour header #4. Used to simplify formulae.">INDEX(behaviourTable[maxScore], MATCH(4, behaviourTable[index], 0))</definedName>
    <definedName name="behaviourMaxScore5" comment="Reference to the maximum score for behaviour header #5. Used to simplify formulae.">INDEX(behaviourTable[maxScore], MATCH(5, behaviourTable[index], 0))</definedName>
    <definedName name="behaviourMinOutOfRangeColumn" comment="Reference to the minOutOfRange column in behaviourTable. Used to be able to reference that column in conditional formatting rules.">behaviourTable[minOutOfRange]</definedName>
    <definedName name="behaviourMinScore1" comment="Reference to the minimum score for behaviour header #1. Used to simplify formulae.">INDEX(behaviourTable[minScore], MATCH(1, behaviourTable[index], 0))</definedName>
    <definedName name="behaviourMinScore2" comment="Reference to the minimum score for behaviour header #2. Used to simplify formulae.">INDEX(behaviourTable[minScore], MATCH(2, behaviourTable[index], 0))</definedName>
    <definedName name="behaviourMinScore3" comment="Reference to the minimum score for behaviour header #3. Used to simplify formulae.">INDEX(behaviourTable[minScore], MATCH(3, behaviourTable[index], 0))</definedName>
    <definedName name="behaviourMinScore4" comment="Reference to the minimum score for behaviour header #4. Used to simplify formulae.">INDEX(behaviourTable[minScore], MATCH(4, behaviourTable[index], 0))</definedName>
    <definedName name="behaviourMinScore5" comment="Reference to the minimum score for behaviour header #5. Used to simplify formulae.">INDEX(behaviourTable[minScore], MATCH(5, behaviourTable[index], 0))</definedName>
    <definedName name="behaviourScore" comment="Array containing the normalized behaviour score (0-100%) for each data entry for which a score can be computed.">_xlfn.ANCHORARRAY(HiddenTables!$BT$4)</definedName>
    <definedName name="behaviourScoreDenominator" comment="Array containing the denominator of the behaviour score for each data entry. It is computed on its own to simplify the overall formula for the behaviour score.">_xlfn.ANCHORARRAY(HiddenTables!$BS$4)</definedName>
    <definedName name="behaviourScoreNumerator" comment="Array containing the numerator of the behaviour score for each data entry. It is computed on its own to simplify the overall formula for the behaviour score.">_xlfn.ANCHORARRAY(HiddenTables!$BR$4)</definedName>
    <definedName name="chartDifferenceRange1" comment="List of &quot;Difference&quot; values for the first chart in the &quot;Analysis&quot; sheet, defined as a dynamic named range to include only the number of factors defined by &quot;numFactorsChart1&quot;.">INDEX(analysisChartTable[sortedDifference], 1)  :INDEX(analysisChartTable[sortedDifference], numFactorsChart1)</definedName>
    <definedName name="chartDifferenceRange2" comment="List of &quot;Difference&quot; values for the second chart in the &quot;Analysis&quot; sheet, defined as a dynamic named range to include only the number of factors defined by &quot;numFactorsChart2&quot;.">INDEX(analysisChartTable[sortedDifference], numFactorsChart1 + 1)  :INDEX(     analysisChartTable[sortedDifference],     numFactorsChart1     + IF(         numFactorsChart2 = 0,         1,         numFactorsChart2       )   )</definedName>
    <definedName name="chartDoersRange1" comment="List of &quot;Doers&quot; values for the first chart in the &quot;Analysis&quot; sheet, defined as a dynamic named range to include only the number of factors defined by &quot;numFactorsChart1&quot;.">INDEX(analysisChartTable[sortedDoers], 1)  :INDEX(analysisChartTable[sortedDoers], numFactorsChart1)</definedName>
    <definedName name="chartDoersRange2" comment="List of &quot;Doers&quot; values for the second chart in the &quot;Analysis&quot; sheet, defined as a dynamic named range to include only the number of factors defined by &quot;numFactorsChart2&quot;.">INDEX(analysisChartTable[sortedDoers], numFactorsChart1 + 1)  :INDEX(     analysisChartTable[sortedDoers],     numFactorsChart1     + IF(         numFactorsChart2 = 0,         1,         numFactorsChart2       )   )</definedName>
    <definedName name="chartFactorRange1" comment="List of &quot;Factor&quot; values for the first chart in the &quot;Analysis&quot; sheet, defined as a dynamic named range to include only the number of factors defined by &quot;numFactorsChart1&quot;.">INDEX(analysisChartTable[chartLabel], 1)  :INDEX(analysisChartTable[chartLabel], numFactorsChart1)</definedName>
    <definedName name="chartFactorRange2" comment="List of &quot;Factor&quot; values for the second chart in the &quot;Analysis&quot; sheet, defined as a dynamic named range to include only the number of factors defined by &quot;numFactorsChart2&quot;.">INDEX(analysisChartTable[chartLabel], numFactorsChart1 + 1)  :INDEX(     analysisChartTable[chartLabel],     numFactorsChart1     + IF(         numFactorsChart2 = 0,         1,         numFactorsChart2       )   )</definedName>
    <definedName name="chartLanguage" comment="Language selected to be displayed in the charts (and corresponding tables) among the languages defined in the &quot;Factors configuration table&quot; (&quot;Configuration&quot; tab).">Introduction!$I$5</definedName>
    <definedName name="chartLanguageList" comment="List of languages that the user can choose from for text elements in the charts. It starts with the languages already available for the user interface (UI), followed by languages that the user can define in the &quot;Configuration&quot; tab.">INDEX(languageTable[languageList], 1)  :INDEX(languageTable[languageList], numLanguages)</definedName>
    <definedName name="chartNondoersRange1" comment="List of &quot;Non-doers&quot; values for the first chart in the &quot;Analysis&quot; sheet, defined as a dynamic named range to include only the number of factors defined by &quot;numFactorsChart1&quot;.">INDEX(analysisChartTable[sortedNondoers], 1)  :INDEX(analysisChartTable[sortedNondoers], numFactorsChart1)</definedName>
    <definedName name="chartNondoersRange2" comment="List of &quot;Non-doers&quot; values for the second chart in the &quot;Analysis&quot; sheet, defined as a dynamic named range to include only the number of factors defined by &quot;numFactorsChart2&quot;.">INDEX(analysisChartTable[sortedNondoers], numFactorsChart1 + 1)  :INDEX(     analysisChartTable[sortedNondoers],     numFactorsChart1     + IF(         numFactorsChart2 = 0,         1,         numFactorsChart2       )   )</definedName>
    <definedName name="cutoffLevel" comment="Doer/non-doer cutoff level selected by the user on the user interface.">'Cutoff - Seuil'!$H$6/100</definedName>
    <definedName name="cutoffLevelColumn" comment="Reference to the cutoffLevel column in cutoffTable. Used to be able to reference that column in conditional formatting rules.">cutoffTable[cutoffLevel]</definedName>
    <definedName name="cutoffLevelRecommended" comment="Recommended cutoff level that minimizes the absolute difference between the number of doers and the number of non-doers.">INDEX(     recommendedCutoffTable[cutoffLevel],     ROUND(       AVERAGE(         MATCH(           MIN(recommendedCutoffTable[absDiff]),           recommendedCutoffTable[absDiff],           0         ),         LOOKUP(           2,           1 / (recommendedCutoffTable[absDiff] = MIN(recommendedCutoffTable[absDiff])),           recommendedCutoffTable[index]         )       ),       0     )   )</definedName>
    <definedName name="dataFirstRow" comment="Copy of the first row of the &quot;data&quot; sheet, up to column 'maxColNum'. Used to eventually define dataHeaders and dataRange.">_xlfn.ANCHORARRAY(dataCopy!$A$2)</definedName>
    <definedName name="dataHeaders" comment="Copy of the row of column headers in the &quot;data&quot; sheet. Used in various formula to look up / reference column headers.">_xlfn.ANCHORARRAY(dataCopy!$D$4)</definedName>
    <definedName name="dataLastColNum" comment="Column number of the last non-empty cell (up to maxColNum) in dataFirstRow. Used to define dataHeaders.">IF(     errorNoDataSheet,     NA(),     MAX(     COLUMN(dataFirstRow)     * (dataFirstRow &lt;&gt; "")     )   )</definedName>
    <definedName name="dataRange" comment="Copy of the range of the &quot;data&quot; sheet from row 2 (i.e., without the column headers) and 'numEntries'-row high, and from columns 1 to dataLastColNum. Used to then reference data columns with the INDEX() function.">_xlfn.ANCHORARRAY(dataCopy!$D$5)</definedName>
    <definedName name="dataRefCol" comment="Copy (down to row 'maxRowNum') of the data column from the &quot;data&quot; sheet that serves as an index for the survey submissions. Used to count the total number of data entries.">_xlfn.ANCHORARRAY(dataCopy!$A$5)</definedName>
    <definedName name="dataRefColNum" comment="Column number of the data column that serves as an index for the survey submissions. Used to copy that column (as dataRefCol) and count the total number of data entries.">_xlfn.IFNA(     MATCH("_uuid", dataHeaders, 0),     _xlfn.IFNA(       MATCH("instanceID", dataHeaders, 0),       MATCH("*-"&amp;"instanceID", dataHeaders, 0)     )   )</definedName>
    <definedName name="editableAreas" comment="Union of all yellow user-editable areas in the tables of the &quot;Configuration&quot; sheet. Used as a shortcut to quickly select them with &quot;Go To...&quot; and define their &quot;locked/hidden&quot; settings. /!\ If these areas change, check if the range resized accordingly /!\">Configuration!$C$16:$C$20,Configuration!$E$16:$G$20,Configuration!$C$39:$C$68,Configuration!$E$39:$G$68,Configuration!$I$39:$N$68,Configuration!$L$37:$N$37,Configuration!$L$77:$N$91</definedName>
    <definedName name="errorBehaviourHeader" comment="Error that evaluates to TRUE if any selected behaviour header in behaviourConfigTable is not found in the &quot;data&quot; sheet.">AND(     NOT(errorNoDataSheet),     SUMPRODUCT(       (behaviourTable[includeConfig] = "yes") * ISNA(behaviourTable[behaviourColNum])     )   )</definedName>
    <definedName name="errorBehaviourInclude" comment="Error that evaluates to TRUE if the &quot;Include?&quot; value for a non-empty behaviour header in behaviourConfigTable is missing or invalid.">AND(     NOT(errorNoDataSheet),     SUMPRODUCT(       (behaviourTable[includeConfig] &lt;&gt; "yes") * (behaviourTable[includeConfig] &lt;&gt; "no") * (behaviourTable[behaviourHeader] &lt;&gt; "")     )   )</definedName>
    <definedName name="errorBehaviourMinMaxInvalid" comment="Error that evaluates to TRUE if a min. or max. score for a selected, non-empty behaviour header in behaviourConfigTable is missing or invalid (e.g., min &gt;= max).">AND(     NOT(errorNoDataSheet),     SUMPRODUCT(       (behaviourTable[includeConfig] = "yes")       * (behaviourTable[behaviourHeader] &lt;&gt; "")       * IF(            NOT(ISNUMBER(behaviourTable[minScore]))            + NOT(ISNUMBER(behaviourTable[maxScore])),            1,            (behaviourTable[minScore] &gt;= behaviourTable[maxScore])         )     )   )</definedName>
    <definedName name="errorBehaviourNoneSelected" comment="Error that evaluates to TRUE if none of the valid behaviour headers in behaviourConfigTable (i.e. headers successfully found in the &quot;data&quot; sheet) is selected in the &quot;Include?&quot; column.">AND(     NOT(errorNoDataSheet),     SUMPRODUCT(--ISNUMBER(behaviourTable[behaviourColNum])),     SUMPRODUCT(       (behaviourTable[includeConfig] = "yes") * ISNUMBER(behaviourTable[behaviourColNum])     ) = 0   )</definedName>
    <definedName name="errorBehaviourOutOfRange" comment="Error that evaluates to TRUE if any value in the &quot;data&quot; sheet for the selected behaviour headers falls outside of the corresponding &quot;Min. score&quot;-&quot;Max. score&quot; range defined in behaviourConfigTable.">OR(OR(behaviourTable[minOutOfRange]), OR(behaviourTable[maxOutOfRange]))</definedName>
    <definedName name="errorChartLanguage" comment="Error that evaluates to TRUE if the selected chartLanguage is not from the allowed chartLanguageList.">ISERROR(MATCH(chartLanguage, chartLanguageList, 0))</definedName>
    <definedName name="errorChartTranslationMissing" comment="Error that evaluates to TRUE if the translation into chartLanguage for any entry in chartTranslationTable is missing.">AND(     NOT(errorNoDataSheet),     IF(       errorChartLanguage,       0,       SUMPRODUCT(         (chartTranslationTable[tag] &lt;&gt; "") * (chartTranslationTable[langSpecText] = "")       )     )   )</definedName>
    <definedName name="errorCutoffLevel" comment="Error that evaluates to TRUE if the value entered for cutoffLevel is invalid (i.e., not an integer between 0 and 100%).">AND(     NOT(errorNoDataSheet),     (cutoffLevel &lt; 0) + (cutoffLevel &gt; 1) + (MOD('Cutoff - Seuil'!$H$6, 1) &lt;&gt; 0)   )</definedName>
    <definedName name="errorDataHeaderSpace" comment="Error that evaluates to TRUE if any space character is found in the first row of the &quot;data&quot; sheet. Spaces in column headers could cause problems when referencing those columns.">AND(     NOT(errorNoDataSheet),     NOT(       ISNA(         MATCH("* *", dataHeaders, 0)       )     )   )</definedName>
    <definedName name="errorDataSorting" comment="Error that evaluates to TRUE if the selected sortingMethod is not from the allowed sortMenuList.">AND(     NOT(errorNoDataSheet),     ISERROR(MATCH(sortingMethod, sortMenuList, 0))   )</definedName>
    <definedName name="errorFactorDisplay" comment="Error that evaluates to TRUE if the &quot;Display?&quot; value for a non-empty factor header in factorConfigTable is missing or invalid.">AND(     NOT(errorNoDataSheet),     SUMPRODUCT(       (factorsTable[displayConfig] &lt;&gt; "yes") * (factorsTable[displayConfig] &lt;&gt; "no") * (factorsTable[factorHeader] &lt;&gt; "")     )   )</definedName>
    <definedName name="errorFactorHeader" comment="Error that evaluates to TRUE if any selected factor header in factorConfigTable is not found in the &quot;data&quot; sheet.">AND(     NOT(errorNoDataSheet),     SUMPRODUCT(       (factorsTable[displayConfig] = "yes") * ISNA(factorsTable[factorColNum])     )   )</definedName>
    <definedName name="errorFactorMinMaxInvalid" comment="Error that evaluates to TRUE if a min. or max. score for a selected, non-empty factor header in factorConfigTable is missing or invalid (e.g., min &gt;= max).">AND(     NOT(errorNoDataSheet),     SUMPRODUCT(       (factorsTable[displayConfig] = "yes")       * (factorsTable[factorHeader] &lt;&gt; "")       * IF(            NOT(ISNUMBER(factorsTable[minScore]))            + NOT(ISNUMBER(factorsTable[maxScore])),            1,            (factorsTable[minScore] &gt;= factorsTable[maxScore])         )     )   )</definedName>
    <definedName name="errorFactorNoneSelected" comment="Error that evaluates to TRUE if none of the valid factor headers in factorConfigTable (i.e. headers successfully found in the &quot;data&quot; sheet) is selected in the &quot;Display?&quot; column.">AND(     NOT(errorNoDataSheet),     SUMPRODUCT(--ISNUMBER(factorsTable[factorColNum])),     SUMPRODUCT(       (factorsTable[displayConfig] = "yes") * ISNUMBER(factorsTable[factorColNum])     ) = 0   )</definedName>
    <definedName name="errorFactorOutOfRange" comment="Error that evaluates to TRUE if any value in the &quot;data&quot; sheet for the selected factor headers falls outside of the corresponding &quot;Min. score&quot;-&quot;Max. score&quot; range defined in factorConfigTable.">OR(OR(factorsTable[minOutOfRange]), OR(factorsTable[maxOutOfRange]))</definedName>
    <definedName name="errorFactorTranslationMissing" comment="Error that evaluates to TRUE if the translation into chartLanguage for a selected, non-empty factor header in factorConfigTable is missing.">AND(     NOT(errorNoDataSheet),     IF(       errorChartLanguage,       0,       SUMPRODUCT(         (factorsTable[sortedIndex] &lt;&gt; "") * (factorsTable[langSpecFactor] = "")       )     )   )</definedName>
    <definedName name="errorMessages" comment="List of error messages displayed to the user in the &quot;Configuration&quot; sheet, concatenated from a list of possible messages defined in the hidden &quot;Error messages&quot; table.">IF(     COUNT(errorMessagesTable[filteredIndex]) = 0,     "",     INDEX(errorMessagesTable[concatErrors], COUNT(errorMessagesTable[filteredIndex]))   )</definedName>
    <definedName name="errorNoDataRefCol" comment="Error that evaluates to TRUE if none of the predefined headers for a reference column is found in the &quot;data&quot; sheet.">AND(     NOT(errorNoDataSheet),     ISNA(dataRefColNum)   )</definedName>
    <definedName name="errorNoDataSheet" comment="Error that evaluates to TRUE if the &quot;data&quot; sheet does not exist.">NOT(     ISREF(       INDIRECT(ADDRESS(1, 1, 1, 0, sheetNameData), FALSE)     )   )</definedName>
    <definedName name="errorRANASBlockMissing" comment="Error that evaluates to TRUE if a RANAS block for a selected, non-empty factor header in factorConfigTable is missing or invalid.">AND(     NOT(errorNoDataSheet),     SUMPRODUCT(--ISNA(factorsTable[RANASTag])) &gt; 0   )</definedName>
    <definedName name="errorUILanguage" comment="Error that evaluates to TRUE if the selected UILanguage is not from the allowed UILanguageList.">ISERROR(MATCH(UILanguage, UILanguageList, 0))</definedName>
    <definedName name="factorColNumColumn" comment="Reference to the factorColNum column in factorsTable. Used to be able to reference that column in conditional formatting rules.">factorsTable[factorColNum]</definedName>
    <definedName name="factorsMaxOutOfRangeColumn" comment="Reference to the maxOutOfRange column in factorsTable. Used to be able to reference that column in conditional formatting rules.">factorsTable[maxOutOfRange]</definedName>
    <definedName name="factorsMinOutOfRangeColumn" comment="Reference to the minOutOfRange column in factorsTable. Used to be able to reference that column in conditional formatting rules.">factorsTable[minOutOfRange]</definedName>
    <definedName name="isDoer" comment="Array containing a TRUE/FALSE value for each data entry, indicating a doer/non-doer, or an empty value if a behaviour score cannot be computed.">_xlfn.ANCHORARRAY(HiddenTables!$BU$4)</definedName>
    <definedName name="langSpecBehaviourScore" comment="Translation of &quot;Behaviour score&quot; into the chartLanguage selected by the user. Used mostly for the axis label on the chart, which can accept a named variable, but not a complex formula.">INDEX(chartTranslationTable[displayedText], MATCH("behaviourScore", chartTranslationTable[tag], 0))</definedName>
    <definedName name="langSpecCutoff" comment="Translation of &quot;Cutoff level&quot; into the chartLanguage selected by the user. Used mostly for the axis label on the chart, which can accept a named variable, but not a complex formula.">INDEX(chartTranslationTable[displayedText], MATCH("cutoffLevel", chartTranslationTable[tag], 0))</definedName>
    <definedName name="langSpecMeanScore" comment="Translation of &quot;Normalized mean score&quot; into the chartLanguage selected by the user. Used mostly for the axis label on the chart, which can accept a named variable, but not a complex formula.">INDEX(chartTranslationTable[displayedText], MATCH("meanScore", chartTranslationTable[tag], 0))  &amp; " (0"  &amp; _xlfn.UNICHAR(8209)  &amp; "100%)"</definedName>
    <definedName name="langSpecNumResponses" comment="Translation of &quot;# of responses&quot; into the chartLanguage selected by the user. Used mostly for the axis label on the chart, which can accept a named variable, but not a complex formula.">INDEX(chartTranslationTable[displayedText], MATCH("numResponses", chartTranslationTable[tag], 0))</definedName>
    <definedName name="langSpecPercentResponses" comment="Translation of &quot;% of responses&quot; into the chartLanguage selected by the user. Used mostly for the axis label on the chart, which can accept a named variable, but not a complex formula.">INDEX(chartTranslationTable[displayedText], MATCH("percentResponses", chartTranslationTable[tag], 0))</definedName>
    <definedName name="languageHeadersList" comment="List of the user-interface + user-defined languages in the header of the &quot;Factors configuration table&quot;. Used to compute the &quot;chartLanguageList&quot; and to look up various text values in the selected chartLanguage.">Configuration!$J$37:$N$37</definedName>
    <definedName name="localAddressParameter" comment="Local equivalent of the &quot;address&quot; parameter for the CELL() function, which is specific to the language version of Excel. CELL() is used to dynamically reference the sheets' names, in case they change in the future.">IF(NOT(ISERROR(CELL("address",HiddenTables!XEM1048575))), "address",     IF(NOT(ISERROR(CELL("adresse",HiddenTables!XEM1048575))), "adresse",       IF(NOT(ISERROR(CELL("Adresse",HiddenTables!XEM1048575))), "Adresse",         IF(NOT(ISERROR(CELL("DIRECCIÓN",HiddenTables!XEM1048575))), "DIRECCIÓN", NA())       )     )   )</definedName>
    <definedName name="maxAbsDiff" comment="Maximum doers/non-doers difference (in absolute value) used to define the lower and upper limits of the colour scale in Conditional formatting for the &quot;Difference&quot; column of the &quot;analysisChartTable&quot;.">MAX(factorsTable[absDiff])</definedName>
    <definedName name="maxColNum" comment="Maximum number of columns allowed in the &quot;data&quot; sheet (used to prevent slow calculations).">IFERROR(     INDEX(       manualEntryVariablesTable[value],       MATCH("maxColNum", manualEntryVariablesTable[name], 0)     ),     1000   )</definedName>
    <definedName name="maxRowNum" comment="Maximum number of rows allowed in the &quot;data&quot; sheet (used to prevent slow calculations).">IFERROR(     INDEX(       manualEntryVariablesTable[value],       MATCH("maxRowNum", manualEntryVariablesTable[name], 0)     ),     1000   )</definedName>
    <definedName name="noLabel" comment="Reference to the label meaning &quot;no&quot; in the drop-down menus of the &quot;Include?&quot; and &quot;Display?&quot; columns of the &quot;Behaviour&quot; and &quot;Factors&quot; configuration tables. Used in UI text.">INDEX(yesNoTable[label], MATCH("no", yesNoTable[tag], 0))</definedName>
    <definedName name="numEntries" comment="Number of entries in the &quot;data&quot; sheet. It is counted as the number of values in the &quot;index&quot; column dataRefCol.">IF(     ISNA(dataRefColNum),     NA(),     SUMPRODUCT(--(dataRefCol &lt;&gt; ""))   )</definedName>
    <definedName name="numFactors" comment="Number of factors selected for display by the user in the Configuration tab (up to 30). Used to calculate the number of factors displayed in each chart of the &quot;Analysis&quot; sheet (&quot;numFactorsChart1&quot; and &quot;numFactorsChart2&quot;).">SUMPRODUCT(--(factorsTable[sortedIndex] &lt;&gt; ""))</definedName>
    <definedName name="numFactorsChart1" comment="Number of factors that will be displayed in the first chart of the &quot;Analysis&quot; sheet. It depends on &quot;numFactors&quot; and &quot;numFactorsThreshold&quot; in order to split the factors across both charts. Used to define a dynamic range for the chart data.">IF(     numFactors &lt;= numFactorsThreshold,     numFactors,     ROUNDUP(numFactors/2,0)   )</definedName>
    <definedName name="numFactorsChart2" comment="Number of factors that will be displayed in the second chart of the &quot;Analysis&quot; sheet. It depends on &quot;numFactors&quot; and &quot;numFactorsThreshold&quot; in order to split the factors across both charts. Used to define a dynamic range for the chart data.">IF(     numFactors &lt;= numFactorsThreshold,     0,     ROUNDDOWN(numFactors/2,0)   )</definedName>
    <definedName name="numFactorsThreshold" comment="If the number of factors selected for display by the user is less than or equal to this threshold, all factors will be displayed in the first chart. If it is above the threshold, the factors will be evenly split across both charts.">IFERROR(     INDEX(       manualEntryVariablesTable[value],       MATCH("numFactorsThreshold", manualEntryVariablesTable[name], 0)     ),     10   )</definedName>
    <definedName name="numLanguages" comment="Number of languages available to display chart/table text (it includes the UI + the user-defined languages). Used mostly to define a dynamic range for the &quot;Chart language&quot; drop-down menu.">SUMPRODUCT(--(languageTable[languageList] &lt;&gt; ""))</definedName>
    <definedName name="numScores" comment="Number of scores, i.e. number of &quot;data&quot; entries having at least one non-empty value among the selected &quot;behaviour&quot; questions and for which a behaviour score can be computed.">SUMPRODUCT(--(behaviourScoreDenominator &lt;&gt; 0))</definedName>
    <definedName name="ranasAnalyserLink" comment="Permanent link to the webpage that hosts the reference version of this file available to the public (plus possibly documentation and archived versions).">IFERROR(     INDEX(       manualEntryVariablesTable[value],       MATCH("ranasAnalyserLink", manualEntryVariablesTable[name], 0)     ),HiddenTables!#REF!   )</definedName>
    <definedName name="RANASList" comment="List of RANAS blocks in (currently) both UI languages (English, Français) used in drop-down menus in the &quot;Factors configuration table&quot;.">RANASBlocksTable[label]</definedName>
    <definedName name="ranasWebsiteLink" comment="Link to the RANAS website.">IFERROR(     INDEX(       manualEntryVariablesTable[value],       MATCH("ranasWebsiteLink", manualEntryVariablesTable[name], 0)     ),HiddenTables!#REF!   )</definedName>
    <definedName name="sheetNameAnalysis" comment="Dynamic reference to the &quot;Analysis&quot; sheet name (in case it changes in the future), used mostly in UI text.">IFERROR(     SUBSTITUTE(       REPLACE(         LEFT(           CELL(localAddressParameter, sortingMethod),           MAX(             IF(               MID(CELL(localAddressParameter, sortingMethod), ROW(HiddenTables!$1:$1000), 1)="!",               ROW(HiddenTables!$1:$1000),               0             )           ) - IF(LEFT(CELL(localAddressParameter, sortingMethod), 1)="'", 2, 1)         ), 1,         MAX(           IF(             MID(CELL(localAddressParameter, sortingMethod), ROW(HiddenTables!$1:$1000), 1)="]",             ROW(HiddenTables!$1:$1000),             0           )         ), ""       ), "''", "'"     ), "Analysis"   )</definedName>
    <definedName name="sheetNameConfiguration" comment="Dynamic reference to the &quot;Configuration&quot; sheet name (in case it changes in the future), used mostly in UI text.">IFERROR(     SUBSTITUTE(       REPLACE(         LEFT(           CELL(localAddressParameter, behaviourConfigTable[]),           MAX(             IF(               MID(CELL(localAddressParameter, behaviourConfigTable[]), ROW(HiddenTables!$1:$1000), 1)="!",               ROW(HiddenTables!$1:$1000),               0             )           ) - IF(LEFT(CELL(localAddressParameter, behaviourConfigTable[]), 1)="'", 2, 1)         ), 1,         MAX(           IF(             MID(CELL(localAddressParameter, behaviourConfigTable[]), ROW(HiddenTables!$1:$1000), 1)="]",             ROW(HiddenTables!$1:$1000),             0           )         ), ""       ), "''", "'"     ), "Configuration"   )</definedName>
    <definedName name="sheetNameCutoff" comment="Dynamic reference to the &quot;Cutoff&quot; sheet name (in case it changes in the future), used mostly in UI text.">IFERROR(     SUBSTITUTE(       REPLACE(         LEFT(           CELL(localAddressParameter, cutoffLevel),           MAX(             IF(               MID(CELL(localAddressParameter, cutoffLevel), ROW(HiddenTables!$1:$1000), 1)="!",               ROW(HiddenTables!$1:$1000),               0             )           ) - IF(LEFT(CELL(localAddressParameter, cutoffLevel), 1)="'", 2, 1)         ), 1,         MAX(           IF(             MID(CELL(localAddressParameter, cutoffLevel), ROW(HiddenTables!$1:$1000), 1)="]",             ROW(HiddenTables!$1:$1000),             0           )         ), ""       ), "''", "'"     ), "Cutoff - Seuil"   )</definedName>
    <definedName name="sheetNameData" comment="Name of the &quot;data&quot; sheet, used in UI text and to reference the data columns. Its value (currently &quot;data&quot;) is hard-coded in the &quot;Manual-entry variables table&quot; and can be changed there if wanted.">IFERROR(     INDEX(       manualEntryVariablesTable[value],       MATCH("sheetNameData", manualEntryVariablesTable[name], 0)     ),     "data"   )</definedName>
    <definedName name="sheetNameHiddenTables" comment="Dynamic reference to the &quot;HiddenTables&quot; sheet name (in case it changes in the future).">IFERROR(     SUBSTITUTE(       REPLACE(         LEFT(           CELL(localAddressParameter, behaviourTable[]),           MAX(             IF(               MID(CELL(localAddressParameter, behaviourTable[]), ROW(HiddenTables!$1:$1000), 1)="!",               ROW(HiddenTables!$1:$1000),               0             )           ) - IF(LEFT(CELL(localAddressParameter, behaviourTable[]), 1)="'", 2, 1)         ), 1,         MAX(           IF(             MID(CELL(localAddressParameter, behaviourTable[]), ROW(HiddenTables!$1:$1000), 1)="]",             ROW(HiddenTables!$1:$1000),             0           )         ), ""       ), "''", "'"     ), "HiddenTables"   )</definedName>
    <definedName name="sheetNameIntroduction" comment="Dynamic reference to the &quot;Introduction&quot; sheet name (in case it changes in the future), used mostly in UI text.">IFERROR(     SUBSTITUTE(       REPLACE(         LEFT(           CELL(localAddressParameter, UILanguage),           MAX(             IF(               MID(CELL(localAddressParameter, UILanguage), ROW(HiddenTables!$1:$1000), 1)="!",               ROW(HiddenTables!$1:$1000),               0             )           ) - IF(LEFT(CELL(localAddressParameter, UILanguage), 1)="'", 2, 1)         ), 1,         MAX(           IF(             MID(CELL(localAddressParameter, UILanguage), ROW(HiddenTables!$1:$1000), 1)="]",             ROW(HiddenTables!$1:$1000),             0           )         ), ""       ), "''", "'"     ), "Introduction"   )</definedName>
    <definedName name="sortingMethod" comment="Sorting method selected from a drop-down menu by the user for the data in the &quot;Factors analysis chart&quot;.">Analysis!$E$8</definedName>
    <definedName name="sortingMethodTag" comment="Tag associated with the selected sorting method for the data in the &quot;Factors analysis chart&quot;. Used to simplify the formula that sorts the data according to the selected method.">INDEX(sortMenuTable[tag], MATCH(sortingMethod, sortMenuTable[label], 0))</definedName>
    <definedName name="sortMenuList" comment="List of sorting options for the &quot;Factors analysis chart&quot;. Using symbols to make it (sort of) language-independent, so the options must be described in the UI language next to the menu.">sortMenuTable[label]</definedName>
    <definedName name="UILanguage" comment="Selected language for the user interface.">Introduction!$C$5</definedName>
    <definedName name="UILanguageList" comment="List of available languages for the user interface. New languages must be added as new columns in UITranslationTable, errorMessagesTable, factorsConfigTable and chartTranslationTable, completed with all corresponding translations.">UITranslationTable[[#Headers],[English]]  :INDEX(UITranslationTable[#Headers], 1, COLUMNS(UITranslationTable[#Headers]))</definedName>
    <definedName name="versionNumber" comment="Version number of the RANAS Analyser. Set in the &quot;HiddenTables&quot; sheet and used in various places.">IFERROR(     INDEX(       manualEntryVariablesTable[value],       MATCH("versionNumber", manualEntryVariablesTable[name], 0)     ),HiddenTables!#REF!   )</definedName>
    <definedName name="yesLabel" comment="Reference to the label meaning &quot;yes&quot; in the drop-down menus of the &quot;Include?&quot; and &quot;Display?&quot; columns of the &quot;Behaviour&quot; and &quot;Factors&quot; configuration tables.  Used in UI text and conditional formatting rules.">INDEX(yesNoTable[label], MATCH("yes", yesNoTable[tag], 0))</definedName>
    <definedName name="yesNoList" comment="List of yes/no values (check mark/cross mark) used in drop-down menus in the &quot;Behaviour configuration table&quot; and &quot;Factors configuration table&quot; to include behaviour questions/factors in the behaviour score/analysis chart.">yesNoTable[label]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48" l="1"/>
  <c r="I8" i="43" l="1"/>
  <c r="I7" i="43"/>
  <c r="I6" i="43"/>
  <c r="I4" i="43"/>
  <c r="D8" i="43"/>
  <c r="B6" i="43"/>
  <c r="B4" i="43"/>
  <c r="B3" i="43"/>
  <c r="B2" i="43"/>
  <c r="H28" i="42"/>
  <c r="L66" i="43"/>
  <c r="L49" i="43"/>
  <c r="B24" i="42"/>
  <c r="G6" i="42"/>
  <c r="B5" i="42"/>
  <c r="B4" i="42"/>
  <c r="B3" i="42"/>
  <c r="B2" i="42"/>
  <c r="I74" i="39"/>
  <c r="I37" i="39"/>
  <c r="D37" i="39"/>
  <c r="C37" i="39"/>
  <c r="C33" i="39"/>
  <c r="C29" i="39"/>
  <c r="I22" i="39"/>
  <c r="H22" i="39"/>
  <c r="C21" i="39"/>
  <c r="J14" i="39"/>
  <c r="I14" i="39"/>
  <c r="H37" i="39"/>
  <c r="H14" i="39"/>
  <c r="G37" i="39"/>
  <c r="G14" i="39"/>
  <c r="F37" i="39"/>
  <c r="F14" i="39"/>
  <c r="E37" i="39"/>
  <c r="E14" i="39"/>
  <c r="D14" i="39"/>
  <c r="C14" i="39"/>
  <c r="I73" i="39"/>
  <c r="C30" i="39"/>
  <c r="C10" i="39"/>
  <c r="C71" i="39"/>
  <c r="L7" i="39"/>
  <c r="I72" i="39"/>
  <c r="C28" i="39"/>
  <c r="C8" i="39"/>
  <c r="G18" i="48"/>
  <c r="B21" i="48"/>
  <c r="B19" i="48"/>
  <c r="B18" i="48"/>
  <c r="B16" i="48"/>
  <c r="B13" i="48"/>
  <c r="B8" i="48"/>
  <c r="H5" i="48"/>
  <c r="D4" i="48"/>
  <c r="AP3" i="41" l="1"/>
  <c r="AP4" i="41"/>
  <c r="AP5" i="41"/>
  <c r="AP6" i="41"/>
  <c r="AP7" i="41"/>
  <c r="AY3" i="41" a="1"/>
  <c r="AY3" i="41" s="1"/>
  <c r="AY4" i="41" l="1" a="1"/>
  <c r="AY4" i="41" s="1"/>
  <c r="AY5" i="41" l="1" a="1"/>
  <c r="AY5" i="41" s="1"/>
  <c r="AY6" i="41" l="1" a="1"/>
  <c r="AY6" i="41" s="1"/>
  <c r="AY7" i="41" l="1" a="1"/>
  <c r="AY7" i="41" s="1"/>
  <c r="CM3" i="41" l="1" a="1"/>
  <c r="CM3" i="41" s="1"/>
  <c r="A2" i="54" a="1"/>
  <c r="A2" i="54" l="1"/>
  <c r="CM4" i="41" l="1" a="1"/>
  <c r="CM4" i="41" s="1"/>
  <c r="D4" i="54" a="1"/>
  <c r="D4" i="54" l="1"/>
  <c r="A5" i="54" a="1"/>
  <c r="A5" i="54" l="1"/>
  <c r="CM5" i="41" a="1"/>
  <c r="CM5" i="41" s="1"/>
  <c r="D5" i="54" a="1"/>
  <c r="D5" i="54" l="1"/>
  <c r="CM6" i="41" a="1"/>
  <c r="CM6" i="41" s="1"/>
  <c r="CM7" i="41" l="1" a="1"/>
  <c r="CM7" i="41" s="1"/>
  <c r="CM8" i="41" l="1" a="1"/>
  <c r="CM8" i="41" s="1"/>
  <c r="CM9" i="41" l="1" a="1"/>
  <c r="CM9" i="41" s="1"/>
  <c r="CM10" i="41" a="1"/>
  <c r="CM10" i="41" s="1"/>
  <c r="CM11" i="41" a="1"/>
  <c r="CM11" i="41" s="1"/>
  <c r="CM12" i="41" a="1"/>
  <c r="CM12" i="41" s="1"/>
  <c r="CM13" i="41" a="1"/>
  <c r="CM13" i="41" s="1"/>
  <c r="CM14" i="41" a="1"/>
  <c r="CM14" i="41" s="1"/>
  <c r="CM15" i="41" a="1"/>
  <c r="CM15" i="41" s="1"/>
  <c r="CM16" i="41" a="1"/>
  <c r="CM16" i="41" s="1"/>
  <c r="CM17" i="41" a="1"/>
  <c r="CM17" i="41" s="1"/>
  <c r="CM18" i="41" a="1"/>
  <c r="CM18" i="41" s="1"/>
  <c r="CM19" i="41" a="1"/>
  <c r="CM19" i="41" s="1"/>
  <c r="CM20" i="41" a="1"/>
  <c r="CM20" i="41" s="1"/>
  <c r="CM21" i="41" l="1" a="1"/>
  <c r="CM21" i="41" s="1"/>
  <c r="CM22" i="41" l="1" a="1"/>
  <c r="CM22" i="41" s="1"/>
  <c r="CM23" i="41" l="1" a="1"/>
  <c r="CM23" i="41" s="1"/>
  <c r="CM24" i="41" l="1" a="1"/>
  <c r="CM24" i="41" s="1"/>
  <c r="CM25" i="41" l="1" a="1"/>
  <c r="CM25" i="41" s="1"/>
  <c r="CM26" i="41" l="1" a="1"/>
  <c r="CM26" i="41" s="1"/>
  <c r="CM27" i="41" l="1" a="1"/>
  <c r="CM27" i="41" s="1"/>
  <c r="CM28" i="41" l="1" a="1"/>
  <c r="CM28" i="41" s="1"/>
  <c r="CM29" i="41" l="1" a="1"/>
  <c r="CM29" i="41" s="1"/>
  <c r="CM30" i="41" l="1" a="1"/>
  <c r="CM30" i="41" s="1"/>
  <c r="CM31" i="41" l="1" a="1"/>
  <c r="CM31" i="41" s="1"/>
  <c r="CM32" i="41" l="1" a="1"/>
  <c r="CM32" i="41" s="1"/>
  <c r="BW3" i="41" l="1" a="1"/>
  <c r="BW3" i="41" s="1"/>
  <c r="BW4" i="41" a="1"/>
  <c r="BW4" i="41" s="1"/>
  <c r="BW5" i="41" a="1"/>
  <c r="BW5" i="41" s="1"/>
  <c r="BW6" i="41" a="1"/>
  <c r="BW6" i="41" s="1"/>
  <c r="BW7" i="41" a="1"/>
  <c r="BW7" i="41" s="1"/>
  <c r="BW8" i="41" a="1"/>
  <c r="BW8" i="41" s="1"/>
  <c r="BW9" i="41" a="1"/>
  <c r="BW9" i="41" s="1"/>
  <c r="BW10" i="41" a="1"/>
  <c r="BW10" i="41" s="1"/>
  <c r="BW11" i="41" a="1"/>
  <c r="BW11" i="41" s="1"/>
  <c r="BW12" i="41" a="1"/>
  <c r="BW12" i="41" s="1"/>
  <c r="CH3" i="41" l="1" a="1"/>
  <c r="CH3" i="41" s="1"/>
  <c r="CD3" i="41" a="1"/>
  <c r="CD3" i="41" s="1"/>
  <c r="CE3" i="41" s="1"/>
  <c r="CD4" i="41" l="1" a="1"/>
  <c r="CD4" i="41" s="1"/>
  <c r="CE4" i="41" s="1"/>
  <c r="CD5" i="41" l="1" a="1"/>
  <c r="CD5" i="41" s="1"/>
  <c r="CE5" i="41" s="1"/>
  <c r="CD6" i="41" l="1" a="1"/>
  <c r="CD6" i="41" s="1"/>
  <c r="CE6" i="41" s="1"/>
  <c r="CD7" i="41" l="1" a="1"/>
  <c r="CD7" i="41" s="1"/>
  <c r="CE7" i="41" s="1"/>
  <c r="CD8" i="41" l="1" a="1"/>
  <c r="CD8" i="41" s="1"/>
  <c r="CE8" i="41" s="1"/>
  <c r="CD9" i="41" l="1" a="1"/>
  <c r="CD9" i="41" s="1"/>
  <c r="CE9" i="41" s="1"/>
  <c r="CD10" i="41" l="1" a="1"/>
  <c r="CD10" i="41" s="1"/>
  <c r="CE10" i="41" s="1"/>
  <c r="CD11" i="41" l="1" a="1"/>
  <c r="CD11" i="41" s="1"/>
  <c r="CE11" i="41" s="1"/>
  <c r="CD12" i="41" l="1" a="1"/>
  <c r="CD12" i="41" s="1"/>
  <c r="CE12" i="41" s="1"/>
  <c r="CD13" i="41" l="1" a="1"/>
  <c r="CD13" i="41" s="1"/>
  <c r="CE13" i="41" s="1"/>
  <c r="CD14" i="41" l="1" a="1"/>
  <c r="CD14" i="41" s="1"/>
  <c r="CE14" i="41" s="1"/>
  <c r="CD15" i="41" l="1" a="1"/>
  <c r="CD15" i="41" s="1"/>
  <c r="CE15" i="41" s="1"/>
  <c r="CD16" i="41" l="1" a="1"/>
  <c r="CD16" i="41" s="1"/>
  <c r="CE16" i="41" s="1"/>
  <c r="CD17" i="41" l="1" a="1"/>
  <c r="CD17" i="41" s="1"/>
  <c r="CE17" i="41" s="1"/>
  <c r="CD18" i="41" l="1" a="1"/>
  <c r="CD18" i="41" s="1"/>
  <c r="CE18" i="41" s="1"/>
  <c r="CD19" i="41" l="1" a="1"/>
  <c r="CD19" i="41" s="1"/>
  <c r="CE19" i="41" s="1"/>
  <c r="CD20" i="41" l="1" a="1"/>
  <c r="CD20" i="41" s="1"/>
  <c r="CE20" i="41" s="1"/>
  <c r="CD21" i="41" l="1" a="1"/>
  <c r="CD21" i="41" s="1"/>
  <c r="CE21" i="41" s="1"/>
  <c r="CD22" i="41" l="1" a="1"/>
  <c r="CD22" i="41" s="1"/>
  <c r="CE22" i="41" s="1"/>
  <c r="CD23" i="41" l="1" a="1"/>
  <c r="CD23" i="41" s="1"/>
  <c r="CE23" i="41" s="1"/>
  <c r="CD24" i="41" l="1" a="1"/>
  <c r="CD24" i="41" s="1"/>
  <c r="CE24" i="41" s="1"/>
  <c r="CD25" i="41" l="1" a="1"/>
  <c r="CD25" i="41" s="1"/>
  <c r="CE25" i="41" s="1"/>
  <c r="CD26" i="41" l="1" a="1"/>
  <c r="CD26" i="41" s="1"/>
  <c r="CE26" i="41" s="1"/>
  <c r="CD27" i="41" l="1" a="1"/>
  <c r="CD27" i="41" s="1"/>
  <c r="CE27" i="41" s="1"/>
  <c r="CD28" i="41" l="1" a="1"/>
  <c r="CD28" i="41" s="1"/>
  <c r="CE28" i="41" s="1"/>
  <c r="CD29" i="41" l="1" a="1"/>
  <c r="CD29" i="41" s="1"/>
  <c r="CE29" i="41" s="1"/>
  <c r="CD30" i="41" l="1" a="1"/>
  <c r="CD30" i="41" s="1"/>
  <c r="CE30" i="41" s="1"/>
  <c r="CD31" i="41" l="1" a="1"/>
  <c r="CD31" i="41" s="1"/>
  <c r="CE31" i="41" s="1"/>
  <c r="CD32" i="41" l="1" a="1"/>
  <c r="CD32" i="41" s="1"/>
  <c r="CE32" i="41" s="1"/>
  <c r="CD33" i="41" l="1" a="1"/>
  <c r="CD33" i="41" s="1"/>
  <c r="CE33" i="41" s="1"/>
  <c r="CD34" i="41" a="1"/>
  <c r="CD34" i="41" s="1"/>
  <c r="CE34" i="41" s="1"/>
  <c r="CD35" i="41" a="1"/>
  <c r="CD35" i="41" s="1"/>
  <c r="CE35" i="41" s="1"/>
  <c r="CD36" i="41" a="1"/>
  <c r="CD36" i="41" s="1"/>
  <c r="CE36" i="41" s="1"/>
  <c r="CD37" i="41" a="1"/>
  <c r="CD37" i="41" s="1"/>
  <c r="CE37" i="41" s="1"/>
  <c r="CD38" i="41" a="1"/>
  <c r="CD38" i="41" s="1"/>
  <c r="CE38" i="41" s="1"/>
  <c r="CD39" i="41" a="1"/>
  <c r="CD39" i="41" s="1"/>
  <c r="CE39" i="41" s="1"/>
  <c r="CD40" i="41" a="1"/>
  <c r="CD40" i="41" s="1"/>
  <c r="CE40" i="41" s="1"/>
  <c r="CD41" i="41" a="1"/>
  <c r="CD41" i="41" s="1"/>
  <c r="CE41" i="41" s="1"/>
  <c r="CD42" i="41" a="1"/>
  <c r="CD42" i="41" s="1"/>
  <c r="CE42" i="41" s="1"/>
  <c r="CD43" i="41" a="1"/>
  <c r="CD43" i="41" s="1"/>
  <c r="CE43" i="41" s="1"/>
  <c r="CD44" i="41" a="1"/>
  <c r="CD44" i="41" s="1"/>
  <c r="CE44" i="41" s="1"/>
  <c r="CD45" i="41" a="1"/>
  <c r="CD45" i="41" s="1"/>
  <c r="CE45" i="41" s="1"/>
  <c r="CD46" i="41" a="1"/>
  <c r="CD46" i="41" s="1"/>
  <c r="CE46" i="41" s="1"/>
  <c r="CD47" i="41" a="1"/>
  <c r="CD47" i="41" s="1"/>
  <c r="CE47" i="41" s="1"/>
  <c r="CD48" i="41" a="1"/>
  <c r="CD48" i="41" s="1"/>
  <c r="CE48" i="41" s="1"/>
  <c r="CD49" i="41" a="1"/>
  <c r="CD49" i="41" s="1"/>
  <c r="CE49" i="41" s="1"/>
  <c r="CD50" i="41" a="1"/>
  <c r="CD50" i="41" s="1"/>
  <c r="CE50" i="41" s="1"/>
  <c r="CD51" i="41" a="1"/>
  <c r="CD51" i="41" s="1"/>
  <c r="CE51" i="41" s="1"/>
  <c r="CD52" i="41" a="1"/>
  <c r="CD52" i="41" s="1"/>
  <c r="CE52" i="41" s="1"/>
  <c r="CD53" i="41" a="1"/>
  <c r="CD53" i="41" s="1"/>
  <c r="CE53" i="41" s="1"/>
  <c r="CD54" i="41" a="1"/>
  <c r="CD54" i="41" s="1"/>
  <c r="CE54" i="41" s="1"/>
  <c r="CD55" i="41" a="1"/>
  <c r="CD55" i="41" s="1"/>
  <c r="CE55" i="41" s="1"/>
  <c r="CD56" i="41" a="1"/>
  <c r="CD56" i="41" s="1"/>
  <c r="CE56" i="41" s="1"/>
  <c r="CD57" i="41" a="1"/>
  <c r="CD57" i="41" s="1"/>
  <c r="CE57" i="41" s="1"/>
  <c r="CD58" i="41" a="1"/>
  <c r="CD58" i="41" s="1"/>
  <c r="CE58" i="41" s="1"/>
  <c r="CD59" i="41" a="1"/>
  <c r="CD59" i="41" s="1"/>
  <c r="CE59" i="41" s="1"/>
  <c r="CD60" i="41" a="1"/>
  <c r="CD60" i="41" s="1"/>
  <c r="CE60" i="41" s="1"/>
  <c r="CD61" i="41" a="1"/>
  <c r="CD61" i="41" s="1"/>
  <c r="CE61" i="41" s="1"/>
  <c r="CD62" i="41" a="1"/>
  <c r="CD62" i="41" s="1"/>
  <c r="CE62" i="41" s="1"/>
  <c r="CD63" i="41" a="1"/>
  <c r="CD63" i="41" s="1"/>
  <c r="CE63" i="41" s="1"/>
  <c r="CD64" i="41" a="1"/>
  <c r="CD64" i="41" s="1"/>
  <c r="CE64" i="41" s="1"/>
  <c r="CD65" i="41" a="1"/>
  <c r="CD65" i="41" s="1"/>
  <c r="CE65" i="41" s="1"/>
  <c r="CD66" i="41" a="1"/>
  <c r="CD66" i="41" s="1"/>
  <c r="CE66" i="41" s="1"/>
  <c r="CD67" i="41" a="1"/>
  <c r="CD67" i="41" s="1"/>
  <c r="CE67" i="41" s="1"/>
  <c r="CD68" i="41" a="1"/>
  <c r="CD68" i="41" s="1"/>
  <c r="CE68" i="41" s="1"/>
  <c r="CD69" i="41" a="1"/>
  <c r="CD69" i="41" s="1"/>
  <c r="CE69" i="41" s="1"/>
  <c r="CD70" i="41" a="1"/>
  <c r="CD70" i="41" s="1"/>
  <c r="CE70" i="41" s="1"/>
  <c r="CD71" i="41" a="1"/>
  <c r="CD71" i="41" s="1"/>
  <c r="CE71" i="41" s="1"/>
  <c r="CD72" i="41" a="1"/>
  <c r="CD72" i="41" s="1"/>
  <c r="CE72" i="41" s="1"/>
  <c r="CD73" i="41" a="1"/>
  <c r="CD73" i="41" s="1"/>
  <c r="CE73" i="41" s="1"/>
  <c r="CD74" i="41" a="1"/>
  <c r="CD74" i="41" s="1"/>
  <c r="CE74" i="41" s="1"/>
  <c r="CD75" i="41" a="1"/>
  <c r="CD75" i="41" s="1"/>
  <c r="CE75" i="41" s="1"/>
  <c r="CD76" i="41" a="1"/>
  <c r="CD76" i="41" s="1"/>
  <c r="CE76" i="41" s="1"/>
  <c r="CD77" i="41" a="1"/>
  <c r="CD77" i="41" s="1"/>
  <c r="CE77" i="41" s="1"/>
  <c r="CD78" i="41" a="1"/>
  <c r="CD78" i="41" s="1"/>
  <c r="CE78" i="41" s="1"/>
  <c r="CD79" i="41" a="1"/>
  <c r="CD79" i="41" s="1"/>
  <c r="CE79" i="41" s="1"/>
  <c r="CD80" i="41" a="1"/>
  <c r="CD80" i="41" s="1"/>
  <c r="CE80" i="41" s="1"/>
  <c r="CD81" i="41" a="1"/>
  <c r="CD81" i="41" s="1"/>
  <c r="CE81" i="41" s="1"/>
  <c r="CD82" i="41" a="1"/>
  <c r="CD82" i="41" s="1"/>
  <c r="CE82" i="41" s="1"/>
  <c r="CD83" i="41" a="1"/>
  <c r="CD83" i="41" s="1"/>
  <c r="CE83" i="41" s="1"/>
  <c r="CD84" i="41" a="1"/>
  <c r="CD84" i="41" s="1"/>
  <c r="CE84" i="41" s="1"/>
  <c r="CD85" i="41" a="1"/>
  <c r="CD85" i="41" s="1"/>
  <c r="CE85" i="41" s="1"/>
  <c r="CD86" i="41" a="1"/>
  <c r="CD86" i="41" s="1"/>
  <c r="CE86" i="41" s="1"/>
  <c r="CD87" i="41" a="1"/>
  <c r="CD87" i="41" s="1"/>
  <c r="CE87" i="41" s="1"/>
  <c r="CD88" i="41" a="1"/>
  <c r="CD88" i="41" s="1"/>
  <c r="CE88" i="41" s="1"/>
  <c r="CD89" i="41" a="1"/>
  <c r="CD89" i="41" s="1"/>
  <c r="CE89" i="41" s="1"/>
  <c r="CD90" i="41" a="1"/>
  <c r="CD90" i="41" s="1"/>
  <c r="CE90" i="41" s="1"/>
  <c r="CD91" i="41" a="1"/>
  <c r="CD91" i="41" s="1"/>
  <c r="CE91" i="41" s="1"/>
  <c r="CD92" i="41" a="1"/>
  <c r="CD92" i="41" s="1"/>
  <c r="CE92" i="41" s="1"/>
  <c r="CD93" i="41" a="1"/>
  <c r="CD93" i="41" s="1"/>
  <c r="CE93" i="41" s="1"/>
  <c r="CD94" i="41" a="1"/>
  <c r="CD94" i="41" s="1"/>
  <c r="CE94" i="41" s="1"/>
  <c r="CD95" i="41" a="1"/>
  <c r="CD95" i="41" s="1"/>
  <c r="CE95" i="41" s="1"/>
  <c r="CD96" i="41" a="1"/>
  <c r="CD96" i="41" s="1"/>
  <c r="CE96" i="41" s="1"/>
  <c r="CD97" i="41" a="1"/>
  <c r="CD97" i="41" s="1"/>
  <c r="CE97" i="41" s="1"/>
  <c r="CD98" i="41" a="1"/>
  <c r="CD98" i="41" s="1"/>
  <c r="CE98" i="41" s="1"/>
  <c r="CD99" i="41" a="1"/>
  <c r="CD99" i="41" s="1"/>
  <c r="CE99" i="41" s="1"/>
  <c r="CD100" i="41" a="1"/>
  <c r="CD100" i="41" s="1"/>
  <c r="CE100" i="41" s="1"/>
  <c r="CD101" i="41" a="1"/>
  <c r="CD101" i="41" s="1"/>
  <c r="CE101" i="41" s="1"/>
  <c r="CD102" i="41" a="1"/>
  <c r="CD102" i="41" s="1"/>
  <c r="CE102" i="41" s="1"/>
  <c r="CD103" i="41" a="1"/>
  <c r="CD103" i="41" s="1"/>
  <c r="CE103" i="41" s="1"/>
  <c r="E3" i="41" a="1"/>
  <c r="E3" i="41" s="1"/>
  <c r="J3" i="41" a="1"/>
  <c r="J3" i="41" s="1"/>
  <c r="L3" i="41" a="1"/>
  <c r="L3" i="41" s="1"/>
  <c r="S3" i="41" a="1"/>
  <c r="S3" i="41" s="1"/>
  <c r="W3" i="41" a="1"/>
  <c r="W3" i="41" s="1"/>
  <c r="AD3" i="41" a="1"/>
  <c r="AD3" i="41" s="1"/>
  <c r="AJ3" i="41" a="1"/>
  <c r="AJ3" i="41" s="1"/>
  <c r="AN3" i="41" a="1"/>
  <c r="AN3" i="41" s="1"/>
  <c r="AS3" i="41" a="1"/>
  <c r="AS3" i="41" s="1"/>
  <c r="N3" i="41" a="1"/>
  <c r="M3" i="41" a="1"/>
  <c r="N3" i="41" l="1"/>
  <c r="M3" i="41"/>
  <c r="E4" i="41" l="1" a="1"/>
  <c r="E4" i="41" s="1"/>
  <c r="J4" i="41" a="1"/>
  <c r="J4" i="41" s="1"/>
  <c r="L4" i="41" a="1"/>
  <c r="L4" i="41" l="1"/>
  <c r="M4" i="41" a="1"/>
  <c r="M4" i="41" s="1"/>
  <c r="N4" i="41" a="1"/>
  <c r="N4" i="41" s="1"/>
  <c r="S4" i="41" a="1"/>
  <c r="S4" i="41" s="1"/>
  <c r="W4" i="41" a="1"/>
  <c r="W4" i="41" s="1"/>
  <c r="AD4" i="41" a="1"/>
  <c r="AD4" i="41" s="1"/>
  <c r="AJ4" i="41" a="1"/>
  <c r="AJ4" i="41" s="1"/>
  <c r="AN4" i="41" a="1"/>
  <c r="AN4" i="41" s="1"/>
  <c r="AS4" i="41" a="1"/>
  <c r="AS4" i="41" s="1"/>
  <c r="E5" i="41" l="1" a="1"/>
  <c r="E5" i="41" s="1"/>
  <c r="J5" i="41" a="1"/>
  <c r="J5" i="41" s="1"/>
  <c r="L5" i="41" a="1"/>
  <c r="L5" i="41" l="1"/>
  <c r="M5" i="41" a="1"/>
  <c r="M5" i="41" s="1"/>
  <c r="N5" i="41" a="1"/>
  <c r="N5" i="41" s="1"/>
  <c r="S5" i="41" a="1"/>
  <c r="S5" i="41" s="1"/>
  <c r="W5" i="41" a="1"/>
  <c r="W5" i="41" s="1"/>
  <c r="AD5" i="41" a="1"/>
  <c r="AD5" i="41" s="1"/>
  <c r="AN5" i="41" a="1"/>
  <c r="AN5" i="41" s="1"/>
  <c r="AS5" i="41" a="1"/>
  <c r="AS5" i="41" s="1"/>
  <c r="AE5" i="41" l="1" a="1"/>
  <c r="AE5" i="41" s="1"/>
  <c r="AF5" i="41" s="1"/>
  <c r="E6" i="41" a="1"/>
  <c r="E6" i="41" s="1"/>
  <c r="J6" i="41" a="1"/>
  <c r="J6" i="41" s="1"/>
  <c r="L6" i="41" a="1"/>
  <c r="L6" i="41" l="1"/>
  <c r="M6" i="41" a="1"/>
  <c r="M6" i="41" s="1"/>
  <c r="N6" i="41" a="1"/>
  <c r="N6" i="41" s="1"/>
  <c r="S6" i="41" a="1"/>
  <c r="S6" i="41" s="1"/>
  <c r="W6" i="41" a="1"/>
  <c r="W6" i="41" s="1"/>
  <c r="AD6" i="41" a="1"/>
  <c r="AD6" i="41" s="1"/>
  <c r="AN6" i="41" a="1"/>
  <c r="AN6" i="41" s="1"/>
  <c r="AS6" i="41" a="1"/>
  <c r="AS6" i="41" s="1"/>
  <c r="AE6" i="41" l="1" a="1"/>
  <c r="AE6" i="41" s="1"/>
  <c r="AF6" i="41" s="1"/>
  <c r="E7" i="41" a="1"/>
  <c r="E7" i="41" s="1"/>
  <c r="J7" i="41" a="1"/>
  <c r="J7" i="41" s="1"/>
  <c r="M7" i="41" a="1"/>
  <c r="M7" i="41" s="1"/>
  <c r="N7" i="41" a="1"/>
  <c r="N7" i="41" s="1"/>
  <c r="S7" i="41" a="1"/>
  <c r="S7" i="41" s="1"/>
  <c r="W7" i="41" a="1"/>
  <c r="W7" i="41" s="1"/>
  <c r="AD7" i="41" a="1"/>
  <c r="AD7" i="41" s="1"/>
  <c r="AN7" i="41" a="1"/>
  <c r="AN7" i="41" s="1"/>
  <c r="AE7" i="41" l="1" a="1"/>
  <c r="AE7" i="41" s="1"/>
  <c r="AF7" i="41" s="1"/>
  <c r="E8" i="41" a="1"/>
  <c r="E8" i="41" s="1"/>
  <c r="J8" i="41" a="1"/>
  <c r="J8" i="41" s="1"/>
  <c r="S8" i="41" l="1" a="1"/>
  <c r="S8" i="41" s="1"/>
  <c r="W8" i="41" a="1"/>
  <c r="W8" i="41" s="1"/>
  <c r="E9" i="41" a="1"/>
  <c r="E9" i="41" s="1"/>
  <c r="G9" i="41" a="1"/>
  <c r="G9" i="41" l="1"/>
  <c r="J4" i="48" s="1"/>
  <c r="H9" i="41" a="1"/>
  <c r="H9" i="41" l="1"/>
  <c r="J9" i="41" a="1"/>
  <c r="J9" i="41" s="1"/>
  <c r="M9" i="41" l="1" a="1"/>
  <c r="M9" i="41" s="1"/>
  <c r="N9" i="41" a="1"/>
  <c r="N9" i="41" s="1"/>
  <c r="S9" i="41" a="1"/>
  <c r="S9" i="41" s="1"/>
  <c r="W9" i="41" a="1"/>
  <c r="W9" i="41" s="1"/>
  <c r="E10" i="41" a="1"/>
  <c r="E10" i="41" s="1"/>
  <c r="J10" i="41" a="1"/>
  <c r="J10" i="41" s="1"/>
  <c r="W10" i="41" l="1" a="1"/>
  <c r="W10" i="41" s="1"/>
  <c r="E11" i="41" a="1"/>
  <c r="E11" i="41" s="1"/>
  <c r="G11" i="41"/>
  <c r="B9" i="48" s="1"/>
  <c r="H11" i="41"/>
  <c r="J11" i="41" a="1"/>
  <c r="J11" i="41" s="1"/>
  <c r="M11" i="41" a="1"/>
  <c r="M11" i="41" s="1"/>
  <c r="N11" i="41" a="1"/>
  <c r="N11" i="41" s="1"/>
  <c r="E12" i="41" a="1"/>
  <c r="E12" i="41" s="1"/>
  <c r="G12" i="41" a="1"/>
  <c r="G12" i="41" l="1"/>
  <c r="B10" i="48" s="1"/>
  <c r="H12" i="41" a="1"/>
  <c r="H12" i="41" l="1"/>
  <c r="J12" i="41" a="1"/>
  <c r="J12" i="41" s="1"/>
  <c r="M12" i="41" a="1"/>
  <c r="M12" i="41" s="1"/>
  <c r="N12" i="41" a="1"/>
  <c r="N12" i="41" s="1"/>
  <c r="E13" i="41" a="1"/>
  <c r="E13" i="41" s="1"/>
  <c r="J13" i="41" a="1"/>
  <c r="J13" i="41" s="1"/>
  <c r="E14" i="41" a="1"/>
  <c r="E14" i="41" s="1"/>
  <c r="J14" i="41" a="1"/>
  <c r="J14" i="41" s="1"/>
  <c r="M14" i="41" a="1"/>
  <c r="M14" i="41" s="1"/>
  <c r="N14" i="41" a="1"/>
  <c r="N14" i="41" s="1"/>
  <c r="E15" i="41" a="1"/>
  <c r="E15" i="41" s="1"/>
  <c r="J15" i="41" a="1"/>
  <c r="J15" i="41" s="1"/>
  <c r="E16" i="41" a="1"/>
  <c r="E16" i="41" s="1"/>
  <c r="J16" i="41" a="1"/>
  <c r="J16" i="41" s="1"/>
  <c r="M16" i="41" a="1"/>
  <c r="M16" i="41" s="1"/>
  <c r="N16" i="41" a="1"/>
  <c r="N16" i="41" s="1"/>
  <c r="W11" i="41" a="1"/>
  <c r="W11" i="41" s="1"/>
  <c r="E17" i="41" a="1"/>
  <c r="E17" i="41" s="1"/>
  <c r="J17" i="41" a="1"/>
  <c r="J17" i="41" s="1"/>
  <c r="M17" i="41" a="1"/>
  <c r="G13" i="41" a="1"/>
  <c r="H13" i="41" a="1"/>
  <c r="G13" i="41" l="1"/>
  <c r="B11" i="48" s="1"/>
  <c r="H13" i="41"/>
  <c r="M17" i="41"/>
  <c r="W12" i="41" a="1"/>
  <c r="W12" i="41" s="1"/>
  <c r="E18" i="41" a="1"/>
  <c r="E18" i="41" s="1"/>
  <c r="J18" i="41" a="1"/>
  <c r="J18" i="41" s="1"/>
  <c r="W13" i="41" a="1"/>
  <c r="W13" i="41" s="1"/>
  <c r="E19" i="41" a="1"/>
  <c r="E19" i="41" s="1"/>
  <c r="J19" i="41" a="1"/>
  <c r="J19" i="41" s="1"/>
  <c r="W14" i="41" a="1"/>
  <c r="W14" i="41" s="1"/>
  <c r="E20" i="41" a="1"/>
  <c r="E20" i="41" s="1"/>
  <c r="G20" i="41"/>
  <c r="H19" i="48" s="1"/>
  <c r="H20" i="41"/>
  <c r="J20" i="41" a="1"/>
  <c r="J20" i="41" s="1"/>
  <c r="W15" i="41" a="1"/>
  <c r="W15" i="41" s="1"/>
  <c r="E21" i="41" a="1"/>
  <c r="E21" i="41" s="1"/>
  <c r="J21" i="41" a="1"/>
  <c r="J21" i="41" s="1"/>
  <c r="M21" i="41" a="1"/>
  <c r="M21" i="41" s="1"/>
  <c r="N21" i="41" a="1"/>
  <c r="N21" i="41" s="1"/>
  <c r="W16" i="41" a="1"/>
  <c r="W16" i="41" s="1"/>
  <c r="E22" i="41" a="1"/>
  <c r="E22" i="41" s="1"/>
  <c r="J22" i="41" a="1"/>
  <c r="J22" i="41" s="1"/>
  <c r="N17" i="41" a="1"/>
  <c r="L21" i="41" a="1"/>
  <c r="L22" i="41" a="1"/>
  <c r="L21" i="41" l="1"/>
  <c r="N17" i="41"/>
  <c r="L22" i="41"/>
  <c r="W17" i="41" a="1"/>
  <c r="W17" i="41" s="1"/>
  <c r="E23" i="41" a="1"/>
  <c r="E23" i="41" s="1"/>
  <c r="G23" i="41"/>
  <c r="C2" i="39" s="1"/>
  <c r="H23" i="41"/>
  <c r="W18" i="41" a="1"/>
  <c r="W18" i="41" s="1"/>
  <c r="E24" i="41" a="1"/>
  <c r="E24" i="41" s="1"/>
  <c r="G24" i="41"/>
  <c r="C3" i="39" s="1"/>
  <c r="H24" i="41"/>
  <c r="W19" i="41" a="1"/>
  <c r="W19" i="41" s="1"/>
  <c r="E25" i="41" a="1"/>
  <c r="E25" i="41" s="1"/>
  <c r="G25" i="41" a="1"/>
  <c r="G25" i="41" s="1"/>
  <c r="C4" i="39" s="1"/>
  <c r="H25" i="41" a="1"/>
  <c r="H25" i="41" s="1"/>
  <c r="W20" i="41" a="1"/>
  <c r="W20" i="41" s="1"/>
  <c r="E26" i="41" a="1"/>
  <c r="E26" i="41" s="1"/>
  <c r="G26" i="41" a="1"/>
  <c r="G26" i="41" s="1"/>
  <c r="C5" i="39" s="1"/>
  <c r="H26" i="41" a="1"/>
  <c r="H26" i="41" s="1"/>
  <c r="W21" i="41" a="1"/>
  <c r="W21" i="41" s="1"/>
  <c r="E27" i="41" a="1"/>
  <c r="E27" i="41" s="1"/>
  <c r="G27" i="41"/>
  <c r="H27" i="41"/>
  <c r="H49" i="41" s="1"/>
  <c r="W22" i="41" a="1"/>
  <c r="W22" i="41" s="1"/>
  <c r="E28" i="41" a="1"/>
  <c r="E28" i="41" s="1"/>
  <c r="W23" i="41" a="1"/>
  <c r="W23" i="41" s="1"/>
  <c r="E29" i="41" a="1"/>
  <c r="E29" i="41" s="1"/>
  <c r="G29" i="41"/>
  <c r="C9" i="39" s="1"/>
  <c r="W24" i="41" a="1"/>
  <c r="W24" i="41" s="1"/>
  <c r="E30" i="41" a="1"/>
  <c r="E30" i="41" s="1"/>
  <c r="W25" i="41" a="1"/>
  <c r="W25" i="41" s="1"/>
  <c r="E31" i="41" a="1"/>
  <c r="E31" i="41" s="1"/>
  <c r="G31" i="41" a="1"/>
  <c r="G31" i="41" s="1"/>
  <c r="C11" i="39" s="1"/>
  <c r="H31" i="41" a="1"/>
  <c r="H31" i="41" s="1"/>
  <c r="E32" i="41" a="1"/>
  <c r="E32" i="41" s="1"/>
  <c r="G32" i="41"/>
  <c r="C12" i="39" s="1"/>
  <c r="H32" i="41"/>
  <c r="E33" i="41" a="1"/>
  <c r="E33" i="41" s="1"/>
  <c r="G33" i="41" a="1"/>
  <c r="G33" i="41" s="1"/>
  <c r="C13" i="39" s="1"/>
  <c r="H33" i="41" a="1"/>
  <c r="H33" i="41" s="1"/>
  <c r="E34" i="41" a="1"/>
  <c r="E34" i="41" s="1"/>
  <c r="W26" i="41" a="1"/>
  <c r="W26" i="41" s="1"/>
  <c r="E35" i="41" a="1"/>
  <c r="E35" i="41" s="1"/>
  <c r="W27" i="41" a="1"/>
  <c r="W27" i="41" s="1"/>
  <c r="E36" i="41" a="1"/>
  <c r="E36" i="41" s="1"/>
  <c r="W28" i="41" a="1"/>
  <c r="W28" i="41" s="1"/>
  <c r="E37" i="41" a="1"/>
  <c r="E37" i="41" s="1"/>
  <c r="W29" i="41" a="1"/>
  <c r="W29" i="41" s="1"/>
  <c r="E38" i="41" a="1"/>
  <c r="E38" i="41" s="1"/>
  <c r="W30" i="41" a="1"/>
  <c r="W30" i="41" s="1"/>
  <c r="E39" i="41" a="1"/>
  <c r="E39" i="41" s="1"/>
  <c r="W31" i="41" a="1"/>
  <c r="W31" i="41" s="1"/>
  <c r="E40" i="41" a="1"/>
  <c r="E40" i="41" s="1"/>
  <c r="W32" i="41" a="1"/>
  <c r="W32" i="41" s="1"/>
  <c r="E41" i="41" a="1"/>
  <c r="E41" i="41" s="1"/>
  <c r="W33" i="41" a="1"/>
  <c r="W33" i="41" s="1"/>
  <c r="E42" i="41" a="1"/>
  <c r="E42" i="41" s="1"/>
  <c r="W34" i="41" a="1"/>
  <c r="W34" i="41" s="1"/>
  <c r="E43" i="41" a="1"/>
  <c r="E43" i="41" s="1"/>
  <c r="W35" i="41" a="1"/>
  <c r="W35" i="41" s="1"/>
  <c r="E44" i="41" a="1"/>
  <c r="E44" i="41" s="1"/>
  <c r="E45" i="41" a="1"/>
  <c r="E45" i="41" s="1"/>
  <c r="W36" i="41" a="1"/>
  <c r="W36" i="41" s="1"/>
  <c r="E46" i="41" a="1"/>
  <c r="E46" i="41" s="1"/>
  <c r="G46" i="41"/>
  <c r="C27" i="39" s="1"/>
  <c r="H46" i="41"/>
  <c r="E47" i="41" a="1"/>
  <c r="E47" i="41" s="1"/>
  <c r="E48" i="41" a="1"/>
  <c r="E48" i="41" s="1"/>
  <c r="G48" i="41" a="1"/>
  <c r="G48" i="41" s="1"/>
  <c r="C31" i="39" s="1"/>
  <c r="H48" i="41" a="1"/>
  <c r="H48" i="41" s="1"/>
  <c r="W37" i="41" a="1"/>
  <c r="W37" i="41" s="1"/>
  <c r="E49" i="41" a="1"/>
  <c r="E49" i="41" s="1"/>
  <c r="W38" i="41" a="1"/>
  <c r="W38" i="41" s="1"/>
  <c r="E50" i="41" a="1"/>
  <c r="E50" i="41" s="1"/>
  <c r="W39" i="41" a="1"/>
  <c r="W39" i="41" s="1"/>
  <c r="E51" i="41" a="1"/>
  <c r="E51" i="41" s="1"/>
  <c r="G51" i="41" a="1"/>
  <c r="G51" i="41" s="1"/>
  <c r="C34" i="39" s="1"/>
  <c r="H51" i="41" a="1"/>
  <c r="H51" i="41" s="1"/>
  <c r="W40" i="41" a="1"/>
  <c r="W40" i="41" s="1"/>
  <c r="E52" i="41" a="1"/>
  <c r="E52" i="41" s="1"/>
  <c r="W41" i="41" a="1"/>
  <c r="W41" i="41" s="1"/>
  <c r="E53" i="41" a="1"/>
  <c r="E53" i="41" s="1"/>
  <c r="W42" i="41" a="1"/>
  <c r="W42" i="41" s="1"/>
  <c r="E54" i="41" a="1"/>
  <c r="E54" i="41" s="1"/>
  <c r="W43" i="41" a="1"/>
  <c r="W43" i="41" s="1"/>
  <c r="E55" i="41" a="1"/>
  <c r="E55" i="41" s="1"/>
  <c r="W44" i="41" a="1"/>
  <c r="W44" i="41" s="1"/>
  <c r="E56" i="41" a="1"/>
  <c r="E56" i="41" s="1"/>
  <c r="W45" i="41" a="1"/>
  <c r="W45" i="41" s="1"/>
  <c r="E57" i="41" a="1"/>
  <c r="E57" i="41" s="1"/>
  <c r="G57" i="41"/>
  <c r="I71" i="39" s="1"/>
  <c r="H57" i="41"/>
  <c r="W46" i="41" a="1"/>
  <c r="W46" i="41" s="1"/>
  <c r="E58" i="41" a="1"/>
  <c r="E58" i="41" s="1"/>
  <c r="W47" i="41" a="1"/>
  <c r="W47" i="41" s="1"/>
  <c r="E59" i="41" a="1"/>
  <c r="E59" i="41" s="1"/>
  <c r="W48" i="41" a="1"/>
  <c r="W48" i="41" s="1"/>
  <c r="E60" i="41" a="1"/>
  <c r="E60" i="41" s="1"/>
  <c r="W49" i="41" a="1"/>
  <c r="W49" i="41" s="1"/>
  <c r="E61" i="41" a="1"/>
  <c r="E61" i="41" s="1"/>
  <c r="W50" i="41" a="1"/>
  <c r="W50" i="41" s="1"/>
  <c r="E62" i="41" a="1"/>
  <c r="E62" i="41" s="1"/>
  <c r="W51" i="41" a="1"/>
  <c r="W51" i="41" s="1"/>
  <c r="E63" i="41" a="1"/>
  <c r="E63" i="41" s="1"/>
  <c r="W52" i="41" a="1"/>
  <c r="W52" i="41" s="1"/>
  <c r="E64" i="41" a="1"/>
  <c r="E64" i="41" s="1"/>
  <c r="W53" i="41" a="1"/>
  <c r="W53" i="41" s="1"/>
  <c r="E65" i="41" a="1"/>
  <c r="E65" i="41" s="1"/>
  <c r="W54" i="41" a="1"/>
  <c r="W54" i="41" s="1"/>
  <c r="E66" i="41" a="1"/>
  <c r="E66" i="41" s="1"/>
  <c r="W55" i="41" a="1"/>
  <c r="W55" i="41" s="1"/>
  <c r="E67" i="41" a="1"/>
  <c r="E67" i="41" s="1"/>
  <c r="W56" i="41" a="1"/>
  <c r="W56" i="41" s="1"/>
  <c r="E68" i="41" a="1"/>
  <c r="E68" i="41" s="1"/>
  <c r="W57" i="41" a="1"/>
  <c r="W57" i="41" s="1"/>
  <c r="E69" i="41" a="1"/>
  <c r="E69" i="41" s="1"/>
  <c r="W58" i="41" a="1"/>
  <c r="W58" i="41" s="1"/>
  <c r="E70" i="41" a="1"/>
  <c r="E70" i="41" s="1"/>
  <c r="W59" i="41" a="1"/>
  <c r="W59" i="41" s="1"/>
  <c r="Z59" i="41" a="1"/>
  <c r="Z59" i="41" s="1"/>
  <c r="E71" i="41" a="1"/>
  <c r="E71" i="41" s="1"/>
  <c r="E72" i="41" a="1"/>
  <c r="E72" i="41" s="1"/>
  <c r="W60" i="41" a="1"/>
  <c r="W60" i="41" s="1"/>
  <c r="E73" i="41" a="1"/>
  <c r="E73" i="41" s="1"/>
  <c r="W61" i="41" a="1"/>
  <c r="W61" i="41" s="1"/>
  <c r="E74" i="41" a="1"/>
  <c r="E74" i="41" s="1"/>
  <c r="W62" i="41" a="1"/>
  <c r="W62" i="41" s="1"/>
  <c r="E75" i="41" a="1"/>
  <c r="E75" i="41" s="1"/>
  <c r="W63" i="41" a="1"/>
  <c r="W63" i="41" s="1"/>
  <c r="E76" i="41" a="1"/>
  <c r="E76" i="41" s="1"/>
  <c r="W64" i="41" a="1"/>
  <c r="W64" i="41" s="1"/>
  <c r="E77" i="41" a="1"/>
  <c r="E77" i="41" s="1"/>
  <c r="W65" i="41" a="1"/>
  <c r="W65" i="41" s="1"/>
  <c r="E78" i="41" a="1"/>
  <c r="E78" i="41" s="1"/>
  <c r="W66" i="41" a="1"/>
  <c r="W66" i="41" s="1"/>
  <c r="Z66" i="41" a="1"/>
  <c r="Z66" i="41" s="1"/>
  <c r="E79" i="41" a="1"/>
  <c r="E79" i="41" s="1"/>
  <c r="W67" i="41" a="1"/>
  <c r="W67" i="41" s="1"/>
  <c r="E80" i="41" a="1"/>
  <c r="E80" i="41" s="1"/>
  <c r="W68" i="41" a="1"/>
  <c r="W68" i="41" s="1"/>
  <c r="Z68" i="41" a="1"/>
  <c r="Z68" i="41" s="1"/>
  <c r="E81" i="41" a="1"/>
  <c r="E81" i="41" s="1"/>
  <c r="W69" i="41" a="1"/>
  <c r="W69" i="41" s="1"/>
  <c r="E82" i="41" a="1"/>
  <c r="E82" i="41" s="1"/>
  <c r="W70" i="41" a="1"/>
  <c r="W70" i="41" s="1"/>
  <c r="E83" i="41" a="1"/>
  <c r="E83" i="41" s="1"/>
  <c r="W71" i="41" a="1"/>
  <c r="W71" i="41" s="1"/>
  <c r="E84" i="41" a="1"/>
  <c r="E84" i="41" s="1"/>
  <c r="G84" i="41" a="1"/>
  <c r="G84" i="41" s="1"/>
  <c r="H84" i="41" a="1"/>
  <c r="H84" i="41" s="1"/>
  <c r="W72" i="41" a="1"/>
  <c r="W72" i="41" s="1"/>
  <c r="E85" i="41" a="1"/>
  <c r="E85" i="41" s="1"/>
  <c r="W73" i="41" a="1"/>
  <c r="W73" i="41" s="1"/>
  <c r="E86" i="41" a="1"/>
  <c r="E86" i="41" s="1"/>
  <c r="G86" i="41" a="1"/>
  <c r="G86" i="41" s="1"/>
  <c r="H86" i="41" a="1"/>
  <c r="H86" i="41" s="1"/>
  <c r="W74" i="41" a="1"/>
  <c r="W74" i="41" s="1"/>
  <c r="E87" i="41" a="1"/>
  <c r="E87" i="41" s="1"/>
  <c r="W75" i="41" a="1"/>
  <c r="W75" i="41" s="1"/>
  <c r="E88" i="41" a="1"/>
  <c r="E88" i="41" s="1"/>
  <c r="G88" i="41" a="1"/>
  <c r="G88" i="41" s="1"/>
  <c r="H88" i="41" a="1"/>
  <c r="H88" i="41" s="1"/>
  <c r="W76" i="41" a="1"/>
  <c r="W76" i="41" s="1"/>
  <c r="E89" i="41" a="1"/>
  <c r="E89" i="41" s="1"/>
  <c r="W77" i="41" a="1"/>
  <c r="W77" i="41" s="1"/>
  <c r="E90" i="41" a="1"/>
  <c r="E90" i="41" s="1"/>
  <c r="G90" i="41" a="1"/>
  <c r="G90" i="41" s="1"/>
  <c r="H90" i="41" a="1"/>
  <c r="H90" i="41" s="1"/>
  <c r="W78" i="41" a="1"/>
  <c r="W78" i="41" s="1"/>
  <c r="Z78" i="41" a="1"/>
  <c r="Z78" i="41" s="1"/>
  <c r="E91" i="41" a="1"/>
  <c r="E91" i="41" s="1"/>
  <c r="W79" i="41" a="1"/>
  <c r="W79" i="41" s="1"/>
  <c r="Z79" i="41" a="1"/>
  <c r="Z79" i="41" s="1"/>
  <c r="E92" i="41" a="1"/>
  <c r="E92" i="41" s="1"/>
  <c r="W80" i="41" a="1"/>
  <c r="W80" i="41" s="1"/>
  <c r="E93" i="41" a="1"/>
  <c r="E93" i="41" s="1"/>
  <c r="W81" i="41" a="1"/>
  <c r="W81" i="41" s="1"/>
  <c r="Z81" i="41" a="1"/>
  <c r="Z81" i="41" s="1"/>
  <c r="W82" i="41" a="1"/>
  <c r="W82" i="41" s="1"/>
  <c r="W83" i="41" a="1"/>
  <c r="W83" i="41"/>
  <c r="W84" i="41" a="1"/>
  <c r="W84" i="41" s="1"/>
  <c r="Z84" i="41" a="1"/>
  <c r="Z84" i="41" s="1"/>
  <c r="W85" i="41" a="1"/>
  <c r="W85" i="41" s="1"/>
  <c r="W86" i="41" a="1"/>
  <c r="W86" i="41" s="1"/>
  <c r="W87" i="41" a="1"/>
  <c r="W87" i="41" s="1"/>
  <c r="W88" i="41" a="1"/>
  <c r="W88" i="41" s="1"/>
  <c r="W89" i="41" a="1"/>
  <c r="W89" i="41" s="1"/>
  <c r="W90" i="41" a="1"/>
  <c r="W90" i="41" s="1"/>
  <c r="W91" i="41" a="1"/>
  <c r="W91" i="41" s="1"/>
  <c r="W92" i="41" a="1"/>
  <c r="W92" i="41" s="1"/>
  <c r="W93" i="41" a="1"/>
  <c r="W93" i="41" s="1"/>
  <c r="W94" i="41" a="1"/>
  <c r="W94" i="41" s="1"/>
  <c r="W95" i="41" a="1"/>
  <c r="W95" i="41" s="1"/>
  <c r="W96" i="41" a="1"/>
  <c r="W96" i="41" s="1"/>
  <c r="W97" i="41" a="1"/>
  <c r="W97" i="41" s="1"/>
  <c r="W98" i="41" a="1"/>
  <c r="W98" i="41" s="1"/>
  <c r="W99" i="41" a="1"/>
  <c r="W99" i="41" s="1"/>
  <c r="W100" i="41" a="1"/>
  <c r="W100" i="41" s="1"/>
  <c r="W101" i="41" a="1"/>
  <c r="W101" i="41" s="1"/>
  <c r="W102" i="41" a="1"/>
  <c r="W102" i="41" s="1"/>
  <c r="W103" i="41" a="1"/>
  <c r="W103" i="41" s="1"/>
  <c r="W104" i="41" a="1"/>
  <c r="W104" i="41" s="1"/>
  <c r="W105" i="41" a="1"/>
  <c r="W105" i="41" s="1"/>
  <c r="W106" i="41" a="1"/>
  <c r="W106" i="41" s="1"/>
  <c r="W107" i="41" a="1"/>
  <c r="W107" i="41" s="1"/>
  <c r="W108" i="41" a="1"/>
  <c r="W108" i="41" s="1"/>
  <c r="W109" i="41" a="1"/>
  <c r="W109" i="41" s="1"/>
  <c r="W110" i="41" a="1"/>
  <c r="W110" i="41" s="1"/>
  <c r="W111" i="41" a="1"/>
  <c r="W111" i="41" s="1"/>
  <c r="W112" i="41" a="1"/>
  <c r="W112" i="41" s="1"/>
  <c r="W113" i="41" a="1"/>
  <c r="W113" i="41" s="1"/>
  <c r="W114" i="41" a="1"/>
  <c r="W114" i="41" s="1"/>
  <c r="W115" i="41" a="1"/>
  <c r="W115" i="41" s="1"/>
  <c r="W116" i="41" a="1"/>
  <c r="W116" i="41" s="1"/>
  <c r="W117" i="41" a="1"/>
  <c r="W117" i="41" s="1"/>
  <c r="W118" i="41" a="1"/>
  <c r="W118" i="41" s="1"/>
  <c r="Z37" i="41" a="1"/>
  <c r="Z69" i="41" a="1"/>
  <c r="G85" i="41" a="1"/>
  <c r="G75" i="41" a="1"/>
  <c r="Z76" i="41" a="1"/>
  <c r="G87" i="41" a="1"/>
  <c r="Z36" i="41" a="1"/>
  <c r="N22" i="41" a="1"/>
  <c r="H53" i="41" a="1"/>
  <c r="G53" i="41" a="1"/>
  <c r="G83" i="41" a="1"/>
  <c r="H92" i="41" a="1"/>
  <c r="G92" i="41" a="1"/>
  <c r="G52" i="41" a="1"/>
  <c r="H52" i="41" a="1"/>
  <c r="H82" i="41" a="1"/>
  <c r="Z48" i="41" a="1"/>
  <c r="H75" i="41" a="1"/>
  <c r="M22" i="41" a="1"/>
  <c r="Z56" i="41" a="1"/>
  <c r="H85" i="41" a="1"/>
  <c r="Z77" i="41" a="1"/>
  <c r="Z47" i="41" a="1"/>
  <c r="H83" i="41" a="1"/>
  <c r="H87" i="41" a="1"/>
  <c r="H66" i="41" a="1"/>
  <c r="Z57" i="41" a="1"/>
  <c r="Z46" i="41" a="1"/>
  <c r="G66" i="41" a="1"/>
  <c r="G82" i="41" a="1"/>
  <c r="Z80" i="41" a="1"/>
  <c r="G49" i="41" l="1"/>
  <c r="C32" i="39" s="1"/>
  <c r="C7" i="39"/>
  <c r="Z77" i="41"/>
  <c r="H92" i="41"/>
  <c r="H85" i="41"/>
  <c r="G83" i="41"/>
  <c r="H66" i="41"/>
  <c r="Z48" i="41"/>
  <c r="Z46" i="41"/>
  <c r="Z37" i="41"/>
  <c r="N22" i="41"/>
  <c r="G82" i="41"/>
  <c r="H87" i="41"/>
  <c r="G85" i="41"/>
  <c r="Z56" i="41"/>
  <c r="G66" i="41"/>
  <c r="Z36" i="41"/>
  <c r="M22" i="41"/>
  <c r="Z76" i="41"/>
  <c r="H75" i="41"/>
  <c r="G92" i="41"/>
  <c r="Z80" i="41"/>
  <c r="Z47" i="41"/>
  <c r="H53" i="41"/>
  <c r="H52" i="41"/>
  <c r="Z69" i="41"/>
  <c r="G75" i="41"/>
  <c r="I5" i="43" s="1"/>
  <c r="G87" i="41"/>
  <c r="H83" i="41"/>
  <c r="Z57" i="41"/>
  <c r="G53" i="41"/>
  <c r="C36" i="39" s="1"/>
  <c r="G52" i="41"/>
  <c r="C35" i="39" s="1"/>
  <c r="H82" i="41"/>
  <c r="D49" i="39" a="1"/>
  <c r="D49" i="39" s="1"/>
  <c r="K37" i="39" l="1"/>
  <c r="J37" i="39"/>
  <c r="AE3" i="41" l="1" a="1"/>
  <c r="AE3" i="41" s="1"/>
  <c r="AF3" i="41" s="1"/>
  <c r="AG3" i="41" s="1" a="1"/>
  <c r="AG3" i="41" s="1"/>
  <c r="AE4" i="41" a="1"/>
  <c r="AE4" i="41" s="1"/>
  <c r="AF4" i="41" s="1"/>
  <c r="AG4" i="41" l="1" a="1"/>
  <c r="AG4" i="41" s="1"/>
  <c r="AG5" i="41" s="1" a="1"/>
  <c r="AG5" i="41" s="1"/>
  <c r="AG6" i="41" s="1" a="1"/>
  <c r="AG6" i="41" s="1"/>
  <c r="AG7" i="41" s="1" a="1"/>
  <c r="AG7" i="41" s="1"/>
  <c r="AH3" i="41" a="1"/>
  <c r="AH3" i="41" s="1"/>
  <c r="AH4" i="41" l="1" a="1"/>
  <c r="AH4" i="41" s="1"/>
  <c r="AH5" i="41" a="1"/>
  <c r="AH5" i="41" s="1"/>
  <c r="AH7" i="41" l="1" a="1"/>
  <c r="AH7" i="41" s="1"/>
  <c r="AH6" i="41" a="1"/>
  <c r="AH6" i="41" s="1"/>
  <c r="B22" i="48"/>
  <c r="B20" i="48"/>
  <c r="L17" i="41" l="1" a="1"/>
  <c r="L17" i="41" s="1"/>
  <c r="Z73" i="41" a="1"/>
  <c r="Z73" i="41" s="1"/>
  <c r="Z44" i="41" a="1"/>
  <c r="Z44" i="41" s="1"/>
  <c r="L3" i="39" a="1"/>
  <c r="L3" i="39" s="1"/>
  <c r="B1" i="48" l="1" a="1"/>
  <c r="B1" i="48" s="1"/>
  <c r="C31" i="42" l="1" a="1"/>
  <c r="C31" i="42" s="1"/>
  <c r="C32" i="42" a="1"/>
  <c r="C32" i="42" s="1"/>
  <c r="C33" i="42" a="1"/>
  <c r="C33" i="42" s="1"/>
  <c r="C34" i="42" a="1"/>
  <c r="C34" i="42" s="1"/>
  <c r="C35" i="42" a="1"/>
  <c r="C35" i="42" s="1"/>
  <c r="C53" i="43" l="1" a="1"/>
  <c r="C53" i="43" s="1"/>
  <c r="D16" i="39" l="1" a="1"/>
  <c r="D16" i="39" s="1"/>
  <c r="D17" i="39" a="1"/>
  <c r="D17" i="39" s="1"/>
  <c r="D18" i="39" a="1"/>
  <c r="D18" i="39" s="1"/>
  <c r="D19" i="39" a="1"/>
  <c r="D19" i="39" s="1"/>
  <c r="D20" i="39" a="1"/>
  <c r="D20" i="39" s="1"/>
  <c r="AZ3" i="41" l="1"/>
  <c r="AZ4" i="41"/>
  <c r="AZ5" i="41"/>
  <c r="AZ6" i="41"/>
  <c r="AZ7" i="41"/>
  <c r="N75" i="39"/>
  <c r="L75" i="39"/>
  <c r="M75" i="39"/>
  <c r="BG7" i="41" l="1"/>
  <c r="BE7" i="41"/>
  <c r="Z20" i="41" s="1" a="1"/>
  <c r="Z20" i="41" s="1"/>
  <c r="BJ7" i="41" a="1"/>
  <c r="BJ7" i="41" s="1"/>
  <c r="BK7" i="41" a="1"/>
  <c r="BK7" i="41" s="1"/>
  <c r="BF7" i="41"/>
  <c r="BA7" i="41"/>
  <c r="BD7" i="41"/>
  <c r="Z25" i="41" s="1" a="1"/>
  <c r="Z25" i="41" s="1"/>
  <c r="BA3" i="41"/>
  <c r="BB3" i="41" s="1"/>
  <c r="BD3" i="41"/>
  <c r="Z21" i="41" s="1" a="1"/>
  <c r="Z21" i="41" s="1"/>
  <c r="BE3" i="41"/>
  <c r="Z16" i="41" s="1" a="1"/>
  <c r="Z16" i="41" s="1"/>
  <c r="BD6" i="41"/>
  <c r="BE6" i="41"/>
  <c r="Z19" i="41" s="1" a="1"/>
  <c r="Z19" i="41" s="1"/>
  <c r="BA6" i="41"/>
  <c r="BB6" i="41" s="1"/>
  <c r="BE5" i="41"/>
  <c r="Z18" i="41" s="1" a="1"/>
  <c r="Z18" i="41" s="1"/>
  <c r="BD5" i="41"/>
  <c r="Z23" i="41" s="1" a="1"/>
  <c r="Z23" i="41" s="1"/>
  <c r="BA5" i="41"/>
  <c r="BB5" i="41" s="1"/>
  <c r="BD4" i="41"/>
  <c r="Z22" i="41" s="1" a="1"/>
  <c r="Z22" i="41" s="1"/>
  <c r="BA4" i="41"/>
  <c r="BB4" i="41" s="1"/>
  <c r="BE4" i="41"/>
  <c r="Z17" i="41" s="1" a="1"/>
  <c r="Z17" i="41" s="1"/>
  <c r="BC3" i="41"/>
  <c r="BM4" i="41" s="1" a="1"/>
  <c r="BM4" i="41" s="1"/>
  <c r="BC4" i="41"/>
  <c r="BN4" i="41" s="1" a="1"/>
  <c r="BN4" i="41" s="1"/>
  <c r="BB7" i="41"/>
  <c r="Z15" i="41" s="1" a="1"/>
  <c r="Z15" i="41" s="1"/>
  <c r="BC7" i="41"/>
  <c r="BQ4" i="41" s="1" a="1"/>
  <c r="BQ4" i="41" s="1"/>
  <c r="BC6" i="41"/>
  <c r="BP4" i="41" s="1" a="1"/>
  <c r="BP4" i="41" s="1"/>
  <c r="BC5" i="41"/>
  <c r="BO4" i="41" s="1" a="1"/>
  <c r="BO4" i="41" s="1"/>
  <c r="Z24" i="41" a="1"/>
  <c r="Z24" i="41" s="1"/>
  <c r="Q86" i="39" a="1"/>
  <c r="Q86" i="39" s="1"/>
  <c r="Z40" i="41" a="1"/>
  <c r="L10" i="41" a="1"/>
  <c r="Z42" i="41" a="1"/>
  <c r="BH7" i="41" a="1"/>
  <c r="L8" i="41" a="1"/>
  <c r="Z41" i="41" a="1"/>
  <c r="BI7" i="41" a="1"/>
  <c r="BJ5" i="41" l="1" a="1"/>
  <c r="BJ5" i="41" s="1"/>
  <c r="BK5" i="41" a="1"/>
  <c r="BK5" i="41" s="1"/>
  <c r="BJ6" i="41" a="1"/>
  <c r="BJ6" i="41" s="1"/>
  <c r="BK6" i="41" a="1"/>
  <c r="BK6" i="41" s="1"/>
  <c r="BK3" i="41" a="1"/>
  <c r="BK3" i="41" s="1"/>
  <c r="BG4" i="41"/>
  <c r="BJ4" i="41" a="1"/>
  <c r="BJ4" i="41" s="1"/>
  <c r="BK4" i="41" s="1" a="1"/>
  <c r="BK4" i="41" s="1"/>
  <c r="BG3" i="41"/>
  <c r="BJ3" i="41" a="1"/>
  <c r="BJ3" i="41" s="1"/>
  <c r="BF6" i="41"/>
  <c r="BG6" i="41"/>
  <c r="BF5" i="41"/>
  <c r="BG5" i="41"/>
  <c r="BF4" i="41"/>
  <c r="BF3" i="41"/>
  <c r="BI7" i="41"/>
  <c r="BH7" i="41"/>
  <c r="Z42" i="41"/>
  <c r="L8" i="41"/>
  <c r="L10" i="41"/>
  <c r="Z41" i="41"/>
  <c r="Z40" i="41"/>
  <c r="Z12" i="41" a="1"/>
  <c r="Z12" i="41" s="1"/>
  <c r="Z13" i="41" a="1"/>
  <c r="Z13" i="41" s="1"/>
  <c r="Z14" i="41" a="1"/>
  <c r="Z14" i="41" s="1"/>
  <c r="Q85" i="39" a="1"/>
  <c r="Q85" i="39" s="1"/>
  <c r="Q87" i="39" a="1"/>
  <c r="Q87" i="39" s="1"/>
  <c r="Q88" i="39" a="1"/>
  <c r="Q88" i="39" s="1"/>
  <c r="Q89" i="39" a="1"/>
  <c r="Q89" i="39" s="1"/>
  <c r="BI6" i="41" a="1"/>
  <c r="BI3" i="41" a="1"/>
  <c r="Z39" i="41" a="1"/>
  <c r="BH4" i="41" a="1"/>
  <c r="L7" i="41" a="1"/>
  <c r="BH6" i="41" a="1"/>
  <c r="BH3" i="41" a="1"/>
  <c r="BH5" i="41" a="1"/>
  <c r="L9" i="41" a="1"/>
  <c r="BI4" i="41" a="1"/>
  <c r="BI5" i="41" a="1"/>
  <c r="BS4" i="41" l="1" a="1"/>
  <c r="BS4" i="41" s="1"/>
  <c r="BI3" i="41"/>
  <c r="BH3" i="41"/>
  <c r="BI4" i="41"/>
  <c r="BH4" i="41"/>
  <c r="BH5" i="41"/>
  <c r="BI5" i="41"/>
  <c r="BI6" i="41"/>
  <c r="BH6" i="41"/>
  <c r="BR4" i="41" a="1"/>
  <c r="BR4" i="41" s="1"/>
  <c r="L7" i="41"/>
  <c r="L9" i="41"/>
  <c r="Z39" i="41"/>
  <c r="Z11" i="41" a="1"/>
  <c r="Z11" i="41" s="1"/>
  <c r="C68" i="43" a="1"/>
  <c r="C68" i="43" s="1"/>
  <c r="C69" i="43" a="1"/>
  <c r="C69" i="43" s="1"/>
  <c r="C70" i="43" a="1"/>
  <c r="C70" i="43" s="1"/>
  <c r="C71" i="43" a="1"/>
  <c r="C71" i="43" s="1"/>
  <c r="C72" i="43" a="1"/>
  <c r="C72" i="43" s="1"/>
  <c r="C73" i="43" a="1"/>
  <c r="C73" i="43" s="1"/>
  <c r="C74" i="43" a="1"/>
  <c r="C74" i="43" s="1"/>
  <c r="C75" i="43" a="1"/>
  <c r="C75" i="43" s="1"/>
  <c r="C76" i="43" a="1"/>
  <c r="C76" i="43" s="1"/>
  <c r="C77" i="43" a="1"/>
  <c r="C77" i="43" s="1"/>
  <c r="C78" i="43" a="1"/>
  <c r="C78" i="43" s="1"/>
  <c r="C79" i="43" a="1"/>
  <c r="C79" i="43" s="1"/>
  <c r="C80" i="43" a="1"/>
  <c r="C80" i="43" s="1"/>
  <c r="C61" i="43" a="1"/>
  <c r="C61" i="43" s="1"/>
  <c r="C62" i="43" a="1"/>
  <c r="C62" i="43" s="1"/>
  <c r="C63" i="43" a="1"/>
  <c r="C63" i="43" s="1"/>
  <c r="C64" i="43" a="1"/>
  <c r="C64" i="43" s="1"/>
  <c r="C65" i="43" a="1"/>
  <c r="C65" i="43" s="1"/>
  <c r="C66" i="43" a="1"/>
  <c r="C66" i="43" s="1"/>
  <c r="C67" i="43" a="1"/>
  <c r="C67" i="43" s="1"/>
  <c r="BT4" i="41" l="1" a="1"/>
  <c r="BT4" i="41" s="1"/>
  <c r="BU4" i="41" s="1" a="1"/>
  <c r="BU4" i="41" s="1"/>
  <c r="Z74" i="41" a="1"/>
  <c r="Z74" i="41" s="1"/>
  <c r="L11" i="41" a="1"/>
  <c r="L11" i="41" s="1"/>
  <c r="Z43" i="41" a="1"/>
  <c r="Z43" i="41" s="1"/>
  <c r="J75" i="39"/>
  <c r="C60" i="43" a="1"/>
  <c r="C60" i="43" s="1"/>
  <c r="C59" i="43" a="1"/>
  <c r="C59" i="43" s="1"/>
  <c r="C58" i="43" a="1"/>
  <c r="C58" i="43" s="1"/>
  <c r="C57" i="43" a="1"/>
  <c r="C57" i="43" s="1"/>
  <c r="C56" i="43" a="1"/>
  <c r="C56" i="43" s="1"/>
  <c r="C55" i="43" a="1"/>
  <c r="C55" i="43" s="1"/>
  <c r="C54" i="43" a="1"/>
  <c r="C54" i="43" s="1"/>
  <c r="C52" i="43" a="1"/>
  <c r="C52" i="43" s="1"/>
  <c r="C51" i="43" a="1"/>
  <c r="C51" i="43" s="1"/>
  <c r="CF69" i="41" l="1" a="1"/>
  <c r="CF69" i="41" s="1"/>
  <c r="CF65" i="41" a="1"/>
  <c r="CF65" i="41" s="1"/>
  <c r="CF57" i="41" a="1"/>
  <c r="CF57" i="41" s="1"/>
  <c r="CF13" i="41" a="1"/>
  <c r="CF13" i="41" s="1"/>
  <c r="CF40" i="41" a="1"/>
  <c r="CF40" i="41" s="1"/>
  <c r="CF8" i="41" a="1"/>
  <c r="CF8" i="41" s="1"/>
  <c r="CF83" i="41" a="1"/>
  <c r="CF83" i="41" s="1"/>
  <c r="CF27" i="41" a="1"/>
  <c r="CF27" i="41" s="1"/>
  <c r="CF71" i="41" a="1"/>
  <c r="CF71" i="41" s="1"/>
  <c r="CF3" i="41" a="1"/>
  <c r="CF3" i="41" s="1"/>
  <c r="CF46" i="41" a="1"/>
  <c r="CF46" i="41" s="1"/>
  <c r="CF6" i="41" a="1"/>
  <c r="CF6" i="41" s="1"/>
  <c r="CF70" i="41" a="1"/>
  <c r="CF70" i="41" s="1"/>
  <c r="CF85" i="41" a="1"/>
  <c r="CF85" i="41" s="1"/>
  <c r="CF81" i="41" a="1"/>
  <c r="CF81" i="41" s="1"/>
  <c r="CF49" i="41" a="1"/>
  <c r="CF49" i="41" s="1"/>
  <c r="CF5" i="41" a="1"/>
  <c r="CF5" i="41" s="1"/>
  <c r="CF36" i="41" a="1"/>
  <c r="CF36" i="41" s="1"/>
  <c r="CF4" i="41" a="1"/>
  <c r="CF4" i="41" s="1"/>
  <c r="CF75" i="41" a="1"/>
  <c r="CF75" i="41" s="1"/>
  <c r="CF23" i="41" a="1"/>
  <c r="CF23" i="41" s="1"/>
  <c r="CF63" i="41" a="1"/>
  <c r="CF63" i="41" s="1"/>
  <c r="CF88" i="41" a="1"/>
  <c r="CF88" i="41" s="1"/>
  <c r="CF42" i="41" a="1"/>
  <c r="CF42" i="41" s="1"/>
  <c r="CF84" i="41" a="1"/>
  <c r="CF84" i="41" s="1"/>
  <c r="CF66" i="41" a="1"/>
  <c r="CF66" i="41" s="1"/>
  <c r="CF77" i="41" a="1"/>
  <c r="CF77" i="41" s="1"/>
  <c r="CF45" i="41" a="1"/>
  <c r="CF45" i="41" s="1"/>
  <c r="CF100" i="41" a="1"/>
  <c r="CF100" i="41" s="1"/>
  <c r="CF32" i="41" a="1"/>
  <c r="CF32" i="41" s="1"/>
  <c r="CF96" i="41" a="1"/>
  <c r="CF96" i="41" s="1"/>
  <c r="CF67" i="41" a="1"/>
  <c r="CF67" i="41" s="1"/>
  <c r="CF19" i="41" a="1"/>
  <c r="CF19" i="41" s="1"/>
  <c r="CF55" i="41" a="1"/>
  <c r="CF55" i="41" s="1"/>
  <c r="CF72" i="41" a="1"/>
  <c r="CF72" i="41" s="1"/>
  <c r="CF34" i="41" a="1"/>
  <c r="CF34" i="41" s="1"/>
  <c r="CF64" i="41" a="1"/>
  <c r="CF64" i="41" s="1"/>
  <c r="CF58" i="41" a="1"/>
  <c r="CF58" i="41" s="1"/>
  <c r="BZ4" i="41" a="1"/>
  <c r="BZ4" i="41" s="1"/>
  <c r="BZ6" i="41" a="1"/>
  <c r="BZ6" i="41" s="1"/>
  <c r="BZ9" i="41" a="1"/>
  <c r="BZ9" i="41" s="1"/>
  <c r="BZ11" i="41" a="1"/>
  <c r="BZ11" i="41" s="1"/>
  <c r="CA3" i="41" a="1"/>
  <c r="CA3" i="41" s="1"/>
  <c r="CA5" i="41" a="1"/>
  <c r="CA5" i="41" s="1"/>
  <c r="CA7" i="41" a="1"/>
  <c r="CA7" i="41" s="1"/>
  <c r="CA8" i="41" a="1"/>
  <c r="CA8" i="41" s="1"/>
  <c r="CA10" i="41" a="1"/>
  <c r="CA10" i="41" s="1"/>
  <c r="CA12" i="41" a="1"/>
  <c r="CA12" i="41" s="1"/>
  <c r="CB7" i="41" a="1"/>
  <c r="CB7" i="41" s="1"/>
  <c r="CB11" i="41" a="1"/>
  <c r="CB11" i="41" s="1"/>
  <c r="CA4" i="41" a="1"/>
  <c r="CA4" i="41" s="1"/>
  <c r="CA6" i="41" a="1"/>
  <c r="CA6" i="41" s="1"/>
  <c r="CA9" i="41" a="1"/>
  <c r="CA9" i="41" s="1"/>
  <c r="CA11" i="41" a="1"/>
  <c r="CA11" i="41" s="1"/>
  <c r="CB10" i="41" a="1"/>
  <c r="CB10" i="41" s="1"/>
  <c r="CB4" i="41" a="1"/>
  <c r="CB4" i="41" s="1"/>
  <c r="CB6" i="41" a="1"/>
  <c r="CB6" i="41" s="1"/>
  <c r="CB9" i="41" a="1"/>
  <c r="CB9" i="41" s="1"/>
  <c r="CB3" i="41" a="1"/>
  <c r="CB3" i="41" s="1"/>
  <c r="CB5" i="41" a="1"/>
  <c r="CB5" i="41" s="1"/>
  <c r="CB8" i="41" a="1"/>
  <c r="CB8" i="41" s="1"/>
  <c r="CB12" i="41" a="1"/>
  <c r="CB12" i="41" s="1"/>
  <c r="BZ12" i="41" a="1"/>
  <c r="BZ12" i="41" s="1"/>
  <c r="BZ3" i="41" a="1"/>
  <c r="BZ3" i="41" s="1"/>
  <c r="BZ5" i="41" a="1"/>
  <c r="BZ5" i="41" s="1"/>
  <c r="BZ7" i="41" a="1"/>
  <c r="BZ7" i="41" s="1"/>
  <c r="BZ8" i="41" a="1"/>
  <c r="BZ8" i="41" s="1"/>
  <c r="BZ10" i="41" a="1"/>
  <c r="BZ10" i="41" s="1"/>
  <c r="CF97" i="41" a="1"/>
  <c r="CF97" i="41" s="1"/>
  <c r="CF37" i="41" a="1"/>
  <c r="CF37" i="41" s="1"/>
  <c r="CF80" i="41" a="1"/>
  <c r="CF80" i="41" s="1"/>
  <c r="CF28" i="41" a="1"/>
  <c r="CF28" i="41" s="1"/>
  <c r="CF76" i="41" a="1"/>
  <c r="CF76" i="41" s="1"/>
  <c r="CF59" i="41" a="1"/>
  <c r="CF59" i="41" s="1"/>
  <c r="CF60" i="41" a="1"/>
  <c r="CF60" i="41" s="1"/>
  <c r="CF47" i="41" a="1"/>
  <c r="CF47" i="41" s="1"/>
  <c r="CF102" i="41" a="1"/>
  <c r="CF102" i="41" s="1"/>
  <c r="CF30" i="41" a="1"/>
  <c r="CF30" i="41" s="1"/>
  <c r="CF98" i="41" a="1"/>
  <c r="CF98" i="41" s="1"/>
  <c r="CF50" i="41" a="1"/>
  <c r="CF50" i="41" s="1"/>
  <c r="CF61" i="41" a="1"/>
  <c r="CF61" i="41" s="1"/>
  <c r="CF89" i="41" a="1"/>
  <c r="CF89" i="41" s="1"/>
  <c r="CF33" i="41" a="1"/>
  <c r="CF33" i="41" s="1"/>
  <c r="CF56" i="41" a="1"/>
  <c r="CF56" i="41" s="1"/>
  <c r="CF24" i="41" a="1"/>
  <c r="CF24" i="41" s="1"/>
  <c r="CF92" i="41" a="1"/>
  <c r="CF92" i="41" s="1"/>
  <c r="CF51" i="41" a="1"/>
  <c r="CF51" i="41" s="1"/>
  <c r="CF103" i="41" a="1"/>
  <c r="CF103" i="41" s="1"/>
  <c r="CF35" i="41" a="1"/>
  <c r="CF35" i="41" s="1"/>
  <c r="CF90" i="41" a="1"/>
  <c r="CF90" i="41" s="1"/>
  <c r="CF26" i="41" a="1"/>
  <c r="CF26" i="41" s="1"/>
  <c r="CF94" i="41" a="1"/>
  <c r="CF94" i="41" s="1"/>
  <c r="CF38" i="41" a="1"/>
  <c r="CF38" i="41" s="1"/>
  <c r="CF53" i="41" a="1"/>
  <c r="CF53" i="41" s="1"/>
  <c r="CF29" i="41" a="1"/>
  <c r="CF29" i="41" s="1"/>
  <c r="CF52" i="41" a="1"/>
  <c r="CF52" i="41" s="1"/>
  <c r="CF20" i="41" a="1"/>
  <c r="CF20" i="41" s="1"/>
  <c r="CF68" i="41" a="1"/>
  <c r="CF68" i="41" s="1"/>
  <c r="CF43" i="41" a="1"/>
  <c r="CF43" i="41" s="1"/>
  <c r="CF95" i="41" a="1"/>
  <c r="CF95" i="41" s="1"/>
  <c r="CF15" i="41" a="1"/>
  <c r="CF15" i="41" s="1"/>
  <c r="CF74" i="41" a="1"/>
  <c r="CF74" i="41" s="1"/>
  <c r="CF18" i="41" a="1"/>
  <c r="CF18" i="41" s="1"/>
  <c r="CF86" i="41" a="1"/>
  <c r="CF86" i="41" s="1"/>
  <c r="CF22" i="41" a="1"/>
  <c r="CF22" i="41" s="1"/>
  <c r="CF41" i="41" a="1"/>
  <c r="CF41" i="41" s="1"/>
  <c r="CF73" i="41" a="1"/>
  <c r="CF73" i="41" s="1"/>
  <c r="CF25" i="41" a="1"/>
  <c r="CF25" i="41" s="1"/>
  <c r="CF48" i="41" a="1"/>
  <c r="CF48" i="41" s="1"/>
  <c r="CF16" i="41" a="1"/>
  <c r="CF16" i="41" s="1"/>
  <c r="CF99" i="41" a="1"/>
  <c r="CF99" i="41" s="1"/>
  <c r="CF39" i="41" a="1"/>
  <c r="CF39" i="41" s="1"/>
  <c r="CF87" i="41" a="1"/>
  <c r="CF87" i="41" s="1"/>
  <c r="CF11" i="41" a="1"/>
  <c r="CF11" i="41" s="1"/>
  <c r="CF62" i="41" a="1"/>
  <c r="CF62" i="41" s="1"/>
  <c r="CF14" i="41" a="1"/>
  <c r="CF14" i="41" s="1"/>
  <c r="CF82" i="41" a="1"/>
  <c r="CF82" i="41" s="1"/>
  <c r="CF101" i="41" a="1"/>
  <c r="CF101" i="41" s="1"/>
  <c r="CF21" i="41" a="1"/>
  <c r="CF21" i="41" s="1"/>
  <c r="CF17" i="41" a="1"/>
  <c r="CF17" i="41" s="1"/>
  <c r="CF44" i="41" a="1"/>
  <c r="CF44" i="41" s="1"/>
  <c r="CF12" i="41" a="1"/>
  <c r="CF12" i="41" s="1"/>
  <c r="CF91" i="41" a="1"/>
  <c r="CF91" i="41" s="1"/>
  <c r="CF31" i="41" a="1"/>
  <c r="CF31" i="41" s="1"/>
  <c r="CF79" i="41" a="1"/>
  <c r="CF79" i="41" s="1"/>
  <c r="CF7" i="41" a="1"/>
  <c r="CF7" i="41" s="1"/>
  <c r="CF54" i="41" a="1"/>
  <c r="CF54" i="41" s="1"/>
  <c r="CF10" i="41" a="1"/>
  <c r="CF10" i="41" s="1"/>
  <c r="CF78" i="41" a="1"/>
  <c r="CF78" i="41" s="1"/>
  <c r="CF93" i="41" a="1"/>
  <c r="CF93" i="41" s="1"/>
  <c r="CF9" i="41" a="1"/>
  <c r="CF9" i="41" s="1"/>
  <c r="D50" i="39" a="1"/>
  <c r="D50" i="39" s="1"/>
  <c r="D51" i="39" a="1"/>
  <c r="D51" i="39" s="1"/>
  <c r="D52" i="39" a="1"/>
  <c r="D52" i="39" s="1"/>
  <c r="D53" i="39" a="1"/>
  <c r="D53" i="39" s="1"/>
  <c r="D54" i="39" a="1"/>
  <c r="D54" i="39" s="1"/>
  <c r="D55" i="39" a="1"/>
  <c r="D55" i="39" s="1"/>
  <c r="D56" i="39" a="1"/>
  <c r="D56" i="39" s="1"/>
  <c r="D57" i="39" a="1"/>
  <c r="D57" i="39" s="1"/>
  <c r="D58" i="39" a="1"/>
  <c r="D58" i="39" s="1"/>
  <c r="D59" i="39" a="1"/>
  <c r="D59" i="39" s="1"/>
  <c r="D60" i="39" a="1"/>
  <c r="D60" i="39" s="1"/>
  <c r="D61" i="39" a="1"/>
  <c r="D61" i="39" s="1"/>
  <c r="D62" i="39" a="1"/>
  <c r="D62" i="39" s="1"/>
  <c r="D63" i="39" a="1"/>
  <c r="D63" i="39" s="1"/>
  <c r="D64" i="39" a="1"/>
  <c r="D64" i="39" s="1"/>
  <c r="D65" i="39" a="1"/>
  <c r="D65" i="39" s="1"/>
  <c r="D66" i="39" a="1"/>
  <c r="D66" i="39" s="1"/>
  <c r="D67" i="39" a="1"/>
  <c r="D67" i="39" s="1"/>
  <c r="D68" i="39" a="1"/>
  <c r="D68" i="39" s="1"/>
  <c r="C29" i="42" a="1"/>
  <c r="C29" i="42" s="1"/>
  <c r="C30" i="42" a="1"/>
  <c r="C30" i="42" s="1"/>
  <c r="C26" i="42" l="1" a="1"/>
  <c r="C26" i="42" s="1"/>
  <c r="C27" i="42" a="1"/>
  <c r="C27" i="42" s="1"/>
  <c r="C28" i="42" a="1"/>
  <c r="C28" i="42" s="1"/>
  <c r="Q77" i="39" a="1"/>
  <c r="Q77" i="39" s="1"/>
  <c r="Q78" i="39" a="1"/>
  <c r="Q78" i="39" s="1"/>
  <c r="Q79" i="39" a="1"/>
  <c r="Q79" i="39" s="1"/>
  <c r="Q80" i="39" a="1"/>
  <c r="Q80" i="39" s="1"/>
  <c r="Q81" i="39" a="1"/>
  <c r="Q81" i="39" s="1"/>
  <c r="Q82" i="39" a="1"/>
  <c r="Q82" i="39" s="1"/>
  <c r="Q83" i="39" a="1"/>
  <c r="Q83" i="39" s="1"/>
  <c r="Q84" i="39" a="1"/>
  <c r="Q84" i="39" s="1"/>
  <c r="Q90" i="39" a="1"/>
  <c r="Q90" i="39" s="1"/>
  <c r="Q91" i="39" a="1"/>
  <c r="Q91" i="39" s="1"/>
  <c r="D39" i="39" a="1"/>
  <c r="D39" i="39" s="1"/>
  <c r="D40" i="39" a="1"/>
  <c r="D40" i="39" s="1"/>
  <c r="D41" i="39" a="1"/>
  <c r="D41" i="39" s="1"/>
  <c r="D42" i="39" a="1"/>
  <c r="D42" i="39" s="1"/>
  <c r="D43" i="39" a="1"/>
  <c r="D43" i="39" s="1"/>
  <c r="D44" i="39" a="1"/>
  <c r="D44" i="39" s="1"/>
  <c r="D45" i="39" a="1"/>
  <c r="D45" i="39" s="1"/>
  <c r="D46" i="39" a="1"/>
  <c r="D46" i="39" s="1"/>
  <c r="D47" i="39" a="1"/>
  <c r="D47" i="39" s="1"/>
  <c r="D48" i="39" a="1"/>
  <c r="D48" i="39" s="1"/>
  <c r="CN3" i="41" l="1"/>
  <c r="CO3" i="41" s="1"/>
  <c r="CN4" i="41"/>
  <c r="CO4" i="41" s="1"/>
  <c r="CN5" i="41"/>
  <c r="CO5" i="41" s="1"/>
  <c r="CN6" i="41"/>
  <c r="CN7" i="41"/>
  <c r="CO7" i="41" s="1"/>
  <c r="CN8" i="41"/>
  <c r="CO8" i="41" s="1"/>
  <c r="CN14" i="41"/>
  <c r="CO14" i="41" s="1"/>
  <c r="CN17" i="41"/>
  <c r="CO17" i="41" s="1"/>
  <c r="CN13" i="41"/>
  <c r="CO13" i="41" s="1"/>
  <c r="CN9" i="41"/>
  <c r="CO9" i="41" s="1"/>
  <c r="CN19" i="41"/>
  <c r="CO19" i="41" s="1"/>
  <c r="CN18" i="41"/>
  <c r="CO18" i="41" s="1"/>
  <c r="CN10" i="41"/>
  <c r="CN12" i="41"/>
  <c r="CO12" i="41" s="1"/>
  <c r="CN15" i="41"/>
  <c r="CO15" i="41" s="1"/>
  <c r="CN20" i="41"/>
  <c r="CN16" i="41"/>
  <c r="CO16" i="41" s="1"/>
  <c r="CN11" i="41"/>
  <c r="CO11" i="41" s="1"/>
  <c r="CN21" i="41"/>
  <c r="CN22" i="41"/>
  <c r="CN23" i="41"/>
  <c r="CN24" i="41"/>
  <c r="CN25" i="41"/>
  <c r="CN26" i="41"/>
  <c r="CN27" i="41"/>
  <c r="CN28" i="41"/>
  <c r="CN29" i="41"/>
  <c r="CN30" i="41"/>
  <c r="CN31" i="41"/>
  <c r="CN32" i="41"/>
  <c r="D27" i="42"/>
  <c r="D35" i="42"/>
  <c r="D28" i="42"/>
  <c r="D29" i="42"/>
  <c r="D30" i="42"/>
  <c r="D34" i="42"/>
  <c r="D31" i="42"/>
  <c r="D33" i="42"/>
  <c r="D32" i="42"/>
  <c r="D26" i="42"/>
  <c r="H20" i="39"/>
  <c r="CO6" i="41"/>
  <c r="DB20" i="41" l="1"/>
  <c r="CP20" i="41"/>
  <c r="CQ20" i="41"/>
  <c r="CX20" i="41"/>
  <c r="DB14" i="41"/>
  <c r="CP14" i="41"/>
  <c r="CQ14" i="41"/>
  <c r="CQ32" i="41"/>
  <c r="CX32" i="41"/>
  <c r="DB32" i="41"/>
  <c r="CP32" i="41"/>
  <c r="CQ24" i="41"/>
  <c r="CX24" i="41"/>
  <c r="DB24" i="41"/>
  <c r="CP24" i="41"/>
  <c r="DB12" i="41"/>
  <c r="DC12" i="41" s="1"/>
  <c r="CP12" i="41"/>
  <c r="CQ12" i="41"/>
  <c r="CQ8" i="41"/>
  <c r="DB8" i="41"/>
  <c r="CP8" i="41"/>
  <c r="DB26" i="41"/>
  <c r="CP26" i="41"/>
  <c r="CQ26" i="41"/>
  <c r="CX26" i="41"/>
  <c r="H62" i="39" s="1"/>
  <c r="CQ31" i="41"/>
  <c r="CX31" i="41"/>
  <c r="H67" i="39" s="1"/>
  <c r="DB31" i="41"/>
  <c r="CP31" i="41"/>
  <c r="CQ7" i="41"/>
  <c r="DB7" i="41"/>
  <c r="CP7" i="41"/>
  <c r="CP25" i="41"/>
  <c r="CX25" i="41"/>
  <c r="DB25" i="41"/>
  <c r="CQ25" i="41"/>
  <c r="CQ15" i="41"/>
  <c r="DB15" i="41"/>
  <c r="DC15" i="41" s="1"/>
  <c r="CP15" i="41"/>
  <c r="CQ23" i="41"/>
  <c r="CX23" i="41"/>
  <c r="H59" i="39" s="1"/>
  <c r="DB23" i="41"/>
  <c r="CP23" i="41"/>
  <c r="DB10" i="41"/>
  <c r="CP10" i="41"/>
  <c r="CQ10" i="41"/>
  <c r="CX30" i="41"/>
  <c r="DB30" i="41"/>
  <c r="CP30" i="41"/>
  <c r="CQ30" i="41"/>
  <c r="CX22" i="41"/>
  <c r="H58" i="39" s="1"/>
  <c r="DB22" i="41"/>
  <c r="CP22" i="41"/>
  <c r="CQ22" i="41"/>
  <c r="DB18" i="41"/>
  <c r="CP18" i="41"/>
  <c r="CQ18" i="41"/>
  <c r="DB6" i="41"/>
  <c r="CP6" i="41"/>
  <c r="CQ6" i="41"/>
  <c r="CX29" i="41"/>
  <c r="DB29" i="41"/>
  <c r="CP29" i="41"/>
  <c r="CQ29" i="41"/>
  <c r="CX21" i="41"/>
  <c r="DB21" i="41"/>
  <c r="CP21" i="41"/>
  <c r="CQ21" i="41"/>
  <c r="DB19" i="41"/>
  <c r="CQ19" i="41"/>
  <c r="CP19" i="41"/>
  <c r="DB5" i="41"/>
  <c r="DC5" i="41" s="1"/>
  <c r="CP5" i="41"/>
  <c r="CQ5" i="41"/>
  <c r="CP17" i="41"/>
  <c r="CQ17" i="41"/>
  <c r="DB17" i="41"/>
  <c r="CO10" i="41"/>
  <c r="CS10" i="41" s="1"/>
  <c r="DB28" i="41"/>
  <c r="CP28" i="41"/>
  <c r="CQ28" i="41"/>
  <c r="CX28" i="41"/>
  <c r="DB11" i="41"/>
  <c r="CP11" i="41"/>
  <c r="CQ11" i="41"/>
  <c r="CP9" i="41"/>
  <c r="CQ9" i="41"/>
  <c r="DB9" i="41"/>
  <c r="DC9" i="41" s="1"/>
  <c r="DB4" i="41"/>
  <c r="CP4" i="41"/>
  <c r="CQ4" i="41"/>
  <c r="DB27" i="41"/>
  <c r="CP27" i="41"/>
  <c r="CQ27" i="41"/>
  <c r="CX27" i="41"/>
  <c r="H63" i="39" s="1"/>
  <c r="CQ16" i="41"/>
  <c r="DB16" i="41"/>
  <c r="CP16" i="41"/>
  <c r="DB13" i="41"/>
  <c r="CP13" i="41"/>
  <c r="CQ13" i="41"/>
  <c r="DB3" i="41"/>
  <c r="CP3" i="41"/>
  <c r="CQ3" i="41"/>
  <c r="CS25" i="41"/>
  <c r="CV25" i="41" a="1"/>
  <c r="CV25" i="41" s="1"/>
  <c r="CY25" i="41" a="1"/>
  <c r="CY25" i="41" s="1"/>
  <c r="CZ25" i="41" a="1"/>
  <c r="CZ25" i="41" s="1"/>
  <c r="CW25" i="41" a="1"/>
  <c r="CW25" i="41" s="1"/>
  <c r="CR25" i="41"/>
  <c r="CY26" i="41" a="1"/>
  <c r="CY26" i="41" s="1"/>
  <c r="CS26" i="41"/>
  <c r="CZ26" i="41" a="1"/>
  <c r="CZ26" i="41" s="1"/>
  <c r="CW26" i="41" a="1"/>
  <c r="CW26" i="41" s="1"/>
  <c r="CV26" i="41" a="1"/>
  <c r="CV26" i="41" s="1"/>
  <c r="CR26" i="41"/>
  <c r="CY32" i="41" a="1"/>
  <c r="CY32" i="41" s="1"/>
  <c r="CS32" i="41"/>
  <c r="CV32" i="41" a="1"/>
  <c r="CV32" i="41" s="1"/>
  <c r="CZ32" i="41" a="1"/>
  <c r="CZ32" i="41" s="1"/>
  <c r="CW32" i="41" a="1"/>
  <c r="CW32" i="41" s="1"/>
  <c r="CR32" i="41"/>
  <c r="CS24" i="41"/>
  <c r="CV24" i="41" a="1"/>
  <c r="CV24" i="41" s="1"/>
  <c r="CZ24" i="41" a="1"/>
  <c r="CZ24" i="41" s="1"/>
  <c r="CW24" i="41" a="1"/>
  <c r="CW24" i="41" s="1"/>
  <c r="CR24" i="41"/>
  <c r="CY24" i="41" a="1"/>
  <c r="CY24" i="41" s="1"/>
  <c r="CY31" i="41" a="1"/>
  <c r="CY31" i="41" s="1"/>
  <c r="CS31" i="41"/>
  <c r="CV31" i="41" a="1"/>
  <c r="CV31" i="41" s="1"/>
  <c r="CW31" i="41" a="1"/>
  <c r="CW31" i="41" s="1"/>
  <c r="CR31" i="41"/>
  <c r="CZ31" i="41" a="1"/>
  <c r="CZ31" i="41" s="1"/>
  <c r="CS23" i="41"/>
  <c r="CV23" i="41" a="1"/>
  <c r="CV23" i="41" s="1"/>
  <c r="CZ23" i="41" a="1"/>
  <c r="CZ23" i="41" s="1"/>
  <c r="CW23" i="41" a="1"/>
  <c r="CW23" i="41" s="1"/>
  <c r="CR23" i="41"/>
  <c r="CY23" i="41" a="1"/>
  <c r="CY23" i="41" s="1"/>
  <c r="CV30" i="41" a="1"/>
  <c r="CV30" i="41" s="1"/>
  <c r="CW30" i="41" a="1"/>
  <c r="CW30" i="41" s="1"/>
  <c r="CR30" i="41"/>
  <c r="CZ30" i="41" a="1"/>
  <c r="CZ30" i="41" s="1"/>
  <c r="CY30" i="41" a="1"/>
  <c r="CY30" i="41" s="1"/>
  <c r="CS30" i="41"/>
  <c r="CV22" i="41" a="1"/>
  <c r="CV22" i="41" s="1"/>
  <c r="CZ22" i="41" a="1"/>
  <c r="CZ22" i="41" s="1"/>
  <c r="CY22" i="41" a="1"/>
  <c r="CY22" i="41" s="1"/>
  <c r="CW22" i="41" a="1"/>
  <c r="CW22" i="41" s="1"/>
  <c r="CR22" i="41"/>
  <c r="CS22" i="41"/>
  <c r="CV29" i="41" a="1"/>
  <c r="CV29" i="41" s="1"/>
  <c r="CW29" i="41" a="1"/>
  <c r="CW29" i="41" s="1"/>
  <c r="CR29" i="41"/>
  <c r="CZ29" i="41" a="1"/>
  <c r="CZ29" i="41" s="1"/>
  <c r="CY29" i="41" a="1"/>
  <c r="CY29" i="41" s="1"/>
  <c r="CS29" i="41"/>
  <c r="CZ21" i="41" a="1"/>
  <c r="CZ21" i="41" s="1"/>
  <c r="CY21" i="41" a="1"/>
  <c r="CY21" i="41" s="1"/>
  <c r="CV21" i="41" a="1"/>
  <c r="CV21" i="41" s="1"/>
  <c r="CW21" i="41" a="1"/>
  <c r="CW21" i="41" s="1"/>
  <c r="CR21" i="41"/>
  <c r="CS21" i="41"/>
  <c r="CW28" i="41" a="1"/>
  <c r="CW28" i="41" s="1"/>
  <c r="CR28" i="41"/>
  <c r="CZ28" i="41" a="1"/>
  <c r="CZ28" i="41" s="1"/>
  <c r="CV28" i="41" a="1"/>
  <c r="CV28" i="41" s="1"/>
  <c r="CY28" i="41" a="1"/>
  <c r="CY28" i="41" s="1"/>
  <c r="CS28" i="41"/>
  <c r="CZ20" i="41" a="1"/>
  <c r="CZ20" i="41" s="1"/>
  <c r="CY20" i="41" a="1"/>
  <c r="CY20" i="41" s="1"/>
  <c r="CW20" i="41" a="1"/>
  <c r="CW20" i="41" s="1"/>
  <c r="CR20" i="41"/>
  <c r="CS20" i="41"/>
  <c r="CV20" i="41" a="1"/>
  <c r="CV20" i="41" s="1"/>
  <c r="CW27" i="41" a="1"/>
  <c r="CW27" i="41" s="1"/>
  <c r="CR27" i="41"/>
  <c r="CZ27" i="41" a="1"/>
  <c r="CZ27" i="41" s="1"/>
  <c r="CY27" i="41" a="1"/>
  <c r="CY27" i="41" s="1"/>
  <c r="CS27" i="41"/>
  <c r="CV27" i="41" a="1"/>
  <c r="CV27" i="41" s="1"/>
  <c r="CV5" i="41" a="1"/>
  <c r="CV5" i="41" s="1"/>
  <c r="CW5" i="41" a="1"/>
  <c r="CW5" i="41" s="1"/>
  <c r="CV9" i="41" a="1"/>
  <c r="CV9" i="41" s="1"/>
  <c r="CW9" i="41" a="1"/>
  <c r="CW9" i="41" s="1"/>
  <c r="CV16" i="41" a="1"/>
  <c r="CV16" i="41" s="1"/>
  <c r="CW16" i="41" a="1"/>
  <c r="CW16" i="41" s="1"/>
  <c r="CV17" i="41" a="1"/>
  <c r="CV17" i="41" s="1"/>
  <c r="CW17" i="41" a="1"/>
  <c r="CW17" i="41" s="1"/>
  <c r="CV8" i="41" a="1"/>
  <c r="CV8" i="41" s="1"/>
  <c r="CW8" i="41" a="1"/>
  <c r="CW8" i="41" s="1"/>
  <c r="CV12" i="41" a="1"/>
  <c r="CV12" i="41" s="1"/>
  <c r="CW12" i="41" a="1"/>
  <c r="CW12" i="41" s="1"/>
  <c r="CV6" i="41" a="1"/>
  <c r="CV6" i="41" s="1"/>
  <c r="CW6" i="41" a="1"/>
  <c r="CW6" i="41" s="1"/>
  <c r="CV4" i="41" a="1"/>
  <c r="CV4" i="41" s="1"/>
  <c r="CW4" i="41" a="1"/>
  <c r="CW4" i="41" s="1"/>
  <c r="CV14" i="41" a="1"/>
  <c r="CV14" i="41" s="1"/>
  <c r="CW14" i="41" a="1"/>
  <c r="CW14" i="41" s="1"/>
  <c r="CV15" i="41" a="1"/>
  <c r="CV15" i="41" s="1"/>
  <c r="CW15" i="41" a="1"/>
  <c r="CW15" i="41" s="1"/>
  <c r="CV7" i="41" a="1"/>
  <c r="CV7" i="41" s="1"/>
  <c r="CW7" i="41" a="1"/>
  <c r="CW7" i="41" s="1"/>
  <c r="CV19" i="41" a="1"/>
  <c r="CV19" i="41" s="1"/>
  <c r="CW19" i="41" a="1"/>
  <c r="CW19" i="41" s="1"/>
  <c r="CV11" i="41" a="1"/>
  <c r="CV11" i="41" s="1"/>
  <c r="CW11" i="41" a="1"/>
  <c r="CW11" i="41" s="1"/>
  <c r="CV3" i="41" a="1"/>
  <c r="CV3" i="41" s="1"/>
  <c r="CW3" i="41" a="1"/>
  <c r="CW3" i="41" s="1"/>
  <c r="CV18" i="41" a="1"/>
  <c r="CV18" i="41" s="1"/>
  <c r="CW18" i="41" a="1"/>
  <c r="CW18" i="41" s="1"/>
  <c r="CV13" i="41" a="1"/>
  <c r="CV13" i="41" s="1"/>
  <c r="CW13" i="41" a="1"/>
  <c r="CW13" i="41" s="1"/>
  <c r="CZ13" i="41" s="1" a="1"/>
  <c r="CZ13" i="41" s="1"/>
  <c r="CS12" i="41"/>
  <c r="CS9" i="41"/>
  <c r="CS15" i="41"/>
  <c r="CS4" i="41"/>
  <c r="CS14" i="41"/>
  <c r="CS11" i="41"/>
  <c r="CS18" i="41"/>
  <c r="CS3" i="41"/>
  <c r="CS13" i="41"/>
  <c r="CR6" i="41"/>
  <c r="CS6" i="41"/>
  <c r="CR5" i="41"/>
  <c r="CS5" i="41"/>
  <c r="CR16" i="41"/>
  <c r="CS16" i="41"/>
  <c r="CR17" i="41"/>
  <c r="CS17" i="41"/>
  <c r="CR8" i="41"/>
  <c r="CS8" i="41"/>
  <c r="CR7" i="41"/>
  <c r="CS7" i="41"/>
  <c r="CR19" i="41"/>
  <c r="CS19" i="41"/>
  <c r="CR9" i="41"/>
  <c r="CR12" i="41"/>
  <c r="CR15" i="41"/>
  <c r="CR4" i="41"/>
  <c r="CR14" i="41"/>
  <c r="CR11" i="41"/>
  <c r="CR18" i="41"/>
  <c r="CR3" i="41"/>
  <c r="CR13" i="41"/>
  <c r="H68" i="39"/>
  <c r="DA32" i="41"/>
  <c r="CO32" i="41"/>
  <c r="DC32" i="41"/>
  <c r="DA27" i="41"/>
  <c r="CO27" i="41"/>
  <c r="DC27" i="41"/>
  <c r="DA26" i="41"/>
  <c r="DC26" i="41"/>
  <c r="CO26" i="41"/>
  <c r="DC18" i="41"/>
  <c r="DC10" i="41"/>
  <c r="CO25" i="41"/>
  <c r="DC25" i="41"/>
  <c r="H61" i="39"/>
  <c r="DA25" i="41"/>
  <c r="DC17" i="41"/>
  <c r="H60" i="39"/>
  <c r="DA24" i="41"/>
  <c r="DC24" i="41"/>
  <c r="CO24" i="41"/>
  <c r="DC8" i="41"/>
  <c r="DA31" i="41"/>
  <c r="CO31" i="41"/>
  <c r="DC31" i="41"/>
  <c r="CO23" i="41"/>
  <c r="DA23" i="41"/>
  <c r="DC23" i="41"/>
  <c r="DC7" i="41"/>
  <c r="DC22" i="41"/>
  <c r="CO22" i="41"/>
  <c r="DA22" i="41"/>
  <c r="DC14" i="41"/>
  <c r="DC6" i="41"/>
  <c r="CO30" i="41"/>
  <c r="DC30" i="41"/>
  <c r="H66" i="39"/>
  <c r="DA30" i="41"/>
  <c r="H65" i="39"/>
  <c r="CO29" i="41"/>
  <c r="DC29" i="41"/>
  <c r="DA29" i="41"/>
  <c r="H57" i="39"/>
  <c r="CO21" i="41"/>
  <c r="DA21" i="41"/>
  <c r="DC21" i="41"/>
  <c r="DC13" i="41"/>
  <c r="DC16" i="41"/>
  <c r="H64" i="39"/>
  <c r="CO28" i="41"/>
  <c r="DC28" i="41"/>
  <c r="DA28" i="41"/>
  <c r="H56" i="39"/>
  <c r="CO20" i="41"/>
  <c r="DA20" i="41"/>
  <c r="DC20" i="41"/>
  <c r="DC4" i="41"/>
  <c r="DC19" i="41"/>
  <c r="DC11" i="41"/>
  <c r="DC3" i="41"/>
  <c r="DD3" i="41" s="1" a="1"/>
  <c r="DD3" i="41" s="1"/>
  <c r="H18" i="39"/>
  <c r="I20" i="39"/>
  <c r="CU10" i="41" a="1"/>
  <c r="CT8" i="41" a="1"/>
  <c r="CT15" i="41" a="1"/>
  <c r="CT5" i="41" a="1"/>
  <c r="CU5" i="41" a="1"/>
  <c r="CU8" i="41" a="1"/>
  <c r="CT9" i="41" a="1"/>
  <c r="CT25" i="41" a="1"/>
  <c r="CU18" i="41" a="1"/>
  <c r="CU26" i="41" a="1"/>
  <c r="CT17" i="41" a="1"/>
  <c r="L14" i="41" a="1"/>
  <c r="CT4" i="41" a="1"/>
  <c r="CT28" i="41" a="1"/>
  <c r="CT6" i="41" a="1"/>
  <c r="CU32" i="41" a="1"/>
  <c r="CU27" i="41" a="1"/>
  <c r="CU23" i="41" a="1"/>
  <c r="CU24" i="41" a="1"/>
  <c r="CU25" i="41" a="1"/>
  <c r="CU14" i="41" a="1"/>
  <c r="Z49" i="41" a="1"/>
  <c r="L12" i="41" a="1"/>
  <c r="CU3" i="41" a="1"/>
  <c r="CU11" i="41" a="1"/>
  <c r="CU29" i="41" a="1"/>
  <c r="CU22" i="41" a="1"/>
  <c r="CU21" i="41" a="1"/>
  <c r="CU20" i="41" a="1"/>
  <c r="CU30" i="41" a="1"/>
  <c r="CT14" i="41" a="1"/>
  <c r="CT11" i="41" a="1"/>
  <c r="CT27" i="41" a="1"/>
  <c r="CT26" i="41" a="1"/>
  <c r="CU28" i="41" a="1"/>
  <c r="CU4" i="41" a="1"/>
  <c r="CU17" i="41" a="1"/>
  <c r="CU15" i="41" a="1"/>
  <c r="CT3" i="41" a="1"/>
  <c r="CU16" i="41" a="1"/>
  <c r="CT30" i="41" a="1"/>
  <c r="CT13" i="41" a="1"/>
  <c r="CT29" i="41" a="1"/>
  <c r="CU12" i="41" a="1"/>
  <c r="L13" i="41" a="1"/>
  <c r="Z51" i="41" a="1"/>
  <c r="CU31" i="41" a="1"/>
  <c r="CT7" i="41" a="1"/>
  <c r="CU13" i="41" a="1"/>
  <c r="CU9" i="41" a="1"/>
  <c r="CT12" i="41" a="1"/>
  <c r="CT20" i="41" a="1"/>
  <c r="CT16" i="41" a="1"/>
  <c r="CT23" i="41" a="1"/>
  <c r="CU7" i="41" a="1"/>
  <c r="CU6" i="41" a="1"/>
  <c r="CT18" i="41" a="1"/>
  <c r="L15" i="41" a="1"/>
  <c r="CT24" i="41" a="1"/>
  <c r="CT19" i="41" a="1"/>
  <c r="CU19" i="41" a="1"/>
  <c r="CT22" i="41" a="1"/>
  <c r="CW10" i="41" l="1" a="1"/>
  <c r="CW10" i="41" s="1"/>
  <c r="DD4" i="41" a="1"/>
  <c r="DD4" i="41" s="1"/>
  <c r="DG3" i="41"/>
  <c r="CV10" i="41" a="1"/>
  <c r="CV10" i="41" s="1"/>
  <c r="CR10" i="41"/>
  <c r="CX9" i="41"/>
  <c r="CX19" i="41"/>
  <c r="CX17" i="41"/>
  <c r="CX18" i="41"/>
  <c r="CX3" i="41"/>
  <c r="CX7" i="41"/>
  <c r="CX6" i="41"/>
  <c r="CX16" i="41"/>
  <c r="CX15" i="41"/>
  <c r="CX12" i="41"/>
  <c r="CX11" i="41"/>
  <c r="CX14" i="41"/>
  <c r="CX8" i="41"/>
  <c r="CX5" i="41"/>
  <c r="CX4" i="41"/>
  <c r="CX13" i="41"/>
  <c r="CY13" i="41" a="1"/>
  <c r="CY13" i="41" s="1"/>
  <c r="CY3" i="41" a="1"/>
  <c r="CY3" i="41" s="1"/>
  <c r="CZ19" i="41" a="1"/>
  <c r="CZ19" i="41" s="1"/>
  <c r="CZ4" i="41" a="1"/>
  <c r="CZ4" i="41" s="1"/>
  <c r="CZ17" i="41" a="1"/>
  <c r="CZ17" i="41" s="1"/>
  <c r="CY19" i="41" a="1"/>
  <c r="CY19" i="41" s="1"/>
  <c r="CY4" i="41" a="1"/>
  <c r="CY4" i="41" s="1"/>
  <c r="CY17" i="41" a="1"/>
  <c r="CY17" i="41" s="1"/>
  <c r="CY10" i="41" a="1"/>
  <c r="CY10" i="41" s="1"/>
  <c r="CZ18" i="41" a="1"/>
  <c r="CZ18" i="41" s="1"/>
  <c r="CZ7" i="41" a="1"/>
  <c r="CZ7" i="41" s="1"/>
  <c r="CZ6" i="41" a="1"/>
  <c r="CZ6" i="41" s="1"/>
  <c r="CZ16" i="41" a="1"/>
  <c r="CZ16" i="41" s="1"/>
  <c r="CY18" i="41" a="1"/>
  <c r="CY18" i="41" s="1"/>
  <c r="CY7" i="41" a="1"/>
  <c r="CY7" i="41" s="1"/>
  <c r="CY6" i="41" a="1"/>
  <c r="CY6" i="41" s="1"/>
  <c r="CY16" i="41" a="1"/>
  <c r="CY16" i="41" s="1"/>
  <c r="CZ3" i="41" a="1"/>
  <c r="CZ3" i="41" s="1"/>
  <c r="CZ15" i="41" a="1"/>
  <c r="CZ15" i="41" s="1"/>
  <c r="CZ12" i="41" a="1"/>
  <c r="CZ12" i="41" s="1"/>
  <c r="CZ9" i="41" a="1"/>
  <c r="CZ9" i="41" s="1"/>
  <c r="CY15" i="41" a="1"/>
  <c r="CY15" i="41" s="1"/>
  <c r="CY12" i="41" a="1"/>
  <c r="CY12" i="41" s="1"/>
  <c r="CY9" i="41" a="1"/>
  <c r="CY9" i="41" s="1"/>
  <c r="CZ11" i="41" a="1"/>
  <c r="CZ11" i="41" s="1"/>
  <c r="CZ14" i="41" a="1"/>
  <c r="CZ14" i="41" s="1"/>
  <c r="CZ8" i="41" a="1"/>
  <c r="CZ8" i="41" s="1"/>
  <c r="CZ5" i="41" a="1"/>
  <c r="CZ5" i="41" s="1"/>
  <c r="CY11" i="41" a="1"/>
  <c r="CY11" i="41" s="1"/>
  <c r="CY14" i="41" a="1"/>
  <c r="CY14" i="41" s="1"/>
  <c r="CY8" i="41" a="1"/>
  <c r="CY8" i="41" s="1"/>
  <c r="CY5" i="41" a="1"/>
  <c r="CY5" i="41" s="1"/>
  <c r="CU14" i="41"/>
  <c r="CT14" i="41"/>
  <c r="CU7" i="41"/>
  <c r="CT7" i="41"/>
  <c r="CU9" i="41"/>
  <c r="CT9" i="41"/>
  <c r="CU3" i="41"/>
  <c r="CT3" i="41"/>
  <c r="CU13" i="41"/>
  <c r="CT13" i="41"/>
  <c r="CU8" i="41"/>
  <c r="CT8" i="41"/>
  <c r="CT27" i="41"/>
  <c r="CU27" i="41"/>
  <c r="CT22" i="41"/>
  <c r="CU22" i="41"/>
  <c r="CU4" i="41"/>
  <c r="CT4" i="41"/>
  <c r="CT20" i="41"/>
  <c r="CU20" i="41"/>
  <c r="CT28" i="41"/>
  <c r="CU28" i="41"/>
  <c r="CU16" i="41"/>
  <c r="CT16" i="41"/>
  <c r="CT30" i="41"/>
  <c r="CU30" i="41"/>
  <c r="CU15" i="41"/>
  <c r="CT15" i="41"/>
  <c r="CT23" i="41"/>
  <c r="CU23" i="41"/>
  <c r="CU17" i="41"/>
  <c r="CT17" i="41"/>
  <c r="CU10" i="41"/>
  <c r="CU11" i="41"/>
  <c r="CT11" i="41"/>
  <c r="CT24" i="41"/>
  <c r="CU24" i="41"/>
  <c r="CU6" i="41"/>
  <c r="CT6" i="41"/>
  <c r="CT25" i="41"/>
  <c r="CU25" i="41"/>
  <c r="CT26" i="41"/>
  <c r="CU26" i="41"/>
  <c r="CU12" i="41"/>
  <c r="CT12" i="41"/>
  <c r="CU5" i="41"/>
  <c r="CT5" i="41"/>
  <c r="CU21" i="41"/>
  <c r="CU18" i="41"/>
  <c r="CT18" i="41"/>
  <c r="CU19" i="41"/>
  <c r="CT19" i="41"/>
  <c r="CT29" i="41"/>
  <c r="CU29" i="41"/>
  <c r="CU31" i="41"/>
  <c r="CU32" i="41"/>
  <c r="L14" i="41"/>
  <c r="L12" i="41"/>
  <c r="L15" i="41"/>
  <c r="L13" i="41"/>
  <c r="Z51" i="41"/>
  <c r="Z49" i="41"/>
  <c r="H17" i="39"/>
  <c r="H16" i="39"/>
  <c r="H19" i="39"/>
  <c r="I24" i="39" a="1"/>
  <c r="CT32" i="41" a="1"/>
  <c r="Z52" i="41" a="1"/>
  <c r="CT31" i="41" a="1"/>
  <c r="CT10" i="41" a="1"/>
  <c r="CT21" i="41" a="1"/>
  <c r="Z50" i="41" a="1"/>
  <c r="CX10" i="41" l="1"/>
  <c r="CZ10" i="41" a="1"/>
  <c r="CZ10" i="41" s="1"/>
  <c r="DA10" i="41" s="1"/>
  <c r="CT10" i="41"/>
  <c r="DD5" i="41" a="1"/>
  <c r="DD5" i="41" s="1"/>
  <c r="DG4" i="41"/>
  <c r="Z50" i="41"/>
  <c r="CT31" i="41"/>
  <c r="CT21" i="41"/>
  <c r="Z52" i="41"/>
  <c r="CT32" i="41"/>
  <c r="DA15" i="41"/>
  <c r="DA19" i="41"/>
  <c r="DA14" i="41"/>
  <c r="DA18" i="41"/>
  <c r="DA8" i="41"/>
  <c r="DA16" i="41"/>
  <c r="DA6" i="41"/>
  <c r="DA11" i="41"/>
  <c r="DA12" i="41"/>
  <c r="DA5" i="41"/>
  <c r="DA9" i="41"/>
  <c r="DA4" i="41"/>
  <c r="DE4" i="41" s="1"/>
  <c r="DA13" i="41"/>
  <c r="DA3" i="41"/>
  <c r="DA17" i="41"/>
  <c r="DA7" i="41"/>
  <c r="I24" i="39"/>
  <c r="I18" i="39"/>
  <c r="DE5" i="41" l="1"/>
  <c r="DD6" i="41" a="1"/>
  <c r="DD6" i="41" s="1"/>
  <c r="DG5" i="41"/>
  <c r="DE3" i="41"/>
  <c r="DF3" i="41" s="1"/>
  <c r="L16" i="41" a="1"/>
  <c r="L16" i="41" s="1"/>
  <c r="Z53" i="41" a="1"/>
  <c r="Z53" i="41" s="1"/>
  <c r="I17" i="39"/>
  <c r="I19" i="39"/>
  <c r="I16" i="39"/>
  <c r="DD7" i="41" l="1" a="1"/>
  <c r="DD7" i="41" s="1"/>
  <c r="DG6" i="41"/>
  <c r="DE6" i="41"/>
  <c r="DF4" i="41"/>
  <c r="DF5" i="41"/>
  <c r="K75" i="39"/>
  <c r="H24" i="39" a="1"/>
  <c r="DD8" i="41" l="1" a="1"/>
  <c r="DD8" i="41" s="1"/>
  <c r="DG7" i="41"/>
  <c r="DE7" i="41"/>
  <c r="DF6" i="41"/>
  <c r="H24" i="39"/>
  <c r="DD9" i="41" l="1" a="1"/>
  <c r="DD9" i="41" s="1"/>
  <c r="DG8" i="41"/>
  <c r="DE8" i="41"/>
  <c r="DF7" i="41"/>
  <c r="R84" i="39" a="1"/>
  <c r="R84" i="39" s="1"/>
  <c r="R87" i="39" a="1"/>
  <c r="R87" i="39" s="1"/>
  <c r="S87" i="39" s="1"/>
  <c r="R86" i="39" a="1"/>
  <c r="R86" i="39" s="1"/>
  <c r="R90" i="39" a="1"/>
  <c r="R90" i="39" s="1"/>
  <c r="S90" i="39" s="1"/>
  <c r="R85" i="39" a="1"/>
  <c r="R85" i="39" s="1"/>
  <c r="R80" i="39" a="1"/>
  <c r="R80" i="39" s="1"/>
  <c r="S80" i="39" s="1"/>
  <c r="R77" i="39" a="1"/>
  <c r="R77" i="39" s="1"/>
  <c r="S77" i="39" s="1"/>
  <c r="R83" i="39" a="1"/>
  <c r="R83" i="39" s="1"/>
  <c r="R81" i="39" a="1"/>
  <c r="R81" i="39" s="1"/>
  <c r="R82" i="39" a="1"/>
  <c r="R82" i="39" s="1"/>
  <c r="R79" i="39" a="1"/>
  <c r="R79" i="39" s="1"/>
  <c r="S79" i="39" s="1"/>
  <c r="R89" i="39" a="1"/>
  <c r="R89" i="39" s="1"/>
  <c r="S89" i="39" s="1"/>
  <c r="R91" i="39" a="1"/>
  <c r="R91" i="39" s="1"/>
  <c r="S91" i="39" s="1"/>
  <c r="R78" i="39" a="1"/>
  <c r="R78" i="39" s="1"/>
  <c r="S78" i="39" s="1"/>
  <c r="R88" i="39" a="1"/>
  <c r="R88" i="39" s="1"/>
  <c r="S88" i="39" s="1"/>
  <c r="DD10" i="41" l="1" a="1"/>
  <c r="DD10" i="41" s="1"/>
  <c r="DG9" i="41"/>
  <c r="DE9" i="41"/>
  <c r="S85" i="39"/>
  <c r="Z62" i="41" s="1" a="1"/>
  <c r="Z62" i="41" s="1"/>
  <c r="S86" i="39"/>
  <c r="G49" i="43" s="1"/>
  <c r="S84" i="39"/>
  <c r="D24" i="42" s="1"/>
  <c r="S82" i="39"/>
  <c r="Z64" i="41" s="1" a="1"/>
  <c r="Z64" i="41" s="1"/>
  <c r="S81" i="39"/>
  <c r="Z63" i="41" s="1" a="1"/>
  <c r="Z63" i="41" s="1"/>
  <c r="S83" i="39"/>
  <c r="Z61" i="41" s="1" a="1"/>
  <c r="Z61" i="41" s="1"/>
  <c r="AQ4" i="41"/>
  <c r="AQ7" i="41"/>
  <c r="AQ5" i="41"/>
  <c r="AQ6" i="41"/>
  <c r="AQ3" i="41"/>
  <c r="F49" i="43"/>
  <c r="G24" i="42"/>
  <c r="I49" i="43"/>
  <c r="L24" i="42"/>
  <c r="J49" i="43"/>
  <c r="M24" i="42"/>
  <c r="F24" i="42"/>
  <c r="K24" i="42"/>
  <c r="H49" i="43"/>
  <c r="K49" i="43"/>
  <c r="Z45" i="41" a="1"/>
  <c r="L20" i="41" a="1"/>
  <c r="DD11" i="41" l="1" a="1"/>
  <c r="DD11" i="41" s="1"/>
  <c r="DG10" i="41"/>
  <c r="DE10" i="41"/>
  <c r="Z60" i="41" a="1"/>
  <c r="Z60" i="41" s="1"/>
  <c r="E24" i="42"/>
  <c r="Z45" i="41"/>
  <c r="L20" i="41"/>
  <c r="DF8" i="41"/>
  <c r="DF9" i="41"/>
  <c r="DD12" i="41" l="1" a="1"/>
  <c r="DD12" i="41" s="1"/>
  <c r="DG11" i="41"/>
  <c r="DE11" i="41"/>
  <c r="DF11" i="41" s="1"/>
  <c r="DF10" i="41"/>
  <c r="F33" i="42"/>
  <c r="E26" i="42"/>
  <c r="E29" i="42"/>
  <c r="F28" i="42"/>
  <c r="F30" i="42"/>
  <c r="G30" i="42"/>
  <c r="E32" i="42"/>
  <c r="G31" i="42"/>
  <c r="F35" i="42"/>
  <c r="F34" i="42"/>
  <c r="F32" i="42"/>
  <c r="E33" i="42"/>
  <c r="G32" i="42"/>
  <c r="E27" i="42"/>
  <c r="F31" i="42"/>
  <c r="G33" i="42"/>
  <c r="E34" i="42"/>
  <c r="E35" i="42"/>
  <c r="G27" i="42"/>
  <c r="G35" i="42"/>
  <c r="G34" i="42"/>
  <c r="F29" i="42"/>
  <c r="G29" i="42"/>
  <c r="F27" i="42"/>
  <c r="G28" i="42"/>
  <c r="E28" i="42"/>
  <c r="E30" i="42"/>
  <c r="E31" i="42"/>
  <c r="DD13" i="41" l="1" a="1"/>
  <c r="DD13" i="41" s="1"/>
  <c r="DG12" i="41"/>
  <c r="DE12" i="41"/>
  <c r="G26" i="42"/>
  <c r="CI3" i="41"/>
  <c r="K26" i="42" s="1"/>
  <c r="DD14" i="41" l="1" a="1"/>
  <c r="DD14" i="41" s="1"/>
  <c r="DG13" i="41"/>
  <c r="DE13" i="41"/>
  <c r="DF12" i="41"/>
  <c r="CJ3" i="41"/>
  <c r="F26" i="42"/>
  <c r="DD15" i="41" l="1" a="1"/>
  <c r="DD15" i="41" s="1"/>
  <c r="DG14" i="41"/>
  <c r="DE14" i="41"/>
  <c r="DF14" i="41" s="1"/>
  <c r="DF13" i="41"/>
  <c r="CK3" i="41"/>
  <c r="M26" i="42" s="1"/>
  <c r="L26" i="42"/>
  <c r="H44" i="39"/>
  <c r="H50" i="39"/>
  <c r="H47" i="39"/>
  <c r="H42" i="39"/>
  <c r="H53" i="39"/>
  <c r="H52" i="39"/>
  <c r="H45" i="39"/>
  <c r="H54" i="39"/>
  <c r="H39" i="39"/>
  <c r="H46" i="39"/>
  <c r="H41" i="39"/>
  <c r="H49" i="39"/>
  <c r="H43" i="39"/>
  <c r="H40" i="39"/>
  <c r="H51" i="39"/>
  <c r="H48" i="39"/>
  <c r="H55" i="39"/>
  <c r="DD16" i="41" l="1" a="1"/>
  <c r="DD16" i="41" s="1"/>
  <c r="DG15" i="41"/>
  <c r="DE15" i="41"/>
  <c r="DF15" i="41" s="1"/>
  <c r="DD17" i="41" l="1" a="1"/>
  <c r="DD17" i="41" s="1"/>
  <c r="DG16" i="41"/>
  <c r="DE16" i="41"/>
  <c r="DF16" i="41" s="1"/>
  <c r="DD18" i="41" l="1" a="1"/>
  <c r="DD18" i="41" s="1"/>
  <c r="DG17" i="41"/>
  <c r="DE17" i="41"/>
  <c r="DF17" i="41" s="1"/>
  <c r="DD19" i="41" l="1" a="1"/>
  <c r="DD19" i="41" s="1"/>
  <c r="DG18" i="41"/>
  <c r="DE18" i="41"/>
  <c r="DF18" i="41" s="1"/>
  <c r="DD20" i="41" l="1" a="1"/>
  <c r="DD20" i="41" s="1"/>
  <c r="DE19" i="41"/>
  <c r="DF19" i="41" s="1"/>
  <c r="DG19" i="41"/>
  <c r="DD21" i="41" l="1" a="1"/>
  <c r="DD21" i="41" s="1"/>
  <c r="DL21" i="41" s="1"/>
  <c r="DE20" i="41"/>
  <c r="DG20" i="41"/>
  <c r="DM20" i="41"/>
  <c r="DI20" i="41"/>
  <c r="DK20" i="41" s="1" a="1"/>
  <c r="DK20" i="41" s="1"/>
  <c r="DJ20" i="41"/>
  <c r="DH20" i="41"/>
  <c r="DF20" i="41"/>
  <c r="DL20" i="41"/>
  <c r="DJ21" i="41" l="1"/>
  <c r="DI21" i="41"/>
  <c r="DK21" i="41" s="1" a="1"/>
  <c r="DK21" i="41" s="1"/>
  <c r="DF21" i="41"/>
  <c r="DU20" i="41"/>
  <c r="I68" i="43" s="1"/>
  <c r="DS20" i="41"/>
  <c r="K68" i="43" s="1"/>
  <c r="DQ20" i="41"/>
  <c r="G68" i="43" s="1"/>
  <c r="DO20" i="41"/>
  <c r="F68" i="43" s="1"/>
  <c r="DT20" i="41"/>
  <c r="H68" i="43" s="1"/>
  <c r="DR20" i="41"/>
  <c r="D68" i="43" s="1"/>
  <c r="DP20" i="41"/>
  <c r="E68" i="43" s="1"/>
  <c r="DN20" i="41"/>
  <c r="DV20" i="41"/>
  <c r="J68" i="43" s="1"/>
  <c r="DH21" i="41"/>
  <c r="DD22" i="41" a="1"/>
  <c r="DD22" i="41" s="1"/>
  <c r="DH22" i="41" s="1"/>
  <c r="DM21" i="41"/>
  <c r="DE21" i="41"/>
  <c r="DG21" i="41"/>
  <c r="DL22" i="41" l="1"/>
  <c r="DF22" i="41"/>
  <c r="DJ22" i="41"/>
  <c r="DI22" i="41"/>
  <c r="DK22" i="41" s="1" a="1"/>
  <c r="DK22" i="41" s="1"/>
  <c r="DD23" i="41" a="1"/>
  <c r="DD23" i="41" s="1"/>
  <c r="DH23" i="41" s="1"/>
  <c r="DM22" i="41"/>
  <c r="DE22" i="41"/>
  <c r="DG22" i="41"/>
  <c r="DU21" i="41"/>
  <c r="I69" i="43" s="1"/>
  <c r="DP21" i="41"/>
  <c r="E69" i="43" s="1"/>
  <c r="DV21" i="41"/>
  <c r="J69" i="43" s="1"/>
  <c r="DQ21" i="41"/>
  <c r="G69" i="43" s="1"/>
  <c r="DN21" i="41"/>
  <c r="DS21" i="41"/>
  <c r="K69" i="43" s="1"/>
  <c r="DT21" i="41"/>
  <c r="H69" i="43" s="1"/>
  <c r="DO21" i="41"/>
  <c r="F69" i="43" s="1"/>
  <c r="DR21" i="41"/>
  <c r="D69" i="43" s="1"/>
  <c r="DF23" i="41" l="1"/>
  <c r="DL23" i="41"/>
  <c r="DJ23" i="41"/>
  <c r="DI23" i="41"/>
  <c r="DK23" i="41" s="1" a="1"/>
  <c r="DK23" i="41" s="1"/>
  <c r="DU22" i="41"/>
  <c r="I70" i="43" s="1"/>
  <c r="DR22" i="41"/>
  <c r="D70" i="43" s="1"/>
  <c r="DT22" i="41"/>
  <c r="H70" i="43" s="1"/>
  <c r="DS22" i="41"/>
  <c r="K70" i="43" s="1"/>
  <c r="DQ22" i="41"/>
  <c r="G70" i="43" s="1"/>
  <c r="DP22" i="41"/>
  <c r="E70" i="43" s="1"/>
  <c r="DO22" i="41"/>
  <c r="F70" i="43" s="1"/>
  <c r="DV22" i="41"/>
  <c r="J70" i="43" s="1"/>
  <c r="DN22" i="41"/>
  <c r="DD24" i="41" a="1"/>
  <c r="DD24" i="41" s="1"/>
  <c r="DH24" i="41" s="1"/>
  <c r="DG23" i="41"/>
  <c r="DM23" i="41"/>
  <c r="DE23" i="41"/>
  <c r="DL24" i="41" l="1"/>
  <c r="DI24" i="41"/>
  <c r="DK24" i="41" s="1" a="1"/>
  <c r="DK24" i="41" s="1"/>
  <c r="DJ24" i="41"/>
  <c r="DF24" i="41"/>
  <c r="DU23" i="41"/>
  <c r="I71" i="43" s="1"/>
  <c r="DP23" i="41"/>
  <c r="E71" i="43" s="1"/>
  <c r="DV23" i="41"/>
  <c r="J71" i="43" s="1"/>
  <c r="DR23" i="41"/>
  <c r="D71" i="43" s="1"/>
  <c r="DO23" i="41"/>
  <c r="F71" i="43" s="1"/>
  <c r="DN23" i="41"/>
  <c r="DQ23" i="41"/>
  <c r="G71" i="43" s="1"/>
  <c r="DT23" i="41"/>
  <c r="H71" i="43" s="1"/>
  <c r="DS23" i="41"/>
  <c r="K71" i="43" s="1"/>
  <c r="DD25" i="41" a="1"/>
  <c r="DD25" i="41" s="1"/>
  <c r="DL25" i="41" s="1"/>
  <c r="DG24" i="41"/>
  <c r="DM24" i="41"/>
  <c r="DE24" i="41"/>
  <c r="DH25" i="41" l="1"/>
  <c r="DJ25" i="41"/>
  <c r="DI25" i="41"/>
  <c r="DK25" i="41" s="1" a="1"/>
  <c r="DK25" i="41" s="1"/>
  <c r="DT24" i="41"/>
  <c r="H72" i="43" s="1"/>
  <c r="DV24" i="41"/>
  <c r="J72" i="43" s="1"/>
  <c r="DS24" i="41"/>
  <c r="K72" i="43" s="1"/>
  <c r="DR24" i="41"/>
  <c r="D72" i="43" s="1"/>
  <c r="DP24" i="41"/>
  <c r="E72" i="43" s="1"/>
  <c r="DN24" i="41"/>
  <c r="DU24" i="41"/>
  <c r="I72" i="43" s="1"/>
  <c r="DQ24" i="41"/>
  <c r="G72" i="43" s="1"/>
  <c r="DO24" i="41"/>
  <c r="F72" i="43" s="1"/>
  <c r="DD26" i="41" a="1"/>
  <c r="DD26" i="41" s="1"/>
  <c r="DH26" i="41" s="1"/>
  <c r="DE25" i="41"/>
  <c r="DG25" i="41"/>
  <c r="DM25" i="41"/>
  <c r="DF25" i="41"/>
  <c r="DF26" i="41" l="1"/>
  <c r="DL26" i="41"/>
  <c r="DJ26" i="41"/>
  <c r="DI26" i="41"/>
  <c r="DK26" i="41" s="1" a="1"/>
  <c r="DK26" i="41" s="1"/>
  <c r="DT25" i="41"/>
  <c r="H73" i="43" s="1"/>
  <c r="DU25" i="41"/>
  <c r="I73" i="43" s="1"/>
  <c r="DQ25" i="41"/>
  <c r="G73" i="43" s="1"/>
  <c r="DP25" i="41"/>
  <c r="E73" i="43" s="1"/>
  <c r="DO25" i="41"/>
  <c r="F73" i="43" s="1"/>
  <c r="DN25" i="41"/>
  <c r="DS25" i="41"/>
  <c r="K73" i="43" s="1"/>
  <c r="DR25" i="41"/>
  <c r="D73" i="43" s="1"/>
  <c r="DV25" i="41"/>
  <c r="J73" i="43" s="1"/>
  <c r="DD27" i="41" a="1"/>
  <c r="DD27" i="41" s="1"/>
  <c r="DI27" i="41" s="1"/>
  <c r="DK27" i="41" s="1" a="1"/>
  <c r="DK27" i="41" s="1"/>
  <c r="DE26" i="41"/>
  <c r="DG26" i="41"/>
  <c r="DM26" i="41"/>
  <c r="DL27" i="41" l="1"/>
  <c r="DH27" i="41"/>
  <c r="DF27" i="41"/>
  <c r="DJ27" i="41"/>
  <c r="DS26" i="41"/>
  <c r="K74" i="43" s="1"/>
  <c r="DR26" i="41"/>
  <c r="D74" i="43" s="1"/>
  <c r="DN26" i="41"/>
  <c r="DO26" i="41"/>
  <c r="F74" i="43" s="1"/>
  <c r="DT26" i="41"/>
  <c r="H74" i="43" s="1"/>
  <c r="DV26" i="41"/>
  <c r="J74" i="43" s="1"/>
  <c r="DP26" i="41"/>
  <c r="E74" i="43" s="1"/>
  <c r="DU26" i="41"/>
  <c r="I74" i="43" s="1"/>
  <c r="DQ26" i="41"/>
  <c r="G74" i="43" s="1"/>
  <c r="DD28" i="41" a="1"/>
  <c r="DD28" i="41" s="1"/>
  <c r="DF28" i="41" s="1"/>
  <c r="DE27" i="41"/>
  <c r="DG27" i="41"/>
  <c r="DM27" i="41"/>
  <c r="DJ28" i="41" l="1"/>
  <c r="DL28" i="41"/>
  <c r="DV27" i="41"/>
  <c r="J75" i="43" s="1"/>
  <c r="DO27" i="41"/>
  <c r="F75" i="43" s="1"/>
  <c r="DQ27" i="41"/>
  <c r="G75" i="43" s="1"/>
  <c r="DN27" i="41"/>
  <c r="DU27" i="41"/>
  <c r="I75" i="43" s="1"/>
  <c r="DR27" i="41"/>
  <c r="D75" i="43" s="1"/>
  <c r="DT27" i="41"/>
  <c r="H75" i="43" s="1"/>
  <c r="DP27" i="41"/>
  <c r="E75" i="43" s="1"/>
  <c r="DS27" i="41"/>
  <c r="K75" i="43" s="1"/>
  <c r="DD29" i="41" a="1"/>
  <c r="DD29" i="41" s="1"/>
  <c r="DF29" i="41" s="1"/>
  <c r="DE28" i="41"/>
  <c r="DG28" i="41"/>
  <c r="DM28" i="41"/>
  <c r="DI28" i="41"/>
  <c r="DK28" i="41" s="1" a="1"/>
  <c r="DK28" i="41" s="1"/>
  <c r="DH28" i="41"/>
  <c r="DJ29" i="41" l="1"/>
  <c r="DI29" i="41"/>
  <c r="DK29" i="41" s="1" a="1"/>
  <c r="DK29" i="41" s="1"/>
  <c r="DH29" i="41"/>
  <c r="DL29" i="41"/>
  <c r="DV28" i="41"/>
  <c r="J76" i="43" s="1"/>
  <c r="DO28" i="41"/>
  <c r="F76" i="43" s="1"/>
  <c r="DQ28" i="41"/>
  <c r="G76" i="43" s="1"/>
  <c r="DT28" i="41"/>
  <c r="H76" i="43" s="1"/>
  <c r="DU28" i="41"/>
  <c r="I76" i="43" s="1"/>
  <c r="DR28" i="41"/>
  <c r="D76" i="43" s="1"/>
  <c r="DP28" i="41"/>
  <c r="E76" i="43" s="1"/>
  <c r="DN28" i="41"/>
  <c r="DS28" i="41"/>
  <c r="K76" i="43" s="1"/>
  <c r="DD30" i="41" a="1"/>
  <c r="DD30" i="41" s="1"/>
  <c r="DF30" i="41" s="1"/>
  <c r="DM29" i="41"/>
  <c r="DE29" i="41"/>
  <c r="DG29" i="41"/>
  <c r="DH30" i="41" l="1"/>
  <c r="DL30" i="41"/>
  <c r="DJ30" i="41"/>
  <c r="DI30" i="41"/>
  <c r="DK30" i="41" s="1" a="1"/>
  <c r="DK30" i="41" s="1"/>
  <c r="DU29" i="41"/>
  <c r="I77" i="43" s="1"/>
  <c r="DP29" i="41"/>
  <c r="E77" i="43" s="1"/>
  <c r="DV29" i="41"/>
  <c r="J77" i="43" s="1"/>
  <c r="DT29" i="41"/>
  <c r="H77" i="43" s="1"/>
  <c r="DQ29" i="41"/>
  <c r="G77" i="43" s="1"/>
  <c r="DS29" i="41"/>
  <c r="K77" i="43" s="1"/>
  <c r="DO29" i="41"/>
  <c r="F77" i="43" s="1"/>
  <c r="DR29" i="41"/>
  <c r="D77" i="43" s="1"/>
  <c r="DN29" i="41"/>
  <c r="DD31" i="41" a="1"/>
  <c r="DD31" i="41" s="1"/>
  <c r="DI31" i="41" s="1"/>
  <c r="DK31" i="41" s="1" a="1"/>
  <c r="DK31" i="41" s="1"/>
  <c r="DM30" i="41"/>
  <c r="DE30" i="41"/>
  <c r="DG30" i="41"/>
  <c r="DL31" i="41" l="1"/>
  <c r="DH31" i="41"/>
  <c r="DF31" i="41"/>
  <c r="DU30" i="41"/>
  <c r="I78" i="43" s="1"/>
  <c r="DT30" i="41"/>
  <c r="H78" i="43" s="1"/>
  <c r="DP30" i="41"/>
  <c r="E78" i="43" s="1"/>
  <c r="DS30" i="41"/>
  <c r="K78" i="43" s="1"/>
  <c r="DQ30" i="41"/>
  <c r="G78" i="43" s="1"/>
  <c r="DN30" i="41"/>
  <c r="DO30" i="41"/>
  <c r="F78" i="43" s="1"/>
  <c r="DV30" i="41"/>
  <c r="J78" i="43" s="1"/>
  <c r="DR30" i="41"/>
  <c r="D78" i="43" s="1"/>
  <c r="DD32" i="41" a="1"/>
  <c r="DD32" i="41" s="1"/>
  <c r="DH32" i="41" s="1"/>
  <c r="DG31" i="41"/>
  <c r="DM31" i="41"/>
  <c r="DE31" i="41"/>
  <c r="DJ31" i="41"/>
  <c r="DF32" i="41" l="1"/>
  <c r="DI19" i="41" s="1"/>
  <c r="DK19" i="41" s="1" a="1"/>
  <c r="DK19" i="41" s="1"/>
  <c r="DJ32" i="41"/>
  <c r="DI32" i="41"/>
  <c r="DK32" i="41" s="1" a="1"/>
  <c r="DK32" i="41" s="1"/>
  <c r="DL32" i="41"/>
  <c r="DU31" i="41"/>
  <c r="I79" i="43" s="1"/>
  <c r="DT31" i="41"/>
  <c r="H79" i="43" s="1"/>
  <c r="DP31" i="41"/>
  <c r="E79" i="43" s="1"/>
  <c r="DS31" i="41"/>
  <c r="K79" i="43" s="1"/>
  <c r="DV31" i="41"/>
  <c r="J79" i="43" s="1"/>
  <c r="DR31" i="41"/>
  <c r="D79" i="43" s="1"/>
  <c r="DN31" i="41"/>
  <c r="DQ31" i="41"/>
  <c r="G79" i="43" s="1"/>
  <c r="DO31" i="41"/>
  <c r="F79" i="43" s="1"/>
  <c r="DG32" i="41"/>
  <c r="DJ19" i="41" s="1"/>
  <c r="DM32" i="41"/>
  <c r="DE32" i="41"/>
  <c r="DI5" i="41"/>
  <c r="DK5" i="41" s="1" a="1"/>
  <c r="DK5" i="41" s="1"/>
  <c r="DI4" i="41"/>
  <c r="DK4" i="41" s="1" a="1"/>
  <c r="DK4" i="41" s="1"/>
  <c r="DI3" i="41"/>
  <c r="DI6" i="41"/>
  <c r="DK6" i="41" s="1" a="1"/>
  <c r="DK6" i="41" s="1"/>
  <c r="DI7" i="41"/>
  <c r="DK7" i="41" s="1" a="1"/>
  <c r="DK7" i="41" s="1"/>
  <c r="DI8" i="41"/>
  <c r="DK8" i="41" s="1" a="1"/>
  <c r="DK8" i="41" s="1"/>
  <c r="DI11" i="41"/>
  <c r="DK11" i="41" s="1" a="1"/>
  <c r="DK11" i="41" s="1"/>
  <c r="DI10" i="41"/>
  <c r="DK10" i="41" s="1" a="1"/>
  <c r="DK10" i="41" s="1"/>
  <c r="DI14" i="41"/>
  <c r="DK14" i="41" s="1" a="1"/>
  <c r="DK14" i="41" s="1"/>
  <c r="DI9" i="41"/>
  <c r="DK9" i="41" s="1" a="1"/>
  <c r="DK9" i="41" s="1"/>
  <c r="DI13" i="41"/>
  <c r="DK13" i="41" s="1" a="1"/>
  <c r="DK13" i="41" s="1"/>
  <c r="DI12" i="41"/>
  <c r="DK12" i="41" s="1" a="1"/>
  <c r="DK12" i="41" s="1"/>
  <c r="DI15" i="41"/>
  <c r="DK15" i="41" s="1" a="1"/>
  <c r="DK15" i="41" s="1"/>
  <c r="DI16" i="41"/>
  <c r="DK16" i="41" s="1" a="1"/>
  <c r="DK16" i="41" s="1"/>
  <c r="DI17" i="41"/>
  <c r="DK17" i="41" s="1" a="1"/>
  <c r="DK17" i="41" s="1"/>
  <c r="DI18" i="41"/>
  <c r="DK18" i="41" s="1" a="1"/>
  <c r="DK18" i="41" s="1"/>
  <c r="Z67" i="41" a="1"/>
  <c r="Z67" i="41" s="1"/>
  <c r="DJ3" i="41"/>
  <c r="DJ4" i="41"/>
  <c r="DJ5" i="41"/>
  <c r="DJ6" i="41"/>
  <c r="DJ10" i="41"/>
  <c r="DJ7" i="41"/>
  <c r="DJ11" i="41"/>
  <c r="DJ9" i="41"/>
  <c r="DJ8" i="41"/>
  <c r="DJ14" i="41"/>
  <c r="DJ12" i="41"/>
  <c r="DJ13" i="41"/>
  <c r="DJ15" i="41"/>
  <c r="DJ16" i="41"/>
  <c r="DJ17" i="41"/>
  <c r="DJ18" i="41"/>
  <c r="DH12" i="41" l="1"/>
  <c r="DH19" i="41"/>
  <c r="DH9" i="41"/>
  <c r="DH17" i="41"/>
  <c r="DH15" i="41"/>
  <c r="DH6" i="41"/>
  <c r="DH14" i="41"/>
  <c r="DH4" i="41"/>
  <c r="DH16" i="41"/>
  <c r="DH13" i="41"/>
  <c r="DH11" i="41"/>
  <c r="DH5" i="41"/>
  <c r="DH8" i="41"/>
  <c r="DH7" i="41"/>
  <c r="DH10" i="41"/>
  <c r="DH3" i="41"/>
  <c r="DH18" i="41"/>
  <c r="DT32" i="41"/>
  <c r="H80" i="43" s="1"/>
  <c r="DR32" i="41"/>
  <c r="D80" i="43" s="1"/>
  <c r="DP32" i="41"/>
  <c r="E80" i="43" s="1"/>
  <c r="DN32" i="41"/>
  <c r="DU32" i="41"/>
  <c r="I80" i="43" s="1"/>
  <c r="DO32" i="41"/>
  <c r="F80" i="43" s="1"/>
  <c r="DS32" i="41"/>
  <c r="K80" i="43" s="1"/>
  <c r="DQ32" i="41"/>
  <c r="G80" i="43" s="1"/>
  <c r="DV32" i="41"/>
  <c r="J80" i="43" s="1"/>
  <c r="DK3" i="41" a="1"/>
  <c r="DK3" i="41" s="1"/>
  <c r="DL3" i="41" s="1"/>
  <c r="DL19" i="41" l="1"/>
  <c r="DL7" i="41"/>
  <c r="DL18" i="41"/>
  <c r="DL13" i="41"/>
  <c r="DL12" i="41"/>
  <c r="DL14" i="41"/>
  <c r="DL11" i="41"/>
  <c r="DL9" i="41"/>
  <c r="DL6" i="41"/>
  <c r="DL15" i="41"/>
  <c r="DL17" i="41"/>
  <c r="DL8" i="41"/>
  <c r="DL4" i="41"/>
  <c r="DL16" i="41"/>
  <c r="DL5" i="41"/>
  <c r="DL10" i="41"/>
  <c r="DM19" i="41" l="1"/>
  <c r="DP19" i="41" s="1"/>
  <c r="E67" i="43" s="1"/>
  <c r="DM11" i="41"/>
  <c r="DU11" i="41" s="1"/>
  <c r="I59" i="43" s="1"/>
  <c r="DM9" i="41"/>
  <c r="DM4" i="41"/>
  <c r="DV4" i="41" s="1"/>
  <c r="J52" i="43" s="1"/>
  <c r="DM10" i="41"/>
  <c r="DM14" i="41"/>
  <c r="DM17" i="41"/>
  <c r="DM6" i="41"/>
  <c r="DV6" i="41" s="1"/>
  <c r="DM13" i="41"/>
  <c r="DV13" i="41" s="1"/>
  <c r="DM5" i="41"/>
  <c r="DM16" i="41"/>
  <c r="DM12" i="41"/>
  <c r="DM8" i="41"/>
  <c r="DM15" i="41"/>
  <c r="DV15" i="41" s="1"/>
  <c r="DM18" i="41"/>
  <c r="DM7" i="41"/>
  <c r="DM3" i="41"/>
  <c r="DN19" i="41" l="1"/>
  <c r="DO19" i="41" s="1"/>
  <c r="DS19" i="41"/>
  <c r="K67" i="43" s="1"/>
  <c r="DU19" i="41"/>
  <c r="I67" i="43" s="1"/>
  <c r="DT19" i="41"/>
  <c r="H67" i="43" s="1"/>
  <c r="DV19" i="41"/>
  <c r="J67" i="43" s="1"/>
  <c r="F67" i="43"/>
  <c r="DQ19" i="41"/>
  <c r="G67" i="43" s="1"/>
  <c r="DN11" i="41"/>
  <c r="DO11" i="41" s="1"/>
  <c r="F59" i="43" s="1"/>
  <c r="DP11" i="41"/>
  <c r="DQ11" i="41" s="1"/>
  <c r="DT11" i="41"/>
  <c r="H59" i="43" s="1"/>
  <c r="DS11" i="41"/>
  <c r="K59" i="43" s="1"/>
  <c r="DV11" i="41"/>
  <c r="J59" i="43" s="1"/>
  <c r="DU12" i="41"/>
  <c r="I60" i="43" s="1"/>
  <c r="DV12" i="41"/>
  <c r="J60" i="43" s="1"/>
  <c r="DU5" i="41"/>
  <c r="I53" i="43" s="1"/>
  <c r="DV5" i="41"/>
  <c r="J53" i="43" s="1"/>
  <c r="DU9" i="41"/>
  <c r="I57" i="43" s="1"/>
  <c r="DV9" i="41"/>
  <c r="J57" i="43" s="1"/>
  <c r="DU18" i="41"/>
  <c r="I66" i="43" s="1"/>
  <c r="DV18" i="41"/>
  <c r="J66" i="43" s="1"/>
  <c r="DU17" i="41"/>
  <c r="I65" i="43" s="1"/>
  <c r="DV17" i="41"/>
  <c r="J65" i="43" s="1"/>
  <c r="DU16" i="41"/>
  <c r="I64" i="43" s="1"/>
  <c r="DV16" i="41"/>
  <c r="J64" i="43" s="1"/>
  <c r="DU14" i="41"/>
  <c r="I62" i="43" s="1"/>
  <c r="DV14" i="41"/>
  <c r="J62" i="43" s="1"/>
  <c r="DU3" i="41"/>
  <c r="I51" i="43" s="1"/>
  <c r="DV3" i="41"/>
  <c r="J51" i="43" s="1"/>
  <c r="DU7" i="41"/>
  <c r="I55" i="43" s="1"/>
  <c r="DV7" i="41"/>
  <c r="J55" i="43" s="1"/>
  <c r="DU8" i="41"/>
  <c r="I56" i="43" s="1"/>
  <c r="DV8" i="41"/>
  <c r="J56" i="43" s="1"/>
  <c r="DU10" i="41"/>
  <c r="I58" i="43" s="1"/>
  <c r="DV10" i="41"/>
  <c r="J58" i="43" s="1"/>
  <c r="J63" i="43"/>
  <c r="DU15" i="41"/>
  <c r="I63" i="43" s="1"/>
  <c r="DT4" i="41"/>
  <c r="DU4" i="41"/>
  <c r="I52" i="43" s="1"/>
  <c r="DT13" i="41"/>
  <c r="H61" i="43" s="1"/>
  <c r="DU13" i="41"/>
  <c r="I61" i="43" s="1"/>
  <c r="DT6" i="41"/>
  <c r="H54" i="43" s="1"/>
  <c r="DU6" i="41"/>
  <c r="I54" i="43" s="1"/>
  <c r="DS14" i="41"/>
  <c r="K62" i="43" s="1"/>
  <c r="DT14" i="41"/>
  <c r="H62" i="43" s="1"/>
  <c r="DS8" i="41"/>
  <c r="K56" i="43" s="1"/>
  <c r="DT8" i="41"/>
  <c r="H56" i="43" s="1"/>
  <c r="DS10" i="41"/>
  <c r="K58" i="43" s="1"/>
  <c r="DT10" i="41"/>
  <c r="H58" i="43" s="1"/>
  <c r="DS12" i="41"/>
  <c r="K60" i="43" s="1"/>
  <c r="DT12" i="41"/>
  <c r="H60" i="43" s="1"/>
  <c r="DS16" i="41"/>
  <c r="K64" i="43" s="1"/>
  <c r="DT16" i="41"/>
  <c r="H64" i="43" s="1"/>
  <c r="DS5" i="41"/>
  <c r="K53" i="43" s="1"/>
  <c r="DT5" i="41"/>
  <c r="H53" i="43" s="1"/>
  <c r="DS9" i="41"/>
  <c r="K57" i="43" s="1"/>
  <c r="DT9" i="41"/>
  <c r="H57" i="43" s="1"/>
  <c r="DS3" i="41"/>
  <c r="K51" i="43" s="1"/>
  <c r="DT3" i="41"/>
  <c r="H51" i="43" s="1"/>
  <c r="DS7" i="41"/>
  <c r="K55" i="43" s="1"/>
  <c r="DT7" i="41"/>
  <c r="H55" i="43" s="1"/>
  <c r="DS15" i="41"/>
  <c r="K63" i="43" s="1"/>
  <c r="DT15" i="41"/>
  <c r="H63" i="43" s="1"/>
  <c r="DS18" i="41"/>
  <c r="K66" i="43" s="1"/>
  <c r="DT18" i="41"/>
  <c r="H66" i="43" s="1"/>
  <c r="DS17" i="41"/>
  <c r="K65" i="43" s="1"/>
  <c r="DT17" i="41"/>
  <c r="H65" i="43" s="1"/>
  <c r="J54" i="43"/>
  <c r="DS6" i="41"/>
  <c r="K54" i="43" s="1"/>
  <c r="H52" i="43"/>
  <c r="DS4" i="41"/>
  <c r="K52" i="43" s="1"/>
  <c r="DS13" i="41"/>
  <c r="K61" i="43" s="1"/>
  <c r="DN9" i="41"/>
  <c r="DO9" i="41" s="1"/>
  <c r="F57" i="43" s="1"/>
  <c r="J61" i="43"/>
  <c r="DP15" i="41"/>
  <c r="E63" i="43" s="1"/>
  <c r="DP14" i="41"/>
  <c r="E62" i="43" s="1"/>
  <c r="DP8" i="41"/>
  <c r="DQ8" i="41" s="1"/>
  <c r="G56" i="43" s="1"/>
  <c r="DP10" i="41"/>
  <c r="E58" i="43" s="1"/>
  <c r="DP12" i="41"/>
  <c r="DQ12" i="41" s="1"/>
  <c r="DP4" i="41"/>
  <c r="E52" i="43" s="1"/>
  <c r="DP16" i="41"/>
  <c r="DQ16" i="41" s="1"/>
  <c r="DP5" i="41"/>
  <c r="DQ5" i="41" s="1"/>
  <c r="DP3" i="41"/>
  <c r="DQ3" i="41" s="1"/>
  <c r="G51" i="43" s="1"/>
  <c r="DP13" i="41"/>
  <c r="E61" i="43" s="1"/>
  <c r="DP9" i="41"/>
  <c r="E57" i="43" s="1"/>
  <c r="DP18" i="41"/>
  <c r="E66" i="43" s="1"/>
  <c r="DP17" i="41"/>
  <c r="E65" i="43" s="1"/>
  <c r="DP7" i="41"/>
  <c r="DQ7" i="41" s="1"/>
  <c r="DP6" i="41"/>
  <c r="DQ6" i="41" s="1"/>
  <c r="DN17" i="41"/>
  <c r="DO17" i="41" s="1"/>
  <c r="F65" i="43" s="1"/>
  <c r="DN15" i="41"/>
  <c r="DO15" i="41" s="1"/>
  <c r="F63" i="43" s="1"/>
  <c r="DN14" i="41"/>
  <c r="DO14" i="41" s="1"/>
  <c r="F62" i="43" s="1"/>
  <c r="DN8" i="41"/>
  <c r="DO8" i="41" s="1"/>
  <c r="F56" i="43" s="1"/>
  <c r="DN10" i="41"/>
  <c r="DO10" i="41" s="1"/>
  <c r="DN4" i="41"/>
  <c r="DO4" i="41" s="1"/>
  <c r="F52" i="43" s="1"/>
  <c r="DN5" i="41"/>
  <c r="DN16" i="41"/>
  <c r="DO16" i="41" s="1"/>
  <c r="DN3" i="41"/>
  <c r="DO3" i="41" s="1"/>
  <c r="F51" i="43" s="1"/>
  <c r="DN13" i="41"/>
  <c r="DN7" i="41"/>
  <c r="DO7" i="41" s="1"/>
  <c r="DN6" i="41"/>
  <c r="DO6" i="41" s="1"/>
  <c r="DN18" i="41"/>
  <c r="DN12" i="41"/>
  <c r="Z71" i="41" a="1"/>
  <c r="Z71" i="41" s="1"/>
  <c r="Z72" i="41" a="1"/>
  <c r="Z72" i="41" s="1"/>
  <c r="Z70" i="41" a="1"/>
  <c r="Z70" i="41" s="1"/>
  <c r="Z54" i="41" a="1"/>
  <c r="Z58" i="41" a="1"/>
  <c r="L19" i="41" a="1"/>
  <c r="L18" i="41" a="1"/>
  <c r="DR19" i="41" l="1"/>
  <c r="D67" i="43" s="1"/>
  <c r="DR11" i="41"/>
  <c r="D59" i="43" s="1"/>
  <c r="E59" i="43"/>
  <c r="E51" i="43"/>
  <c r="DR7" i="41"/>
  <c r="D55" i="43" s="1"/>
  <c r="DR6" i="41"/>
  <c r="DR16" i="41"/>
  <c r="D64" i="43" s="1"/>
  <c r="E64" i="43"/>
  <c r="E54" i="43"/>
  <c r="DR3" i="41"/>
  <c r="D51" i="43" s="1"/>
  <c r="DR8" i="41"/>
  <c r="D56" i="43" s="1"/>
  <c r="DQ9" i="41"/>
  <c r="DR9" i="41" s="1"/>
  <c r="D57" i="43" s="1"/>
  <c r="E53" i="43"/>
  <c r="E56" i="43"/>
  <c r="DQ10" i="41"/>
  <c r="DR10" i="41" s="1"/>
  <c r="D58" i="43" s="1"/>
  <c r="DQ17" i="41"/>
  <c r="G65" i="43" s="1"/>
  <c r="DQ13" i="41"/>
  <c r="G61" i="43" s="1"/>
  <c r="E55" i="43"/>
  <c r="DQ18" i="41"/>
  <c r="G66" i="43" s="1"/>
  <c r="DQ4" i="41"/>
  <c r="G52" i="43" s="1"/>
  <c r="DQ14" i="41"/>
  <c r="DR14" i="41" s="1"/>
  <c r="D62" i="43" s="1"/>
  <c r="E60" i="43"/>
  <c r="DQ15" i="41"/>
  <c r="G63" i="43" s="1"/>
  <c r="AW3" i="41" a="1"/>
  <c r="AW3" i="41" s="1"/>
  <c r="DO13" i="41"/>
  <c r="DO12" i="41"/>
  <c r="F54" i="43"/>
  <c r="F58" i="43"/>
  <c r="F55" i="43"/>
  <c r="F64" i="43"/>
  <c r="DO5" i="41"/>
  <c r="DO18" i="41"/>
  <c r="G64" i="43"/>
  <c r="G53" i="43"/>
  <c r="G54" i="43"/>
  <c r="G55" i="43"/>
  <c r="Z54" i="41"/>
  <c r="L18" i="41"/>
  <c r="L19" i="41"/>
  <c r="Z58" i="41"/>
  <c r="G59" i="43"/>
  <c r="G60" i="43"/>
  <c r="G62" i="43" l="1"/>
  <c r="G58" i="43"/>
  <c r="G57" i="43"/>
  <c r="DR4" i="41"/>
  <c r="D52" i="43" s="1"/>
  <c r="DR17" i="41"/>
  <c r="D65" i="43" s="1"/>
  <c r="F61" i="43"/>
  <c r="DR13" i="41"/>
  <c r="D61" i="43" s="1"/>
  <c r="F66" i="43"/>
  <c r="DR18" i="41"/>
  <c r="D66" i="43" s="1"/>
  <c r="DR15" i="41"/>
  <c r="D63" i="43" s="1"/>
  <c r="F53" i="43"/>
  <c r="DR5" i="41"/>
  <c r="D53" i="43" s="1"/>
  <c r="F60" i="43"/>
  <c r="DR12" i="41"/>
  <c r="D60" i="43" s="1"/>
  <c r="D54" i="43"/>
  <c r="O3" i="41" a="1"/>
  <c r="O3" i="41" s="1"/>
  <c r="O4" i="41" l="1" a="1"/>
  <c r="O4" i="41" s="1"/>
  <c r="P3" i="41"/>
  <c r="Q3" i="41" s="1" a="1"/>
  <c r="Q3" i="41" s="1"/>
  <c r="O5" i="41" l="1" a="1"/>
  <c r="O5" i="41" s="1"/>
  <c r="Q5" i="41" s="1" a="1"/>
  <c r="Q5" i="41" s="1"/>
  <c r="P4" i="41"/>
  <c r="Q4" i="41" s="1" a="1"/>
  <c r="Q4" i="41" s="1"/>
  <c r="O6" i="41" l="1" a="1"/>
  <c r="O6" i="41" s="1"/>
  <c r="P5" i="41"/>
  <c r="O7" i="41" l="1" a="1"/>
  <c r="O7" i="41" s="1"/>
  <c r="P6" i="41"/>
  <c r="Q6" i="41" a="1"/>
  <c r="Q6" i="41" s="1"/>
  <c r="O8" i="41" l="1" a="1"/>
  <c r="O8" i="41" s="1"/>
  <c r="P7" i="41"/>
  <c r="Q7" i="41" a="1"/>
  <c r="Q7" i="41" s="1"/>
  <c r="O9" i="41" l="1" a="1"/>
  <c r="O9" i="41" s="1"/>
  <c r="P8" i="41"/>
  <c r="Q8" i="41" a="1"/>
  <c r="Q8" i="41" s="1"/>
  <c r="Z35" i="41" a="1"/>
  <c r="Z35" i="41" s="1"/>
  <c r="H65" i="41" a="1"/>
  <c r="H65" i="41" s="1"/>
  <c r="G65" i="41" a="1"/>
  <c r="G65" i="41" s="1"/>
  <c r="H5" i="42" s="1"/>
  <c r="O10" i="41" l="1" a="1"/>
  <c r="O10" i="41" s="1"/>
  <c r="P9" i="41"/>
  <c r="Q9" i="41" a="1"/>
  <c r="Q9" i="41" s="1"/>
  <c r="O11" i="41" l="1" a="1"/>
  <c r="O11" i="41" s="1"/>
  <c r="P10" i="41"/>
  <c r="Q10" i="41" a="1"/>
  <c r="Q10" i="41" s="1"/>
  <c r="O12" i="41" l="1" a="1"/>
  <c r="O12" i="41" s="1"/>
  <c r="P11" i="41"/>
  <c r="Q11" i="41" a="1"/>
  <c r="Q11" i="41" s="1"/>
  <c r="O13" i="41" l="1" a="1"/>
  <c r="O13" i="41" s="1"/>
  <c r="P12" i="41"/>
  <c r="Q12" i="41" a="1"/>
  <c r="Q12" i="41" s="1"/>
  <c r="O14" i="41" l="1" a="1"/>
  <c r="O14" i="41" s="1"/>
  <c r="P13" i="41"/>
  <c r="Q13" i="41" a="1"/>
  <c r="Q13" i="41" s="1"/>
  <c r="O15" i="41" l="1" a="1"/>
  <c r="O15" i="41" s="1"/>
  <c r="P14" i="41"/>
  <c r="Q14" i="41" a="1"/>
  <c r="Q14" i="41" s="1"/>
  <c r="O16" i="41" l="1" a="1"/>
  <c r="O16" i="41" s="1"/>
  <c r="P15" i="41"/>
  <c r="Q15" i="41" a="1"/>
  <c r="Q15" i="41" s="1"/>
  <c r="O17" i="41" l="1" a="1"/>
  <c r="O17" i="41" s="1"/>
  <c r="P16" i="41"/>
  <c r="Q16" i="41" a="1"/>
  <c r="Q16" i="41" s="1"/>
  <c r="O18" i="41" l="1" a="1"/>
  <c r="O18" i="41" s="1"/>
  <c r="P17" i="41"/>
  <c r="Q17" i="41" a="1"/>
  <c r="Q17" i="41" s="1"/>
  <c r="O19" i="41" l="1" a="1"/>
  <c r="O19" i="41" s="1"/>
  <c r="P18" i="41"/>
  <c r="Q18" i="41" a="1"/>
  <c r="Q18" i="41" s="1"/>
  <c r="O20" i="41" l="1" a="1"/>
  <c r="O20" i="41" s="1"/>
  <c r="P19" i="41"/>
  <c r="Q19" i="41" a="1"/>
  <c r="Q19" i="41" s="1"/>
  <c r="O21" i="41" l="1" a="1"/>
  <c r="O21" i="41" s="1"/>
  <c r="P20" i="41"/>
  <c r="Q20" i="41" a="1"/>
  <c r="Q20" i="41" s="1"/>
  <c r="O22" i="41" l="1" a="1"/>
  <c r="O22" i="41" s="1"/>
  <c r="P21" i="41"/>
  <c r="Q21" i="41" a="1"/>
  <c r="Q21" i="41" s="1"/>
  <c r="K3" i="42" l="1" a="1"/>
  <c r="K3" i="42" s="1"/>
  <c r="I3" i="43" a="1"/>
  <c r="I3" i="43" s="1"/>
  <c r="P22" i="41"/>
  <c r="C72" i="39" s="1" a="1"/>
  <c r="C72" i="39" s="1"/>
  <c r="Q22" i="41" a="1"/>
  <c r="Q22" i="41" s="1"/>
  <c r="Z55" i="41" l="1" a="1"/>
  <c r="Z55" i="41" s="1"/>
  <c r="L8" i="39" a="1"/>
  <c r="L8"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tc={642E0654-908C-444E-B518-0916D3BF50B9}</author>
    <author>tc={6C44E4F4-0698-4275-8CC6-863951580E48}</author>
    <author>tc={3F594EE3-B120-4423-93D2-26576404B3DB}</author>
    <author>tc={79BD005D-9F85-49B3-8F64-CAA0A13BDEFF}</author>
    <author>tc={BECC8FE3-2FC4-4C87-AA48-5F5B24B15A35}</author>
  </authors>
  <commentList>
    <comment ref="A1" authorId="0" shapeId="0" xr:uid="{642E0654-908C-444E-B518-0916D3BF50B9}">
      <text>
        <t>[Threaded comment]
Your version of Excel allows you to read this threaded comment; however, any edits to it will get removed if the file is opened in a newer version of Excel. Learn more: https://go.microsoft.com/fwlink/?linkid=870924
Comment:
    Copy of the first row of the "data" sheet, up to column 'maxColNum'. Used to eventually define dataHeaders and dataRange.</t>
      </text>
    </comment>
    <comment ref="A4" authorId="1" shapeId="0" xr:uid="{6C44E4F4-0698-4275-8CC6-863951580E48}">
      <text>
        <t>[Threaded comment]
Your version of Excel allows you to read this threaded comment; however, any edits to it will get removed if the file is opened in a newer version of Excel. Learn more: https://go.microsoft.com/fwlink/?linkid=870924
Comment:
    Copy (down to row 'maxRowNum') of the data column from the "data" sheet that serves as an index for the survey submissions. Used to count the total number of data entries.</t>
      </text>
    </comment>
    <comment ref="C4" authorId="2" shapeId="0" xr:uid="{3F594EE3-B120-4423-93D2-26576404B3DB}">
      <text>
        <t>[Threaded comment]
Your version of Excel allows you to read this threaded comment; however, any edits to it will get removed if the file is opened in a newer version of Excel. Learn more: https://go.microsoft.com/fwlink/?linkid=870924
Comment:
    Copy of the row of column headers in the "data" sheet. Used in various formula to look up / reference column headers.</t>
      </text>
    </comment>
    <comment ref="C5" authorId="3" shapeId="0" xr:uid="{79BD005D-9F85-49B3-8F64-CAA0A13BDEFF}">
      <text>
        <t>[Threaded comment]
Your version of Excel allows you to read this threaded comment; however, any edits to it will get removed if the file is opened in a newer version of Excel. Learn more: https://go.microsoft.com/fwlink/?linkid=870924
Comment:
    Copy of the range of the "data" sheet from row 2 (i.e., without the column headers) and 'numEntries'-row high, and from columns 1 to dataLastColNum. Used to then reference data columns with the INDEX() function.</t>
      </text>
    </comment>
    <comment ref="C6" authorId="4" shapeId="0" xr:uid="{BECC8FE3-2FC4-4C87-AA48-5F5B24B15A35}">
      <text>
        <t>[Threaded comment]
Your version of Excel allows you to read this threaded comment; however, any edits to it will get removed if the file is opened in a newer version of Excel. Learn more: https://go.microsoft.com/fwlink/?linkid=870924
Comment:
    Legacy version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tc={39E6F978-3C84-41CD-A7D0-97EAFDDCED97}</author>
    <author>tc={BBD831BC-6DBE-4E41-8B1E-3111352333B8}</author>
    <author>tc={38C86FA5-742F-4C4C-B63F-FFE18671B4F8}</author>
    <author>tc={0CF385CD-78A4-4D17-BD9F-9F454DA9DC1A}</author>
    <author>tc={FA99D751-4424-4719-B4F2-AA71785A3DE4}</author>
    <author>tc={C1D74717-9E3A-49D1-90BE-1473D382D71B}</author>
    <author>tc={147FD3D0-9ECF-453D-A2C3-68A746F7A623}</author>
    <author>tc={B683A297-2ED4-4146-B01E-9A17A755844B}</author>
    <author>tc={3F80F0C2-C9D4-4865-905C-3A4FA27C3A23}</author>
    <author>tc={67BB9B8F-1554-431D-9876-BACFAA44CCE2}</author>
    <author>tc={7B30AC4B-A213-4136-836D-7C16FEE2FD13}</author>
    <author>tc={7C0EDA3B-30AE-489A-8FA0-C8643C6FDB18}</author>
    <author>tc={66853D4F-F89F-4E32-AC13-26DC354E4FC9}</author>
    <author>tc={182165B5-26F6-4F81-8E85-1DC77B044D16}</author>
    <author>tc={3386F9D7-AF8D-4721-8A64-9206E9EAD5C5}</author>
    <author>tc={6F6D2AF2-3646-4E7D-B4E4-37DC032D7DCF}</author>
    <author>tc={27F75A60-E649-42E2-99F4-B0C513C2107C}</author>
    <author>tc={D1457836-9247-487C-997C-ED15C9A5819C}</author>
    <author>tc={1400722F-15C4-48B1-A517-E579917D6EC0}</author>
    <author>tc={8C48700E-31ED-4FB7-964A-A27A91D2807F}</author>
    <author>tc={ED77F99E-76D8-4872-9F5C-0F0146EEBF56}</author>
    <author>tc={3BEF204C-2584-4591-9B34-6AD9FD391CC5}</author>
    <author>tc={5D1BC0D0-EA03-4732-8325-CAC25158754F}</author>
    <author>tc={C1E92698-CDF4-4626-9560-1E7560AB8D3D}</author>
    <author>tc={CB05F824-A649-4013-8CFB-A7519B734B18}</author>
    <author>tc={056945A4-78A6-4F8F-B2C5-B191DCB18BFE}</author>
    <author>tc={6DC96BFF-B3D6-46B1-8D38-5EA4AB8BD543}</author>
    <author>tc={642A9713-8C2F-44C4-8481-0F64559453E8}</author>
    <author>tc={8028B8F5-12DE-412E-B03F-538113D6F08F}</author>
    <author>tc={E6311091-327B-4EB1-8DB1-BF2EF6D42508}</author>
    <author>tc={AB114D5E-8F5A-426D-A437-3853E174B4FF}</author>
    <author>tc={08C4D84F-9FD3-4C12-BA3E-9D1DE87ECB99}</author>
    <author>tc={C6EF09CE-66FC-420A-9DB2-24EB149724A7}</author>
    <author>tc={B7EB3A7C-296A-4B23-A576-77E53F899698}</author>
    <author>tc={137C8FC4-AF6C-45E3-B2C8-AE3BE30F10E9}</author>
    <author>tc={0EF8A64D-BC06-4E49-ADA5-514829E8355A}</author>
    <author>tc={37375FA1-022D-4780-AE17-17184A876CCF}</author>
    <author>tc={696FC813-9452-43F5-9B07-B25C73CC8152}</author>
    <author>tc={0EA9F409-7F70-408C-8B40-A2753E65D588}</author>
    <author>tc={3E47D23E-F675-4CBA-968E-26EDF8823513}</author>
    <author>tc={551A561B-2DCB-4801-8052-FE795B3244CB}</author>
    <author>tc={D1C10C29-B0EA-46F1-A01E-46EFABEF5D51}</author>
    <author>tc={99B71060-9919-4866-B80C-342391F7441F}</author>
    <author>tc={D59BEEB3-68F4-4FA3-8443-1CBA6C475507}</author>
    <author>tc={D2577CAA-09DA-4035-AFF6-A1A925BDB61E}</author>
    <author>tc={23E12202-66A6-463D-955A-38450B307E0D}</author>
    <author>tc={CBE2BC9A-1F21-4A1D-AAFE-EDCADD10E0DA}</author>
    <author>tc={FF68B974-7419-4BC2-B43C-2DDBF67903C2}</author>
    <author>tc={C7B745AE-F254-4B1D-AE90-BBCD690A5D5C}</author>
    <author>tc={7B7AF2D4-8C72-4E2E-8C0D-767D1839A0CF}</author>
    <author>tc={E6DB978E-E1C8-48FF-9945-B7C966618BAD}</author>
    <author>tc={5FA0289D-9367-4DE5-9F5C-6E6087B2AF36}</author>
    <author>tc={069E79A2-8650-4DCC-9FB2-91D4E9692E77}</author>
    <author>tc={B9A10C44-0FAD-4F37-B36C-EC48DF08F035}</author>
    <author>tc={B7AC37A0-A4A5-4D6E-8DA5-A3AA096A1CD7}</author>
    <author>tc={7681F98F-BA2F-4A93-82EE-B4B6184663E7}</author>
    <author>tc={A54C0B2F-E66A-4DC0-8D93-ACC628DEE982}</author>
    <author>tc={61C1D618-FBEB-4B53-AF51-A6383E6ECD64}</author>
    <author>tc={4F8EC9CC-41AD-4070-82C6-6BC77148DA2F}</author>
    <author>tc={6E273767-BDEA-4A32-B36C-30AB1F7F23E4}</author>
    <author>tc={D089B2D2-7239-491C-880E-0D381B82E98B}</author>
    <author>tc={0BB4B623-2B26-4B74-BC84-1ECA6D9A74E5}</author>
    <author>tc={B37F5880-FC94-4A10-A839-9DBF44F1621D}</author>
    <author>tc={79AFA561-4FC7-42D1-8F8B-DC2A23C007C4}</author>
    <author>tc={30D27FDA-2F44-4607-9CA3-4F3260F09905}</author>
    <author>tc={C2CE5CB3-64A7-4FB0-8B0C-43DB64F8CC19}</author>
    <author>tc={55A0EB8F-A113-47F0-81DB-8D5E8793BCAA}</author>
    <author>tc={4C49E352-E88B-4329-BDAC-50FEE4297B25}</author>
    <author>tc={BEDC556C-09DF-4A70-ABC5-8A7A8D720EFD}</author>
    <author>tc={64898062-36E6-45FA-BBD7-0F6344739EC5}</author>
    <author>tc={21AED473-6BF6-4329-B639-FC160108CCFD}</author>
    <author>tc={343F2EB5-57A6-4C8D-A3F3-E9B8E0BBE862}</author>
    <author>tc={994267E3-3361-4824-B4A3-30F5E5D59019}</author>
    <author>tc={D4A4D34B-5EE5-43AF-97C8-F95147B19289}</author>
    <author>tc={8357C38D-C22E-493C-B7E3-7BDF57F9A627}</author>
    <author>tc={01B6D153-1091-43BE-8750-4818FF608602}</author>
    <author>tc={542614EF-4E61-43DB-B965-327B07EFA70D}</author>
    <author>tc={BAF157BD-7CBA-495D-842C-F1622F67F52F}</author>
    <author>tc={AAF340A8-69FE-4884-BFA9-28F6DC56FB6D}</author>
    <author>tc={758CCC2C-7031-4F18-AA27-22795F830487}</author>
    <author>tc={5358B228-A2E0-4877-A34B-42B5C277DDA7}</author>
    <author>tc={F1A10D28-1D9D-4779-B879-39DB213B5C02}</author>
    <author>tc={CE1D0935-7D3B-40B0-873F-43F1536A4A98}</author>
    <author>tc={48281D58-DC50-4E69-890E-E31654A3982D}</author>
    <author>tc={6775F86F-7A02-46F0-9A62-861834EB7FD9}</author>
    <author>tc={3FCA4CB4-4C73-499A-A5BF-0CE3AFE94B58}</author>
    <author>tc={774982DB-0BFC-42DE-80B0-309BC14D86BC}</author>
    <author>tc={56FDB060-5736-4CE6-8729-A0A1A1D541BB}</author>
    <author>tc={B8CADD6B-7EBB-43FB-A3C4-32DF9A625650}</author>
    <author>tc={F41DA8C5-C198-4E74-82C2-D3B151C97384}</author>
    <author>tc={48BC226F-FD01-45D2-B60B-B5C969AFB89B}</author>
    <author>tc={1FC628A3-BD28-40B4-BB5E-DA52123B1EFC}</author>
    <author>tc={231D4EA3-8C4C-428C-A7BC-96D26254D798}</author>
    <author>tc={54CCF8C4-939A-4969-9C71-D43B5659856B}</author>
    <author>tc={3EA9EAB6-464C-40FF-A29C-5AC5F2CF62A3}</author>
    <author>tc={9FBCCA0B-0F3E-4D10-B107-0F855F175A52}</author>
    <author>tc={1ED1FFBF-B238-4A39-A3E3-7CCB2BA2EEE9}</author>
    <author>tc={1BCD0FF1-DA5D-4539-B94C-19746D52FE99}</author>
    <author>tc={DB77FBFE-A695-4012-850B-37FA9B88E51C}</author>
    <author>tc={4199D389-F3F7-4C37-85DB-77F36C5CEE14}</author>
    <author>tc={736B03EB-F22F-4F8F-AE7B-DD9DDFD55729}</author>
    <author>tc={E948A971-AEFD-4E80-BF50-D017BABD9D29}</author>
    <author>tc={17B9A7AA-8B5C-47F6-A1CE-B38EA8D2E485}</author>
    <author>tc={14283CDC-D4F3-4C5C-A3BB-E8763029DBAB}</author>
    <author>tc={CE1B0804-00CA-4D76-95CC-70BA8827023F}</author>
    <author>tc={18BBC9C1-6A69-4400-AD5D-2FBCFBFBA785}</author>
    <author>tc={6C98878A-7F5F-45FC-A412-F804D6DAA995}</author>
    <author>tc={7A4E84DF-9EA5-4DBE-BA23-31D8CA68311D}</author>
    <author>tc={6327AD21-F5E2-4AA8-99D5-F06E2C68A509}</author>
    <author>tc={278C3B32-19EA-42D2-A788-E923A8488E96}</author>
    <author>tc={01C52DD6-00F8-4D6C-B072-6B0E9824E8FF}</author>
    <author>tc={DE2D93FE-8BD9-4A7F-88F1-9C72626ABAAD}</author>
    <author>tc={A539FC2A-A770-47B3-B74C-8A171C72BC85}</author>
    <author>tc={E1A5970E-EE85-4A4E-9903-F00D568C51F7}</author>
    <author>tc={AC6C909B-7866-422D-82E8-C6A96A224936}</author>
    <author>tc={AF6E7DC9-01F5-4F75-A174-D8B1DB671270}</author>
    <author>tc={7591502D-8F1C-493C-8B3F-9806BD17D2AF}</author>
    <author>tc={59345150-73A7-4AFE-860F-BDB68B001667}</author>
    <author>tc={303A217B-0797-4C81-9D61-BBE0A1E6C70D}</author>
    <author>tc={850F4624-7EC3-460F-AFEC-32934209FD8C}</author>
    <author>tc={F4BC9FE4-A5D3-49D9-8CA6-C4731DC09A31}</author>
    <author>tc={A7BAF418-6AFA-4735-AF91-43C5DE25FB15}</author>
    <author>tc={6D2BDB2D-DEF7-4BD0-B302-C5B450709BED}</author>
    <author>tc={DECBFD3E-B119-43A3-8C16-48BE13D1DA62}</author>
    <author>tc={CBD9C711-5209-416C-8A94-54CD0ED95062}</author>
    <author>tc={3428773C-B63D-401E-B7F9-7955C0E75568}</author>
    <author>tc={B3C2F7E7-D905-488E-959F-71514EBA8466}</author>
    <author>tc={BDFD382D-8813-439A-8635-35E286C7274B}</author>
    <author>tc={63EC71EC-6CC4-403B-BC02-E2EE9D085CC6}</author>
    <author>tc={8E5387EE-F35C-4C99-B5A2-501661974AE7}</author>
    <author>tc={98EFA81E-B26B-4162-BF70-4BBA624CECE4}</author>
    <author>tc={6987FA74-F492-4B7C-99EF-65FE22D4256E}</author>
    <author>tc={0E5A0A8E-AF58-40CB-BAF5-BF37AA6895DC}</author>
    <author>tc={9C2EF22F-7719-45E7-A51A-43194BFC951E}</author>
    <author>tc={F8EA8679-A5A3-4E64-B223-C85FD6BD4DCD}</author>
    <author>tc={80D50726-EF2C-4C67-9FBB-E23389320578}</author>
    <author>tc={EC282725-E97D-4442-A25E-96E89D8860B6}</author>
    <author>tc={D7D70823-CDCD-482A-8D64-14AAA174D567}</author>
    <author>tc={D7107A38-D6DB-469A-8C87-CE953DC74C5C}</author>
    <author>tc={38B92C36-2D09-4392-B5D0-AB22DF93AA64}</author>
    <author>tc={07A2D467-7B27-4D0F-A15A-9EF144A70C0D}</author>
    <author>tc={920D1D5A-2398-4BA7-B424-F90D035B6A6A}</author>
    <author>tc={99D08BBB-6A83-48E4-92DF-884E316E478F}</author>
    <author>tc={CA9389B5-559B-4E70-9A1A-9063BF203F27}</author>
    <author>tc={52CA9CC3-2DD0-427C-849D-AA85538CB280}</author>
    <author>tc={581ECF05-C743-4C62-BBE0-89915C1748BD}</author>
    <author>tc={2C6136A3-2FA2-4040-B462-4804885A4F56}</author>
    <author>tc={1B90EA43-A512-4D8C-AED7-B8CCEAA8D002}</author>
    <author>tc={CAE2CE7C-DC90-4E8B-8BFF-5771B8010C60}</author>
    <author>tc={C13CC2AB-4B99-40A8-9566-82F95A04CE16}</author>
  </authors>
  <commentList>
    <comment ref="O1" authorId="0" shapeId="0" xr:uid="{39E6F978-3C84-41CD-A7D0-97EAFDDCED97}">
      <text>
        <t>[Threaded comment]
Your version of Excel allows you to read this threaded comment; however, any edits to it will get removed if the file is opened in a newer version of Excel. Learn more: https://go.microsoft.com/fwlink/?linkid=870924
Comment:
    Legacy version</t>
      </text>
    </comment>
    <comment ref="P1" authorId="1" shapeId="0" xr:uid="{BBD831BC-6DBE-4E41-8B1E-3111352333B8}">
      <text>
        <t>[Threaded comment]
Your version of Excel allows you to read this threaded comment; however, any edits to it will get removed if the file is opened in a newer version of Excel. Learn more: https://go.microsoft.com/fwlink/?linkid=870924
Comment:
    Legacy version</t>
      </text>
    </comment>
    <comment ref="S1" authorId="2" shapeId="0" xr:uid="{38C86FA5-742F-4C4C-B63F-FFE18671B4F8}">
      <text>
        <t>[Threaded comment]
Your version of Excel allows you to read this threaded comment; however, any edits to it will get removed if the file is opened in a newer version of Excel. Learn more: https://go.microsoft.com/fwlink/?linkid=870924
Comment:
    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
      </text>
    </comment>
    <comment ref="Q2" authorId="3" shapeId="0" xr:uid="{0CF385CD-78A4-4D17-BD9F-9F454DA9DC1A}">
      <text>
        <t>[Threaded comment]
Your version of Excel allows you to read this threaded comment; however, any edits to it will get removed if the file is opened in a newer version of Excel. Learn more: https://go.microsoft.com/fwlink/?linkid=870924
Comment:
    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
      </text>
    </comment>
    <comment ref="AB2" authorId="4" shapeId="0" xr:uid="{FA99D751-4424-4719-B4F2-AA71785A3DE4}">
      <text>
        <t>[Threaded comment]
Your version of Excel allows you to read this threaded comment; however, any edits to it will get removed if the file is opened in a newer version of Excel. Learn more: https://go.microsoft.com/fwlink/?linkid=870924
Comment:
    This column contains the formulae that should replace those in the "formula" column in the "Legacy" version of the file.</t>
      </text>
    </comment>
    <comment ref="BM2" authorId="5" shapeId="0" xr:uid="{C1D74717-9E3A-49D1-90BE-1473D382D71B}">
      <text>
        <t>[Threaded comment]
Your version of Excel allows you to read this threaded comment; however, any edits to it will get removed if the file is opened in a newer version of Excel. Learn more: https://go.microsoft.com/fwlink/?linkid=870924
Comment:
    Legacy version</t>
      </text>
    </comment>
    <comment ref="BN2" authorId="6" shapeId="0" xr:uid="{147FD3D0-9ECF-453D-A2C3-68A746F7A623}">
      <text>
        <t>[Threaded comment]
Your version of Excel allows you to read this threaded comment; however, any edits to it will get removed if the file is opened in a newer version of Excel. Learn more: https://go.microsoft.com/fwlink/?linkid=870924
Comment:
    Legacy version</t>
      </text>
    </comment>
    <comment ref="BO2" authorId="7" shapeId="0" xr:uid="{B683A297-2ED4-4146-B01E-9A17A755844B}">
      <text>
        <t>[Threaded comment]
Your version of Excel allows you to read this threaded comment; however, any edits to it will get removed if the file is opened in a newer version of Excel. Learn more: https://go.microsoft.com/fwlink/?linkid=870924
Comment:
    Legacy version</t>
      </text>
    </comment>
    <comment ref="BP2" authorId="8" shapeId="0" xr:uid="{3F80F0C2-C9D4-4865-905C-3A4FA27C3A23}">
      <text>
        <t>[Threaded comment]
Your version of Excel allows you to read this threaded comment; however, any edits to it will get removed if the file is opened in a newer version of Excel. Learn more: https://go.microsoft.com/fwlink/?linkid=870924
Comment:
    Legacy version</t>
      </text>
    </comment>
    <comment ref="BQ2" authorId="9" shapeId="0" xr:uid="{67BB9B8F-1554-431D-9876-BACFAA44CCE2}">
      <text>
        <t>[Threaded comment]
Your version of Excel allows you to read this threaded comment; however, any edits to it will get removed if the file is opened in a newer version of Excel. Learn more: https://go.microsoft.com/fwlink/?linkid=870924
Comment:
    Legacy version</t>
      </text>
    </comment>
    <comment ref="T3" authorId="10" shapeId="0" xr:uid="{7B30AC4B-A213-4136-836D-7C16FEE2FD13}">
      <text>
        <t>[Threaded comment]
Your version of Excel allows you to read this threaded comment; however, any edits to it will get removed if the file is opened in a newer version of Excel. Learn more: https://go.microsoft.com/fwlink/?linkid=870924
Comment:
    Name of the "data" sheet, used in UI text and to reference the data columns. Its value (currently "data") is hard-coded in the "Manual-entry variables table" and can be changed there if wanted.</t>
      </text>
    </comment>
    <comment ref="Y3" authorId="11" shapeId="0" xr:uid="{7C0EDA3B-30AE-489A-8FA0-C8643C6FD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data column from dataRange.</t>
      </text>
    </comment>
    <comment ref="BM3" authorId="12" shapeId="0" xr:uid="{66853D4F-F89F-4E32-AC13-26DC354E4FC9}">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#1. Used to simplify formulae.</t>
      </text>
    </comment>
    <comment ref="BN3" authorId="13" shapeId="0" xr:uid="{182165B5-26F6-4F81-8E85-1DC77B044D16}">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#2. Used to simplify formulae.</t>
      </text>
    </comment>
    <comment ref="BO3" authorId="14" shapeId="0" xr:uid="{3386F9D7-AF8D-4721-8A64-9206E9EAD5C5}">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#3. Used to simplify formulae.</t>
      </text>
    </comment>
    <comment ref="BP3" authorId="15" shapeId="0" xr:uid="{6F6D2AF2-3646-4E7D-B4E4-37DC032D7DCF}">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#4. Used to simplify formulae.</t>
      </text>
    </comment>
    <comment ref="BQ3" authorId="16" shapeId="0" xr:uid="{27F75A60-E649-42E2-99F4-B0C513C2107C}">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#5. Used to simplify formulae.</t>
      </text>
    </comment>
    <comment ref="BR3" authorId="17" shapeId="0" xr:uid="{D1457836-9247-487C-997C-ED15C9A5819C}">
      <text>
        <t>[Threaded comment]
Your version of Excel allows you to read this threaded comment; however, any edits to it will get removed if the file is opened in a newer version of Excel. Learn more: https://go.microsoft.com/fwlink/?linkid=870924
Comment:
    Array containing the numerator of the behaviour score for each data entry. It is computed on its own to simplify the overall formula for the behaviour score.</t>
      </text>
    </comment>
    <comment ref="BS3" authorId="18" shapeId="0" xr:uid="{1400722F-15C4-48B1-A517-E579917D6EC0}">
      <text>
        <t>[Threaded comment]
Your version of Excel allows you to read this threaded comment; however, any edits to it will get removed if the file is opened in a newer version of Excel. Learn more: https://go.microsoft.com/fwlink/?linkid=870924
Comment:
    Array containing the denominator of the behaviour score for each data entry. It is computed on its own to simplify the overall formula for the behaviour score.</t>
      </text>
    </comment>
    <comment ref="BT3" authorId="19" shapeId="0" xr:uid="{8C48700E-31ED-4FB7-964A-A27A91D2807F}">
      <text>
        <t>[Threaded comment]
Your version of Excel allows you to read this threaded comment; however, any edits to it will get removed if the file is opened in a newer version of Excel. Learn more: https://go.microsoft.com/fwlink/?linkid=870924
Comment:
    Array containing the normalized behaviour score (0-100%) for each data entry for which a score can be computed.</t>
      </text>
    </comment>
    <comment ref="BU3" authorId="20" shapeId="0" xr:uid="{ED77F99E-76D8-4872-9F5C-0F0146EEBF56}">
      <text>
        <t>[Threaded comment]
Your version of Excel allows you to read this threaded comment; however, any edits to it will get removed if the file is opened in a newer version of Excel. Learn more: https://go.microsoft.com/fwlink/?linkid=870924
Comment:
    Array containing a TRUE/FALSE value for each data entry, indicating a doer/non-doer, or an empty value if a behaviour score cannot be computed.</t>
      </text>
    </comment>
    <comment ref="T4" authorId="21" shapeId="0" xr:uid="{3BEF204C-2584-4591-9B34-6AD9FD391CC5}">
      <text>
        <t>[Threaded comment]
Your version of Excel allows you to read this threaded comment; however, any edits to it will get removed if the file is opened in a newer version of Excel. Learn more: https://go.microsoft.com/fwlink/?linkid=870924
Comment:
    Version number of the RANAS Analyser. Set in the "HiddenTables" sheet and used in various places.</t>
      </text>
    </comment>
    <comment ref="Y4" authorId="22" shapeId="0" xr:uid="{5D1BC0D0-EA03-4732-8325-CAC25158754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"include" value from behaviourTable. Used to simplify formulae.</t>
      </text>
    </comment>
    <comment ref="T5" authorId="23" shapeId="0" xr:uid="{C1E92698-CDF4-4626-9560-1E7560AB8D3D}">
      <text>
        <t>[Threaded comment]
Your version of Excel allows you to read this threaded comment; however, any edits to it will get removed if the file is opened in a newer version of Excel. Learn more: https://go.microsoft.com/fwlink/?linkid=870924
Comment:
    Permanent link to the webpage that hosts the reference version of this file available to the public (plus possibly documentation and archived versions).</t>
      </text>
    </comment>
    <comment ref="Y5" authorId="24" shapeId="0" xr:uid="{CB05F824-A649-4013-8CFB-A7519B734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"maxScore" value from behaviourTable. Used to simplify formulae.</t>
      </text>
    </comment>
    <comment ref="T6" authorId="25" shapeId="0" xr:uid="{056945A4-78A6-4F8F-B2C5-B191DCB18BFE}">
      <text>
        <t>[Threaded comment]
Your version of Excel allows you to read this threaded comment; however, any edits to it will get removed if the file is opened in a newer version of Excel. Learn more: https://go.microsoft.com/fwlink/?linkid=870924
Comment:
    Link to the RANAS website.</t>
      </text>
    </comment>
    <comment ref="Y6" authorId="26" shapeId="0" xr:uid="{6DC96BFF-B3D6-46B1-8D38-5EA4AB8BD543}">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"minScore" value from behaviourTable. Used to simplify formulae.</t>
      </text>
    </comment>
    <comment ref="T7" authorId="27" shapeId="0" xr:uid="{642A9713-8C2F-44C4-8481-0F64559453E8}">
      <text>
        <t>[Threaded comment]
Your version of Excel allows you to read this threaded comment; however, any edits to it will get removed if the file is opened in a newer version of Excel. Learn more: https://go.microsoft.com/fwlink/?linkid=870924
Comment:
    Maximum number of rows allowed in the "data" sheet (used to prevent slow calculations).</t>
      </text>
    </comment>
    <comment ref="Y7" authorId="28" shapeId="0" xr:uid="{8028B8F5-12DE-412E-B03F-538113D6F08F}">
      <text>
        <t>[Threaded comment]
Your version of Excel allows you to read this threaded comment; however, any edits to it will get removed if the file is opened in a newer version of Excel. Learn more: https://go.microsoft.com/fwlink/?linkid=870924
Comment:
    User-defined function to be used in an Excel table. The table contains an index column and a column with TRUE/FALSE values. The function is entered in a filteredIndexCol column and returns the list of indices corresponding to TRUE values, without blanks.</t>
      </text>
    </comment>
    <comment ref="T8" authorId="29" shapeId="0" xr:uid="{E6311091-327B-4EB1-8DB1-BF2EF6D42508}">
      <text>
        <t>[Threaded comment]
Your version of Excel allows you to read this threaded comment; however, any edits to it will get removed if the file is opened in a newer version of Excel. Learn more: https://go.microsoft.com/fwlink/?linkid=870924
Comment:
    Maximum number of columns allowed in the "data" sheet (used to prevent slow calculations).</t>
      </text>
    </comment>
    <comment ref="Y8" authorId="30" shapeId="0" xr:uid="{AB114D5E-8F5A-426D-A437-3853E174B4F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any value and returns that same value, even if it is blank (i.e. the empty string "" or from an empty cell). Used to keep empty values as such, e.g. to prevent the XLOOKUP of an empty cell being converted to 0.
Reply:
    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
      </text>
    </comment>
    <comment ref="T9" authorId="31" shapeId="0" xr:uid="{08C4D84F-9FD3-4C12-BA3E-9D1DE87ECB99}">
      <text>
        <t>[Threaded comment]
Your version of Excel allows you to read this threaded comment; however, any edits to it will get removed if the file is opened in a newer version of Excel. Learn more: https://go.microsoft.com/fwlink/?linkid=870924
Comment:
    If the number of factors selected for display by the user is less than or equal to this threshold, all factors will be displayed in the first chart. If it is above the threshold, the factors will be evenly split across both charts.</t>
      </text>
    </comment>
    <comment ref="Y9" authorId="32" shapeId="0" xr:uid="{C6EF09CE-66FC-420A-9DB2-24EB149724A7}">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"reference" on a worksheet (e.g., cell address, named range) and a "defaultName", and returns the name of that worksheet (or the defaultName).</t>
      </text>
    </comment>
    <comment ref="AB9" authorId="33" shapeId="0" xr:uid="{B7EB3A7C-296A-4B23-A576-77E53F899698}">
      <text>
        <t>[Threaded comment]
Your version of Excel allows you to read this threaded comment; however, any edits to it will get removed if the file is opened in a newer version of Excel. Learn more: https://go.microsoft.com/fwlink/?linkid=870924
Comment:
    For an explanation for the use of MATCH() with 1/(MID...) to find the last match in the string, see this link where the same strategy is used:
https://exceljet.net/formulas/lookup-latest-price</t>
      </text>
    </comment>
    <comment ref="AE9" authorId="34" shapeId="0" xr:uid="{137C8FC4-AF6C-45E3-B2C8-AE3BE30F10E9}">
      <text>
        <t>[Threaded comment]
Your version of Excel allows you to read this threaded comment; however, any edits to it will get removed if the file is opened in a newer version of Excel. Learn more: https://go.microsoft.com/fwlink/?linkid=870924
Comment:
    Legacy version</t>
      </text>
    </comment>
    <comment ref="AG9" authorId="35" shapeId="0" xr:uid="{0EF8A64D-BC06-4E49-ADA5-514829E8355A}">
      <text>
        <t>[Threaded comment]
Your version of Excel allows you to read this threaded comment; however, any edits to it will get removed if the file is opened in a newer version of Excel. Learn more: https://go.microsoft.com/fwlink/?linkid=870924
Comment:
    Legacy version</t>
      </text>
    </comment>
    <comment ref="AP9" authorId="36" shapeId="0" xr:uid="{37375FA1-022D-4780-AE17-17184A876CCF}">
      <text>
        <t>[Threaded comment]
Your version of Excel allows you to read this threaded comment; however, any edits to it will get removed if the file is opened in a newer version of Excel. Learn more: https://go.microsoft.com/fwlink/?linkid=870924
Comment:
    Legacy version</t>
      </text>
    </comment>
    <comment ref="AQ9" authorId="37" shapeId="0" xr:uid="{696FC813-9452-43F5-9B07-B25C73CC8152}">
      <text>
        <t>[Threaded comment]
Your version of Excel allows you to read this threaded comment; however, any edits to it will get removed if the file is opened in a newer version of Excel. Learn more: https://go.microsoft.com/fwlink/?linkid=870924
Comment:
    Legacy version</t>
      </text>
    </comment>
    <comment ref="AZ9" authorId="38" shapeId="0" xr:uid="{0EA9F409-7F70-408C-8B40-A2753E65D588}">
      <text>
        <t>[Threaded comment]
Your version of Excel allows you to read this threaded comment; however, any edits to it will get removed if the file is opened in a newer version of Excel. Learn more: https://go.microsoft.com/fwlink/?linkid=870924
Comment:
    Legacy version</t>
      </text>
    </comment>
    <comment ref="BA9" authorId="39" shapeId="0" xr:uid="{3E47D23E-F675-4CBA-968E-26EDF8823513}">
      <text>
        <t>[Threaded comment]
Your version of Excel allows you to read this threaded comment; however, any edits to it will get removed if the file is opened in a newer version of Excel. Learn more: https://go.microsoft.com/fwlink/?linkid=870924
Comment:
    Legacy version</t>
      </text>
    </comment>
    <comment ref="BD9" authorId="40" shapeId="0" xr:uid="{551A561B-2DCB-4801-8052-FE795B3244CB}">
      <text>
        <t>[Threaded comment]
Your version of Excel allows you to read this threaded comment; however, any edits to it will get removed if the file is opened in a newer version of Excel. Learn more: https://go.microsoft.com/fwlink/?linkid=870924
Comment:
    Legacy version</t>
      </text>
    </comment>
    <comment ref="BE9" authorId="41" shapeId="0" xr:uid="{D1C10C29-B0EA-46F1-A01E-46EFABEF5D51}">
      <text>
        <t>[Threaded comment]
Your version of Excel allows you to read this threaded comment; however, any edits to it will get removed if the file is opened in a newer version of Excel. Learn more: https://go.microsoft.com/fwlink/?linkid=870924
Comment:
    Legacy version</t>
      </text>
    </comment>
    <comment ref="BF9" authorId="42" shapeId="0" xr:uid="{99B71060-9919-4866-B80C-342391F7441F}">
      <text>
        <t>[Threaded comment]
Your version of Excel allows you to read this threaded comment; however, any edits to it will get removed if the file is opened in a newer version of Excel. Learn more: https://go.microsoft.com/fwlink/?linkid=870924
Comment:
    Legacy version</t>
      </text>
    </comment>
    <comment ref="BG9" authorId="43" shapeId="0" xr:uid="{D59BEEB3-68F4-4FA3-8443-1CBA6C475507}">
      <text>
        <t>[Threaded comment]
Your version of Excel allows you to read this threaded comment; however, any edits to it will get removed if the file is opened in a newer version of Excel. Learn more: https://go.microsoft.com/fwlink/?linkid=870924
Comment:
    Legacy version</t>
      </text>
    </comment>
    <comment ref="BJ9" authorId="44" shapeId="0" xr:uid="{D2577CAA-09DA-4035-AFF6-A1A925BDB61E}">
      <text>
        <t>[Threaded comment]
Your version of Excel allows you to read this threaded comment; however, any edits to it will get removed if the file is opened in a newer version of Excel. Learn more: https://go.microsoft.com/fwlink/?linkid=870924
Comment:
    Legacy version</t>
      </text>
    </comment>
    <comment ref="BK9" authorId="45" shapeId="0" xr:uid="{23E12202-66A6-463D-955A-38450B307E0D}">
      <text>
        <t>[Threaded comment]
Your version of Excel allows you to read this threaded comment; however, any edits to it will get removed if the file is opened in a newer version of Excel. Learn more: https://go.microsoft.com/fwlink/?linkid=870924
Comment:
    Legacy version</t>
      </text>
    </comment>
    <comment ref="Y10" authorId="46" shapeId="0" xr:uid="{CBE2BC9A-1F21-4A1D-AAFE-EDCADD10E0DA}">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"value" and references to a translation table (reference column, table itself, and table header), and returns the translation of that value into the selected UI language.</t>
      </text>
    </comment>
    <comment ref="Y11" authorId="47" shapeId="0" xr:uid="{FF68B974-7419-4BC2-B43C-2DDBF67903C2}">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#1, combining the user selection in the "Include?" column and whether a data header for that question is defined or not. Used to simplify formulae.</t>
      </text>
    </comment>
    <comment ref="Y12" authorId="48" shapeId="0" xr:uid="{C7B745AE-F254-4B1D-AE90-BBCD690A5D5C}">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#2, combining the user selection in the "Include?" column and whether a data header for that question is defined or not. Used to simplify formulae.</t>
      </text>
    </comment>
    <comment ref="Y13" authorId="49" shapeId="0" xr:uid="{7B7AF2D4-8C72-4E2E-8C0D-767D1839A0CF}">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#3, combining the user selection in the "Include?" column and whether a data header for that question is defined or not. Used to simplify formulae.</t>
      </text>
    </comment>
    <comment ref="Y14" authorId="50" shapeId="0" xr:uid="{E6DB978E-E1C8-48FF-9945-B7C966618BAD}">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#4, combining the user selection in the "Include?" column and whether a data header for that question is defined or not. Used to simplify formulae.</t>
      </text>
    </comment>
    <comment ref="Y15" authorId="51" shapeId="0" xr:uid="{5FA0289D-9367-4DE5-9F5C-6E6087B2AF36}">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#5, combining the user selection in the "Include?" column and whether a data header for that question is defined or not. Used to simplify formulae.</t>
      </text>
    </comment>
    <comment ref="Y16" authorId="52" shapeId="0" xr:uid="{069E79A2-8650-4DCC-9FB2-91D4E9692E7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#1. Used to simplify formulae.</t>
      </text>
    </comment>
    <comment ref="Y17" authorId="53" shapeId="0" xr:uid="{B9A10C44-0FAD-4F37-B36C-EC48DF08F035}">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#2. Used to simplify formulae.</t>
      </text>
    </comment>
    <comment ref="Y18" authorId="54" shapeId="0" xr:uid="{B7AC37A0-A4A5-4D6E-8DA5-A3AA096A1CD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#3. Used to simplify formulae.</t>
      </text>
    </comment>
    <comment ref="Y19" authorId="55" shapeId="0" xr:uid="{7681F98F-BA2F-4A93-82EE-B4B6184663E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#4. Used to simplify formulae.</t>
      </text>
    </comment>
    <comment ref="Y20" authorId="56" shapeId="0" xr:uid="{A54C0B2F-E66A-4DC0-8D93-ACC628DEE982}">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#5. Used to simplify formulae.</t>
      </text>
    </comment>
    <comment ref="Y21" authorId="57" shapeId="0" xr:uid="{61C1D618-FBEB-4B53-AF51-A6383E6ECD6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#1. Used to simplify formulae.</t>
      </text>
    </comment>
    <comment ref="Y22" authorId="58" shapeId="0" xr:uid="{4F8EC9CC-41AD-4070-82C6-6BC77148DA2F}">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#2. Used to simplify formulae.</t>
      </text>
    </comment>
    <comment ref="Y23" authorId="59" shapeId="0" xr:uid="{6E273767-BDEA-4A32-B36C-30AB1F7F23E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#3. Used to simplify formulae.</t>
      </text>
    </comment>
    <comment ref="Y24" authorId="60" shapeId="0" xr:uid="{D089B2D2-7239-491C-880E-0D381B82E98B}">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#4. Used to simplify formulae.</t>
      </text>
    </comment>
    <comment ref="Y25" authorId="61" shapeId="0" xr:uid="{0BB4B623-2B26-4B74-BC84-1ECA6D9A74E5}">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#5. Used to simplify formulae.</t>
      </text>
    </comment>
    <comment ref="Y26" authorId="62" shapeId="0" xr:uid="{B37F5880-FC94-4A10-A839-9DBF44F1621D}">
      <text>
        <t>[Threaded comment]
Your version of Excel allows you to read this threaded comment; however, any edits to it will get removed if the file is opened in a newer version of Excel. Learn more: https://go.microsoft.com/fwlink/?linkid=870924
Comment:
    List of "Difference" values for the first chart in the "Analysis" sheet, defined as a dynamic named range to include only the number of factors defined by "numFactorsChart1".</t>
      </text>
    </comment>
    <comment ref="Y27" authorId="63" shapeId="0" xr:uid="{79AFA561-4FC7-42D1-8F8B-DC2A23C007C4}">
      <text>
        <t>[Threaded comment]
Your version of Excel allows you to read this threaded comment; however, any edits to it will get removed if the file is opened in a newer version of Excel. Learn more: https://go.microsoft.com/fwlink/?linkid=870924
Comment:
    List of "Difference" values for the second chart in the "Analysis" sheet, defined as a dynamic named range to include only the number of factors defined by "numFactorsChart2".</t>
      </text>
    </comment>
    <comment ref="Y28" authorId="64" shapeId="0" xr:uid="{30D27FDA-2F44-4607-9CA3-4F3260F09905}">
      <text>
        <t>[Threaded comment]
Your version of Excel allows you to read this threaded comment; however, any edits to it will get removed if the file is opened in a newer version of Excel. Learn more: https://go.microsoft.com/fwlink/?linkid=870924
Comment:
    List of "Doers" values for the first chart in the "Analysis" sheet, defined as a dynamic named range to include only the number of factors defined by "numFactorsChart1".</t>
      </text>
    </comment>
    <comment ref="Y29" authorId="65" shapeId="0" xr:uid="{C2CE5CB3-64A7-4FB0-8B0C-43DB64F8CC19}">
      <text>
        <t>[Threaded comment]
Your version of Excel allows you to read this threaded comment; however, any edits to it will get removed if the file is opened in a newer version of Excel. Learn more: https://go.microsoft.com/fwlink/?linkid=870924
Comment:
    List of "Doers" values for the second chart in the "Analysis" sheet, defined as a dynamic named range to include only the number of factors defined by "numFactorsChart2".</t>
      </text>
    </comment>
    <comment ref="Y30" authorId="66" shapeId="0" xr:uid="{55A0EB8F-A113-47F0-81DB-8D5E8793BCAA}">
      <text>
        <t>[Threaded comment]
Your version of Excel allows you to read this threaded comment; however, any edits to it will get removed if the file is opened in a newer version of Excel. Learn more: https://go.microsoft.com/fwlink/?linkid=870924
Comment:
    List of "Factor" values for the first chart in the "Analysis" sheet, defined as a dynamic named range to include only the number of factors defined by "numFactorsChart1".</t>
      </text>
    </comment>
    <comment ref="Y31" authorId="67" shapeId="0" xr:uid="{4C49E352-E88B-4329-BDAC-50FEE4297B25}">
      <text>
        <t>[Threaded comment]
Your version of Excel allows you to read this threaded comment; however, any edits to it will get removed if the file is opened in a newer version of Excel. Learn more: https://go.microsoft.com/fwlink/?linkid=870924
Comment:
    List of "Factor" values for the second chart in the "Analysis" sheet, defined as a dynamic named range to include only the number of factors defined by "numFactorsChart2".</t>
      </text>
    </comment>
    <comment ref="Y32" authorId="68" shapeId="0" xr:uid="{BEDC556C-09DF-4A70-ABC5-8A7A8D720EFD}">
      <text>
        <t>[Threaded comment]
Your version of Excel allows you to read this threaded comment; however, any edits to it will get removed if the file is opened in a newer version of Excel. Learn more: https://go.microsoft.com/fwlink/?linkid=870924
Comment:
    List of languages that the user can choose from for text elements in the charts. It starts with the languages already available for the user interface (UI), followed by languages that the user can define in the "Configuration" tab.</t>
      </text>
    </comment>
    <comment ref="Y33" authorId="69" shapeId="0" xr:uid="{64898062-36E6-45FA-BBD7-0F6344739EC5}">
      <text>
        <t>[Threaded comment]
Your version of Excel allows you to read this threaded comment; however, any edits to it will get removed if the file is opened in a newer version of Excel. Learn more: https://go.microsoft.com/fwlink/?linkid=870924
Comment:
    List of "Non-doers" values for the first chart in the "Analysis" sheet, defined as a dynamic named range to include only the number of factors defined by "numFactorsChart1".</t>
      </text>
    </comment>
    <comment ref="Y34" authorId="70" shapeId="0" xr:uid="{21AED473-6BF6-4329-B639-FC160108CCFD}">
      <text>
        <t>[Threaded comment]
Your version of Excel allows you to read this threaded comment; however, any edits to it will get removed if the file is opened in a newer version of Excel. Learn more: https://go.microsoft.com/fwlink/?linkid=870924
Comment:
    List of "Non-doers" values for the second chart in the "Analysis" sheet, defined as a dynamic named range to include only the number of factors defined by "numFactorsChart2".</t>
      </text>
    </comment>
    <comment ref="CN34" authorId="71" shapeId="0" xr:uid="{343F2EB5-57A6-4C8D-A3F3-E9B8E0BBE862}">
      <text>
        <t>[Threaded comment]
Your version of Excel allows you to read this threaded comment; however, any edits to it will get removed if the file is opened in a newer version of Excel. Learn more: https://go.microsoft.com/fwlink/?linkid=870924
Comment:
    Legacy version</t>
      </text>
    </comment>
    <comment ref="CP34" authorId="72" shapeId="0" xr:uid="{994267E3-3361-4824-B4A3-30F5E5D59019}">
      <text>
        <t>[Threaded comment]
Your version of Excel allows you to read this threaded comment; however, any edits to it will get removed if the file is opened in a newer version of Excel. Learn more: https://go.microsoft.com/fwlink/?linkid=870924
Comment:
    Legacy version</t>
      </text>
    </comment>
    <comment ref="CQ34" authorId="73" shapeId="0" xr:uid="{D4A4D34B-5EE5-43AF-97C8-F95147B19289}">
      <text>
        <t>[Threaded comment]
Your version of Excel allows you to read this threaded comment; however, any edits to it will get removed if the file is opened in a newer version of Excel. Learn more: https://go.microsoft.com/fwlink/?linkid=870924
Comment:
    Legacy version</t>
      </text>
    </comment>
    <comment ref="CX34" authorId="74" shapeId="0" xr:uid="{8357C38D-C22E-493C-B7E3-7BDF57F9A627}">
      <text>
        <t>[Threaded comment]
Your version of Excel allows you to read this threaded comment; however, any edits to it will get removed if the file is opened in a newer version of Excel. Learn more: https://go.microsoft.com/fwlink/?linkid=870924
Comment:
    Legacy version</t>
      </text>
    </comment>
    <comment ref="DB34" authorId="75" shapeId="0" xr:uid="{01B6D153-1091-43BE-8750-4818FF608602}">
      <text>
        <t>[Threaded comment]
Your version of Excel allows you to read this threaded comment; however, any edits to it will get removed if the file is opened in a newer version of Excel. Learn more: https://go.microsoft.com/fwlink/?linkid=870924
Comment:
    Legacy version</t>
      </text>
    </comment>
    <comment ref="DD34" authorId="76" shapeId="0" xr:uid="{542614EF-4E61-43DB-B965-327B07EFA70D}">
      <text>
        <t>[Threaded comment]
Your version of Excel allows you to read this threaded comment; however, any edits to it will get removed if the file is opened in a newer version of Excel. Learn more: https://go.microsoft.com/fwlink/?linkid=870924
Comment:
    Legacy version</t>
      </text>
    </comment>
    <comment ref="DE34" authorId="77" shapeId="0" xr:uid="{BAF157BD-7CBA-495D-842C-F1622F67F52F}">
      <text>
        <t>[Threaded comment]
Your version of Excel allows you to read this threaded comment; however, any edits to it will get removed if the file is opened in a newer version of Excel. Learn more: https://go.microsoft.com/fwlink/?linkid=870924
Comment:
    Legacy version</t>
      </text>
    </comment>
    <comment ref="DG34" authorId="78" shapeId="0" xr:uid="{AAF340A8-69FE-4884-BFA9-28F6DC56FB6D}">
      <text>
        <t>[Threaded comment]
Your version of Excel allows you to read this threaded comment; however, any edits to it will get removed if the file is opened in a newer version of Excel. Learn more: https://go.microsoft.com/fwlink/?linkid=870924
Comment:
    Legacy version</t>
      </text>
    </comment>
    <comment ref="DK34" authorId="79" shapeId="0" xr:uid="{758CCC2C-7031-4F18-AA27-22795F830487}">
      <text>
        <t>[Threaded comment]
Your version of Excel allows you to read this threaded comment; however, any edits to it will get removed if the file is opened in a newer version of Excel. Learn more: https://go.microsoft.com/fwlink/?linkid=870924
Comment:
    Legacy version</t>
      </text>
    </comment>
    <comment ref="DM34" authorId="80" shapeId="0" xr:uid="{5358B228-A2E0-4877-A34B-42B5C277DDA7}">
      <text>
        <t>[Threaded comment]
Your version of Excel allows you to read this threaded comment; however, any edits to it will get removed if the file is opened in a newer version of Excel. Learn more: https://go.microsoft.com/fwlink/?linkid=870924
Comment:
    Legacy version</t>
      </text>
    </comment>
    <comment ref="DN34" authorId="81" shapeId="0" xr:uid="{F1A10D28-1D9D-4779-B879-39DB213B5C02}">
      <text>
        <t>[Threaded comment]
Your version of Excel allows you to read this threaded comment; however, any edits to it will get removed if the file is opened in a newer version of Excel. Learn more: https://go.microsoft.com/fwlink/?linkid=870924
Comment:
    Legacy version</t>
      </text>
    </comment>
    <comment ref="DO34" authorId="82" shapeId="0" xr:uid="{CE1D0935-7D3B-40B0-873F-43F1536A4A98}">
      <text>
        <t>[Threaded comment]
Your version of Excel allows you to read this threaded comment; however, any edits to it will get removed if the file is opened in a newer version of Excel. Learn more: https://go.microsoft.com/fwlink/?linkid=870924
Comment:
    Legacy version</t>
      </text>
    </comment>
    <comment ref="DP34" authorId="83" shapeId="0" xr:uid="{48281D58-DC50-4E69-890E-E31654A3982D}">
      <text>
        <t>[Threaded comment]
Your version of Excel allows you to read this threaded comment; however, any edits to it will get removed if the file is opened in a newer version of Excel. Learn more: https://go.microsoft.com/fwlink/?linkid=870924
Comment:
    Legacy version</t>
      </text>
    </comment>
    <comment ref="DQ34" authorId="84" shapeId="0" xr:uid="{6775F86F-7A02-46F0-9A62-861834EB7FD9}">
      <text>
        <t>[Threaded comment]
Your version of Excel allows you to read this threaded comment; however, any edits to it will get removed if the file is opened in a newer version of Excel. Learn more: https://go.microsoft.com/fwlink/?linkid=870924
Comment:
    Legacy version</t>
      </text>
    </comment>
    <comment ref="DR34" authorId="85" shapeId="0" xr:uid="{3FCA4CB4-4C73-499A-A5BF-0CE3AFE94B58}">
      <text>
        <t>[Threaded comment]
Your version of Excel allows you to read this threaded comment; however, any edits to it will get removed if the file is opened in a newer version of Excel. Learn more: https://go.microsoft.com/fwlink/?linkid=870924
Comment:
    Legacy version</t>
      </text>
    </comment>
    <comment ref="DS34" authorId="86" shapeId="0" xr:uid="{774982DB-0BFC-42DE-80B0-309BC14D86BC}">
      <text>
        <t>[Threaded comment]
Your version of Excel allows you to read this threaded comment; however, any edits to it will get removed if the file is opened in a newer version of Excel. Learn more: https://go.microsoft.com/fwlink/?linkid=870924
Comment:
    Legacy version</t>
      </text>
    </comment>
    <comment ref="DT34" authorId="87" shapeId="0" xr:uid="{56FDB060-5736-4CE6-8729-A0A1A1D541BB}">
      <text>
        <t>[Threaded comment]
Your version of Excel allows you to read this threaded comment; however, any edits to it will get removed if the file is opened in a newer version of Excel. Learn more: https://go.microsoft.com/fwlink/?linkid=870924
Comment:
    Legacy version</t>
      </text>
    </comment>
    <comment ref="DU34" authorId="88" shapeId="0" xr:uid="{B8CADD6B-7EBB-43FB-A3C4-32DF9A625650}">
      <text>
        <t>[Threaded comment]
Your version of Excel allows you to read this threaded comment; however, any edits to it will get removed if the file is opened in a newer version of Excel. Learn more: https://go.microsoft.com/fwlink/?linkid=870924
Comment:
    Legacy version</t>
      </text>
    </comment>
    <comment ref="DV34" authorId="89" shapeId="0" xr:uid="{F41DA8C5-C198-4E74-82C2-D3B151C97384}">
      <text>
        <t>[Threaded comment]
Your version of Excel allows you to read this threaded comment; however, any edits to it will get removed if the file is opened in a newer version of Excel. Learn more: https://go.microsoft.com/fwlink/?linkid=870924
Comment:
    Legacy version</t>
      </text>
    </comment>
    <comment ref="Y35" authorId="90" shapeId="0" xr:uid="{48BC226F-FD01-45D2-B60B-B5C969AFB89B}">
      <text>
        <t>[Threaded comment]
Your version of Excel allows you to read this threaded comment; however, any edits to it will get removed if the file is opened in a newer version of Excel. Learn more: https://go.microsoft.com/fwlink/?linkid=870924
Comment:
    Recommended cutoff level that minimizes the absolute difference between the number of doers and the number of non-doers.</t>
      </text>
    </comment>
    <comment ref="AB35" authorId="91" shapeId="0" xr:uid="{1FC628A3-BD28-40B4-BB5E-DA52123B1EFC}">
      <text>
        <t>[Threaded comment]
Your version of Excel allows you to read this threaded comment; however, any edits to it will get removed if the file is opened in a newer version of Excel. Learn more: https://go.microsoft.com/fwlink/?linkid=870924
Comment:
    For an explanation for the use of LOOKUP() to find the last match in an array, see this link:
https://exceljet.net/formulas/lookup-latest-price</t>
      </text>
    </comment>
    <comment ref="Y36" authorId="92" shapeId="0" xr:uid="{231D4EA3-8C4C-428C-A7BC-96D26254D798}">
      <text>
        <t>[Threaded comment]
Your version of Excel allows you to read this threaded comment; however, any edits to it will get removed if the file is opened in a newer version of Excel. Learn more: https://go.microsoft.com/fwlink/?linkid=870924
Comment:
    Column number of the last non-empty cell (up to maxColNum) in dataFirstRow. Used to define dataHeaders.</t>
      </text>
    </comment>
    <comment ref="Y37" authorId="93" shapeId="0" xr:uid="{54CCF8C4-939A-4969-9C71-D43B5659856B}">
      <text>
        <t>[Threaded comment]
Your version of Excel allows you to read this threaded comment; however, any edits to it will get removed if the file is opened in a newer version of Excel. Learn more: https://go.microsoft.com/fwlink/?linkid=870924
Comment:
    Column number of the data column that serves as an index for the survey submissions. Used to copy that column (as dataRefCol) and count the total number of data entries.</t>
      </text>
    </comment>
    <comment ref="AA37" authorId="94" shapeId="0" xr:uid="{3EA9EAB6-464C-40FF-A29C-5AC5F2CF62A3}">
      <text>
        <t>[Threaded comment]
Your version of Excel allows you to read this threaded comment; however, any edits to it will get removed if the file is opened in a newer version of Excel. Learn more: https://go.microsoft.com/fwlink/?linkid=870924
Comment:
    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
      </text>
    </comment>
    <comment ref="Y38" authorId="95" shapeId="0" xr:uid="{9FBCCA0B-0F3E-4D10-B107-0F855F175A52}">
      <text>
        <t>[Threaded comment]
Your version of Excel allows you to read this threaded comment; however, any edits to it will get removed if the file is opened in a newer version of Excel. Learn more: https://go.microsoft.com/fwlink/?linkid=870924
Comment:
    Union of all yellow user-editable areas in the tables of the "Configuration" sheet. Used as a shortcut to quickly select them with "Go To..." and define their "locked/hidden" settings. /!\ If these areas change, check if the range resized accordingly /!\</t>
      </text>
    </comment>
    <comment ref="Y39" authorId="96" shapeId="0" xr:uid="{1ED1FFBF-B238-4A39-A3E3-7CCB2BA2EEE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behaviour header in behaviourConfigTable is not found in the "data" sheet.</t>
      </text>
    </comment>
    <comment ref="Y40" authorId="97" shapeId="0" xr:uid="{1BCD0FF1-DA5D-4539-B94C-19746D52FE99}">
      <text>
        <t>[Threaded comment]
Your version of Excel allows you to read this threaded comment; however, any edits to it will get removed if the file is opened in a newer version of Excel. Learn more: https://go.microsoft.com/fwlink/?linkid=870924
Comment:
    Error that evaluates to TRUE if the "Include?" value for a non-empty behaviour header in behaviourConfigTable is missing or invalid.</t>
      </text>
    </comment>
    <comment ref="Y41" authorId="98" shapeId="0" xr:uid="{DB77FBFE-A695-4012-850B-37FA9B88E51C}">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behaviour header in behaviourConfigTable is missing or invalid (e.g., min &gt;= max).</t>
      </text>
    </comment>
    <comment ref="Y42" authorId="99" shapeId="0" xr:uid="{4199D389-F3F7-4C37-85DB-77F36C5CEE14}">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behaviour headers in behaviourConfigTable (i.e. headers successfully found in the "data" sheet) is selected in the "Include?" column.</t>
      </text>
    </comment>
    <comment ref="Y43" authorId="100" shapeId="0" xr:uid="{736B03EB-F22F-4F8F-AE7B-DD9DDFD55729}">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behaviour headers falls outside of the corresponding "Min. score"-"Max. score" range defined in behaviourConfigTable.</t>
      </text>
    </comment>
    <comment ref="Y44" authorId="101" shapeId="0" xr:uid="{E948A971-AEFD-4E80-BF50-D017BABD9D29}">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chartLanguage is not from the allowed chartLanguageList.</t>
      </text>
    </comment>
    <comment ref="Y45" authorId="102" shapeId="0" xr:uid="{17B9A7AA-8B5C-47F6-A1CE-B38EA8D2E4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any entry in chartTranslationTable is missing.</t>
      </text>
    </comment>
    <comment ref="Y46" authorId="103" shapeId="0" xr:uid="{14283CDC-D4F3-4C5C-A3BB-E8763029DBAB}">
      <text>
        <t>[Threaded comment]
Your version of Excel allows you to read this threaded comment; however, any edits to it will get removed if the file is opened in a newer version of Excel. Learn more: https://go.microsoft.com/fwlink/?linkid=870924
Comment:
    Error that evaluates to TRUE if the value entered for cutoffLevel is invalid (i.e., not an integer between 0 and 100%).</t>
      </text>
    </comment>
    <comment ref="AA46" authorId="104" shapeId="0" xr:uid="{CE1B0804-00CA-4D76-95CC-70BA8827023F}">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100*cutoffLevel, because otherwise rounding errors with the MOD() function can produce false positives.</t>
      </text>
    </comment>
    <comment ref="Y47" authorId="105" shapeId="0" xr:uid="{18BBC9C1-6A69-4400-AD5D-2FBCFBFBA785}">
      <text>
        <t>[Threaded comment]
Your version of Excel allows you to read this threaded comment; however, any edits to it will get removed if the file is opened in a newer version of Excel. Learn more: https://go.microsoft.com/fwlink/?linkid=870924
Comment:
    Error that evaluates to TRUE if any space character is found in the first row of the "data" sheet. Spaces in column headers could cause problems when referencing those columns.</t>
      </text>
    </comment>
    <comment ref="Y48" authorId="106" shapeId="0" xr:uid="{6C98878A-7F5F-45FC-A412-F804D6DAA995}">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sortingMethod is not from the allowed sortMenuList.</t>
      </text>
    </comment>
    <comment ref="Y49" authorId="107" shapeId="0" xr:uid="{7A4E84DF-9EA5-4DBE-BA23-31D8CA68311D}">
      <text>
        <t>[Threaded comment]
Your version of Excel allows you to read this threaded comment; however, any edits to it will get removed if the file is opened in a newer version of Excel. Learn more: https://go.microsoft.com/fwlink/?linkid=870924
Comment:
    Error that evaluates to TRUE if the "Display?" value for a non-empty factor header in factorConfigTable is missing or invalid.</t>
      </text>
    </comment>
    <comment ref="Y50" authorId="108" shapeId="0" xr:uid="{6327AD21-F5E2-4AA8-99D5-F06E2C68A50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factor header in factorConfigTable is not found in the "data" sheet.</t>
      </text>
    </comment>
    <comment ref="Y51" authorId="109" shapeId="0" xr:uid="{278C3B32-19EA-42D2-A788-E923A8488E96}">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factor header in factorConfigTable is missing or invalid (e.g., min &gt;= max).</t>
      </text>
    </comment>
    <comment ref="Y52" authorId="110" shapeId="0" xr:uid="{01C52DD6-00F8-4D6C-B072-6B0E9824E8FF}">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factor headers in factorConfigTable (i.e. headers successfully found in the "data" sheet) is selected in the "Display?" column.</t>
      </text>
    </comment>
    <comment ref="Y53" authorId="111" shapeId="0" xr:uid="{DE2D93FE-8BD9-4A7F-88F1-9C72626ABAAD}">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factor headers falls outside of the corresponding "Min. score"-"Max. score" range defined in factorConfigTable.</t>
      </text>
    </comment>
    <comment ref="Y54" authorId="112" shapeId="0" xr:uid="{A539FC2A-A770-47B3-B74C-8A171C72BC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 selected, non-empty factor header in factorConfigTable is missing.</t>
      </text>
    </comment>
    <comment ref="Y55" authorId="113" shapeId="0" xr:uid="{E1A5970E-EE85-4A4E-9903-F00D568C51F7}">
      <text>
        <t>[Threaded comment]
Your version of Excel allows you to read this threaded comment; however, any edits to it will get removed if the file is opened in a newer version of Excel. Learn more: https://go.microsoft.com/fwlink/?linkid=870924
Comment:
    List of error messages displayed to the user in the "Configuration" sheet, concatenated from a list of possible messages defined in the hidden "Error messages" table.</t>
      </text>
    </comment>
    <comment ref="Y56" authorId="114" shapeId="0" xr:uid="{AC6C909B-7866-422D-82E8-C6A96A224936}">
      <text>
        <t>[Threaded comment]
Your version of Excel allows you to read this threaded comment; however, any edits to it will get removed if the file is opened in a newer version of Excel. Learn more: https://go.microsoft.com/fwlink/?linkid=870924
Comment:
    Error that evaluates to TRUE if none of the predefined headers for a reference column is found in the "data" sheet.</t>
      </text>
    </comment>
    <comment ref="Y57" authorId="115" shapeId="0" xr:uid="{AF6E7DC9-01F5-4F75-A174-D8B1DB671270}">
      <text>
        <t>[Threaded comment]
Your version of Excel allows you to read this threaded comment; however, any edits to it will get removed if the file is opened in a newer version of Excel. Learn more: https://go.microsoft.com/fwlink/?linkid=870924
Comment:
    Error that evaluates to TRUE if the "data" sheet does not exist.</t>
      </text>
    </comment>
    <comment ref="Y58" authorId="116" shapeId="0" xr:uid="{7591502D-8F1C-493C-8B3F-9806BD17D2AF}">
      <text>
        <t>[Threaded comment]
Your version of Excel allows you to read this threaded comment; however, any edits to it will get removed if the file is opened in a newer version of Excel. Learn more: https://go.microsoft.com/fwlink/?linkid=870924
Comment:
    Error that evaluates to TRUE if a RANAS block for a selected, non-empty factor header in factorConfigTable is missing or invalid.</t>
      </text>
    </comment>
    <comment ref="Y59" authorId="117" shapeId="0" xr:uid="{59345150-73A7-4AFE-860F-BDB68B001667}">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UILanguage is not from the allowed UILanguageList.</t>
      </text>
    </comment>
    <comment ref="Y60" authorId="118" shapeId="0" xr:uid="{303A217B-0797-4C81-9D61-BBE0A1E6C70D}">
      <text>
        <t>[Threaded comment]
Your version of Excel allows you to read this threaded comment; however, any edits to it will get removed if the file is opened in a newer version of Excel. Learn more: https://go.microsoft.com/fwlink/?linkid=870924
Comment:
    Translation of "Behaviour score" into the chartLanguage selected by the user. Used mostly for the axis label on the chart, which can accept a named variable, but not a complex formula.</t>
      </text>
    </comment>
    <comment ref="Y61" authorId="119" shapeId="0" xr:uid="{850F4624-7EC3-460F-AFEC-32934209FD8C}">
      <text>
        <t>[Threaded comment]
Your version of Excel allows you to read this threaded comment; however, any edits to it will get removed if the file is opened in a newer version of Excel. Learn more: https://go.microsoft.com/fwlink/?linkid=870924
Comment:
    Translation of "Cutoff level" into the chartLanguage selected by the user. Used mostly for the axis label on the chart, which can accept a named variable, but not a complex formula.</t>
      </text>
    </comment>
    <comment ref="Y62" authorId="120" shapeId="0" xr:uid="{F4BC9FE4-A5D3-49D9-8CA6-C4731DC09A31}">
      <text>
        <t>[Threaded comment]
Your version of Excel allows you to read this threaded comment; however, any edits to it will get removed if the file is opened in a newer version of Excel. Learn more: https://go.microsoft.com/fwlink/?linkid=870924
Comment:
    Translation of "Normalized mean score" into the chartLanguage selected by the user. Used mostly for the axis label on the chart, which can accept a named variable, but not a complex formula.</t>
      </text>
    </comment>
    <comment ref="AA62" authorId="121" shapeId="0" xr:uid="{A7BAF418-6AFA-4735-AF91-43C5DE25FB15}">
      <text>
        <t>[Threaded comment]
Your version of Excel allows you to read this threaded comment; however, any edits to it will get removed if the file is opened in a newer version of Excel. Learn more: https://go.microsoft.com/fwlink/?linkid=870924
Comment:
    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
      </text>
    </comment>
    <comment ref="AB62" authorId="122" shapeId="0" xr:uid="{6D2BDB2D-DEF7-4BD0-B302-C5B450709BED}">
      <text>
        <t>[Threaded comment]
Your version of Excel allows you to read this threaded comment; however, any edits to it will get removed if the file is opened in a newer version of Excel. Learn more: https://go.microsoft.com/fwlink/?linkid=870924
Comment:
    Note: Using the function UNICHAR() in this formula could make it incompatible with Excel versions prior to 2013. Find an alternative (e.g., just use a regular hyphen) if this turns out to be a problem.</t>
      </text>
    </comment>
    <comment ref="Y63" authorId="123" shapeId="0" xr:uid="{DECBFD3E-B119-43A3-8C16-48BE13D1DA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4" authorId="124" shapeId="0" xr:uid="{CBD9C711-5209-416C-8A94-54CD0ED950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5" authorId="125" shapeId="0" xr:uid="{3428773C-B63D-401E-B7F9-7955C0E75568}">
      <text>
        <t>[Threaded comment]
Your version of Excel allows you to read this threaded comment; however, any edits to it will get removed if the file is opened in a newer version of Excel. Learn more: https://go.microsoft.com/fwlink/?linkid=870924
Comment:
    List of the user-interface + user-defined languages in the header of the "Factors configuration table". Used to compute the "chartLanguageList" and to look up various text values in the selected chartLanguage.</t>
      </text>
    </comment>
    <comment ref="Y66" authorId="126" shapeId="0" xr:uid="{B3C2F7E7-D905-488E-959F-71514EBA8466}">
      <text>
        <t>[Threaded comment]
Your version of Excel allows you to read this threaded comment; however, any edits to it will get removed if the file is opened in a newer version of Excel. Learn more: https://go.microsoft.com/fwlink/?linkid=870924
Comment:
    Local equivalent of the "address" parameter for the CELL() function, which is specific to the language version of Excel. CELL() is used to dynamically reference the sheets' names, in case they change in the future.</t>
      </text>
    </comment>
    <comment ref="AA66" authorId="127" shapeId="0" xr:uid="{BDFD382D-8813-439A-8635-35E286C7274B}">
      <text>
        <t>[Threaded comment]
Your version of Excel allows you to read this threaded comment; however, any edits to it will get removed if the file is opened in a newer version of Excel. Learn more: https://go.microsoft.com/fwlink/?linkid=870924
Comment:
    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
      </text>
    </comment>
    <comment ref="Y67" authorId="128" shapeId="0" xr:uid="{63EC71EC-6CC4-403B-BC02-E2EE9D085CC6}">
      <text>
        <t>[Threaded comment]
Your version of Excel allows you to read this threaded comment; however, any edits to it will get removed if the file is opened in a newer version of Excel. Learn more: https://go.microsoft.com/fwlink/?linkid=870924
Comment:
    Maximum doers/non-doers difference (in absolute value) used to define the lower and upper limits of the colour scale in Conditional formatting for the "Difference" column of the "analysisChartTable".</t>
      </text>
    </comment>
    <comment ref="Y68" authorId="129" shapeId="0" xr:uid="{8E5387EE-F35C-4C99-B5A2-501661974AE7}">
      <text>
        <t>[Threaded comment]
Your version of Excel allows you to read this threaded comment; however, any edits to it will get removed if the file is opened in a newer version of Excel. Learn more: https://go.microsoft.com/fwlink/?linkid=870924
Comment:
    Reference to the label meaning "no" in the drop-down menus of the "Include?" and "Display?" columns of the "Behaviour" and "Factors" configuration tables. Used in UI text.</t>
      </text>
    </comment>
    <comment ref="Y69" authorId="130" shapeId="0" xr:uid="{98EFA81E-B26B-4162-BF70-4BBA624CECE4}">
      <text>
        <t>[Threaded comment]
Your version of Excel allows you to read this threaded comment; however, any edits to it will get removed if the file is opened in a newer version of Excel. Learn more: https://go.microsoft.com/fwlink/?linkid=870924
Comment:
    Number of entries in the "data" sheet. It is counted as the number of values in the "index" column dataRefCol.</t>
      </text>
    </comment>
    <comment ref="Y70" authorId="131" shapeId="0" xr:uid="{6987FA74-F492-4B7C-99EF-65FE22D4256E}">
      <text>
        <t>[Threaded comment]
Your version of Excel allows you to read this threaded comment; however, any edits to it will get removed if the file is opened in a newer version of Excel. Learn more: https://go.microsoft.com/fwlink/?linkid=870924
Comment:
    Number of factors selected for display by the user in the Configuration tab (up to 30). Used to calculate the number of factors displayed in each chart of the "Analysis" sheet ("numFactorsChart1" and "numFactorsChart2").</t>
      </text>
    </comment>
    <comment ref="Y71" authorId="132" shapeId="0" xr:uid="{0E5A0A8E-AF58-40CB-BAF5-BF37AA6895DC}">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first chart of the "Analysis" sheet. It depends on "numFactors" and "numFactorsThreshold" in order to split the factors across both charts. Used to define a dynamic range for the chart data.</t>
      </text>
    </comment>
    <comment ref="Y72" authorId="133" shapeId="0" xr:uid="{9C2EF22F-7719-45E7-A51A-43194BFC951E}">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second chart of the "Analysis" sheet. It depends on "numFactors" and "numFactorsThreshold" in order to split the factors across both charts. Used to define a dynamic range for the chart data.</t>
      </text>
    </comment>
    <comment ref="Y73" authorId="134" shapeId="0" xr:uid="{F8EA8679-A5A3-4E64-B223-C85FD6BD4DCD}">
      <text>
        <t>[Threaded comment]
Your version of Excel allows you to read this threaded comment; however, any edits to it will get removed if the file is opened in a newer version of Excel. Learn more: https://go.microsoft.com/fwlink/?linkid=870924
Comment:
    Number of languages available to display chart/table text (it includes the UI + the user-defined languages). Used mostly to define a dynamic range for the "Chart language" drop-down menu.</t>
      </text>
    </comment>
    <comment ref="Y74" authorId="135" shapeId="0" xr:uid="{80D50726-EF2C-4C67-9FBB-E23389320578}">
      <text>
        <t>[Threaded comment]
Your version of Excel allows you to read this threaded comment; however, any edits to it will get removed if the file is opened in a newer version of Excel. Learn more: https://go.microsoft.com/fwlink/?linkid=870924
Comment:
    Number of scores, i.e. number of "data" entries having at least one non-empty value among the selected "behaviour" questions and for which a behaviour score can be computed.</t>
      </text>
    </comment>
    <comment ref="Y75" authorId="136" shapeId="0" xr:uid="{EC282725-E97D-4442-A25E-96E89D8860B6}">
      <text>
        <t>[Threaded comment]
Your version of Excel allows you to read this threaded comment; however, any edits to it will get removed if the file is opened in a newer version of Excel. Learn more: https://go.microsoft.com/fwlink/?linkid=870924
Comment:
    List of RANAS blocks in (currently) both UI languages (English, Français) used in drop-down menus in the "Factors configuration table".</t>
      </text>
    </comment>
    <comment ref="Y76" authorId="137" shapeId="0" xr:uid="{D7D70823-CDCD-482A-8D64-14AAA174D567}">
      <text>
        <t>[Threaded comment]
Your version of Excel allows you to read this threaded comment; however, any edits to it will get removed if the file is opened in a newer version of Excel. Learn more: https://go.microsoft.com/fwlink/?linkid=870924
Comment:
    Dynamic reference to the "Analysis" sheet name (in case it changes in the future), used mostly in UI text.</t>
      </text>
    </comment>
    <comment ref="Y77" authorId="138" shapeId="0" xr:uid="{D7107A38-D6DB-469A-8C87-CE953DC74C5C}">
      <text>
        <t>[Threaded comment]
Your version of Excel allows you to read this threaded comment; however, any edits to it will get removed if the file is opened in a newer version of Excel. Learn more: https://go.microsoft.com/fwlink/?linkid=870924
Comment:
    Dynamic reference to the "Configuration" sheet name (in case it changes in the future), used mostly in UI text.</t>
      </text>
    </comment>
    <comment ref="Y78" authorId="139" shapeId="0" xr:uid="{38B92C36-2D09-4392-B5D0-AB22DF93AA64}">
      <text>
        <t>[Threaded comment]
Your version of Excel allows you to read this threaded comment; however, any edits to it will get removed if the file is opened in a newer version of Excel. Learn more: https://go.microsoft.com/fwlink/?linkid=870924
Comment:
    Dynamic reference to the "Cutoff" sheet name (in case it changes in the future), used mostly in UI text.</t>
      </text>
    </comment>
    <comment ref="Y79" authorId="140" shapeId="0" xr:uid="{07A2D467-7B27-4D0F-A15A-9EF144A70C0D}">
      <text>
        <t>[Threaded comment]
Your version of Excel allows you to read this threaded comment; however, any edits to it will get removed if the file is opened in a newer version of Excel. Learn more: https://go.microsoft.com/fwlink/?linkid=870924
Comment:
    Dynamic reference to the "HiddenTables" sheet name (in case it changes in the future).</t>
      </text>
    </comment>
    <comment ref="AA79" authorId="141" shapeId="0" xr:uid="{920D1D5A-2398-4BA7-B424-F90D035B6A6A}">
      <text>
        <t>[Threaded comment]
Your version of Excel allows you to read this threaded comment; however, any edits to it will get removed if the file is opened in a newer version of Excel. Learn more: https://go.microsoft.com/fwlink/?linkid=870924
Comment:
    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
      </text>
    </comment>
    <comment ref="Y80" authorId="142" shapeId="0" xr:uid="{99D08BBB-6A83-48E4-92DF-884E316E478F}">
      <text>
        <t>[Threaded comment]
Your version of Excel allows you to read this threaded comment; however, any edits to it will get removed if the file is opened in a newer version of Excel. Learn more: https://go.microsoft.com/fwlink/?linkid=870924
Comment:
    Dynamic reference to the "Introduction" sheet name (in case it changes in the future), used mostly in UI text.</t>
      </text>
    </comment>
    <comment ref="Y81" authorId="143" shapeId="0" xr:uid="{CA9389B5-559B-4E70-9A1A-9063BF203F27}">
      <text>
        <t>[Threaded comment]
Your version of Excel allows you to read this threaded comment; however, any edits to it will get removed if the file is opened in a newer version of Excel. Learn more: https://go.microsoft.com/fwlink/?linkid=870924
Comment:
    Tag associated with the selected sorting method for the data in the "Factors analysis chart". Used to simplify the formula that sorts the data according to the selected method.</t>
      </text>
    </comment>
    <comment ref="Y82" authorId="144" shapeId="0" xr:uid="{52CA9CC3-2DD0-427C-849D-AA85538CB280}">
      <text>
        <t>[Threaded comment]
Your version of Excel allows you to read this threaded comment; however, any edits to it will get removed if the file is opened in a newer version of Excel. Learn more: https://go.microsoft.com/fwlink/?linkid=870924
Comment:
    List of sorting options for the "Factors analysis chart". Using symbols to make it (sort of) language-independent, so the options must be described in the UI language next to the menu.</t>
      </text>
    </comment>
    <comment ref="Y83" authorId="145" shapeId="0" xr:uid="{581ECF05-C743-4C62-BBE0-89915C1748BD}">
      <text>
        <t>[Threaded comment]
Your version of Excel allows you to read this threaded comment; however, any edits to it will get removed if the file is opened in a newer version of Excel. Learn more: https://go.microsoft.com/fwlink/?linkid=870924
Comment:
    List of available languages for the user interface. New languages must be added as new columns in UITranslationTable, errorMessagesTable, factorsConfigTable and chartTranslationTable, completed with all corresponding translations.</t>
      </text>
    </comment>
    <comment ref="Y84" authorId="146" shapeId="0" xr:uid="{2C6136A3-2FA2-4040-B462-4804885A4F56}">
      <text>
        <t>[Threaded comment]
Your version of Excel allows you to read this threaded comment; however, any edits to it will get removed if the file is opened in a newer version of Excel. Learn more: https://go.microsoft.com/fwlink/?linkid=870924
Comment:
    Reference to the label meaning "yes" in the drop-down menus of the "Include?" and "Display?" columns of the "Behaviour" and "Factors" configuration tables.  Used in UI text and conditional formatting rules.</t>
      </text>
    </comment>
    <comment ref="Y85" authorId="147" shapeId="0" xr:uid="{1B90EA43-A512-4D8C-AED7-B8CCEAA8D002}">
      <text>
        <t>[Threaded comment]
Your version of Excel allows you to read this threaded comment; however, any edits to it will get removed if the file is opened in a newer version of Excel. Learn more: https://go.microsoft.com/fwlink/?linkid=870924
Comment:
    List of yes/no values (check mark/cross mark) used in drop-down menus in the "Behaviour configuration table" and "Factors configuration table" to include behaviour questions/factors in the behaviour score/analysis chart.</t>
      </text>
    </comment>
    <comment ref="AA112" authorId="148" shapeId="0" xr:uid="{CAE2CE7C-DC90-4E8B-8BFF-5771B8010C60}">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on 100*cutoffLevel, because otherwise rounding errors with the MOD() function can produce false positives.</t>
      </text>
    </comment>
    <comment ref="Y113" authorId="149" shapeId="0" xr:uid="{C13CC2AB-4B99-40A8-9566-82F95A04CE16}">
      <text>
        <t>[Threaded comment]
Your version of Excel allows you to read this threaded comment; however, any edits to it will get removed if the file is opened in a newer version of Excel. Learn more: https://go.microsoft.com/fwlink/?linkid=870924
Comment:
    This CF rule displays a decimal digit to the cutoff level value (e.g., 56.7%) to highlight that the entered value is not a whole number.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<sst xmlns="http://schemas.openxmlformats.org/spreadsheetml/2006/main" count="923" uniqueCount="688">
  <si>
    <t>name</t>
  </si>
  <si>
    <t>index</t>
  </si>
  <si>
    <t>Difference</t>
  </si>
  <si>
    <t>English</t>
  </si>
  <si>
    <t>Doers</t>
  </si>
  <si>
    <t>Français</t>
  </si>
  <si>
    <t>Pratiquants</t>
  </si>
  <si>
    <t>Non-doers</t>
  </si>
  <si>
    <t>Non-pratiquants</t>
  </si>
  <si>
    <t>Différence</t>
  </si>
  <si>
    <t>Nbre de réponses</t>
  </si>
  <si>
    <t>Data header</t>
  </si>
  <si>
    <t>tag</t>
  </si>
  <si>
    <t>Interface language:
Langue de l'interface:</t>
  </si>
  <si>
    <t>lang1</t>
  </si>
  <si>
    <t>lang2</t>
  </si>
  <si>
    <t>lang3</t>
  </si>
  <si>
    <t>lang4</t>
  </si>
  <si>
    <t>lang5</t>
  </si>
  <si>
    <t>chartLabel</t>
  </si>
  <si>
    <t>langSpecLabel</t>
  </si>
  <si>
    <t>noTranslation</t>
  </si>
  <si>
    <t>(no translation)</t>
  </si>
  <si>
    <t>(pas de traduction)</t>
  </si>
  <si>
    <t>doers</t>
  </si>
  <si>
    <t>nondoers</t>
  </si>
  <si>
    <t>difference</t>
  </si>
  <si>
    <t>numDoers</t>
  </si>
  <si>
    <t>numNondoers</t>
  </si>
  <si>
    <t>value</t>
  </si>
  <si>
    <t>maxRowNum</t>
  </si>
  <si>
    <t>maxColNum</t>
  </si>
  <si>
    <t>DOERS/NON-DOERS TABLE</t>
  </si>
  <si>
    <t>numTotal</t>
  </si>
  <si>
    <t>Chart language:</t>
  </si>
  <si>
    <t>numResponses</t>
  </si>
  <si>
    <t># of responses</t>
  </si>
  <si>
    <t>UI TRANSLATION TABLE</t>
  </si>
  <si>
    <t>Cutoff level</t>
  </si>
  <si>
    <t>cutoffLevel</t>
  </si>
  <si>
    <t>Niveau de seuil</t>
  </si>
  <si>
    <t>langSpecText</t>
  </si>
  <si>
    <t>displayedText</t>
  </si>
  <si>
    <t>languageList</t>
  </si>
  <si>
    <t>languageHeaders</t>
  </si>
  <si>
    <t>numLanguages</t>
  </si>
  <si>
    <t>maxAbsDiff</t>
  </si>
  <si>
    <t>LANGUAGE TABLE</t>
  </si>
  <si>
    <t>In this table:</t>
  </si>
  <si>
    <t>configDataHeader</t>
  </si>
  <si>
    <t>cutoffLevelText</t>
  </si>
  <si>
    <t>langSpecCutoff</t>
  </si>
  <si>
    <t>factor</t>
  </si>
  <si>
    <t>Factor</t>
  </si>
  <si>
    <t>Facteur</t>
  </si>
  <si>
    <t>factorHeader</t>
  </si>
  <si>
    <t>Factor #</t>
  </si>
  <si>
    <t>factorColNum</t>
  </si>
  <si>
    <t>numFactors</t>
  </si>
  <si>
    <t>Dans ce tableau:</t>
  </si>
  <si>
    <t>This menu defines which of the built-in languages is used for the user interface.</t>
  </si>
  <si>
    <t>Ce menu désigne laquelle des langues prédéfinies est utilisée pour l'interface utilisateur.</t>
  </si>
  <si>
    <t>Langue des graphiques:</t>
  </si>
  <si>
    <t>Facteur nº</t>
  </si>
  <si>
    <t>En-tête de données</t>
  </si>
  <si>
    <t>behaviourHeader</t>
  </si>
  <si>
    <t>minScore</t>
  </si>
  <si>
    <t>maxScore</t>
  </si>
  <si>
    <t>RANASBlock</t>
  </si>
  <si>
    <t>configBehaviourTitle</t>
  </si>
  <si>
    <t>configBehaviourNum</t>
  </si>
  <si>
    <t>Behaviour #</t>
  </si>
  <si>
    <t>configMinScore</t>
  </si>
  <si>
    <t>configMaxScore</t>
  </si>
  <si>
    <t>configNumResponses</t>
  </si>
  <si>
    <t>Score min.</t>
  </si>
  <si>
    <t>Min. score</t>
  </si>
  <si>
    <t>Max. score</t>
  </si>
  <si>
    <t>Score max.</t>
  </si>
  <si>
    <t>numBlanks</t>
  </si>
  <si>
    <t>numScores</t>
  </si>
  <si>
    <t>numBlankScores</t>
  </si>
  <si>
    <t>configNumBlanks</t>
  </si>
  <si>
    <t># of blank responses</t>
  </si>
  <si>
    <t>Nbre de réponses vides</t>
  </si>
  <si>
    <t>configNumScores</t>
  </si>
  <si>
    <t>configNumBlankScores</t>
  </si>
  <si>
    <t># of scores</t>
  </si>
  <si>
    <t>Nbre de scores</t>
  </si>
  <si>
    <t># of blank scores</t>
  </si>
  <si>
    <t>Nbre de scores vides</t>
  </si>
  <si>
    <t>dataRefColNum</t>
  </si>
  <si>
    <t>numEntries</t>
  </si>
  <si>
    <t>ⓘ The number of (non-blank) responses and the number of blank responses can be different for different questions if some respondents did not answer certain questions. In such a case, the behaviour score could be based on a different number of questions for different respondents.</t>
  </si>
  <si>
    <t>FACTORS TABLE</t>
  </si>
  <si>
    <t>BEHAVIOUR TABLE</t>
  </si>
  <si>
    <t>behaviourColNum</t>
  </si>
  <si>
    <t>CUTOFF LEVEL TABLE</t>
  </si>
  <si>
    <t>label</t>
  </si>
  <si>
    <t>absDiff</t>
  </si>
  <si>
    <t>cutoffLevelRecommended</t>
  </si>
  <si>
    <t>cutoffLevelRecomText</t>
  </si>
  <si>
    <t>Behaviour score</t>
  </si>
  <si>
    <t>Score de comportement</t>
  </si>
  <si>
    <t>behaviourScore</t>
  </si>
  <si>
    <t>langSpecBehaviourScore</t>
  </si>
  <si>
    <t>percentResponses</t>
  </si>
  <si>
    <t>% de réponses</t>
  </si>
  <si>
    <t>langSpecNumResponses</t>
  </si>
  <si>
    <t>langSpecPercentResponses</t>
  </si>
  <si>
    <t>percentNondoers</t>
  </si>
  <si>
    <t>percentDoers</t>
  </si>
  <si>
    <t>isDoer</t>
  </si>
  <si>
    <t>Norms</t>
  </si>
  <si>
    <t>Risks</t>
  </si>
  <si>
    <t>Attitudes</t>
  </si>
  <si>
    <t>Abilities</t>
  </si>
  <si>
    <t>Self-regulation</t>
  </si>
  <si>
    <t>RANAS</t>
  </si>
  <si>
    <t>Display?</t>
  </si>
  <si>
    <t>% of responses</t>
  </si>
  <si>
    <t>YES/NO TABLE</t>
  </si>
  <si>
    <t>yes</t>
  </si>
  <si>
    <t>no</t>
  </si>
  <si>
    <t>✔</t>
  </si>
  <si>
    <t>✘</t>
  </si>
  <si>
    <t>↘ |diff|</t>
  </si>
  <si>
    <t>RANAS BLOCKS TABLE</t>
  </si>
  <si>
    <t>meanScore</t>
  </si>
  <si>
    <t>Score moyen normalisé</t>
  </si>
  <si>
    <t>risks</t>
  </si>
  <si>
    <t>Risques</t>
  </si>
  <si>
    <t>attitudes</t>
  </si>
  <si>
    <t>norms</t>
  </si>
  <si>
    <t>Normes</t>
  </si>
  <si>
    <t>abilities</t>
  </si>
  <si>
    <t>Capacités</t>
  </si>
  <si>
    <t>selfRegulation</t>
  </si>
  <si>
    <t>Autorégulation</t>
  </si>
  <si>
    <t>SORT MENU TABLE</t>
  </si>
  <si>
    <t>none</t>
  </si>
  <si>
    <t>relDiff</t>
  </si>
  <si>
    <t>—</t>
  </si>
  <si>
    <t>↘ diff</t>
  </si>
  <si>
    <t>Data sorting:</t>
  </si>
  <si>
    <t>Include?</t>
  </si>
  <si>
    <t>include</t>
  </si>
  <si>
    <t>includeConfig</t>
  </si>
  <si>
    <t>display</t>
  </si>
  <si>
    <t>filteredIndex</t>
  </si>
  <si>
    <t>hasValue</t>
  </si>
  <si>
    <t>sortedIndex</t>
  </si>
  <si>
    <t>langSpecFactor</t>
  </si>
  <si>
    <t>displayedFactor</t>
  </si>
  <si>
    <t>noRANASBlock</t>
  </si>
  <si>
    <t>(RANAS block missing)</t>
  </si>
  <si>
    <t>(Bloc RANAS manquant)</t>
  </si>
  <si>
    <t>displayedRANASBlock</t>
  </si>
  <si>
    <t>RANAS block</t>
  </si>
  <si>
    <t>Bloc RANAS</t>
  </si>
  <si>
    <t>sortedNumTotal</t>
  </si>
  <si>
    <t>sortedNondoers</t>
  </si>
  <si>
    <t>sortedDoers</t>
  </si>
  <si>
    <t>sortedDifference</t>
  </si>
  <si>
    <t>RANASTag</t>
  </si>
  <si>
    <t>relDiffRank</t>
  </si>
  <si>
    <t>absDiffRank</t>
  </si>
  <si>
    <t>RANASRank</t>
  </si>
  <si>
    <t>numFactorsThreshold</t>
  </si>
  <si>
    <t>numFactorsChart1</t>
  </si>
  <si>
    <t>numFactorsChart2</t>
  </si>
  <si>
    <t>RANASIndex</t>
  </si>
  <si>
    <t>sortingMethodTag</t>
  </si>
  <si>
    <t>YaxisLimits</t>
  </si>
  <si>
    <t>langSpecMeanScore</t>
  </si>
  <si>
    <t>ERROR MESSAGES TABLE</t>
  </si>
  <si>
    <t>condition</t>
  </si>
  <si>
    <t>langSpecError</t>
  </si>
  <si>
    <t>dataNotFound</t>
  </si>
  <si>
    <t>(data not found)</t>
  </si>
  <si>
    <t>(données introuvables)</t>
  </si>
  <si>
    <t>configRANASBlock</t>
  </si>
  <si>
    <t>errorMessages</t>
  </si>
  <si>
    <t>displayConfig</t>
  </si>
  <si>
    <t>Y-AXIS LIMITS TABLE</t>
  </si>
  <si>
    <t>configBehaviourInclude</t>
  </si>
  <si>
    <t>Inclure?</t>
  </si>
  <si>
    <t>Afficher?</t>
  </si>
  <si>
    <t>configNumRespInfo</t>
  </si>
  <si>
    <t>ⓘ Le nombre de réponses (non vides) et le nombre de réponses vides peuvent être différents pour différentes questions si certains répondants n'ont pas répondu à certaines questions. Dans ce cas, le score de comportement pourrait être basé sur un nombre différent de questions pour différents répondants.</t>
  </si>
  <si>
    <t>configNumScoresInfo</t>
  </si>
  <si>
    <t>analysisDataSorting</t>
  </si>
  <si>
    <t>Tri des données:</t>
  </si>
  <si>
    <t>cutoffTitle</t>
  </si>
  <si>
    <t>analysisTitle</t>
  </si>
  <si>
    <t>configErrorMessages</t>
  </si>
  <si>
    <t>Error Messages</t>
  </si>
  <si>
    <t>Messages d'erreur</t>
  </si>
  <si>
    <t>CAUTION: If you paste data in these tables, please make sure that you PASTE VALUES ONLY (e.g., with a right-click). Otherwise, you might erase the special formatting used to highlight errors.</t>
  </si>
  <si>
    <t>ATTENTION: Si vous collez des données dans ces tableaux, veillez à COLLER UNIQUEMENT LES VALEURS (par exemple avec un clic droit). Autrement, vous risquez d'effacer le formatage spécial qui permet de signaler les erreurs.</t>
  </si>
  <si>
    <t>Normalised mean score</t>
  </si>
  <si>
    <t>errorMessageNotice</t>
  </si>
  <si>
    <t>Comportement nº</t>
  </si>
  <si>
    <t>c. You MUST define, for each factor, the RANAS block to which it belongs by selecting it from the drop-down menu in the corresponding column.</t>
  </si>
  <si>
    <t>dummyColumn1</t>
  </si>
  <si>
    <t>configImportTitle</t>
  </si>
  <si>
    <t>configImportText1</t>
  </si>
  <si>
    <t>configImportText2</t>
  </si>
  <si>
    <t>configImportText3</t>
  </si>
  <si>
    <t>configPasteWarning</t>
  </si>
  <si>
    <t>configBehaviourText1</t>
  </si>
  <si>
    <t>Le comportement cible est mesuré par un score de comportement pour chaque répondant, basé sur ses réponses aux questions «comportement» de l'enquête. Jusqu'à 5 questions peuvent être définies dans le tableau ci-dessous pour calculer le score de comportement (ou des groupes de questions précalculées dans le questionnaire en faisant la moyenne de plusieurs questions). Le RANAS Analyser calcule le score de comportement de chaque répondant en normalisant son score pour chaque question sur une échelle de 0 à 100 % et en faisant la moyenne.</t>
  </si>
  <si>
    <t>configBehaviourText2</t>
  </si>
  <si>
    <t>configBehaviourText3</t>
  </si>
  <si>
    <t>configBehaviourText4</t>
  </si>
  <si>
    <t>configFactorsTitle</t>
  </si>
  <si>
    <t>configFactorsText1</t>
  </si>
  <si>
    <t>configFactorsText2</t>
  </si>
  <si>
    <t>configFactorsText3</t>
  </si>
  <si>
    <t>configFactorsText4</t>
  </si>
  <si>
    <t>c. Vous DEVEZ définir, pour chaque facteur, le bloc RANAS auquel il appartient en le sélectionnant dans le menu déroulant de la colonne correspondante.</t>
  </si>
  <si>
    <t>configFactorsText5</t>
  </si>
  <si>
    <t>configFactorsText6</t>
  </si>
  <si>
    <t>configFactorsText7</t>
  </si>
  <si>
    <t>configChartsTitle</t>
  </si>
  <si>
    <t>configChartsText1</t>
  </si>
  <si>
    <t>Vous DEVEZ fournir des traductions pour les éléments de texte des graphiques et des tableaux de données, mais seulement si vous avez sélectionné une langue définie par l'utilisateur dans le menu «Langue des graphiques». Les cellules dont les traductions sont manquantes apparaîssent en rouge.</t>
  </si>
  <si>
    <t>You MUST provide translations for the text elements of charts and data tables, but only if you have selected a user-defined language in the "Chart language" menu. Cells with missing translations appear in red.</t>
  </si>
  <si>
    <t>Selecting the doer / non-doer cutoff level</t>
  </si>
  <si>
    <t>Sélection du niveau de seuil pratiquant / non-pratiquant.</t>
  </si>
  <si>
    <t>cutoffText1</t>
  </si>
  <si>
    <t>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t>
  </si>
  <si>
    <t>Le graphique de gauche montre la distribution du score de comportement pour tous les répondants pour lesquels un score a pu être calculé (c'est-à-dire qu'ils ont répondu à au moins une des questions «comportement» sélectionnées). Comme indiqué par les deux couleurs, les barres du graphique sont séparées entre non-pratiquants (scores faibles) et pratiquants (scores élevés), en fonction de la valeur du niveau de seuil.</t>
  </si>
  <si>
    <t>cutoffText2</t>
  </si>
  <si>
    <t>cutoffText3</t>
  </si>
  <si>
    <t>Le graphique de droite montre la répartition correspondante entre non-pratiquants et pratiquants, en pourcentage du nombre total de répondants pour lesquels un score a pu être calculé, ainsi que la différence entre les deux groupes.</t>
  </si>
  <si>
    <t>The chart on the right displays the resulting split between non-doers and doers as a percentage of the total number of respondents for whom a score could be computed, as well as the difference between both groups.</t>
  </si>
  <si>
    <t>Doer / Non-doer analysis</t>
  </si>
  <si>
    <t>Analyse pratiquant / non-pratiquant</t>
  </si>
  <si>
    <t>analysisText1</t>
  </si>
  <si>
    <t>analysisText2</t>
  </si>
  <si>
    <t>The factors for which the difference between non-doers and doers is the largest (in absolute value) are the most important ones. They are the critical factors that should be targeted through behaviour change techniques (BCTs).</t>
  </si>
  <si>
    <t>Les facteurs pour lesquels la différence entre non-pratiquants et pratiquants est la plus grande (en valeur absolue) sont les plus importants. Ce sont les facteurs critiques qui doivent être ciblés par les techniques de changement de comportement (TCC).</t>
  </si>
  <si>
    <t>analysisText3</t>
  </si>
  <si>
    <t>The table below the charts contains the displayed values. As a visual aid, the cells in the "Difference" column are coloured with a more intense hue for larger (absolute) values.</t>
  </si>
  <si>
    <t>Le tableau situé sous les graphiques contient les valeurs affichées. À titre d'aide visuelle, plus la valeur (absolue) de la colonne «Différence» est grande, plus la couleur de la cellule est intense.</t>
  </si>
  <si>
    <t>configInThisTable</t>
  </si>
  <si>
    <t>configFactorsDisplay</t>
  </si>
  <si>
    <t>configFactorsNum</t>
  </si>
  <si>
    <t>The value of one or more cells in the "Include?" column of the "Behaviour" table is invalid or missing (red cells). Please select a value from the drop-down menu for these cells.</t>
  </si>
  <si>
    <t>The value of one or more cells in the "Min. score" / "Max. score" columns of the "Behaviour" table is invalid or missing (red cells). Make sure to enter numerical values and that "Min. score" &lt; "Max. score".</t>
  </si>
  <si>
    <t>Some translations are missing in the "Translations for charts and data tables" table (red cells). Please complete them.</t>
  </si>
  <si>
    <t>Certaines traductions sont manquantes dans le tableau «Traductions pour les graphiques et les tableaux de données» (cellules rouges). Veuillez les compléter.</t>
  </si>
  <si>
    <t>La valeur d'une ou plusieurs cellules dans la colonne «Inclure?» du tableau «Comportement» n'est pas valable ou manquante (cellules rouges). Veuillez sélectionner une valeur dans le menu déroulant pour ces cellules.</t>
  </si>
  <si>
    <t>La valeur d'une ou plusieurs cellules dans les colonnes «Score min.» / «Score max.» du tableau «Comportement» n'est pas valable ou manquante (cellules rouges). Veuillez saisir des valeurs numériques et faites attention à ce que «Score min.» &lt; «Score max.».</t>
  </si>
  <si>
    <t>analysisSortIntro</t>
  </si>
  <si>
    <t>analysisSort1</t>
  </si>
  <si>
    <t>analysisSort2</t>
  </si>
  <si>
    <t>analysisSort3</t>
  </si>
  <si>
    <t>analysisSort4</t>
  </si>
  <si>
    <t>The factors are sorted in descending order of the RELATIVE value of "Difference", i.e., from the most positive difference to the most negative difference.</t>
  </si>
  <si>
    <t>The factors are sorted in descending order of the ABSOLUTE value of "Difference", i.e., the largest differences come first, regardless of their sign, and the smallest come last.</t>
  </si>
  <si>
    <t>The factors are grouped by RANAS block.</t>
  </si>
  <si>
    <t>Les facteurs sont triés par ordre décroissant de la valeur RELATIVE de «Différence», c'est-à-dire de la différence la plus positive à la plus négative.</t>
  </si>
  <si>
    <t>Les facteurs sont triés par ordre décroissant de la valeur ABSOLUE de «Différence», c'est-à-dire que les plus grandes différences viennent en premier, quel que soit leur signe, et les plus petites en dernier.</t>
  </si>
  <si>
    <t>Les facteurs sont regroupés par bloc RANAS.</t>
  </si>
  <si>
    <t>—:</t>
  </si>
  <si>
    <t>↘ diff:</t>
  </si>
  <si>
    <t>↘ |diff|:</t>
  </si>
  <si>
    <t>RANAS:</t>
  </si>
  <si>
    <t>Le menu déroulant «Tri des données» au-dessus du graphique offre plusieurs options pour trier les facteurs:</t>
  </si>
  <si>
    <t>The "Data sorting" drop-down menu above the chart offers various options for sorting the factors:</t>
  </si>
  <si>
    <t>ⓘ The number of scores corresponds to the number of respondents who answered at least one SELECTED "behaviour" question (i.e., a score could be calculated). The number of blank scores is the number of respondents who answered none of the selected "behaviour" questions.</t>
  </si>
  <si>
    <t>ⓘ Le nombre de scores correspond au nombre de répondants ayant répondu à au moins une question «comportement» SÉLECTIONNÉE (c'est-à-dire qu'un score a pu être calculé). Le nombre de scores vides est le nombre de répondants qui n'ont répondu à aucune des questions «comportement» sélectionnées.</t>
  </si>
  <si>
    <t>sheetNameHiddenTables</t>
  </si>
  <si>
    <t>sheetNameConfiguration</t>
  </si>
  <si>
    <t>sheetNameCutoff</t>
  </si>
  <si>
    <t>sheetNameAnalysis</t>
  </si>
  <si>
    <t>localAddressParameter</t>
  </si>
  <si>
    <t>copyChartInfo</t>
  </si>
  <si>
    <t>sheetNameData</t>
  </si>
  <si>
    <t>data</t>
  </si>
  <si>
    <t>ⓘ Si vous voulez faire une copie figée de ce tableau (p.ex. pour un rapport), les options les plus simples sont:
- Collez-le comme image NON LIÉE. La copie sera exactement comme l'original, mais puisqu'il s'agit d'une image, vous ne pourrez pas y sélectionner des valeurs.
- Si vous voulez avoir la possibilité de sélectionner des valeurs dans la copie, collez le tableau dans un document Word ou PowerPoint avec l'option «Conserver la mise en forme source».
- Si vous avez besoin du tableau dans une autre feuille Excel, copiez-le depuis le document Word ou PowerPoint et collez-le dans Excel, toujours avec l'option «Conserver la mise en forme source».</t>
  </si>
  <si>
    <t>ⓘ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t>
  </si>
  <si>
    <t>ⓘ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t>
  </si>
  <si>
    <t>ⓘ Si vous voulez faire une copie figée d'un graphique (p.ex. pour un rapport), les options les plus simples sont:
- Collez-le comme image NON LIÉE. La copie sera exactement comme l'original, mais puisqu'il s'agit d'une image, vous ne pourrez pas la modifier.
- Collez-le dans une autre feuille Excel avec l'option «Collage spécial &gt; Conserver la mise en forme source». Vous pouvez alors modifier cette copie comme vous le souhaitez (taille, couleurs,...) Finalement, copiez et collez ce deuxième graphique comme image non liée dans votre document de destination.
Dans tous les cas, merci de ne JAMAIS modifier les graphiques d'origine sur la présente feuille! 😊</t>
  </si>
  <si>
    <t>0-9%</t>
  </si>
  <si>
    <t>10-19%</t>
  </si>
  <si>
    <t>20-29%</t>
  </si>
  <si>
    <t>30-39%</t>
  </si>
  <si>
    <t>40-49%</t>
  </si>
  <si>
    <t>50-59%</t>
  </si>
  <si>
    <t>60-69%</t>
  </si>
  <si>
    <t>70-79%</t>
  </si>
  <si>
    <t>80-89%</t>
  </si>
  <si>
    <t>90-100%</t>
  </si>
  <si>
    <t>minValue</t>
  </si>
  <si>
    <t>maxValue</t>
  </si>
  <si>
    <t>numNondoersBin</t>
  </si>
  <si>
    <t>numDoersBin</t>
  </si>
  <si>
    <t>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t>
  </si>
  <si>
    <t>Vous pouvez ajuster le niveau de seuil grâce à la cellule prévue à cet effet au-dessus du graphique. En général, vous devriez choisir le niveau pour lequel le nombre de non-pratiquants et le nombre de pratiquants sont les plus proches l'un de l'autre, c'est-à-dire où leur différence (en valeur absolue) est la plus faible. Cela devrait donner les meilleurs résultats statistiques Cette valeur optimale est donnée comme recommandation au-dessus de la cellule.</t>
  </si>
  <si>
    <t>selectedRank</t>
  </si>
  <si>
    <t>uniqueRank</t>
  </si>
  <si>
    <t>versionNumber</t>
  </si>
  <si>
    <t>Languages / Langues</t>
  </si>
  <si>
    <t>Introduction</t>
  </si>
  <si>
    <t>introUILangText</t>
  </si>
  <si>
    <t>introChartLang</t>
  </si>
  <si>
    <t>introChartLangText</t>
  </si>
  <si>
    <t>introIntroTitle</t>
  </si>
  <si>
    <t>introIntroText1</t>
  </si>
  <si>
    <t>introIntroText2</t>
  </si>
  <si>
    <t>introIntroText3</t>
  </si>
  <si>
    <t>Ce projet a été développé par RANAS Ltd., Terre des hommes (Tdh) et le Consortium suisse pour l'eau et l'assainissement (SWSC).
Il a été cofinancé par SWSC et la Direction suisse du développement et de la coopération (DDC).
Les idées et opinions présentées dans ce document ne représentent pas nécessairement celles des agences de cofinancement susmentionnées.</t>
  </si>
  <si>
    <t>https://creativecommons.org/licenses/by-nc-nd/4.0/</t>
  </si>
  <si>
    <t>https://creativecommons.org/licenses/by-nc-nd/4.0/deed.fr</t>
  </si>
  <si>
    <t>introLinksTitle</t>
  </si>
  <si>
    <t>Links</t>
  </si>
  <si>
    <t>Liens</t>
  </si>
  <si>
    <t>introLinksText1</t>
  </si>
  <si>
    <t>introLinksText2</t>
  </si>
  <si>
    <t>ranasAnalyserLink</t>
  </si>
  <si>
    <t>License</t>
  </si>
  <si>
    <t>introLicenseTitle</t>
  </si>
  <si>
    <t>introLicenseText1</t>
  </si>
  <si>
    <t>For more information about the RANAS methodology, you can visit the RANAS website (in English, but some documents are available in other languages):</t>
  </si>
  <si>
    <t>Pour plus d'informations sur la méthodologie RANAS, rendez-vous sur le site web de RANAS (en anglais, mais certains documents sont disponibles dans d'autres langues):</t>
  </si>
  <si>
    <t>ranasWebsiteLink</t>
  </si>
  <si>
    <t>https://ranas.ch</t>
  </si>
  <si>
    <t>introCreditsTitle</t>
  </si>
  <si>
    <t>Credits</t>
  </si>
  <si>
    <t>introCreditsText1</t>
  </si>
  <si>
    <t>Crédits</t>
  </si>
  <si>
    <t>The latest version of this file and additional documentation are available at this link:</t>
  </si>
  <si>
    <t>La dernière version de ce fichier ainsi que de la documentation sont téléchargeables via ce lien:</t>
  </si>
  <si>
    <t>Licence</t>
  </si>
  <si>
    <t>introLicenseLink</t>
  </si>
  <si>
    <t>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t>
  </si>
  <si>
    <t>You can analyse up to 30 different RANAS factors simultaneously. Here again, one factor could represent a group of questions whose score is precomputed within the questionnaire (possibly pre-normalised), so be sure to enter the appropriate minimum and maximum scores for each entry.</t>
  </si>
  <si>
    <t>Vous pouvez analyser jusqu'à 30 facteurs RANAS simultanément. Là encore, un facteur peut représenter un groupe de questions dont le score est précalculé dans le questionnaire (éventuellement prénormalisé). Veillez donc à saisir les scores minimum et maximum appropriés pour chaque facteur.</t>
  </si>
  <si>
    <t>sheetNameIntroduction</t>
  </si>
  <si>
    <t>The charts below display the mean scores of non-doers and doers for each selected RANAS factor, as well as the difference between them.</t>
  </si>
  <si>
    <t>Les graphiques ci-dessous présentent les scores moyens des non-pratiquants et des pratiquants pour chaque facteur RANAS sélectionné, ainsi que la différence entre eux.</t>
  </si>
  <si>
    <t>La valeur d'une ou plusieurs cellules dans la colonne «Afficher?» du tableau «Facteurs RANAS» n'est pas valable ou manquante (cellules rouges). Veuillez sélectionner une valeur dans le menu déroulant pour ces cellules.</t>
  </si>
  <si>
    <t>La valeur d'une ou plusieurs cellules dans les colonnes «Score min.» / «Score max.» du tableau «Facteurs RANAS» n'est pas valable ou manquante (cellules rouges). Veuillez saisir des valeurs numériques et faites attention à ce que «Score min.» &lt; «Score max.».</t>
  </si>
  <si>
    <t>La valeur d'une ou plusieurs cellules dans la colonne «Bloc RANAS» du tableau «Facteurs RANAS» n'est pas valable ou manquante (cellules rouges). Veuillez sélectionner une valeur dans le menu déroulant pour ces cellules.</t>
  </si>
  <si>
    <t>The value of one or more cells in the "Display?" column of the "RANAS factors" table is invalid or missing (red cells). Please select a value from the drop-down menu for these cells.</t>
  </si>
  <si>
    <t>The value of one or more cells in the "Min. score" / "Max. score" columns of the "RANAS factors" table is invalid or missing (red cells). Make sure to enter numerical values and that "Min. score" &lt; "Max. score".</t>
  </si>
  <si>
    <t>The value of one or more cells in the "RANAS block" column of the "RANAS factors" table is invalid or missing (red cells). Please select a value from the drop-down menu for these cells.</t>
  </si>
  <si>
    <t>copyTableInfo</t>
  </si>
  <si>
    <t>chartDifferenceRange1</t>
  </si>
  <si>
    <t>chartDifferenceRange2</t>
  </si>
  <si>
    <t>chartDoersRange1</t>
  </si>
  <si>
    <t>chartDoersRange2</t>
  </si>
  <si>
    <t>chartFactorRange1</t>
  </si>
  <si>
    <t>chartFactorRange2</t>
  </si>
  <si>
    <t>chartLanguageList</t>
  </si>
  <si>
    <t>chartNondoersRange1</t>
  </si>
  <si>
    <t>chartNondoersRange2</t>
  </si>
  <si>
    <t>editableAreas</t>
  </si>
  <si>
    <t>=Configuration!$C$16:$C$20,Configuration!$E$16:$G$20,Configuration!$C$39:$C$68,Configuration!$E$39:$G$68,Configuration!$I$39:$N$68,Configuration!$L$37:$N$37,Configuration!$L$77:$N$91</t>
  </si>
  <si>
    <t>languageHeadersList</t>
  </si>
  <si>
    <t>=Configuration!$J$37:$N$37</t>
  </si>
  <si>
    <t>=XLOOKUP("no", yesNoTable[tag], yesNoTable[label])</t>
  </si>
  <si>
    <t>noLabel</t>
  </si>
  <si>
    <t>=RANASBlocksTable[label]</t>
  </si>
  <si>
    <t>RANASList</t>
  </si>
  <si>
    <t>=sortMenuTable[label]</t>
  </si>
  <si>
    <t>sortMenuList</t>
  </si>
  <si>
    <t>UILanguageList</t>
  </si>
  <si>
    <t>=XLOOKUP("yes", yesNoTable[tag], yesNoTable[label])</t>
  </si>
  <si>
    <t>yesLabel</t>
  </si>
  <si>
    <t>=yesNoTable[label]</t>
  </si>
  <si>
    <t>yesNoList</t>
  </si>
  <si>
    <t>Cutoff level:</t>
  </si>
  <si>
    <t>Niveau de seuil:</t>
  </si>
  <si>
    <t>demoPresentTitle</t>
  </si>
  <si>
    <t>demoPresentText1</t>
  </si>
  <si>
    <t>demoConfigTitle</t>
  </si>
  <si>
    <t>demoConfigText1</t>
  </si>
  <si>
    <t>demoConfigText2</t>
  </si>
  <si>
    <t>demoConfigText3</t>
  </si>
  <si>
    <t>demoConfigText4</t>
  </si>
  <si>
    <t>demoConfigText5</t>
  </si>
  <si>
    <t>demoCutoffTitle</t>
  </si>
  <si>
    <t>demoCutoffText1</t>
  </si>
  <si>
    <t>demoAnalysisTitle</t>
  </si>
  <si>
    <t>demoAnalysisText1</t>
  </si>
  <si>
    <t>Presentation of the demo file</t>
  </si>
  <si>
    <t>Présentation du fichier de démonstration</t>
  </si>
  <si>
    <t>demoAnalysisText2</t>
  </si>
  <si>
    <t>Analysing the RANAS factors</t>
  </si>
  <si>
    <t>Analyse des facteurs RANAS</t>
  </si>
  <si>
    <t>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t>
  </si>
  <si>
    <t>Trois valeurs sont affichées pour chaque facteur: le score moyen des non-pratiquants, le score moyen des pratiquants, et la différence entre ces deux scores. En triant les facteurs par ordre décroissant de la différence absolue (↘ |diff|), on constate à la fois dans le graphique et dans le tableau que, dans notre exemple, les 3 facteurs les plus importants qui distinguent les non-pratiquants des pratiquants sont:
- Souvenir (-19.9%)
- Vulnérabilité (19.1%)
- Planification de l'action (16.5%)
Ce sont ces facteurs qui devront être ciblés en priorité lors d'une campagne de changement de comportement.</t>
  </si>
  <si>
    <t>1.0.1</t>
  </si>
  <si>
    <t>formula</t>
  </si>
  <si>
    <t>=IF(NOT(ISERROR(CELL("address",A1))), "address",
    IF(NOT(ISERROR(CELL("adresse",A1))), "adresse",
      IF(NOT(ISERROR(CELL("Adresse",A1))), "Adresse",
        IF(NOT(ISERROR(CELL("DIRECCIÓN",A1))), "DIRECCIÓN", NA())
      )
    )
  )</t>
  </si>
  <si>
    <t>=IFERROR(
    SUBSTITUTE(
      TEXTBEFORE(
        TEXTAFTER(CELL(localAddressParameter, UILanguage), "]", -1),
        IF(
          LEFT(CELL(localAddressParameter, UILanguage))="'",
          "'!",
          "!"
        ), -1
      ), "''", "'"
    ), "Introduction"
  )</t>
  </si>
  <si>
    <t>=IFERROR(
    SUBSTITUTE(
      TEXTBEFORE(
        TEXTAFTER(CELL(localAddressParameter, behaviourConfigTable), "]", -1),
        IF(
          LEFT(CELL(localAddressParameter, behaviourConfigTable))="'",
          "'!",
          "!"
        ), -1
      ), "''", "'"
    ), "Configuration"
  )</t>
  </si>
  <si>
    <t>=IFERROR(
    SUBSTITUTE(
      TEXTBEFORE(
        TEXTAFTER(CELL(localAddressParameter, cutoffLevel), "]", -1),
        IF(
          LEFT(CELL(localAddressParameter, cutoffLevel))="'",
          "'!",
          "!"
        ), -1
      ), "''", "'"
    ), "Cutoff - Seuil"
  )</t>
  </si>
  <si>
    <t>=IFERROR(
    SUBSTITUTE(
      TEXTBEFORE(
        TEXTAFTER(CELL(localAddressParameter, sortingMethod), "]", -1),
        IF(
          LEFT(CELL(localAddressParameter, sortingMethod))="'",
          "'!",
          "!"
        ), -1
      ), "''", "'"
    ), "Analysis"
  )</t>
  </si>
  <si>
    <t>=MAX(factorsTable[absDiff])</t>
  </si>
  <si>
    <t>=TEXTJOIN(CHAR(10) &amp; CHAR(10), TRUE, errorMessagesTable[langSpecError])</t>
  </si>
  <si>
    <t>type</t>
  </si>
  <si>
    <t>legacyFormula</t>
  </si>
  <si>
    <t>=INDEX(sortMenuTable[tag], MATCH(sortingMethod, sortMenuTable[label], 0))</t>
  </si>
  <si>
    <t>=INDEX(chartTranslationTable[displayedText], MATCH("cutoffLevel", chartTranslationTable[tag], 0))</t>
  </si>
  <si>
    <t>=INDEX(chartTranslationTable[displayedText], MATCH("behaviourScore", chartTranslationTable[tag], 0))</t>
  </si>
  <si>
    <t>=INDEX(chartTranslationTable[displayedText], MATCH("numResponses", chartTranslationTable[tag], 0))</t>
  </si>
  <si>
    <t>=INDEX(chartTranslationTable[displayedText], MATCH("percentResponses", chartTranslationTable[tag], 0))</t>
  </si>
  <si>
    <t>concatErrors</t>
  </si>
  <si>
    <t>=IF(
    COUNT(errorMessagesTable[filteredIndex]) = 0,
    "",
    INDEX(errorMessagesTable[concatErrors], COUNT(errorMessagesTable[filteredIndex]))
  )</t>
  </si>
  <si>
    <t>STRUCTURED FORMULAE TABLE</t>
  </si>
  <si>
    <t>UITranslateForValueTable</t>
  </si>
  <si>
    <t>=LAMBDA(value,
    IF(
      value = "",
      "",
      value
    )
  )</t>
  </si>
  <si>
    <t>KeepBlanksFunction</t>
  </si>
  <si>
    <t>User-defined function</t>
  </si>
  <si>
    <t>=LAMBDA(valueRef,referenceCol,table,tableHeader,
    IF(
      valueRef = "",
      "",
      LET(
        translationColIndex,
        IFERROR(
          MATCH(UILanguage, tableHeader, 0),
          MATCH("English", tableHeader, 0)
        ),
        translationCol,
        INDEX(table, 0, translationColIndex),
        valueTranslated,
        KeepBlanksFunction(
          XLOOKUP(
            valueRef,
            referenceCol,
            translationCol,#REF!,
            0
          )
        ),
        valueTranslated
      )
    )
  )</t>
  </si>
  <si>
    <t>Named variable</t>
  </si>
  <si>
    <t>dataRange</t>
  </si>
  <si>
    <t>errorNoDataSheet</t>
  </si>
  <si>
    <t>errorUILanguage</t>
  </si>
  <si>
    <t>errorNoDataRefCol</t>
  </si>
  <si>
    <t>errorDataHeaderSpace</t>
  </si>
  <si>
    <t>errorBehaviourHeader</t>
  </si>
  <si>
    <t>errorBehaviourInclude</t>
  </si>
  <si>
    <t>errorBehaviourNoneSelected</t>
  </si>
  <si>
    <t>errorBehaviourMinMaxInvalid</t>
  </si>
  <si>
    <t>errorBehaviourOutOfRange</t>
  </si>
  <si>
    <t>errorFactorHeader</t>
  </si>
  <si>
    <t>errorFactorDisplay</t>
  </si>
  <si>
    <t>errorFactorNoneSelected</t>
  </si>
  <si>
    <t>errorFactorMinMaxInvalid</t>
  </si>
  <si>
    <t>errorFactorOutOfRange</t>
  </si>
  <si>
    <t>errorChartLanguage</t>
  </si>
  <si>
    <t>errorRANASBlockMissing</t>
  </si>
  <si>
    <t>errorCutoffLevel</t>
  </si>
  <si>
    <t>errorDataSorting</t>
  </si>
  <si>
    <t>errorFactorTranslationMissing</t>
  </si>
  <si>
    <t>errorChartTranslationMissing</t>
  </si>
  <si>
    <t>FilterTrueColumn</t>
  </si>
  <si>
    <t>=LAMBDA(currentIndex,indexCol,filteredIndexCol,trueFalseCol,
    LET(
      previousIndex,
      IF(
        currentIndex = 1,
        0,
        INDEX(filteredIndexCol, currentIndex - 1)
      ),
      firstCell,
      INDEX(trueFalseCol, previousIndex + 1),
      lastCell,
      INDEX(trueFalseCol, MAX(indexCol)),
      filteredIndex,
      IF(
        previousIndex &gt;= MAX(indexCol),
        "",
        IFERROR(
          MATCH(
            TRUE,
            firstCell:lastCell,
            0
          )
          + previousIndex,
          ""
        )
      ),
      filteredIndex
    )
  )</t>
  </si>
  <si>
    <t>=IF(
    IF(
      [@index] = 1,
      FALSE,
      INDEX([filteredIndex], [@index] - 1) &gt;= MAX([index])
    ),
    "",
    IFERROR(
      MATCH(
        TRUE,
        INDEX(
          [hasValue],
          IF(
            [@index] = 1,
            1,
            INDEX([filteredIndex], [@index] - 1) + 1
          )
        )
      : INDEX([hasValue], MAX([index])),
        0
      )
    + IF(
        [@index] = 1,
        0,
        INDEX([filteredIndex], [@index] - 1)
      ),
      ""
    )
  )</t>
  </si>
  <si>
    <t>=IF(
    IF(
      [@index] = 1,
      FALSE,
      INDEX([filteredIndex], [@index] - 1) &gt;= MAX([index])
    ),
    "",
    IFERROR(
      MATCH(
        TRUE,
        INDEX(
          [display],
          IF(
            [@index] = 1,
            1,
            INDEX([filteredIndex], [@index] - 1) + 1
          )
        )
      : INDEX([display], MAX([index])),
        0
      )
    + IF(
        [@index] = 1,
        0,
        INDEX([filteredIndex], [@index] - 1)
      ),
      ""
    )
  )</t>
  </si>
  <si>
    <t>=IF(
    IF(
      [@index] = 1,
      FALSE,
      INDEX([filteredIndex], [@index] - 1) &gt;= MAX([index])
    ),
    "",
    IFERROR(
      MATCH(
        TRUE,
        INDEX(
          [condition],
          IF(
            [@index] = 1,
            1,
            INDEX([filteredIndex], [@index] - 1) + 1
          )
        )
      : INDEX([condition], MAX([index])),
        0
      )
    + IF(
        [@index] = 1,
        0,
        INDEX([filteredIndex], [@index] - 1)
      ),
      ""
    )
  )</t>
  </si>
  <si>
    <t>=AND(
    NOT(errorNoDataSheet),
    ISNA(dataRefColNum)
  )</t>
  </si>
  <si>
    <t>NO EQUIVALENT FUNCTION; FORMULA MUST BE REPLACED IN EACH INSTANCE.
Either, if applicable, by appending &amp; "" to the formula (i.e., forcing the result to be interpreted as text and thus preventing an empty string to be converted to 0).
Or, more generally, with:
=IF(
    value = "",
    "",
    value
  )</t>
  </si>
  <si>
    <t>=IFERROR(
    INDEX(
      behaviourConfigTable[behaviourHeader],
      MATCH([@index], behaviourConfigTable[index], 0)
    ),#REF!
  ) &amp; ""</t>
  </si>
  <si>
    <t>=INDEX(languageHeadersList, [@index]) &amp; ""</t>
  </si>
  <si>
    <t>=IF(
    [@behaviourHeader] = "",
    "",
    IFERROR(
      INDEX(
        yesNoTable[tag],
        MATCH(
          IFERROR(
            INDEX(
              behaviourConfigTable[includeConfig],
              MATCH([@index], behaviourConfigTable[index], 0)
            ),#REF!
          ),
          yesNoTable[label],
          0
        )
      ),
      ""
    )
  )</t>
  </si>
  <si>
    <t>minOutOfRange</t>
  </si>
  <si>
    <t>maxOutOfRange</t>
  </si>
  <si>
    <t xml:space="preserve">NO EQUIVALENT FUNCTION; FORMULA MUST BE REPLACED IN EACH INSTANCE.
In most cases, i.e., for general UI text, the formula will be:
=IFERROR(
    INDEX(
      INDEX(
        UITranslationTable,
        0,
        IFERROR(
          MATCH(UILanguage, UITranslationTable[#Headers], 0),
          MATCH("English", UITranslationTable[#Headers], 0)
        )
      ),
      MATCH("valueRef", UITranslationTable[tag], 0)
    ),#REF!
  ) &amp; ""
Note that the column headers of the data tables accompanying the charts are translated into the "Chart language" (and not the "UI language") using a single INDEX(MATCH()) in chartTranslationTable, so no replacement of those formulae is necessary for the Legacy version.
</t>
  </si>
  <si>
    <t>=IF(
    [@behaviourHeader] = "",
    "",
    IF(
      ISERROR([@behaviourColNum]),
      IFERROR(
        INDEX(
          INDEX(
            UITranslationTable,
            0,
            IFERROR(
              MATCH(UILanguage, UITranslationTable[#Headers], 0),
              MATCH("English", UITranslationTable[#Headers], 0)
            )
          ),
          MATCH("dataNotFound", UITranslationTable[tag], 0)
        ),#REF!
      ) &amp; "",
      numEntries - [@numResponses]
    )
  )</t>
  </si>
  <si>
    <t>=INDEX(chartTranslationTable[lang1], MATCH([@tag], chartTranslationTable[tag], 0))
 &amp; " / "
 &amp; INDEX(chartTranslationTable[lang2], MATCH([@tag], chartTranslationTable[tag], 0))</t>
  </si>
  <si>
    <t>=INDEX(chartTranslationTable[displayedText], MATCH([@tag], chartTranslationTable[tag], 0))</t>
  </si>
  <si>
    <t>=IF(sortingMethodTag = "none", [@filteredIndex],
  IF(sortingMethodTag = "relDiff", [@relDiffRank],
  IF(sortingMethodTag = "absDiff", [@absDiffRank],
  IF(sortingMethodTag = "RANAS", [@RANASRank],
  [@filteredIndex]))))</t>
  </si>
  <si>
    <t>=OR(OR(behaviourTable[minOutOfRange]), OR(behaviourTable[maxOutOfRange]))</t>
  </si>
  <si>
    <t>=IFERROR(
    INDEX(
      factorsConfigTable[factorHeader],
      MATCH([@index], factorsConfigTable[index], 0)
    ),#REF!
  ) &amp; ""</t>
  </si>
  <si>
    <t>behaviourScoreNumerator</t>
  </si>
  <si>
    <t>behaviourScoreDenominator</t>
  </si>
  <si>
    <t>behaviourData1</t>
  </si>
  <si>
    <t>behaviourData2</t>
  </si>
  <si>
    <t>behaviourData3</t>
  </si>
  <si>
    <t>behaviourData4</t>
  </si>
  <si>
    <t>behaviourData5</t>
  </si>
  <si>
    <t>behaviourDataForIndex</t>
  </si>
  <si>
    <t>NO EQUIVALENT FUNCTION; FORMULA MUST BE REPLACED IN EACH INSTANCE.
Currently, the instances are:
- filteredIndex column in errorMessagesTable
- filteredIndex column in languageTable
- filteredIndex column in factorsTable
The Legacy formulae are saved as text above or below each of these columns.</t>
  </si>
  <si>
    <t>behaviourIncludeForIndex</t>
  </si>
  <si>
    <t>behaviourMinScoreForIndex</t>
  </si>
  <si>
    <t>behaviourMaxScoreForIndex</t>
  </si>
  <si>
    <t>=LAMBDA(behaviourIndex,
    XLOOKUP(behaviourIndex, behaviourTable[index], behaviourTable[include])
  )</t>
  </si>
  <si>
    <t>NO EQUIVALENT FUNCTION; FORMULA MUST BE REPLACED IN EACH INSTANCE.
Example for named variable behaviourInclude1. For the others, replace the value 1 with the appropriate index.
=INDEX(behaviourTable[include], MATCH(1, behaviourTable[index], 0))</t>
  </si>
  <si>
    <t>=LAMBDA(behaviourIndex,
    XLOOKUP(behaviourIndex, behaviourTable[index], behaviourTable[minScore])
  )</t>
  </si>
  <si>
    <t>=LAMBDA(behaviourIndex,
    XLOOKUP(behaviourIndex, behaviourTable[index], behaviourTable[maxScore])
  )</t>
  </si>
  <si>
    <t>NO EQUIVALENT FUNCTION; FORMULA MUST BE REPLACED IN EACH INSTANCE.
Example for named variable behaviourMinScore1. For the others, replace the value 1 with the appropriate index.
=INDEX(behaviourTable[minScore], MATCH(1, behaviourTable[index], 0))</t>
  </si>
  <si>
    <t>=SUMPRODUCT(--(behaviourScoreDenominator &lt;&gt; 0))</t>
  </si>
  <si>
    <t>=IFERROR(
    SUBSTITUTE(
      TEXTBEFORE(
        TEXTAFTER(CELL(localAddressParameter, behaviourTable), "]", -1),
        IF(
          LEFT(CELL(localAddressParameter, behaviourTable))="'",
          "'!",
          "!"
        ), -1
      ), "''", "'"
    ), "HiddenTables"
  )</t>
  </si>
  <si>
    <t>=AND(
    NOT(errorNoDataSheet),
    SUMPRODUCT(
      (behaviourTable[includeConfig] = "yes") * ISNA(behaviourTable[behaviourColNum])
    )
  )</t>
  </si>
  <si>
    <t>=AND(
    NOT(errorNoDataSheet),
    SUMPRODUCT(
      (behaviourTable[includeConfig] &lt;&gt; "yes") * (behaviourTable[includeConfig] &lt;&gt; "no") * (behaviourTable[behaviourHeader] &lt;&gt; "")
    )
  )</t>
  </si>
  <si>
    <t>=AND(
    NOT(errorNoDataSheet),
    SUMPRODUCT(--ISNUMBER(behaviourTable[behaviourColNum])),
    SUMPRODUCT(
      (behaviourTable[includeConfig] = "yes") * ISNUMBER(behaviourTable[behaviourColNum])
    ) = 0
  )</t>
  </si>
  <si>
    <t>https://ranas.ch/analyser/download</t>
  </si>
  <si>
    <t>RECOMMENDED CUTOFF LEVEL TABLE</t>
  </si>
  <si>
    <t>=INDEX(
    recommendedCutoffTable[cutoffLevel],
    ROUND(
      AVERAGE(
        MATCH(
          MIN(recommendedCutoffTable[absDiff]),
          recommendedCutoffTable[absDiff],
          0
        ),
        LOOKUP(
          2,
          1 / (recommendedCutoffTable[absDiff] = MIN(recommendedCutoffTable[absDiff])),
          recommendedCutoffTable[index]
        )
      ),
      0
    )
  )</t>
  </si>
  <si>
    <t>=LET(
    minAbsDiff,
    MIN(recommendedCutoffTable[absDiff]),
    firstMatch,
    MATCH(
      minAbsDiff,
      recommendedCutoffTable[absDiff],
      0
    ),
    lastMatch,
    XMATCH(
      minAbsDiff,
      recommendedCutoffTable[absDiff],
      0,
      -1
    ),
    recommendedCutoff,
    INDEX(
      recommendedCutoffTable[cutoffLevel],
      ROUND(
        AVERAGE(
          firstMatch,
          lastMatch
        ),
        0
      )
    ),
    recommendedCutoff
  )</t>
  </si>
  <si>
    <t>=IF(
    [@factorHeader] = "",
    "",
    IF(
      ISERROR([@factorColNum]),
      IFERROR(
        INDEX(
          INDEX(
            UITranslationTable,
            0,
            IFERROR(
              MATCH(UILanguage, UITranslationTable[#Headers], 0),
              MATCH("English", UITranslationTable[#Headers], 0)
            )
          ),
          MATCH("dataNotFound", UITranslationTable[tag], 0)
        ),#REF!
      ) &amp; "",
      [@numDoers] + [@numNondoers]
    )
  )</t>
  </si>
  <si>
    <t>=IF(
    [@factorHeader] = "",
    "",
    IFERROR(
      INDEX(
        yesNoTable[tag],
        MATCH(
          IFERROR(
            INDEX(
              factorsConfigTable[displayConfig],
              MATCH([@index], factorsConfigTable[index], 0)
            ),#REF!
          ),
          yesNoTable[label],
          0
        )
      ),
      ""
    )
  )</t>
  </si>
  <si>
    <t>=IF(
    [@filteredIndex] = "",
    "",
    IFNA(
      INDEX(
        [difference],
        MATCH([@filteredIndex], [index], 0)
      ),
      -99
    )
  )</t>
  </si>
  <si>
    <t>=IF(
    [@filteredIndex] = "",
    "",
    IFERROR(
      INDEX(
        RANASBlocksTable[index],
        MATCH(
          IFERROR(
            INDEX(
              factorsConfigTable[RANASBlock],
              MATCH([@filteredIndex], factorsConfigTable[index], 0)
            ),#REF!
          ),
          RANASBlocksTable[label],
          0
        )
      ),
      6
    )
  )</t>
  </si>
  <si>
    <t>=IF(
    [@sortedIndex] = "",
    "",
    IF(
      [@langSpecFactor] = "",
      IFERROR(
        INDEX(
          INDEX(
            UITranslationTable,
            0,
            IFERROR(
              MATCH(UILanguage, UITranslationTable[#Headers], 0),
              MATCH("English", UITranslationTable[#Headers], 0)
            )
          ),
          MATCH("noTranslation", UITranslationTable[tag], 0)
        ),#REF!
      ) &amp; "",
      [@langSpecFactor]
    )
  )</t>
  </si>
  <si>
    <t>=IF(
    [@filteredIndex] = "",
    "",
    IFERROR(
      INDEX(
        [filteredIndex],
        MATCH([@index], [uniqueRank], 0)
      ),#REF!
    )
  )</t>
  </si>
  <si>
    <t>=IF(
    [@factorHeader] = "",
    "",
    IF(
      IFERROR(
        INDEX(
          factorsConfigTable[minScore],
          MATCH([@index], factorsConfigTable[index], 0)
        ),#REF!
      ) = "",
      NA(),
      IFERROR(
        INDEX(
          factorsConfigTable[minScore],
          MATCH([@index], factorsConfigTable[index], 0)
        ),#REF!
      )
    )
  )</t>
  </si>
  <si>
    <t>=IF(
    [@factorHeader] = "",
    "",
    IF(
      IFERROR(
        INDEX(
          factorsConfigTable[maxScore],
          MATCH([@index], factorsConfigTable[index], 0)
        ),#REF!
      ) = "",
      NA(),
      IFERROR(
        INDEX(
          factorsConfigTable[maxScore],
          MATCH([@index], factorsConfigTable[index], 0)
        ),#REF!
      )
    )
  )</t>
  </si>
  <si>
    <t>=IF(
    [@behaviourHeader] = "",
    "",
    IF(
      IFERROR(
        INDEX(
          behaviourConfigTable[minScore],
          MATCH([@index], behaviourConfigTable[index], 0)
        ),#REF!
      ) = "",
      NA(),
      IFERROR(
        INDEX(
          behaviourConfigTable[minScore],
          MATCH([@index], behaviourConfigTable[index], 0)
        ),#REF!
      )
    )
  )</t>
  </si>
  <si>
    <t>=IF(
    [@behaviourHeader] = "",
    "",
    IF(
      IFERROR(
        INDEX(
          behaviourConfigTable[maxScore],
          MATCH([@index], behaviourConfigTable[index], 0)
        ),#REF!
      ) = "",
      NA(),
      IFERROR(
        INDEX(
          behaviourConfigTable[maxScore],
          MATCH([@index], behaviourConfigTable[index], 0)
        ),#REF!
      )
    )
  )</t>
  </si>
  <si>
    <t>=IF(
    [@sortedIndex] = "",
    "",
    IFERROR(
      INDEX(
        RANASBlocksTable[tag],
        MATCH(
          IFERROR(
            INDEX(
              factorsConfigTable[RANASBlock],
              MATCH([@sortedIndex], factorsConfigTable[index], 0)
            ),#REF!
          ),
          RANASBlocksTable[label],
          0
        )
      ),
      NA()
    )
  )</t>
  </si>
  <si>
    <t>=IF(
    [@sortedIndex] = "",
    "",
    IFNA(
      INDEX(
        RANASBlocksTable[langSpecLabel],
        MATCH([@RANASTag], RANASBlocksTable[tag], 0)
      ),
      IFERROR(
        INDEX(
          INDEX(
            UITranslationTable,
            0,
            IFERROR(
              MATCH(UILanguage, UITranslationTable[#Headers], 0),
              MATCH("English", UITranslationTable[#Headers], 0)
            )
          ),
          MATCH("noRANASBlock", UITranslationTable[tag], 0)
        ),#REF!
      ) &amp; ""
    )
  )</t>
  </si>
  <si>
    <t>=IF(
    [@tag] = "",
    "",
    IF(
      [@langSpecText] = "",
      IFERROR(
        INDEX(
          INDEX(
            UITranslationTable,
            0,
            IFERROR(
              MATCH(UILanguage, UITranslationTable[#Headers], 0),
              MATCH("English", UITranslationTable[#Headers], 0)
            )
          ),
          MATCH("noTranslation", UITranslationTable[tag], 0)
        ),#REF!
      ) &amp; "",
      [@langSpecText]
    )
  )</t>
  </si>
  <si>
    <t>=IF(
    [@sortedIndex] = "",
    "",
    [@displayedFactor] &amp; CHAR(10)
    &amp; SUBSTITUTE(
        IF(
          ISNA([@RANASTag]),
          "*",
          IF(
            INDEX(chartTranslationTable[langSpecText], MATCH([@RANASTag], chartTranslationTable[tag], 0)) = "",
            "*",
            "[*]"
          )
        ),
        "*",
        [@displayedRANASBlock]
      )
  )</t>
  </si>
  <si>
    <t>=IF(
    [@sortedIndex] = "",
    "",
    INDEX([numTotal], MATCH([@sortedIndex], [index], 0))
  )</t>
  </si>
  <si>
    <t>=IF(
    [@sortedIndex] = "",
    "",
    INDEX([nondoers], MATCH([@sortedIndex], [index], 0))
  )</t>
  </si>
  <si>
    <t>=IF(
    [@sortedIndex] = "",
    "",
    INDEX([doers], MATCH([@sortedIndex], [index], 0))
  )</t>
  </si>
  <si>
    <t>=IF(
    [@sortedIndex] = "",
    "",
    INDEX([difference], MATCH([@sortedIndex], [index], 0))
  )</t>
  </si>
  <si>
    <t>=AND(
    NOT(errorNoDataSheet),
    SUMPRODUCT(
      (factorsTable[displayConfig] = "yes") * ISNA(factorsTable[factorColNum])
    )
  )</t>
  </si>
  <si>
    <t>=AND(
    NOT(errorNoDataSheet),
    SUMPRODUCT(
      (factorsTable[displayConfig] &lt;&gt; "yes") * (factorsTable[displayConfig] &lt;&gt; "no") * (factorsTable[factorHeader] &lt;&gt; "")
    )
  )</t>
  </si>
  <si>
    <t>=AND(
    NOT(errorNoDataSheet),
    SUMPRODUCT(--ISNUMBER(factorsTable[factorColNum])),
    SUMPRODUCT(
      (factorsTable[displayConfig] = "yes") * ISNUMBER(factorsTable[factorColNum])
    ) = 0
  )</t>
  </si>
  <si>
    <t>behaviourInclude1</t>
  </si>
  <si>
    <t>=behaviourIncludeForIndex(1)</t>
  </si>
  <si>
    <t>behaviourInclude2</t>
  </si>
  <si>
    <t>=behaviourIncludeForIndex(2)</t>
  </si>
  <si>
    <t>behaviourInclude3</t>
  </si>
  <si>
    <t>=behaviourIncludeForIndex(3)</t>
  </si>
  <si>
    <t>behaviourInclude4</t>
  </si>
  <si>
    <t>=behaviourIncludeForIndex(4)</t>
  </si>
  <si>
    <t>behaviourInclude5</t>
  </si>
  <si>
    <t>=behaviourIncludeForIndex(5)</t>
  </si>
  <si>
    <t>behaviourMaxScore1</t>
  </si>
  <si>
    <t>=behaviourMaxScoreForIndex(1)</t>
  </si>
  <si>
    <t>behaviourMaxScore2</t>
  </si>
  <si>
    <t>=behaviourMaxScoreForIndex(2)</t>
  </si>
  <si>
    <t>behaviourMaxScore3</t>
  </si>
  <si>
    <t>=behaviourMaxScoreForIndex(3)</t>
  </si>
  <si>
    <t>behaviourMaxScore4</t>
  </si>
  <si>
    <t>=behaviourMaxScoreForIndex(4)</t>
  </si>
  <si>
    <t>behaviourMaxScore5</t>
  </si>
  <si>
    <t>=behaviourMaxScoreForIndex(5)</t>
  </si>
  <si>
    <t>behaviourMinScore1</t>
  </si>
  <si>
    <t>=behaviourMinScoreForIndex(1)</t>
  </si>
  <si>
    <t>behaviourMinScore2</t>
  </si>
  <si>
    <t>=behaviourMinScoreForIndex(2)</t>
  </si>
  <si>
    <t>behaviourMinScore3</t>
  </si>
  <si>
    <t>=behaviourMinScoreForIndex(3)</t>
  </si>
  <si>
    <t>behaviourMinScore4</t>
  </si>
  <si>
    <t>=behaviourMinScoreForIndex(4)</t>
  </si>
  <si>
    <t>behaviourMinScore5</t>
  </si>
  <si>
    <t>=behaviourMinScoreForIndex(5)</t>
  </si>
  <si>
    <t>=ISERROR(MATCH(UILanguage, UILanguageList, 0))</t>
  </si>
  <si>
    <t>NO EQUIVALENT FUNCTION; FORMULA MUST BE REPLACED IN EACH INSTANCE.
Example for named variable behaviourMaxScore1. For the others, replace the value 1 with the appropriate index.
=INDEX(behaviourTable[maxScore], MATCH(1, behaviourTable[index], 0))</t>
  </si>
  <si>
    <t>=AND(
    NOT(errorNoDataSheet),
    SUMPRODUCT(
      (factorsTable[displayConfig] = "yes")
      * (factorsTable[factorHeader] &lt;&gt; "")
      * IF(
           NOT(ISNUMBER(factorsTable[minScore]))
           + NOT(ISNUMBER(factorsTable[maxScore])),
           1,
           (factorsTable[minScore] &gt;= factorsTable[maxScore])
        )
    )
  )</t>
  </si>
  <si>
    <t>=AND(
    NOT(errorNoDataSheet),
    SUMPRODUCT(
      (behaviourTable[includeConfig] = "yes")
      * (behaviourTable[behaviourHeader] &lt;&gt; "")
      * IF(
           NOT(ISNUMBER(behaviourTable[minScore]))
           + NOT(ISNUMBER(behaviourTable[maxScore])),
           1,
           (behaviourTable[minScore] &gt;= behaviourTable[maxScore])
        )
    )
  )</t>
  </si>
  <si>
    <t>=OR(OR(factorsTable[minOutOfRange]), OR(factorsTable[maxOutOfRange]))</t>
  </si>
  <si>
    <t>=ISERROR(MATCH(chartLanguage, chartLanguageList, 0))</t>
  </si>
  <si>
    <t>=AND(
    NOT(errorNoDataSheet),
    SUMPRODUCT(--ISNA(factorsTable[RANASTag])) &gt; 0
  )</t>
  </si>
  <si>
    <t>=AND(
    NOT(errorNoDataSheet),
    IF(
      errorChartLanguage,
      0,
      SUMPRODUCT(
        (factorsTable[sortedIndex] &lt;&gt; "") * (factorsTable[langSpecFactor] = "")
      )
    )
  )</t>
  </si>
  <si>
    <t>Some translations of selected factors are missing for the chosen "Chart language" in the "RANAS factors" table (red cells). Please complete them.</t>
  </si>
  <si>
    <t>Certaines traductions de facteurs sélectionnés sont manquantes pour la «Langue des graphiques» choisie dans le tableau «Facteurs RANAS» (cellules rouges). Veuillez les compléter.</t>
  </si>
  <si>
    <t>=AND(
    NOT(errorNoDataSheet),
    IF(
      errorChartLanguage,
      0,
      SUMPRODUCT(
        (chartTranslationTable[tag] &lt;&gt; "") * (chartTranslationTable[langSpecText] = "")
      )
    )
  )</t>
  </si>
  <si>
    <t>=AND(
    NOT(errorNoDataSheet),
    ISERROR(MATCH(sortingMethod, sortMenuList, 0))
  )</t>
  </si>
  <si>
    <t>dataLastColNum</t>
  </si>
  <si>
    <t>dataHeaders</t>
  </si>
  <si>
    <t>=AND(
    NOT(errorNoDataSheet),
    NOT(
      ISNA(
        MATCH("* *", dataHeaders, 0)
      )
    )
  )</t>
  </si>
  <si>
    <t>=SUMPRODUCT(--(factorsTable[sortedIndex] &lt;&gt; ""))</t>
  </si>
  <si>
    <t>=IF(
    numFactors &lt;= numFactorsThreshold,
    numFactors,
    ROUNDUP(numFactors/2,0)
  )</t>
  </si>
  <si>
    <t>=IF(
    numFactors &lt;= numFactorsThreshold,
    0,
    ROUNDDOWN(numFactors/2,0)
  )</t>
  </si>
  <si>
    <t>=SUMPRODUCT(--(languageTable[languageList] &lt;&gt; ""))</t>
  </si>
  <si>
    <t>=XLOOKUP(sortingMethod, sortMenuTable[label], sortMenuTable[tag])</t>
  </si>
  <si>
    <t>=XLOOKUP("cutoffLevel", chartTranslationTable[tag], chartTranslationTable[displayedText])</t>
  </si>
  <si>
    <t>=XLOOKUP("behaviourScore", chartTranslationTable[tag], chartTranslationTable[displayedText])</t>
  </si>
  <si>
    <t>=INDEX(chartTranslationTable[displayedText], MATCH("meanScore", chartTranslationTable[tag], 0))
 &amp; " (0"
 &amp; UNICHAR(8209)
 &amp; "100%)"</t>
  </si>
  <si>
    <t>=XLOOKUP("meanScore", chartTranslationTable[tag], chartTranslationTable[displayedText])
 &amp; " (0"
 &amp; UNICHAR(8209)
 &amp; "100%)"</t>
  </si>
  <si>
    <t>=XLOOKUP("numResponses", chartTranslationTable[tag], chartTranslationTable[displayedText])</t>
  </si>
  <si>
    <t>=XLOOKUP("percentResponses", chartTranslationTable[tag], chartTranslationTable[displayedText])</t>
  </si>
  <si>
    <t>=IF(
    [@filteredIndex] = "",
    "",
    IF(
      [@index] = 1,
      CHAR(10),
     ""
    )
    &amp; [@index] &amp; ". "
    &amp; IFERROR(
        INDEX(
          INDEX(
            errorMessagesTable,
            0,
            IFERROR(
              MATCH(UILanguage, errorMessagesTable[#Headers], 0),
              MATCH("English", errorMessagesTable[#Headers], 0)
            )
          ),
          MATCH([@filteredIndex], [index], 0)
        ),#REF!
      ) &amp; ""
  )</t>
  </si>
  <si>
    <t>Data validation</t>
  </si>
  <si>
    <t>DVIntroUILanguage</t>
  </si>
  <si>
    <t>DVIntroChartLanguage</t>
  </si>
  <si>
    <t>DVConfigIncludeDisplay</t>
  </si>
  <si>
    <t>DVConfigMinMaxScore</t>
  </si>
  <si>
    <t>List
=RANASList</t>
  </si>
  <si>
    <t>Custom
=ISNUMBER(F16)</t>
  </si>
  <si>
    <t>List
=yesNoList</t>
  </si>
  <si>
    <t>List
=chartLanguageList</t>
  </si>
  <si>
    <t>List
=UILanguageList</t>
  </si>
  <si>
    <t>DVConfigRANASBlock</t>
  </si>
  <si>
    <t>DVCutoffLevel</t>
  </si>
  <si>
    <t>Whole number
Between 0 and 100</t>
  </si>
  <si>
    <t>DVAnalysisSorting</t>
  </si>
  <si>
    <t>List
=sortMenuList</t>
  </si>
  <si>
    <t>Conditional formatting</t>
  </si>
  <si>
    <t>CFIntroChartLanguage</t>
  </si>
  <si>
    <t>CFIntroUILanguage</t>
  </si>
  <si>
    <t>CFConfigBehaviourInclude</t>
  </si>
  <si>
    <t>CFConfigBehaviourNoneSelected</t>
  </si>
  <si>
    <t>CFConfigBehaviourHeader</t>
  </si>
  <si>
    <t>CFConfigBehaviourMinInvalid</t>
  </si>
  <si>
    <t>CFConfigBehaviourMaxInvalid</t>
  </si>
  <si>
    <t>CFConfigBehaviourMinOutOfRange</t>
  </si>
  <si>
    <t>CFConfigBehaviourMaxOutOfRange</t>
  </si>
  <si>
    <t>CFConfigFactorNoneSelected</t>
  </si>
  <si>
    <t>CFConfigFactorMinInvalid</t>
  </si>
  <si>
    <t>CFConfigFactorMaxInvalid</t>
  </si>
  <si>
    <t>CFConfigFactorMinOutOfRange</t>
  </si>
  <si>
    <t>CFConfigFactorMaxOutOfRange</t>
  </si>
  <si>
    <t>CFConfigFactorHeader</t>
  </si>
  <si>
    <t>CFConfigFactorDisplay</t>
  </si>
  <si>
    <t>CFConfigRANASBlockMissing</t>
  </si>
  <si>
    <t>CFConfigFactorTranslationMissing</t>
  </si>
  <si>
    <t>=AND(
    NOT(errorNoDataSheet),
    $C16 = yesLabel,
    $E16 &lt;&gt; "",
    ISNA(INDEX(behaviourColNumColumn, $D16))
  )</t>
  </si>
  <si>
    <t>=AND(
    NOT(errorNoDataSheet),
    ISNA(MATCH($C16, yesNoList, 0)),
    $E16 &lt;&gt; ""
  )</t>
  </si>
  <si>
    <t>=AND(
    NOT(errorNoDataSheet),
    $C16 &lt;&gt; yesLabel,
    ISNUMBER(INDEX(behaviourColNumColumn, $D16)),
    errorBehaviourNoneSelected
  )</t>
  </si>
  <si>
    <t>=AND(
    NOT(errorNoDataSheet),
    $C16 = yesLabel,
    $E16 &lt;&gt; "",
    (NOT(ISNUMBER($F16))
     + (ISNUMBER($G16) * ($F16 &gt;= $G16))
    )
  )</t>
  </si>
  <si>
    <t>=AND(
    NOT(errorNoDataSheet),
    $C16 = yesLabel,
    $E16 &lt;&gt; "",
    (NOT(ISNUMBER($G16))
     + (ISNUMBER($F16) * ($F16 &gt;= $G16))
    )
  )</t>
  </si>
  <si>
    <t>=INDEX(behaviourMinOutOfRangeColumn, $D16)</t>
  </si>
  <si>
    <t>=INDEX(behaviourMaxOutOfRangeColumn, $D16)</t>
  </si>
  <si>
    <t>=AND(
    NOT(errorNoDataSheet),
    $C39 = yesLabel,
    $E39 &lt;&gt; "",
    ISNA(INDEX(factorColNumColumn, $D39))
  )</t>
  </si>
  <si>
    <t>=AND(
    NOT(errorNoDataSheet),
    ISNA(MATCH($C39, yesNoList, 0)),
    $E39 &lt;&gt; ""
  )</t>
  </si>
  <si>
    <t>=AND(
    NOT(errorNoDataSheet),
    $C39 &lt;&gt; yesLabel,
    ISNUMBER(INDEX(factorColNumColumn, $D39)),
    errorFactorNoneSelected
  )</t>
  </si>
  <si>
    <t>=AND(
    NOT(errorNoDataSheet),
    $C39 = yesLabel,
    $E39 &lt;&gt; "",
    (NOT(ISNUMBER($F39))
     + (ISNUMBER($G39) * ($F39 &gt;= $G39))
    )
  )</t>
  </si>
  <si>
    <t>=AND(
    NOT(errorNoDataSheet),
    $C39 = yesLabel,
    $E39 &lt;&gt; "",
    (NOT(ISNUMBER($G39))
     + (ISNUMBER($F39) * ($F39 &gt;= $G39))
    )
  )</t>
  </si>
  <si>
    <t>=INDEX(factorsMinOutOfRangeColumn, $D39)</t>
  </si>
  <si>
    <t>=INDEX(factorsMaxOutOfRangeColumn, $D39)</t>
  </si>
  <si>
    <t>=AND(
    NOT(errorNoDataSheet),
    $C39 = yesLabel,
    $E39 &lt;&gt; "",
    ISNA(MATCH($I39, RANASList, 0))
  )</t>
  </si>
  <si>
    <t>=AND(
    NOT(errorNoDataSheet),
    $C39 = yesLabel,
    $E39 &lt;&gt; "",
    J$37 = chartLanguage,
    J39 = ""
  )</t>
  </si>
  <si>
    <t>CFConfigChartTranslationMissing</t>
  </si>
  <si>
    <t>CFCutoffLevel</t>
  </si>
  <si>
    <t>=AND(
    NOT(errorNoDataSheet),
    $P77 &lt;&gt; "",
    J$75 = chartLanguage,
    J77 = ""
  )</t>
  </si>
  <si>
    <t>CFCutoffLevelDecimal</t>
  </si>
  <si>
    <t>=MOD($H$6,1) &lt;&gt; 0</t>
  </si>
  <si>
    <t>=INDEX(cutoffLevelColumn, $C26) &lt;= cutoffLevel</t>
  </si>
  <si>
    <t>CFCutoffNonDoers</t>
  </si>
  <si>
    <t>CFCutoffDoers</t>
  </si>
  <si>
    <t>=INDEX(cutoffLevelColumn, $C26) &gt; cutoffLevel</t>
  </si>
  <si>
    <t>CFCutoffDoersNonDoers</t>
  </si>
  <si>
    <t>=(
    IF(
      $C26 = 1,
      -1,
      INDEX(cutoffLevelColumn, $C26 - 1)
    ) &lt; cutoffLevel
  )
* (
    IF(
      INDEX(cutoffLevelColumn, $C26) = 1,
      2,
      INDEX(cutoffLevelColumn, $C26)
    ) &gt; cutoffLevel
  )</t>
  </si>
  <si>
    <t>=AND(
    NOT(errorNoDataSheet),
    (cutoffLevel &lt; 0) + (cutoffLevel &gt; 1) + (MOD('Cutoff - Seuil'!$H$6, 1) &lt;&gt; 0)
  )</t>
  </si>
  <si>
    <t>=AND(
    NOT(errorNoDataSheet),
    (cutoffLevel &lt; 0) + (cutoffLevel &gt; 1) + (MOD($H$6, 1) &lt;&gt; 0)
  )</t>
  </si>
  <si>
    <t>=ISERROR(MATCH(sortingMethod, sortMenuList, 0))</t>
  </si>
  <si>
    <t>CFAnalysisDataSorting</t>
  </si>
  <si>
    <t>CFAnalysisRANASBlock</t>
  </si>
  <si>
    <t>=$E51 = "risks"</t>
  </si>
  <si>
    <t>SheetNameForReference</t>
  </si>
  <si>
    <t>=LAMBDA(reference,defaultName,
    LET(
      cellAddress,
      CELL(localAddressParameter,reference),
      sheetName,
      IFERROR(
        SUBSTITUTE(
          TEXTBEFORE(
            TEXTAFTER(cellAddress, "]", -1),
            IF(
              LEFT(cellAddress) = "'",
              "'!",
              "!"
            ),
            -1
          ),
          "''",
          "'"
        ),
        defaultName
      ),
      sheetName
    )
  )</t>
  </si>
  <si>
    <t>NO EQUIVALENT FUNCTION; FORMULA MUST BE REPLACED IN EACH INSTANCE.
Example for named variable sheetNameHiddenTables. For the others, replace the arguments with the appropriate values.
=IFERROR(
    SUBSTITUTE(
      REPLACE(
        LEFT(
          CELL(localAddressParameter, behaviourTable),
          MATCH(
            2,
            1/(MID(CELL(localAddressParameter, behaviourTable), ROW($1:$1000), 1) = "!")
          ) - IF(LEFT(CELL(localAddressParameter, behaviourTable), 1) = "'", 2, 1)
        ),
        1,
        MATCH(
          2,
          1/(MID(CELL(localAddressParameter, behaviourTable), ROW($1:$1000), 1) = "]")
        ),
        ""
      ),
      "''",
      "'"
    ), "HiddenTables"
  )</t>
  </si>
  <si>
    <t>=INDEX(analysisChartTable[sortedDifference], 1)
 :INDEX(analysisChartTable[sortedDifference], numFactorsChart1)</t>
  </si>
  <si>
    <t>=INDEX(analysisChartTable[sortedDifference], numFactorsChart1 + 1)
 :INDEX(
    analysisChartTable[sortedDifference],
    numFactorsChart1
    + IF(
        numFactorsChart2 = 0,
        1,
        numFactorsChart2
      )
  )</t>
  </si>
  <si>
    <t>=INDEX(analysisChartTable[sortedDoers], 1)
 :INDEX(analysisChartTable[sortedDoers], numFactorsChart1)</t>
  </si>
  <si>
    <t>=INDEX(analysisChartTable[sortedDoers], numFactorsChart1 + 1)
 :INDEX(
    analysisChartTable[sortedDoers],
    numFactorsChart1
    + IF(
        numFactorsChart2 = 0,
        1,
        numFactorsChart2
      )
  )</t>
  </si>
  <si>
    <t>=INDEX(analysisChartTable[chartLabel], 1)
 :INDEX(analysisChartTable[chartLabel], numFactorsChart1)</t>
  </si>
  <si>
    <t>=INDEX(analysisChartTable[chartLabel], numFactorsChart1 + 1)
 :INDEX(
    analysisChartTable[chartLabel],
    numFactorsChart1
    + IF(
        numFactorsChart2 = 0,
        1,
        numFactorsChart2
      )
  )</t>
  </si>
  <si>
    <t>=INDEX(languageTable[languageList], 1)
 :INDEX(languageTable[languageList], numLanguages)</t>
  </si>
  <si>
    <t>=INDEX(analysisChartTable[sortedNondoers], 1)
 :INDEX(analysisChartTable[sortedNondoers], numFactorsChart1)</t>
  </si>
  <si>
    <t>=INDEX(analysisChartTable[sortedNondoers], numFactorsChart1 + 1)
 :INDEX(
    analysisChartTable[sortedNondoers],
    numFactorsChart1
    + IF(
        numFactorsChart2 = 0,
        1,
        numFactorsChart2
      )
  )</t>
  </si>
  <si>
    <t>=INDEX(behaviourTable[include], MATCH(1, behaviourTable[index], 0))</t>
  </si>
  <si>
    <t>=INDEX(behaviourTable[include], MATCH(2, behaviourTable[index], 0))</t>
  </si>
  <si>
    <t>=INDEX(behaviourTable[include], MATCH(3, behaviourTable[index], 0))</t>
  </si>
  <si>
    <t>=INDEX(behaviourTable[include], MATCH(4, behaviourTable[index], 0))</t>
  </si>
  <si>
    <t>=INDEX(behaviourTable[include], MATCH(5, behaviourTable[index], 0))</t>
  </si>
  <si>
    <t>=INDEX(behaviourTable[maxScore], MATCH(1, behaviourTable[index], 0))</t>
  </si>
  <si>
    <t>=INDEX(behaviourTable[maxScore], MATCH(2, behaviourTable[index], 0))</t>
  </si>
  <si>
    <t>=INDEX(behaviourTable[maxScore], MATCH(3, behaviourTable[index], 0))</t>
  </si>
  <si>
    <t>=INDEX(behaviourTable[maxScore], MATCH(4, behaviourTable[index], 0))</t>
  </si>
  <si>
    <t>=INDEX(behaviourTable[maxScore], MATCH(5, behaviourTable[index], 0))</t>
  </si>
  <si>
    <t>=INDEX(behaviourTable[minScore], MATCH(1, behaviourTable[index], 0))</t>
  </si>
  <si>
    <t>=INDEX(behaviourTable[minScore], MATCH(2, behaviourTable[index], 0))</t>
  </si>
  <si>
    <t>=INDEX(behaviourTable[minScore], MATCH(3, behaviourTable[index], 0))</t>
  </si>
  <si>
    <t>=INDEX(behaviourTable[minScore], MATCH(4, behaviourTable[index], 0))</t>
  </si>
  <si>
    <t>=INDEX(behaviourTable[minScore], MATCH(5, behaviourTable[index], 0))</t>
  </si>
  <si>
    <t>=IF(
    [@sortedIndex] = "",
    "",
    INDEX(
      INDEX(
        factorsConfigTable,
        0,
        MATCH(
          chartLanguage,
          languageHeadersList,
          0
        )
        + MATCH(factorsConfigTable[[#Headers],[lang1]], factorsConfigTable[#Headers], 0)
        - 1
      ),
      MATCH([@sortedIndex], factorsConfigTable[index], 0)
    ) &amp; ""
  )</t>
  </si>
  <si>
    <t>=INDEX(yesNoTable[label], MATCH("no", yesNoTable[tag], 0))</t>
  </si>
  <si>
    <t>=INDEX(yesNoTable[label], MATCH("yes", yesNoTable[tag], 0))</t>
  </si>
  <si>
    <t>MANUAL-ENTRY VARIABLES TABLE</t>
  </si>
  <si>
    <t>=UITranslationTable[[#Headers],[English]]
 :INDEX(UITranslationTable[#Headers], 1, COLUMNS(UITranslationTable[#Headers]))</t>
  </si>
  <si>
    <t>dataFirstRow</t>
  </si>
  <si>
    <t>=IFNA(
    MATCH("_uuid", dataHeaders, 0),
    IFNA(
      MATCH("instanceID", dataHeaders, 0),
      MATCH("*-"&amp;"instanceID", dataHeaders, 0)
    )
  )</t>
  </si>
  <si>
    <t>dataRefCol</t>
  </si>
  <si>
    <t>=IF(
    errorNoDataSheet,
    NA(),
    MAX(
    COLUMN(dataFirstRow)
    * (dataFirstRow &lt;&gt; "")
    )
  )</t>
  </si>
  <si>
    <t>BEHAVIOUR ARRAYS</t>
  </si>
  <si>
    <t>=NOT(
    ISREF(
      INDIRECT(ADDRESS(1, 1, 1, 0, sheetNameData), FALSE)
    )
  )</t>
  </si>
  <si>
    <t>=IF(
    ISNA(dataRefColNum),
    NA(),
    SUMPRODUCT(--(dataRefCol &lt;&gt; ""))
  )</t>
  </si>
  <si>
    <t>=LAMBDA(behaviourIndex,
    IF(
      ISNA(INDEX(dataRange,1,1)),
      NA(),
      LET(
        behaviourColNum,
        XLOOKUP(behaviourIndex, behaviourTable[index], behaviourTable[behaviourColNum]),
        behaviourData,
        IF(
          behaviourColNum = "",
          "",
          INDEX(dataRange, , behaviourColNum)
        ),
        behaviourData
      )
    )
  )</t>
  </si>
  <si>
    <t>=IF(
    INDEX(behaviourTable[behaviourColNum], MATCH(1, behaviourTable[index], 0)) = "",
    "",
    IF(
      ISNA(INDEX(dataRange,1,1)),
      NA(),
      INDEX(
        dataRange,
        ,
        INDEX(behaviourTable[behaviourColNum], MATCH(1, behaviourTable[index], 0))
      )
    )
  )</t>
  </si>
  <si>
    <t>=IF(
    INDEX(behaviourTable[behaviourColNum], MATCH(2, behaviourTable[index], 0)) = "",
    "",
    IF(
      ISNA(INDEX(dataRange,1,1)),
      NA(),
      INDEX(
        dataRange,
        ,
        INDEX(behaviourTable[behaviourColNum], MATCH(2, behaviourTable[index], 0))
      )
    )
  )</t>
  </si>
  <si>
    <t>=IF(
    INDEX(behaviourTable[behaviourColNum], MATCH(3, behaviourTable[index], 0)) = "",
    "",
    IF(
      ISNA(INDEX(dataRange,1,1)),
      NA(),
      INDEX(
        dataRange,
        ,
        INDEX(behaviourTable[behaviourColNum], MATCH(3, behaviourTable[index], 0))
      )
    )
  )</t>
  </si>
  <si>
    <t>=IF(
    INDEX(behaviourTable[behaviourColNum], MATCH(4, behaviourTable[index], 0)) = "",
    "",
    IF(
      ISNA(INDEX(dataRange,1,1)),
      NA(),
      INDEX(
        dataRange,
        ,
        INDEX(behaviourTable[behaviourColNum], MATCH(4, behaviourTable[index], 0))
      )
    )
  )</t>
  </si>
  <si>
    <t>=IF(
    INDEX(behaviourTable[behaviourColNum], MATCH(5, behaviourTable[index], 0)) = "",
    "",
    IF(
      ISNA(INDEX(dataRange,1,1)),
      NA(),
      INDEX(
        dataRange,
        ,
        INDEX(behaviourTable[behaviourColNum], MATCH(5, behaviourTable[index], 0))
      )
    )
  )</t>
  </si>
  <si>
    <t>=IF(
    OR(ISNA(numEntries), numEntries = 0),
    NA(),
    IF(
      INDIRECT(
        ADDRESS(2, 1, 1, 0, sheetNameData)
        &amp; ":"
        &amp; ADDRESS(numEntries + 1, dataLastColNum, 1, 0),
        FALSE
      ) = "",
      "",
      INDIRECT(
        ADDRESS(2, 1, 1, 0, sheetNameData)
        &amp; ":"
        &amp; ADDRESS(numEntries + 1, dataLastColNum, 1, 0),
        FALSE
      )
    )
  )</t>
  </si>
  <si>
    <t>NO EQUIVALENT FUNCTION; FORMULA MUST BE REPLACED IN EACH INSTANCE.
Example for named variable behaviourData1. For the others, replace the value 1 with the appropriate index.
=IF(
    INDEX(behaviourTable[behaviourColNum], MATCH(1, behaviourTable[index], 0)) = "",
    "",
    IF(
      ISNA(INDEX(dataRange,1,1)),
      NA(),
      INDEX(
        dataRange,
        ,
        INDEX(behaviourTable[behaviourColNum], MATCH(1, behaviourTable[index], 0))
      )
    )
  )</t>
  </si>
  <si>
    <t>=IF(
    [@behaviourHeader] = "",
    "",
    IF(
      ISNA(INDEX(dataRange,1,1)),
      NA(),
      MIN(INDEX(dataRange, , [@behaviourColNum]))
    )
  )</t>
  </si>
  <si>
    <t>=IF(
    [@behaviourHeader] = "",
    "",
    IF(
      ISNA(INDEX(dataRange,1,1)),
      NA(),
      MAX(INDEX(dataRange, , [@behaviourColNum]))
    )
  )</t>
  </si>
  <si>
    <t>=IF(
    [@behaviourHeader] = "",
    "",
    IF(
      ISERROR([@behaviourColNum]),
      IFERROR(
        INDEX(
          INDEX(
            UITranslationTable,
            0,
            IFERROR(
              MATCH(UILanguage, UITranslationTable[#Headers], 0),
              MATCH("English", UITranslationTable[#Headers], 0)
            )
          ),
          MATCH("dataNotFound", UITranslationTable[tag], 0)
        ),#REF!
      ) &amp; "",
      IF(
        ISNA(INDEX(dataRange,1,1)),
        NA(),
        SUMPRODUCT(--(INDEX(dataRange, , [@behaviourColNum]) &lt;&gt; ""))
      )
    )
  )</t>
  </si>
  <si>
    <t>=IFERROR(
    SUBSTITUTE(
      REPLACE(
        LEFT(
          CELL(localAddressParameter, behaviourConfigTable),
          MAX(
            IF(
              MID(CELL(localAddressParameter, behaviourConfigTable), ROW($1:$1000), 1)="!",
              ROW($1:$1000),
              0
            )
          ) - IF(LEFT(CELL(localAddressParameter, behaviourConfigTable), 1)="'", 2, 1)
        ), 1,
        MAX(
          IF(
            MID(CELL(localAddressParameter, behaviourConfigTable), ROW($1:$1000), 1)="]",
            ROW($1:$1000),
            0
          )
        ), ""
      ), "''", "'"
    ), "Configuration"
  )</t>
  </si>
  <si>
    <t>=IFERROR(
    SUBSTITUTE(
      REPLACE(
        LEFT(
          CELL(localAddressParameter, cutoffLevel),
          MAX(
            IF(
              MID(CELL(localAddressParameter, cutoffLevel), ROW($1:$1000), 1)="!",
              ROW($1:$1000),
              0
            )
          ) - IF(LEFT(CELL(localAddressParameter, cutoffLevel), 1)="'", 2, 1)
        ), 1,
        MAX(
          IF(
            MID(CELL(localAddressParameter, cutoffLevel), ROW($1:$1000), 1)="]",
            ROW($1:$1000),
            0
          )
        ), ""
      ), "''", "'"
    ), "Cutoff - Seuil"
  )</t>
  </si>
  <si>
    <t>=IFERROR(
    SUBSTITUTE(
      REPLACE(
        LEFT(
          CELL(localAddressParameter, behaviourTable),
          MAX(
            IF(
              MID(CELL(localAddressParameter, behaviourTable), ROW($1:$1000), 1)="!",
              ROW($1:$1000),
              0
            )
          ) - IF(LEFT(CELL(localAddressParameter, behaviourTable), 1)="'", 2, 1)
        ), 1,
        MAX(
          IF(
            MID(CELL(localAddressParameter, behaviourTable), ROW($1:$1000), 1)="]",
            ROW($1:$1000),
            0
          )
        ), ""
      ), "''", "'"
    ), "HiddenTables"
  )</t>
  </si>
  <si>
    <t>=IFERROR(
    SUBSTITUTE(
      REPLACE(
        LEFT(
          CELL(localAddressParameter, UILanguage),
          MAX(
            IF(
              MID(CELL(localAddressParameter, UILanguage), ROW($1:$1000), 1)="!",
              ROW($1:$1000),
              0
            )
          ) - IF(LEFT(CELL(localAddressParameter, UILanguage), 1)="'", 2, 1)
        ), 1,
        MAX(
          IF(
            MID(CELL(localAddressParameter, UILanguage), ROW($1:$1000), 1)="]",
            ROW($1:$1000),
            0
          )
        ), ""
      ), "''", "'"
    ), "Introduction"
  )</t>
  </si>
  <si>
    <t>=IFERROR(
    SUBSTITUTE(
      REPLACE(
        LEFT(
          CELL(localAddressParameter, sortingMethod),
          MAX(
            IF(
              MID(CELL(localAddressParameter, sortingMethod), ROW($1:$1000), 1)="!",
              ROW($1:$1000),
              0
            )
          ) - IF(LEFT(CELL(localAddressParameter, sortingMethod), 1)="'", 2, 1)
        ), 1,
        MAX(
          IF(
            MID(CELL(localAddressParameter, sortingMethod), ROW($1:$1000), 1)="]",
            ROW($1:$1000),
            0
          )
        ), ""
      ), "''", "'"
    ), "Analysis"
  )</t>
  </si>
  <si>
    <t>(Legacy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</si>
</sst>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quot;"/>
  </numFmts>
  <fonts count="34" x14ac:knownFonts="1">
    <font>
      <sz val="11"/>
      <color theme="1"/>
      <name val="Calibri"/>
      <family val="2"/>
      <scheme val="minor"/>
    </font>
    <font>
      <sz val="11"/>
      <color theme="1"/>
      <name val="Calibri"/>
      <family val="2"/>
      <scheme val="minor"/>
    </font>
    <font>
      <sz val="11"/>
      <color theme="1"/>
      <name val="Calibri"/>
      <family val="2"/>
      <charset val="1"/>
      <scheme val="minor"/>
    </font>
    <font>
      <sz val="9"/>
      <color theme="1"/>
      <name val="Arial"/>
      <family val="2"/>
    </font>
    <font>
      <b/>
      <sz val="9"/>
      <color theme="1"/>
      <name val="Arial"/>
      <family val="2"/>
    </font>
    <font>
      <sz val="8"/>
      <name val="Calibri"/>
      <family val="2"/>
      <scheme val="minor"/>
    </font>
    <font>
      <sz val="10"/>
      <color theme="1"/>
      <name val="Calibri"/>
      <family val="2"/>
      <scheme val="minor"/>
    </font>
    <font>
      <b/>
      <sz val="10"/>
      <color theme="1"/>
      <name val="Arial"/>
      <family val="2"/>
    </font>
    <font>
      <sz val="11"/>
      <color theme="0" tint="-0.249977111117893"/>
      <name val="Calibri"/>
      <family val="2"/>
      <scheme val="minor"/>
    </font>
    <font>
      <sz val="11"/>
      <color theme="1"/>
      <name val="Calibri"/>
      <family val="2"/>
    </font>
    <font>
      <sz val="8"/>
      <color theme="1"/>
      <name val="Arial"/>
      <family val="2"/>
    </font>
    <font>
      <sz val="11"/>
      <color theme="1"/>
      <name val="Arial"/>
      <family val="2"/>
    </font>
    <font>
      <b/>
      <sz val="11"/>
      <color theme="1"/>
      <name val="Arial"/>
      <family val="2"/>
    </font>
    <font>
      <b/>
      <sz val="12"/>
      <color theme="1"/>
      <name val="Arial"/>
      <family val="2"/>
    </font>
    <font>
      <sz val="11"/>
      <name val="Arial"/>
      <family val="2"/>
    </font>
    <font>
      <sz val="9"/>
      <name val="Arial"/>
      <family val="2"/>
    </font>
    <font>
      <sz val="10"/>
      <color theme="1"/>
      <name val="Arial"/>
      <family val="2"/>
    </font>
    <font>
      <b/>
      <sz val="12"/>
      <color rgb="FFFF0000"/>
      <name val="Arial"/>
      <family val="2"/>
    </font>
    <font>
      <sz val="10"/>
      <name val="Arial"/>
      <family val="2"/>
    </font>
    <font>
      <sz val="12"/>
      <color theme="1"/>
      <name val="Arial"/>
      <family val="2"/>
    </font>
    <font>
      <b/>
      <sz val="14"/>
      <color rgb="FFFF0000"/>
      <name val="Arial"/>
      <family val="2"/>
    </font>
    <font>
      <b/>
      <sz val="11"/>
      <name val="Arial"/>
      <family val="2"/>
    </font>
    <font>
      <b/>
      <sz val="14"/>
      <color theme="1"/>
      <name val="Arial"/>
      <family val="2"/>
    </font>
    <font>
      <i/>
      <sz val="9"/>
      <color theme="1"/>
      <name val="Arial"/>
      <family val="2"/>
    </font>
    <font>
      <sz val="24"/>
      <color theme="1"/>
      <name val="Arial"/>
      <family val="2"/>
    </font>
    <font>
      <u/>
      <sz val="11"/>
      <color theme="10"/>
      <name val="Calibri"/>
      <family val="2"/>
      <scheme val="minor"/>
    </font>
    <font>
      <b/>
      <sz val="20"/>
      <color theme="1"/>
      <name val="Arial"/>
      <family val="2"/>
    </font>
    <font>
      <b/>
      <sz val="36"/>
      <color theme="1"/>
      <name val="Arial"/>
      <family val="2"/>
    </font>
    <font>
      <b/>
      <sz val="28"/>
      <color theme="1"/>
      <name val="Arial"/>
      <family val="2"/>
    </font>
    <font>
      <b/>
      <sz val="10"/>
      <color rgb="FFFF0000"/>
      <name val="Arial"/>
      <family val="2"/>
    </font>
    <font>
      <sz val="9"/>
      <color theme="0" tint="-0.14999847407452621"/>
      <name val="Arial"/>
      <family val="2"/>
    </font>
    <font>
      <b/>
      <sz val="9"/>
      <color theme="0" tint="-0.14999847407452621"/>
      <name val="Arial"/>
      <family val="2"/>
    </font>
    <font>
      <sz val="11"/>
      <color theme="0" tint="-0.14999847407452621"/>
      <name val="Calibri"/>
      <family val="2"/>
      <scheme val="minor"/>
    </font>
    <font>
      <sz val="1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rgb="FFFFCDE6"/>
        <bgColor indexed="64"/>
      </patternFill>
    </fill>
    <fill>
      <patternFill patternType="solid">
        <fgColor rgb="FFCDFFCD"/>
        <bgColor indexed="64"/>
      </patternFill>
    </fill>
    <fill>
      <patternFill patternType="solid">
        <fgColor theme="6" tint="0.59999389629810485"/>
        <bgColor indexed="64"/>
      </patternFill>
    </fill>
    <fill>
      <patternFill patternType="solid">
        <fgColor rgb="FF2DC8FF"/>
        <bgColor indexed="64"/>
      </patternFill>
    </fill>
  </fills>
  <borders count="5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medium">
        <color theme="1"/>
      </left>
      <right style="medium">
        <color theme="0" tint="-4.9989318521683403E-2"/>
      </right>
      <top style="medium">
        <color theme="1"/>
      </top>
      <bottom style="medium">
        <color theme="0" tint="-4.9989318521683403E-2"/>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medium">
        <color theme="1"/>
      </left>
      <right style="thin">
        <color theme="0" tint="-0.499984740745262"/>
      </right>
      <top style="medium">
        <color theme="1"/>
      </top>
      <bottom/>
      <diagonal/>
    </border>
    <border>
      <left style="thin">
        <color theme="0" tint="-0.499984740745262"/>
      </left>
      <right style="thin">
        <color theme="0" tint="-0.499984740745262"/>
      </right>
      <top style="medium">
        <color theme="1"/>
      </top>
      <bottom/>
      <diagonal/>
    </border>
    <border>
      <left style="thin">
        <color theme="0" tint="-0.499984740745262"/>
      </left>
      <right style="medium">
        <color theme="0" tint="-4.9989318521683403E-2"/>
      </right>
      <top style="medium">
        <color theme="1"/>
      </top>
      <bottom/>
      <diagonal/>
    </border>
    <border>
      <left style="medium">
        <color theme="1"/>
      </left>
      <right style="thin">
        <color theme="0" tint="-0.499984740745262"/>
      </right>
      <top/>
      <bottom/>
      <diagonal/>
    </border>
    <border>
      <left style="thin">
        <color theme="0" tint="-0.499984740745262"/>
      </left>
      <right style="medium">
        <color theme="0" tint="-4.9989318521683403E-2"/>
      </right>
      <top/>
      <bottom/>
      <diagonal/>
    </border>
    <border>
      <left style="medium">
        <color theme="1"/>
      </left>
      <right style="thin">
        <color theme="0" tint="-0.499984740745262"/>
      </right>
      <top/>
      <bottom style="medium">
        <color theme="0" tint="-4.9989318521683403E-2"/>
      </bottom>
      <diagonal/>
    </border>
    <border>
      <left style="thin">
        <color theme="0" tint="-0.499984740745262"/>
      </left>
      <right style="thin">
        <color theme="0" tint="-0.499984740745262"/>
      </right>
      <top/>
      <bottom style="medium">
        <color theme="0" tint="-4.9989318521683403E-2"/>
      </bottom>
      <diagonal/>
    </border>
    <border>
      <left style="thin">
        <color theme="0" tint="-0.499984740745262"/>
      </left>
      <right style="medium">
        <color theme="0" tint="-4.9989318521683403E-2"/>
      </right>
      <top/>
      <bottom style="medium">
        <color theme="0" tint="-4.9989318521683403E-2"/>
      </bottom>
      <diagonal/>
    </border>
    <border>
      <left style="thin">
        <color theme="0" tint="-0.499984740745262"/>
      </left>
      <right/>
      <top style="thin">
        <color theme="0" tint="-0.499984740745262"/>
      </top>
      <bottom style="thin">
        <color theme="0" tint="-0.499984740745262"/>
      </bottom>
      <diagonal/>
    </border>
    <border>
      <left/>
      <right style="medium">
        <color theme="1"/>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diagonal/>
    </border>
    <border>
      <left style="medium">
        <color theme="1"/>
      </left>
      <right style="medium">
        <color theme="0" tint="-4.9989318521683403E-2"/>
      </right>
      <top style="medium">
        <color theme="1"/>
      </top>
      <bottom/>
      <diagonal/>
    </border>
    <border>
      <left style="medium">
        <color theme="1"/>
      </left>
      <right style="medium">
        <color theme="0" tint="-4.9989318521683403E-2"/>
      </right>
      <top/>
      <bottom/>
      <diagonal/>
    </border>
    <border>
      <left style="medium">
        <color theme="1"/>
      </left>
      <right style="medium">
        <color theme="0" tint="-4.9989318521683403E-2"/>
      </right>
      <top/>
      <bottom style="medium">
        <color theme="0" tint="-4.9989318521683403E-2"/>
      </bottom>
      <diagonal/>
    </border>
    <border>
      <left style="thin">
        <color theme="0" tint="-0.499984740745262"/>
      </left>
      <right style="medium">
        <color rgb="FFF2F2F2"/>
      </right>
      <top style="thin">
        <color theme="0" tint="-0.499984740745262"/>
      </top>
      <bottom style="thin">
        <color theme="0" tint="-0.499984740745262"/>
      </bottom>
      <diagonal/>
    </border>
    <border>
      <left style="thin">
        <color theme="0" tint="-0.499984740745262"/>
      </left>
      <right style="medium">
        <color rgb="FFF2F2F2"/>
      </right>
      <top style="thin">
        <color theme="0" tint="-0.499984740745262"/>
      </top>
      <bottom/>
      <diagonal/>
    </border>
    <border>
      <left style="thin">
        <color theme="0" tint="-0.499984740745262"/>
      </left>
      <right style="medium">
        <color rgb="FFF2F2F2"/>
      </right>
      <top/>
      <bottom/>
      <diagonal/>
    </border>
    <border>
      <left style="thin">
        <color theme="0" tint="-0.499984740745262"/>
      </left>
      <right style="thin">
        <color theme="0" tint="-0.499984740745262"/>
      </right>
      <top/>
      <bottom style="medium">
        <color rgb="FFF2F2F2"/>
      </bottom>
      <diagonal/>
    </border>
    <border>
      <left style="thin">
        <color theme="0" tint="-0.499984740745262"/>
      </left>
      <right style="medium">
        <color rgb="FFF2F2F2"/>
      </right>
      <top/>
      <bottom style="medium">
        <color rgb="FFF2F2F2"/>
      </bottom>
      <diagonal/>
    </border>
    <border>
      <left style="medium">
        <color theme="1"/>
      </left>
      <right style="thin">
        <color theme="0" tint="-0.499984740745262"/>
      </right>
      <top style="medium">
        <color theme="1"/>
      </top>
      <bottom style="thin">
        <color theme="0" tint="-0.499984740745262"/>
      </bottom>
      <diagonal/>
    </border>
    <border>
      <left style="thin">
        <color theme="0" tint="-0.14996795556505021"/>
      </left>
      <right style="thin">
        <color theme="0" tint="-0.14996795556505021"/>
      </right>
      <top style="thin">
        <color theme="0" tint="-0.14996795556505021"/>
      </top>
      <bottom/>
      <diagonal/>
    </border>
    <border>
      <left style="thin">
        <color theme="0" tint="-0.499984740745262"/>
      </left>
      <right style="thin">
        <color theme="0" tint="-0.499984740745262"/>
      </right>
      <top style="thin">
        <color theme="0" tint="-0.49998474074526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rgb="FFF2F2F2"/>
      </right>
      <top style="medium">
        <color theme="1"/>
      </top>
      <bottom style="thin">
        <color theme="0" tint="-0.499984740745262"/>
      </bottom>
      <diagonal/>
    </border>
    <border>
      <left style="medium">
        <color theme="0" tint="-4.9989318521683403E-2"/>
      </left>
      <right style="thin">
        <color theme="0" tint="-0.499984740745262"/>
      </right>
      <top style="thin">
        <color theme="0" tint="-0.499984740745262"/>
      </top>
      <bottom/>
      <diagonal/>
    </border>
    <border>
      <left style="medium">
        <color theme="0" tint="-4.9989318521683403E-2"/>
      </left>
      <right style="thin">
        <color theme="0" tint="-0.499984740745262"/>
      </right>
      <top/>
      <bottom/>
      <diagonal/>
    </border>
    <border>
      <left style="medium">
        <color theme="0" tint="-4.9989318521683403E-2"/>
      </left>
      <right style="thin">
        <color theme="0" tint="-0.499984740745262"/>
      </right>
      <top/>
      <bottom style="thin">
        <color theme="0" tint="-0.499984740745262"/>
      </bottom>
      <diagonal/>
    </border>
    <border>
      <left style="medium">
        <color theme="0" tint="-4.9989318521683403E-2"/>
      </left>
      <right style="medium">
        <color theme="1"/>
      </right>
      <top style="thin">
        <color theme="0" tint="-0.499984740745262"/>
      </top>
      <bottom/>
      <diagonal/>
    </border>
    <border>
      <left style="medium">
        <color theme="0" tint="-4.9989318521683403E-2"/>
      </left>
      <right style="medium">
        <color theme="1"/>
      </right>
      <top/>
      <bottom/>
      <diagonal/>
    </border>
    <border>
      <left style="medium">
        <color theme="0" tint="-4.9989318521683403E-2"/>
      </left>
      <right style="medium">
        <color theme="1"/>
      </right>
      <top/>
      <bottom style="thin">
        <color theme="0" tint="-0.499984740745262"/>
      </bottom>
      <diagonal/>
    </border>
    <border>
      <left/>
      <right style="medium">
        <color theme="0" tint="-4.9989318521683403E-2"/>
      </right>
      <top/>
      <bottom/>
      <diagonal/>
    </border>
    <border>
      <left style="medium">
        <color theme="1"/>
      </left>
      <right/>
      <top style="medium">
        <color theme="1"/>
      </top>
      <bottom/>
      <diagonal/>
    </border>
    <border>
      <left/>
      <right/>
      <top style="medium">
        <color theme="1"/>
      </top>
      <bottom/>
      <diagonal/>
    </border>
    <border>
      <left/>
      <right style="medium">
        <color theme="0" tint="-4.9989318521683403E-2"/>
      </right>
      <top style="medium">
        <color theme="1"/>
      </top>
      <bottom/>
      <diagonal/>
    </border>
    <border>
      <left style="medium">
        <color theme="1"/>
      </left>
      <right/>
      <top/>
      <bottom/>
      <diagonal/>
    </border>
    <border>
      <left style="medium">
        <color theme="1"/>
      </left>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s>
  <cellStyleXfs count="7">
    <xf numFmtId="0" fontId="0" fillId="0" borderId="0"/>
    <xf numFmtId="0" fontId="2" fillId="0" borderId="0"/>
    <xf numFmtId="9" fontId="1" fillId="0" borderId="0" applyFont="0" applyFill="0" applyBorder="0" applyAlignment="0" applyProtection="0"/>
    <xf numFmtId="0" fontId="3" fillId="0" borderId="14">
      <protection locked="0" hidden="1"/>
    </xf>
    <xf numFmtId="0" fontId="14" fillId="2" borderId="14" applyNumberFormat="0" applyFont="0" applyFill="0" applyAlignment="0" applyProtection="0">
      <alignment horizontal="center"/>
      <protection hidden="1"/>
    </xf>
    <xf numFmtId="0" fontId="1" fillId="0" borderId="14" applyNumberFormat="0" applyFont="0" applyFill="0" applyAlignment="0" applyProtection="0">
      <protection hidden="1"/>
    </xf>
    <xf numFmtId="0" fontId="25" fillId="0" borderId="0" applyNumberFormat="0" applyFill="0" applyBorder="0" applyAlignment="0" applyProtection="0"/>
  </cellStyleXfs>
  <cellXfs count="301">
    <xf numFmtId="0" fontId="0" fillId="0" borderId="0" xfId="0"/>
    <xf numFmtId="0" fontId="0" fillId="0" borderId="0" xfId="0" applyProtection="1">
      <protection hidden="1"/>
    </xf>
    <xf numFmtId="0" fontId="4" fillId="4" borderId="9" xfId="0" applyFont="1" applyFill="1" applyBorder="1" applyAlignment="1" applyProtection="1">
      <alignment horizontal="left"/>
      <protection hidden="1"/>
    </xf>
    <xf numFmtId="0" fontId="4" fillId="4" borderId="10" xfId="0" applyFont="1" applyFill="1" applyBorder="1" applyAlignment="1" applyProtection="1">
      <alignment horizontal="left"/>
      <protection hidden="1"/>
    </xf>
    <xf numFmtId="0" fontId="4" fillId="4" borderId="13" xfId="0" applyFont="1" applyFill="1" applyBorder="1" applyAlignment="1" applyProtection="1">
      <alignment horizontal="left"/>
      <protection hidden="1"/>
    </xf>
    <xf numFmtId="0" fontId="4" fillId="4" borderId="11" xfId="0" applyFont="1" applyFill="1" applyBorder="1" applyAlignment="1" applyProtection="1">
      <alignment horizontal="left"/>
      <protection hidden="1"/>
    </xf>
    <xf numFmtId="0" fontId="4" fillId="4" borderId="15" xfId="0" applyFont="1" applyFill="1" applyBorder="1" applyAlignment="1" applyProtection="1">
      <alignment horizontal="left"/>
      <protection hidden="1"/>
    </xf>
    <xf numFmtId="0" fontId="4" fillId="4" borderId="12" xfId="0" applyFont="1" applyFill="1" applyBorder="1" applyAlignment="1" applyProtection="1">
      <alignment horizontal="left"/>
      <protection hidden="1"/>
    </xf>
    <xf numFmtId="0" fontId="4" fillId="4" borderId="16" xfId="0" applyFont="1" applyFill="1" applyBorder="1" applyAlignment="1" applyProtection="1">
      <alignment horizontal="left"/>
      <protection hidden="1"/>
    </xf>
    <xf numFmtId="0" fontId="0" fillId="0" borderId="0" xfId="0" applyAlignment="1" applyProtection="1">
      <alignment wrapText="1"/>
      <protection hidden="1"/>
    </xf>
    <xf numFmtId="0" fontId="4" fillId="0" borderId="0" xfId="0" applyFont="1" applyFill="1" applyAlignment="1" applyProtection="1">
      <alignment horizontal="right" wrapText="1"/>
      <protection hidden="1"/>
    </xf>
    <xf numFmtId="0" fontId="0" fillId="0" borderId="0" xfId="0" applyBorder="1" applyProtection="1">
      <protection hidden="1"/>
    </xf>
    <xf numFmtId="0" fontId="0" fillId="0" borderId="0" xfId="0" applyFill="1" applyProtection="1">
      <protection hidden="1"/>
    </xf>
    <xf numFmtId="0" fontId="3" fillId="3" borderId="17" xfId="0" applyFont="1" applyFill="1" applyBorder="1" applyAlignment="1" applyProtection="1">
      <alignment horizontal="left"/>
      <protection locked="0"/>
    </xf>
    <xf numFmtId="0" fontId="3" fillId="3" borderId="18" xfId="0" applyFont="1" applyFill="1" applyBorder="1" applyAlignment="1" applyProtection="1">
      <alignment horizontal="left"/>
      <protection locked="0"/>
    </xf>
    <xf numFmtId="0" fontId="3" fillId="3" borderId="10" xfId="0" applyFont="1" applyFill="1" applyBorder="1" applyAlignment="1" applyProtection="1">
      <alignment horizontal="left"/>
      <protection locked="0"/>
    </xf>
    <xf numFmtId="0" fontId="3" fillId="3" borderId="20" xfId="0" applyFont="1" applyFill="1" applyBorder="1" applyAlignment="1" applyProtection="1">
      <alignment horizontal="left"/>
      <protection locked="0"/>
    </xf>
    <xf numFmtId="0" fontId="3" fillId="3" borderId="11" xfId="0" applyFont="1" applyFill="1" applyBorder="1" applyAlignment="1" applyProtection="1">
      <alignment horizontal="left"/>
      <protection locked="0"/>
    </xf>
    <xf numFmtId="0" fontId="3" fillId="3" borderId="21" xfId="0" applyFont="1" applyFill="1" applyBorder="1" applyAlignment="1" applyProtection="1">
      <alignment horizontal="left"/>
      <protection locked="0"/>
    </xf>
    <xf numFmtId="0" fontId="3" fillId="3" borderId="22" xfId="0" applyFont="1" applyFill="1" applyBorder="1" applyAlignment="1" applyProtection="1">
      <alignment horizontal="left"/>
      <protection locked="0"/>
    </xf>
    <xf numFmtId="0" fontId="3" fillId="3" borderId="23" xfId="0" applyFont="1" applyFill="1" applyBorder="1" applyAlignment="1" applyProtection="1">
      <alignment horizontal="left"/>
      <protection locked="0"/>
    </xf>
    <xf numFmtId="0" fontId="3" fillId="3" borderId="24" xfId="0" applyFont="1" applyFill="1" applyBorder="1" applyAlignment="1" applyProtection="1">
      <alignment horizontal="left"/>
      <protection locked="0"/>
    </xf>
    <xf numFmtId="0" fontId="3" fillId="3" borderId="11" xfId="0" applyNumberFormat="1" applyFont="1" applyFill="1" applyBorder="1" applyAlignment="1" applyProtection="1">
      <alignment horizontal="left"/>
      <protection locked="0"/>
    </xf>
    <xf numFmtId="0" fontId="3" fillId="3" borderId="19" xfId="0" applyFont="1" applyFill="1" applyBorder="1" applyAlignment="1" applyProtection="1">
      <alignment horizontal="left"/>
      <protection locked="0"/>
    </xf>
    <xf numFmtId="0" fontId="3" fillId="3" borderId="18" xfId="0" applyFont="1" applyFill="1" applyBorder="1" applyAlignment="1" applyProtection="1">
      <alignment horizontal="center"/>
      <protection locked="0"/>
    </xf>
    <xf numFmtId="0" fontId="3" fillId="3" borderId="11" xfId="0" applyFont="1" applyFill="1" applyBorder="1" applyAlignment="1" applyProtection="1">
      <alignment horizontal="center"/>
      <protection locked="0"/>
    </xf>
    <xf numFmtId="0" fontId="4" fillId="4" borderId="0" xfId="0" applyFont="1" applyFill="1" applyBorder="1" applyAlignment="1" applyProtection="1">
      <alignment horizontal="left"/>
      <protection hidden="1"/>
    </xf>
    <xf numFmtId="0" fontId="4" fillId="4" borderId="27" xfId="0" applyFont="1" applyFill="1" applyBorder="1" applyAlignment="1" applyProtection="1">
      <alignment horizontal="left"/>
      <protection hidden="1"/>
    </xf>
    <xf numFmtId="0" fontId="4" fillId="4" borderId="28" xfId="0" applyFont="1" applyFill="1" applyBorder="1" applyAlignment="1" applyProtection="1">
      <alignment horizontal="left"/>
      <protection hidden="1"/>
    </xf>
    <xf numFmtId="0" fontId="3" fillId="3" borderId="19"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23"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10" fillId="3" borderId="17" xfId="0" applyFont="1" applyFill="1" applyBorder="1" applyAlignment="1" applyProtection="1">
      <alignment horizontal="left"/>
      <protection locked="0"/>
    </xf>
    <xf numFmtId="0" fontId="10" fillId="3" borderId="20" xfId="0" applyFont="1" applyFill="1" applyBorder="1" applyAlignment="1" applyProtection="1">
      <alignment horizontal="left"/>
      <protection locked="0"/>
    </xf>
    <xf numFmtId="0" fontId="10" fillId="3" borderId="22" xfId="0" applyFont="1" applyFill="1" applyBorder="1" applyAlignment="1" applyProtection="1">
      <alignment horizontal="left"/>
      <protection locked="0"/>
    </xf>
    <xf numFmtId="0" fontId="4" fillId="4" borderId="32" xfId="0" applyFont="1" applyFill="1" applyBorder="1" applyAlignment="1" applyProtection="1">
      <alignment horizontal="left"/>
      <protection hidden="1"/>
    </xf>
    <xf numFmtId="0" fontId="3" fillId="3" borderId="33" xfId="0" applyFont="1" applyFill="1" applyBorder="1" applyAlignment="1" applyProtection="1">
      <alignment horizontal="left"/>
      <protection locked="0"/>
    </xf>
    <xf numFmtId="0" fontId="3" fillId="3" borderId="34" xfId="0" applyFont="1" applyFill="1" applyBorder="1" applyAlignment="1" applyProtection="1">
      <alignment horizontal="left"/>
      <protection locked="0"/>
    </xf>
    <xf numFmtId="0" fontId="3" fillId="3" borderId="34" xfId="0" applyNumberFormat="1" applyFont="1" applyFill="1" applyBorder="1" applyAlignment="1" applyProtection="1">
      <alignment horizontal="left"/>
      <protection locked="0"/>
    </xf>
    <xf numFmtId="0" fontId="3" fillId="3" borderId="35" xfId="0" applyNumberFormat="1" applyFont="1" applyFill="1" applyBorder="1" applyAlignment="1" applyProtection="1">
      <alignment horizontal="left"/>
      <protection locked="0"/>
    </xf>
    <xf numFmtId="0" fontId="3" fillId="3" borderId="36" xfId="0" applyNumberFormat="1" applyFont="1" applyFill="1" applyBorder="1" applyAlignment="1" applyProtection="1">
      <alignment horizontal="left"/>
      <protection locked="0"/>
    </xf>
    <xf numFmtId="0" fontId="4" fillId="3" borderId="37" xfId="0" applyFont="1" applyFill="1" applyBorder="1" applyAlignment="1" applyProtection="1">
      <alignment horizontal="left"/>
      <protection locked="0"/>
    </xf>
    <xf numFmtId="0" fontId="19" fillId="0" borderId="14" xfId="4" applyFont="1" applyFill="1" applyAlignment="1" applyProtection="1">
      <alignment horizontal="center" vertical="center" wrapText="1"/>
      <protection locked="0" hidden="1"/>
    </xf>
    <xf numFmtId="165" fontId="19" fillId="0" borderId="14" xfId="4" applyNumberFormat="1" applyFont="1" applyFill="1" applyBorder="1" applyAlignment="1" applyProtection="1">
      <alignment horizontal="center" vertical="center"/>
      <protection locked="0" hidden="1"/>
    </xf>
    <xf numFmtId="0" fontId="4" fillId="4" borderId="2" xfId="0" applyFont="1" applyFill="1" applyBorder="1" applyAlignment="1" applyProtection="1">
      <alignment horizontal="right" wrapText="1"/>
      <protection hidden="1"/>
    </xf>
    <xf numFmtId="0" fontId="11" fillId="4" borderId="2" xfId="0" applyFont="1" applyFill="1" applyBorder="1" applyAlignment="1" applyProtection="1">
      <alignment vertical="center" wrapText="1"/>
      <protection hidden="1"/>
    </xf>
    <xf numFmtId="0" fontId="12" fillId="4" borderId="2" xfId="0" applyFont="1" applyFill="1" applyBorder="1" applyAlignment="1" applyProtection="1">
      <alignment horizontal="right" vertical="center" indent="1"/>
      <protection hidden="1"/>
    </xf>
    <xf numFmtId="0" fontId="3" fillId="4" borderId="2" xfId="0" applyFont="1" applyFill="1" applyBorder="1" applyAlignment="1" applyProtection="1">
      <alignment vertical="center"/>
      <protection hidden="1"/>
    </xf>
    <xf numFmtId="0" fontId="11" fillId="4" borderId="3" xfId="0" applyFont="1" applyFill="1" applyBorder="1" applyAlignment="1" applyProtection="1">
      <alignment vertical="center" wrapText="1"/>
      <protection hidden="1"/>
    </xf>
    <xf numFmtId="0" fontId="0" fillId="4" borderId="0" xfId="0" applyFill="1" applyBorder="1" applyProtection="1">
      <protection hidden="1"/>
    </xf>
    <xf numFmtId="0" fontId="11" fillId="4" borderId="0" xfId="0" applyFont="1" applyFill="1" applyBorder="1" applyAlignment="1" applyProtection="1">
      <alignment vertical="center" wrapText="1"/>
      <protection hidden="1"/>
    </xf>
    <xf numFmtId="0" fontId="12" fillId="4" borderId="0" xfId="0" applyFont="1" applyFill="1" applyBorder="1" applyAlignment="1" applyProtection="1">
      <alignment horizontal="right" vertical="center" indent="1"/>
      <protection hidden="1"/>
    </xf>
    <xf numFmtId="0" fontId="11" fillId="4" borderId="5" xfId="0" applyFont="1" applyFill="1" applyBorder="1" applyAlignment="1" applyProtection="1">
      <alignment vertical="center" wrapText="1"/>
      <protection hidden="1"/>
    </xf>
    <xf numFmtId="0" fontId="23" fillId="4" borderId="7" xfId="0" applyFont="1" applyFill="1" applyBorder="1" applyAlignment="1" applyProtection="1">
      <alignment vertical="center"/>
      <protection hidden="1"/>
    </xf>
    <xf numFmtId="0" fontId="11" fillId="4" borderId="7" xfId="0" applyFont="1" applyFill="1" applyBorder="1" applyAlignment="1" applyProtection="1">
      <alignment vertical="center" wrapText="1"/>
      <protection hidden="1"/>
    </xf>
    <xf numFmtId="0" fontId="12" fillId="4" borderId="7" xfId="0" applyFont="1" applyFill="1" applyBorder="1" applyAlignment="1" applyProtection="1">
      <alignment horizontal="right" vertical="center" indent="1"/>
      <protection hidden="1"/>
    </xf>
    <xf numFmtId="0" fontId="4" fillId="4" borderId="7" xfId="0" applyFont="1" applyFill="1" applyBorder="1" applyAlignment="1" applyProtection="1">
      <alignment horizontal="right"/>
      <protection hidden="1"/>
    </xf>
    <xf numFmtId="0" fontId="11" fillId="4" borderId="8" xfId="0" applyFont="1" applyFill="1" applyBorder="1" applyAlignment="1" applyProtection="1">
      <alignment vertical="center" wrapText="1"/>
      <protection hidden="1"/>
    </xf>
    <xf numFmtId="0" fontId="4" fillId="4" borderId="0" xfId="0"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Border="1" applyAlignment="1" applyProtection="1">
      <alignment horizontal="left"/>
      <protection hidden="1"/>
    </xf>
    <xf numFmtId="0" fontId="0" fillId="4" borderId="0" xfId="0" applyFill="1" applyProtection="1">
      <protection hidden="1"/>
    </xf>
    <xf numFmtId="0" fontId="0" fillId="4" borderId="1" xfId="0" applyFill="1" applyBorder="1" applyProtection="1">
      <protection hidden="1"/>
    </xf>
    <xf numFmtId="0" fontId="0" fillId="4" borderId="2" xfId="0" applyFill="1" applyBorder="1" applyProtection="1">
      <protection hidden="1"/>
    </xf>
    <xf numFmtId="0" fontId="25" fillId="4" borderId="5" xfId="6" applyFill="1" applyBorder="1" applyAlignment="1" applyProtection="1">
      <alignment horizontal="left" vertical="top" wrapText="1" indent="1"/>
      <protection hidden="1"/>
    </xf>
    <xf numFmtId="0" fontId="25" fillId="4" borderId="8" xfId="6" applyFill="1" applyBorder="1" applyAlignment="1" applyProtection="1">
      <alignment horizontal="left" vertical="top" wrapText="1" indent="1"/>
      <protection hidden="1"/>
    </xf>
    <xf numFmtId="0" fontId="3" fillId="0" borderId="14" xfId="4" applyFont="1" applyFill="1" applyAlignment="1" applyProtection="1">
      <alignment vertical="center" wrapText="1"/>
      <protection locked="0" hidden="1"/>
    </xf>
    <xf numFmtId="0" fontId="4" fillId="12" borderId="9" xfId="0" applyFont="1" applyFill="1" applyBorder="1" applyAlignment="1" applyProtection="1">
      <alignment horizontal="left"/>
      <protection hidden="1"/>
    </xf>
    <xf numFmtId="0" fontId="4" fillId="12" borderId="9" xfId="0" applyFont="1" applyFill="1" applyBorder="1" applyAlignment="1" applyProtection="1">
      <alignment horizontal="center"/>
      <protection hidden="1"/>
    </xf>
    <xf numFmtId="0" fontId="4" fillId="12" borderId="25" xfId="0" applyFont="1" applyFill="1" applyBorder="1" applyAlignment="1" applyProtection="1">
      <alignment horizontal="left"/>
      <protection hidden="1"/>
    </xf>
    <xf numFmtId="0" fontId="4" fillId="12" borderId="9" xfId="0" applyFont="1" applyFill="1" applyBorder="1" applyAlignment="1" applyProtection="1">
      <protection hidden="1"/>
    </xf>
    <xf numFmtId="0" fontId="6" fillId="4" borderId="0" xfId="0" applyFont="1" applyFill="1" applyAlignment="1" applyProtection="1">
      <alignment horizontal="left" wrapText="1"/>
      <protection hidden="1"/>
    </xf>
    <xf numFmtId="0" fontId="0" fillId="4" borderId="0" xfId="0" applyFill="1" applyAlignment="1" applyProtection="1">
      <alignment horizontal="left" wrapText="1"/>
      <protection hidden="1"/>
    </xf>
    <xf numFmtId="0" fontId="0" fillId="4" borderId="0" xfId="0" applyFill="1" applyAlignment="1" applyProtection="1">
      <alignment wrapText="1"/>
      <protection hidden="1"/>
    </xf>
    <xf numFmtId="0" fontId="0" fillId="4" borderId="4" xfId="0" applyFill="1" applyBorder="1" applyAlignment="1" applyProtection="1">
      <alignment wrapText="1"/>
      <protection hidden="1"/>
    </xf>
    <xf numFmtId="0" fontId="3" fillId="4" borderId="0" xfId="0" applyFont="1" applyFill="1" applyBorder="1" applyAlignment="1" applyProtection="1">
      <alignment horizontal="left" vertical="top" wrapText="1"/>
      <protection hidden="1"/>
    </xf>
    <xf numFmtId="0" fontId="13" fillId="4" borderId="0" xfId="0" applyFont="1" applyFill="1" applyBorder="1" applyAlignment="1" applyProtection="1">
      <alignment horizontal="right"/>
      <protection hidden="1"/>
    </xf>
    <xf numFmtId="0" fontId="0" fillId="4" borderId="0" xfId="0" applyFill="1" applyBorder="1" applyAlignment="1" applyProtection="1">
      <alignment horizontal="left" wrapText="1"/>
      <protection hidden="1"/>
    </xf>
    <xf numFmtId="0" fontId="16" fillId="4" borderId="0" xfId="0" applyFont="1"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top"/>
      <protection hidden="1"/>
    </xf>
    <xf numFmtId="0" fontId="0" fillId="4" borderId="6" xfId="0" applyFill="1" applyBorder="1" applyProtection="1">
      <protection hidden="1"/>
    </xf>
    <xf numFmtId="0" fontId="0" fillId="4" borderId="7" xfId="0" applyFill="1" applyBorder="1" applyProtection="1">
      <protection hidden="1"/>
    </xf>
    <xf numFmtId="0" fontId="0" fillId="4" borderId="3" xfId="0" applyFill="1" applyBorder="1" applyProtection="1">
      <protection hidden="1"/>
    </xf>
    <xf numFmtId="0" fontId="0" fillId="4" borderId="5" xfId="0" applyFill="1" applyBorder="1" applyAlignment="1" applyProtection="1">
      <alignment horizontal="left" wrapText="1"/>
      <protection hidden="1"/>
    </xf>
    <xf numFmtId="0" fontId="0" fillId="4" borderId="5" xfId="0" applyFill="1" applyBorder="1" applyProtection="1">
      <protection hidden="1"/>
    </xf>
    <xf numFmtId="0" fontId="18" fillId="4" borderId="5" xfId="0" applyFont="1" applyFill="1" applyBorder="1" applyAlignment="1" applyProtection="1">
      <alignment horizontal="left" vertical="top" wrapText="1" indent="1"/>
      <protection hidden="1"/>
    </xf>
    <xf numFmtId="0" fontId="0" fillId="4" borderId="8" xfId="0" applyFill="1" applyBorder="1" applyProtection="1">
      <protection hidden="1"/>
    </xf>
    <xf numFmtId="0" fontId="30" fillId="4" borderId="0" xfId="0" applyFont="1" applyFill="1" applyBorder="1" applyProtection="1">
      <protection hidden="1"/>
    </xf>
    <xf numFmtId="0" fontId="30" fillId="4" borderId="0" xfId="0" applyNumberFormat="1" applyFont="1" applyFill="1" applyBorder="1" applyProtection="1">
      <protection hidden="1"/>
    </xf>
    <xf numFmtId="0" fontId="11" fillId="4" borderId="0" xfId="0" applyFont="1" applyFill="1" applyBorder="1" applyAlignment="1" applyProtection="1">
      <alignment horizontal="left" vertical="top" wrapText="1" indent="2"/>
      <protection hidden="1"/>
    </xf>
    <xf numFmtId="0" fontId="3" fillId="4" borderId="0" xfId="0" applyFont="1" applyFill="1" applyBorder="1" applyAlignment="1" applyProtection="1">
      <alignment vertical="top" wrapText="1"/>
      <protection hidden="1"/>
    </xf>
    <xf numFmtId="0" fontId="22" fillId="4" borderId="0" xfId="0" applyFont="1" applyFill="1" applyBorder="1" applyAlignment="1" applyProtection="1">
      <alignment horizontal="right" vertical="center" indent="1"/>
      <protection hidden="1"/>
    </xf>
    <xf numFmtId="0" fontId="0" fillId="4" borderId="0" xfId="0" applyFill="1" applyBorder="1" applyAlignment="1" applyProtection="1">
      <alignment wrapText="1"/>
      <protection hidden="1"/>
    </xf>
    <xf numFmtId="0" fontId="0" fillId="4" borderId="0" xfId="0"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center"/>
      <protection hidden="1"/>
    </xf>
    <xf numFmtId="0" fontId="3" fillId="4" borderId="0" xfId="0" applyFont="1" applyFill="1" applyBorder="1" applyAlignment="1" applyProtection="1">
      <alignment wrapText="1"/>
      <protection hidden="1"/>
    </xf>
    <xf numFmtId="0" fontId="3" fillId="4" borderId="2" xfId="0" applyFont="1" applyFill="1" applyBorder="1" applyAlignment="1" applyProtection="1">
      <alignment horizontal="left" wrapText="1"/>
      <protection hidden="1"/>
    </xf>
    <xf numFmtId="0" fontId="3" fillId="4" borderId="0" xfId="0" applyFont="1" applyFill="1" applyBorder="1" applyAlignment="1" applyProtection="1">
      <alignment horizontal="left" wrapText="1"/>
      <protection hidden="1"/>
    </xf>
    <xf numFmtId="0" fontId="31" fillId="4" borderId="0" xfId="0" applyFont="1" applyFill="1" applyBorder="1" applyAlignment="1" applyProtection="1">
      <alignment horizontal="left"/>
      <protection hidden="1"/>
    </xf>
    <xf numFmtId="0" fontId="30" fillId="4" borderId="0" xfId="0" applyNumberFormat="1" applyFont="1" applyFill="1" applyBorder="1" applyAlignment="1" applyProtection="1">
      <alignment horizontal="center"/>
      <protection hidden="1"/>
    </xf>
    <xf numFmtId="0" fontId="32" fillId="4" borderId="0" xfId="0" applyFont="1" applyFill="1" applyBorder="1" applyProtection="1">
      <protection hidden="1"/>
    </xf>
    <xf numFmtId="0" fontId="0" fillId="4" borderId="6" xfId="0" applyFill="1" applyBorder="1" applyAlignment="1" applyProtection="1">
      <alignment wrapText="1"/>
      <protection hidden="1"/>
    </xf>
    <xf numFmtId="0" fontId="8" fillId="4" borderId="4" xfId="0" applyFont="1" applyFill="1" applyBorder="1" applyAlignment="1" applyProtection="1">
      <alignment wrapText="1"/>
      <protection hidden="1"/>
    </xf>
    <xf numFmtId="0" fontId="8" fillId="4" borderId="6" xfId="0" applyFont="1" applyFill="1" applyBorder="1" applyAlignment="1" applyProtection="1">
      <alignment wrapText="1"/>
      <protection hidden="1"/>
    </xf>
    <xf numFmtId="0" fontId="8" fillId="4" borderId="0" xfId="0" applyFont="1" applyFill="1" applyBorder="1" applyAlignment="1" applyProtection="1">
      <alignment wrapText="1"/>
      <protection hidden="1"/>
    </xf>
    <xf numFmtId="0" fontId="8" fillId="4" borderId="1" xfId="0" applyFont="1" applyFill="1" applyBorder="1" applyAlignment="1" applyProtection="1">
      <alignment wrapText="1"/>
      <protection hidden="1"/>
    </xf>
    <xf numFmtId="0" fontId="14" fillId="4" borderId="29" xfId="0" applyFont="1" applyFill="1" applyBorder="1" applyAlignment="1" applyProtection="1">
      <alignment horizontal="center"/>
      <protection locked="0"/>
    </xf>
    <xf numFmtId="0" fontId="14" fillId="4" borderId="30" xfId="0" applyFont="1" applyFill="1" applyBorder="1" applyAlignment="1" applyProtection="1">
      <alignment horizontal="center"/>
      <protection locked="0"/>
    </xf>
    <xf numFmtId="0" fontId="14" fillId="4" borderId="31" xfId="0" applyFont="1" applyFill="1" applyBorder="1" applyAlignment="1" applyProtection="1">
      <alignment horizontal="center"/>
      <protection locked="0"/>
    </xf>
    <xf numFmtId="0" fontId="15" fillId="4" borderId="0" xfId="0" applyFont="1" applyFill="1" applyBorder="1" applyAlignment="1" applyProtection="1">
      <alignment horizontal="left" vertical="center" wrapText="1" indent="2"/>
      <protection hidden="1"/>
    </xf>
    <xf numFmtId="0" fontId="13" fillId="4" borderId="0" xfId="0" applyFont="1" applyFill="1" applyAlignment="1" applyProtection="1">
      <alignment horizontal="left" vertical="top"/>
      <protection hidden="1"/>
    </xf>
    <xf numFmtId="0" fontId="0" fillId="4" borderId="7" xfId="0" applyFill="1" applyBorder="1" applyAlignment="1" applyProtection="1">
      <alignment wrapText="1"/>
      <protection hidden="1"/>
    </xf>
    <xf numFmtId="0" fontId="4" fillId="4" borderId="7" xfId="0" applyFont="1" applyFill="1" applyBorder="1" applyAlignment="1" applyProtection="1">
      <alignment horizontal="right" wrapText="1"/>
      <protection hidden="1"/>
    </xf>
    <xf numFmtId="0" fontId="4" fillId="4" borderId="0" xfId="0" applyFont="1" applyFill="1" applyBorder="1" applyAlignment="1" applyProtection="1">
      <alignment horizontal="right" wrapText="1"/>
      <protection hidden="1"/>
    </xf>
    <xf numFmtId="0" fontId="4" fillId="4" borderId="0" xfId="0" applyFont="1" applyFill="1" applyAlignment="1" applyProtection="1">
      <alignment horizontal="right" wrapText="1"/>
      <protection hidden="1"/>
    </xf>
    <xf numFmtId="0" fontId="11" fillId="4" borderId="0" xfId="0" applyFont="1" applyFill="1" applyProtection="1">
      <protection hidden="1"/>
    </xf>
    <xf numFmtId="0" fontId="3" fillId="4" borderId="0" xfId="0" applyFont="1" applyFill="1" applyAlignment="1" applyProtection="1">
      <alignment horizontal="left" vertical="top" wrapText="1"/>
      <protection hidden="1"/>
    </xf>
    <xf numFmtId="0" fontId="28" fillId="4" borderId="0" xfId="0" applyFont="1" applyFill="1" applyBorder="1" applyAlignment="1" applyProtection="1">
      <alignment horizontal="center" vertical="center" wrapText="1"/>
      <protection hidden="1"/>
    </xf>
    <xf numFmtId="0" fontId="26" fillId="4" borderId="0"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left"/>
      <protection hidden="1"/>
    </xf>
    <xf numFmtId="0" fontId="13" fillId="4" borderId="0" xfId="0" applyFont="1" applyFill="1" applyAlignment="1" applyProtection="1">
      <alignment horizontal="left"/>
      <protection hidden="1"/>
    </xf>
    <xf numFmtId="0" fontId="0" fillId="4" borderId="0" xfId="0" applyFill="1" applyAlignment="1" applyProtection="1">
      <alignment horizontal="right"/>
      <protection hidden="1"/>
    </xf>
    <xf numFmtId="0" fontId="7" fillId="4" borderId="0" xfId="0" applyFont="1" applyFill="1" applyAlignment="1" applyProtection="1">
      <alignment horizontal="left"/>
      <protection hidden="1"/>
    </xf>
    <xf numFmtId="0" fontId="15" fillId="4" borderId="0" xfId="0" applyFont="1" applyFill="1" applyBorder="1" applyAlignment="1" applyProtection="1">
      <alignment horizontal="left"/>
      <protection hidden="1"/>
    </xf>
    <xf numFmtId="0" fontId="15" fillId="4" borderId="0" xfId="0" applyFont="1" applyFill="1" applyBorder="1" applyAlignment="1" applyProtection="1">
      <alignment horizontal="center"/>
      <protection hidden="1"/>
    </xf>
    <xf numFmtId="0" fontId="15" fillId="4" borderId="0" xfId="0" applyFont="1" applyFill="1" applyBorder="1" applyAlignment="1" applyProtection="1">
      <protection hidden="1"/>
    </xf>
    <xf numFmtId="0" fontId="15" fillId="4" borderId="0" xfId="0" applyFont="1" applyFill="1" applyAlignment="1" applyProtection="1">
      <protection hidden="1"/>
    </xf>
    <xf numFmtId="0" fontId="0" fillId="4" borderId="0" xfId="0" applyFill="1" applyAlignment="1" applyProtection="1">
      <alignment vertical="center" wrapText="1"/>
      <protection hidden="1"/>
    </xf>
    <xf numFmtId="0" fontId="0" fillId="4" borderId="8" xfId="0" applyFill="1" applyBorder="1" applyAlignment="1" applyProtection="1">
      <alignment vertical="center" wrapText="1"/>
      <protection hidden="1"/>
    </xf>
    <xf numFmtId="0" fontId="4" fillId="4" borderId="38" xfId="0" applyFont="1" applyFill="1" applyBorder="1" applyAlignment="1" applyProtection="1">
      <alignment horizontal="left"/>
      <protection hidden="1"/>
    </xf>
    <xf numFmtId="0" fontId="3" fillId="0" borderId="39" xfId="0" applyFont="1" applyFill="1" applyBorder="1" applyAlignment="1" applyProtection="1">
      <alignment horizontal="center"/>
      <protection hidden="1"/>
    </xf>
    <xf numFmtId="0" fontId="3" fillId="0" borderId="40" xfId="0" applyFont="1" applyFill="1" applyBorder="1" applyAlignment="1" applyProtection="1">
      <alignment horizontal="center"/>
      <protection hidden="1"/>
    </xf>
    <xf numFmtId="0" fontId="3" fillId="0" borderId="40" xfId="0" applyNumberFormat="1" applyFont="1" applyFill="1" applyBorder="1" applyAlignment="1" applyProtection="1">
      <alignment horizontal="center"/>
      <protection hidden="1"/>
    </xf>
    <xf numFmtId="0" fontId="3" fillId="0" borderId="41" xfId="0" applyNumberFormat="1" applyFont="1" applyFill="1" applyBorder="1" applyAlignment="1" applyProtection="1">
      <alignment horizontal="center"/>
      <protection hidden="1"/>
    </xf>
    <xf numFmtId="164" fontId="3" fillId="9" borderId="9" xfId="2" applyNumberFormat="1" applyFont="1" applyFill="1" applyBorder="1" applyAlignment="1" applyProtection="1">
      <alignment horizontal="center"/>
      <protection hidden="1"/>
    </xf>
    <xf numFmtId="164" fontId="3" fillId="10" borderId="9" xfId="2" applyNumberFormat="1" applyFont="1" applyFill="1" applyBorder="1" applyAlignment="1" applyProtection="1">
      <alignment horizontal="center"/>
      <protection hidden="1"/>
    </xf>
    <xf numFmtId="164" fontId="3" fillId="11" borderId="9" xfId="2" applyNumberFormat="1" applyFont="1" applyFill="1" applyBorder="1" applyAlignment="1" applyProtection="1">
      <alignment horizontal="center"/>
      <protection hidden="1"/>
    </xf>
    <xf numFmtId="0" fontId="3" fillId="8" borderId="39" xfId="0" applyFont="1" applyFill="1" applyBorder="1" applyProtection="1">
      <protection hidden="1"/>
    </xf>
    <xf numFmtId="164" fontId="3" fillId="8" borderId="39" xfId="2" applyNumberFormat="1" applyFont="1" applyFill="1" applyBorder="1" applyAlignment="1" applyProtection="1">
      <alignment horizontal="center"/>
      <protection hidden="1"/>
    </xf>
    <xf numFmtId="0" fontId="3" fillId="8" borderId="39" xfId="0" applyFont="1" applyFill="1" applyBorder="1" applyAlignment="1" applyProtection="1">
      <alignment horizontal="center"/>
      <protection hidden="1"/>
    </xf>
    <xf numFmtId="0" fontId="3" fillId="8" borderId="40" xfId="0" applyFont="1" applyFill="1" applyBorder="1" applyProtection="1">
      <protection hidden="1"/>
    </xf>
    <xf numFmtId="164" fontId="3" fillId="8" borderId="40" xfId="2" applyNumberFormat="1" applyFont="1" applyFill="1" applyBorder="1" applyAlignment="1" applyProtection="1">
      <alignment horizontal="center"/>
      <protection hidden="1"/>
    </xf>
    <xf numFmtId="0" fontId="3" fillId="8" borderId="40" xfId="0" applyFont="1" applyFill="1" applyBorder="1" applyAlignment="1" applyProtection="1">
      <alignment horizontal="center"/>
      <protection hidden="1"/>
    </xf>
    <xf numFmtId="0" fontId="3" fillId="8" borderId="41" xfId="0" applyFont="1" applyFill="1" applyBorder="1" applyProtection="1">
      <protection hidden="1"/>
    </xf>
    <xf numFmtId="164" fontId="3" fillId="8" borderId="41" xfId="2" applyNumberFormat="1" applyFont="1" applyFill="1" applyBorder="1" applyAlignment="1" applyProtection="1">
      <alignment horizontal="center"/>
      <protection hidden="1"/>
    </xf>
    <xf numFmtId="0" fontId="3" fillId="8" borderId="41" xfId="0" applyFont="1" applyFill="1" applyBorder="1" applyAlignment="1" applyProtection="1">
      <alignment horizontal="center"/>
      <protection hidden="1"/>
    </xf>
    <xf numFmtId="0" fontId="4" fillId="3" borderId="42" xfId="0" applyFont="1" applyFill="1" applyBorder="1" applyAlignment="1" applyProtection="1">
      <alignment horizontal="left"/>
      <protection locked="0"/>
    </xf>
    <xf numFmtId="0" fontId="4" fillId="3" borderId="43" xfId="0" applyFont="1" applyFill="1" applyBorder="1" applyAlignment="1" applyProtection="1">
      <alignment horizontal="left"/>
      <protection locked="0"/>
    </xf>
    <xf numFmtId="0" fontId="3" fillId="4" borderId="44" xfId="0" applyFont="1" applyFill="1" applyBorder="1" applyAlignment="1" applyProtection="1">
      <alignment horizontal="center"/>
      <protection hidden="1"/>
    </xf>
    <xf numFmtId="0" fontId="3" fillId="4" borderId="10" xfId="0" applyFont="1" applyFill="1" applyBorder="1" applyAlignment="1" applyProtection="1">
      <alignment horizontal="center"/>
      <protection hidden="1"/>
    </xf>
    <xf numFmtId="0" fontId="3" fillId="4" borderId="45" xfId="0" applyFont="1" applyFill="1" applyBorder="1" applyAlignment="1" applyProtection="1">
      <alignment horizontal="center"/>
      <protection hidden="1"/>
    </xf>
    <xf numFmtId="0" fontId="3" fillId="4" borderId="11" xfId="0" applyFont="1" applyFill="1" applyBorder="1" applyAlignment="1" applyProtection="1">
      <alignment horizontal="center"/>
      <protection hidden="1"/>
    </xf>
    <xf numFmtId="0" fontId="3" fillId="4" borderId="46" xfId="0" applyFont="1" applyFill="1" applyBorder="1" applyAlignment="1" applyProtection="1">
      <alignment horizontal="center"/>
      <protection hidden="1"/>
    </xf>
    <xf numFmtId="0" fontId="3" fillId="4" borderId="12" xfId="0" applyFont="1" applyFill="1" applyBorder="1" applyAlignment="1" applyProtection="1">
      <alignment horizontal="center"/>
      <protection hidden="1"/>
    </xf>
    <xf numFmtId="0" fontId="4" fillId="4" borderId="47" xfId="0" applyFont="1" applyFill="1" applyBorder="1" applyAlignment="1" applyProtection="1">
      <alignment horizontal="center"/>
      <protection hidden="1"/>
    </xf>
    <xf numFmtId="0" fontId="4" fillId="4" borderId="48" xfId="0" applyFont="1" applyFill="1" applyBorder="1" applyAlignment="1" applyProtection="1">
      <alignment horizontal="center"/>
      <protection hidden="1"/>
    </xf>
    <xf numFmtId="0" fontId="4" fillId="4" borderId="49" xfId="0" applyFont="1" applyFill="1" applyBorder="1" applyAlignment="1" applyProtection="1">
      <alignment horizontal="center"/>
      <protection hidden="1"/>
    </xf>
    <xf numFmtId="0" fontId="3" fillId="6" borderId="9" xfId="0" applyFont="1" applyFill="1" applyBorder="1" applyAlignment="1" applyProtection="1">
      <alignment horizontal="center"/>
      <protection hidden="1"/>
    </xf>
    <xf numFmtId="0" fontId="4" fillId="4" borderId="48" xfId="0" applyNumberFormat="1" applyFont="1" applyFill="1" applyBorder="1" applyAlignment="1" applyProtection="1">
      <alignment horizontal="center"/>
      <protection hidden="1"/>
    </xf>
    <xf numFmtId="0" fontId="4" fillId="4" borderId="49" xfId="0" applyNumberFormat="1" applyFont="1" applyFill="1" applyBorder="1" applyAlignment="1" applyProtection="1">
      <alignment horizontal="center"/>
      <protection hidden="1"/>
    </xf>
    <xf numFmtId="0" fontId="3" fillId="4" borderId="47" xfId="0" applyFont="1" applyFill="1" applyBorder="1" applyAlignment="1" applyProtection="1">
      <alignment horizontal="center"/>
      <protection hidden="1"/>
    </xf>
    <xf numFmtId="0" fontId="3" fillId="4" borderId="48" xfId="0" applyFont="1" applyFill="1" applyBorder="1" applyAlignment="1" applyProtection="1">
      <alignment horizontal="center"/>
      <protection hidden="1"/>
    </xf>
    <xf numFmtId="0" fontId="3" fillId="4" borderId="49" xfId="0" applyFont="1" applyFill="1" applyBorder="1" applyAlignment="1" applyProtection="1">
      <alignment horizontal="center"/>
      <protection hidden="1"/>
    </xf>
    <xf numFmtId="0" fontId="0" fillId="5" borderId="0" xfId="0" quotePrefix="1" applyFill="1" applyAlignment="1" applyProtection="1">
      <alignment wrapText="1"/>
      <protection hidden="1"/>
    </xf>
    <xf numFmtId="0" fontId="0" fillId="4" borderId="0" xfId="0" quotePrefix="1" applyFill="1" applyAlignment="1" applyProtection="1">
      <protection hidden="1"/>
    </xf>
    <xf numFmtId="0" fontId="0" fillId="5" borderId="0" xfId="0" quotePrefix="1" applyFill="1" applyAlignment="1" applyProtection="1">
      <protection hidden="1"/>
    </xf>
    <xf numFmtId="0" fontId="13" fillId="4" borderId="0" xfId="0" applyFont="1" applyFill="1" applyAlignment="1" applyProtection="1">
      <alignment horizontal="left" vertical="top" indent="1"/>
      <protection hidden="1"/>
    </xf>
    <xf numFmtId="0" fontId="11" fillId="4" borderId="2" xfId="0" applyFont="1" applyFill="1" applyBorder="1" applyAlignment="1" applyProtection="1">
      <alignment horizontal="left" vertical="center" wrapText="1" indent="2"/>
      <protection hidden="1"/>
    </xf>
    <xf numFmtId="0" fontId="0" fillId="4" borderId="4" xfId="0" applyFill="1" applyBorder="1" applyProtection="1">
      <protection hidden="1"/>
    </xf>
    <xf numFmtId="0" fontId="11" fillId="4" borderId="3" xfId="0" applyFont="1" applyFill="1" applyBorder="1" applyAlignment="1" applyProtection="1">
      <alignment horizontal="left" vertical="center" wrapText="1" indent="1"/>
      <protection hidden="1"/>
    </xf>
    <xf numFmtId="0" fontId="11" fillId="4" borderId="5"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2"/>
      <protection hidden="1"/>
    </xf>
    <xf numFmtId="0" fontId="0" fillId="0" borderId="0" xfId="0" applyAlignment="1" applyProtection="1">
      <alignment horizontal="right"/>
      <protection hidden="1"/>
    </xf>
    <xf numFmtId="0" fontId="0" fillId="7" borderId="0" xfId="0" applyFill="1" applyProtection="1">
      <protection hidden="1"/>
    </xf>
    <xf numFmtId="0" fontId="33" fillId="5" borderId="0" xfId="0" applyFont="1" applyFill="1" applyProtection="1">
      <protection hidden="1"/>
    </xf>
    <xf numFmtId="0" fontId="0" fillId="0" borderId="0" xfId="0" applyFill="1" applyAlignment="1" applyProtection="1">
      <alignment wrapText="1"/>
      <protection hidden="1"/>
    </xf>
    <xf numFmtId="0" fontId="0" fillId="0" borderId="0" xfId="0" applyNumberFormat="1" applyProtection="1">
      <protection hidden="1"/>
    </xf>
    <xf numFmtId="0" fontId="0" fillId="0" borderId="0" xfId="0" quotePrefix="1" applyAlignment="1" applyProtection="1">
      <alignment wrapText="1"/>
      <protection hidden="1"/>
    </xf>
    <xf numFmtId="0" fontId="0" fillId="0" borderId="0" xfId="0" applyFont="1" applyProtection="1">
      <protection hidden="1"/>
    </xf>
    <xf numFmtId="0" fontId="9" fillId="0" borderId="0" xfId="0" applyFont="1" applyProtection="1">
      <protection hidden="1"/>
    </xf>
    <xf numFmtId="0" fontId="0" fillId="0" borderId="0" xfId="2" applyNumberFormat="1" applyFont="1" applyProtection="1">
      <protection hidden="1"/>
    </xf>
    <xf numFmtId="9" fontId="0" fillId="0" borderId="0" xfId="2" applyFont="1" applyProtection="1">
      <protection hidden="1"/>
    </xf>
    <xf numFmtId="2" fontId="0" fillId="0" borderId="0" xfId="0" applyNumberFormat="1" applyProtection="1">
      <protection hidden="1"/>
    </xf>
    <xf numFmtId="164" fontId="0" fillId="0" borderId="0" xfId="2" applyNumberFormat="1" applyFont="1" applyProtection="1">
      <protection hidden="1"/>
    </xf>
    <xf numFmtId="0" fontId="0" fillId="0" borderId="0" xfId="0" quotePrefix="1" applyNumberFormat="1" applyAlignment="1" applyProtection="1">
      <alignment wrapText="1"/>
      <protection hidden="1"/>
    </xf>
    <xf numFmtId="49" fontId="0" fillId="0" borderId="0" xfId="0" applyNumberFormat="1" applyFill="1" applyAlignment="1" applyProtection="1">
      <alignment wrapText="1"/>
      <protection hidden="1"/>
    </xf>
    <xf numFmtId="0" fontId="0" fillId="0" borderId="0" xfId="0" applyNumberFormat="1" applyAlignment="1" applyProtection="1">
      <alignment wrapText="1"/>
      <protection hidden="1"/>
    </xf>
    <xf numFmtId="0" fontId="0" fillId="0" borderId="0" xfId="0" quotePrefix="1" applyFill="1" applyAlignment="1" applyProtection="1">
      <alignment wrapText="1"/>
      <protection hidden="1"/>
    </xf>
    <xf numFmtId="0" fontId="0" fillId="0" borderId="0" xfId="0" applyAlignment="1" applyProtection="1">
      <protection hidden="1"/>
    </xf>
    <xf numFmtId="0" fontId="0" fillId="0" borderId="0" xfId="0" applyFill="1" applyAlignment="1" applyProtection="1">
      <alignment vertical="center"/>
      <protection hidden="1"/>
    </xf>
    <xf numFmtId="0" fontId="0" fillId="0" borderId="0" xfId="0" applyFill="1" applyAlignment="1" applyProtection="1">
      <alignment vertical="center" wrapText="1"/>
      <protection hidden="1"/>
    </xf>
    <xf numFmtId="0" fontId="0" fillId="0" borderId="0" xfId="0" quotePrefix="1" applyProtection="1">
      <protection hidden="1"/>
    </xf>
    <xf numFmtId="0" fontId="27" fillId="4" borderId="0" xfId="0" applyFont="1" applyFill="1" applyAlignment="1" applyProtection="1">
      <alignment horizontal="center"/>
      <protection hidden="1"/>
    </xf>
    <xf numFmtId="0" fontId="24" fillId="4" borderId="0" xfId="0" applyFont="1" applyFill="1" applyAlignment="1" applyProtection="1">
      <alignment horizontal="center"/>
      <protection hidden="1"/>
    </xf>
    <xf numFmtId="0" fontId="24" fillId="2" borderId="0" xfId="0" applyFont="1" applyFill="1" applyAlignment="1" applyProtection="1">
      <alignment horizontal="center"/>
      <protection hidden="1"/>
    </xf>
    <xf numFmtId="0" fontId="13" fillId="4" borderId="0" xfId="0" applyFont="1" applyFill="1" applyAlignment="1" applyProtection="1">
      <alignment horizontal="left" vertical="top" indent="1"/>
      <protection hidden="1"/>
    </xf>
    <xf numFmtId="0" fontId="13" fillId="2" borderId="0" xfId="0" applyFont="1" applyFill="1" applyAlignment="1" applyProtection="1">
      <alignment horizontal="left" vertical="top" indent="1"/>
      <protection hidden="1"/>
    </xf>
    <xf numFmtId="0" fontId="12" fillId="4" borderId="1" xfId="0" applyFont="1" applyFill="1" applyBorder="1" applyAlignment="1" applyProtection="1">
      <alignment horizontal="right" vertical="center" wrapText="1" indent="1"/>
      <protection hidden="1"/>
    </xf>
    <xf numFmtId="0" fontId="12" fillId="2" borderId="4" xfId="0" applyFont="1" applyFill="1" applyBorder="1" applyAlignment="1" applyProtection="1">
      <alignment horizontal="right" vertical="center" wrapText="1" indent="1"/>
      <protection hidden="1"/>
    </xf>
    <xf numFmtId="0" fontId="12" fillId="2" borderId="6" xfId="0" applyFont="1" applyFill="1" applyBorder="1" applyAlignment="1" applyProtection="1">
      <alignment horizontal="right" vertical="center" wrapText="1" indent="1"/>
      <protection hidden="1"/>
    </xf>
    <xf numFmtId="0" fontId="11" fillId="4" borderId="2" xfId="0" applyFont="1" applyFill="1" applyBorder="1" applyAlignment="1" applyProtection="1">
      <alignment horizontal="left" vertical="center" wrapText="1" indent="2"/>
      <protection hidden="1"/>
    </xf>
    <xf numFmtId="0" fontId="11" fillId="2" borderId="0" xfId="0" applyFont="1" applyFill="1" applyBorder="1" applyAlignment="1" applyProtection="1">
      <alignment horizontal="left" vertical="center" wrapText="1" indent="2"/>
      <protection hidden="1"/>
    </xf>
    <xf numFmtId="0" fontId="11" fillId="2" borderId="7" xfId="0" applyFont="1" applyFill="1" applyBorder="1" applyAlignment="1" applyProtection="1">
      <alignment horizontal="left" vertical="center" wrapText="1" indent="2"/>
      <protection hidden="1"/>
    </xf>
    <xf numFmtId="0" fontId="11" fillId="4" borderId="4" xfId="0" applyFont="1" applyFill="1" applyBorder="1" applyAlignment="1" applyProtection="1">
      <alignment horizontal="left" vertical="center" wrapText="1" indent="1"/>
      <protection hidden="1"/>
    </xf>
    <xf numFmtId="0" fontId="11" fillId="2" borderId="0" xfId="0" applyFont="1" applyFill="1" applyBorder="1" applyAlignment="1" applyProtection="1">
      <alignment horizontal="left" vertical="center" wrapText="1" indent="1"/>
      <protection hidden="1"/>
    </xf>
    <xf numFmtId="0" fontId="11" fillId="4" borderId="1" xfId="0" applyFont="1" applyFill="1" applyBorder="1" applyAlignment="1" applyProtection="1">
      <alignment horizontal="left" vertical="center" wrapText="1" indent="1"/>
      <protection hidden="1"/>
    </xf>
    <xf numFmtId="0" fontId="11" fillId="2" borderId="2" xfId="0" applyFont="1" applyFill="1" applyBorder="1" applyAlignment="1" applyProtection="1">
      <alignment horizontal="left" vertical="center" wrapText="1" indent="1"/>
      <protection hidden="1"/>
    </xf>
    <xf numFmtId="0" fontId="11" fillId="4" borderId="6" xfId="0" applyFont="1" applyFill="1" applyBorder="1" applyAlignment="1" applyProtection="1">
      <alignment horizontal="left" vertical="center" wrapText="1" indent="1"/>
      <protection hidden="1"/>
    </xf>
    <xf numFmtId="0" fontId="11" fillId="2" borderId="7" xfId="0" applyFont="1" applyFill="1" applyBorder="1" applyAlignment="1" applyProtection="1">
      <alignment horizontal="left" vertical="center" wrapText="1" indent="1"/>
      <protection hidden="1"/>
    </xf>
    <xf numFmtId="0" fontId="0" fillId="4" borderId="4" xfId="0" applyFill="1" applyBorder="1" applyProtection="1">
      <protection hidden="1"/>
    </xf>
    <xf numFmtId="0" fontId="0" fillId="2" borderId="0" xfId="0" applyFill="1" applyBorder="1" applyProtection="1">
      <protection hidden="1"/>
    </xf>
    <xf numFmtId="0" fontId="0" fillId="2" borderId="5" xfId="0" applyFill="1" applyBorder="1" applyProtection="1">
      <protection hidden="1"/>
    </xf>
    <xf numFmtId="0" fontId="25" fillId="4" borderId="4" xfId="6" applyFill="1" applyBorder="1" applyAlignment="1" applyProtection="1">
      <alignment horizontal="left" vertical="top" wrapText="1" indent="1"/>
      <protection hidden="1"/>
    </xf>
    <xf numFmtId="0" fontId="25" fillId="2" borderId="0" xfId="6" applyFill="1" applyBorder="1" applyAlignment="1" applyProtection="1">
      <alignment horizontal="left" vertical="top" wrapText="1" indent="1"/>
      <protection hidden="1"/>
    </xf>
    <xf numFmtId="0" fontId="25" fillId="4" borderId="6" xfId="6" applyFill="1" applyBorder="1" applyAlignment="1" applyProtection="1">
      <alignment horizontal="left" vertical="top" wrapText="1" indent="1"/>
      <protection hidden="1"/>
    </xf>
    <xf numFmtId="0" fontId="25" fillId="2" borderId="7" xfId="6" applyFill="1" applyBorder="1" applyAlignment="1" applyProtection="1">
      <alignment horizontal="left" vertical="top" wrapText="1" indent="1"/>
      <protection hidden="1"/>
    </xf>
    <xf numFmtId="0" fontId="25" fillId="4" borderId="7" xfId="6" applyFill="1" applyBorder="1" applyAlignment="1" applyProtection="1">
      <alignment vertical="top"/>
      <protection hidden="1"/>
    </xf>
    <xf numFmtId="0" fontId="25" fillId="2" borderId="7" xfId="6" applyFill="1" applyBorder="1" applyAlignment="1" applyProtection="1">
      <alignment vertical="top"/>
      <protection hidden="1"/>
    </xf>
    <xf numFmtId="0" fontId="11" fillId="4" borderId="2" xfId="0" applyFont="1" applyFill="1" applyBorder="1" applyAlignment="1" applyProtection="1">
      <alignment horizontal="left" vertical="center" wrapText="1"/>
      <protection hidden="1"/>
    </xf>
    <xf numFmtId="0" fontId="11" fillId="2" borderId="2" xfId="0" applyFont="1" applyFill="1" applyBorder="1" applyAlignment="1" applyProtection="1">
      <alignment horizontal="left" vertical="center" wrapText="1"/>
      <protection hidden="1"/>
    </xf>
    <xf numFmtId="0" fontId="11" fillId="2" borderId="0" xfId="0" applyFont="1" applyFill="1" applyBorder="1" applyAlignment="1" applyProtection="1">
      <alignment horizontal="left" vertical="center" wrapText="1"/>
      <protection hidden="1"/>
    </xf>
    <xf numFmtId="0" fontId="11" fillId="4" borderId="1" xfId="0" applyFont="1" applyFill="1" applyBorder="1" applyAlignment="1" applyProtection="1">
      <alignment horizontal="left" vertical="center" wrapText="1" indent="2"/>
      <protection hidden="1"/>
    </xf>
    <xf numFmtId="0" fontId="11" fillId="2" borderId="4" xfId="0" applyFont="1" applyFill="1" applyBorder="1" applyAlignment="1" applyProtection="1">
      <alignment horizontal="left" vertical="center" wrapText="1" indent="2"/>
      <protection hidden="1"/>
    </xf>
    <xf numFmtId="0" fontId="11" fillId="2" borderId="6" xfId="0" applyFont="1" applyFill="1" applyBorder="1" applyAlignment="1" applyProtection="1">
      <alignment horizontal="left" vertical="center" wrapText="1" indent="2"/>
      <protection hidden="1"/>
    </xf>
    <xf numFmtId="0" fontId="11" fillId="2" borderId="3" xfId="0" applyFont="1" applyFill="1" applyBorder="1" applyAlignment="1" applyProtection="1">
      <alignment horizontal="left" vertical="center" wrapText="1"/>
      <protection hidden="1"/>
    </xf>
    <xf numFmtId="0" fontId="12" fillId="4" borderId="7" xfId="0" applyFont="1" applyFill="1" applyBorder="1" applyAlignment="1" applyProtection="1">
      <alignment horizontal="left" vertical="center" wrapText="1"/>
      <protection hidden="1"/>
    </xf>
    <xf numFmtId="0" fontId="12" fillId="2" borderId="7" xfId="0" applyFont="1" applyFill="1" applyBorder="1" applyAlignment="1" applyProtection="1">
      <alignment horizontal="left" vertical="center" wrapText="1"/>
      <protection hidden="1"/>
    </xf>
    <xf numFmtId="0" fontId="12" fillId="2" borderId="8" xfId="0" applyFont="1" applyFill="1" applyBorder="1" applyAlignment="1" applyProtection="1">
      <alignment horizontal="left" vertical="center" wrapText="1"/>
      <protection hidden="1"/>
    </xf>
    <xf numFmtId="0" fontId="28" fillId="4" borderId="4" xfId="0" applyFont="1" applyFill="1" applyBorder="1" applyAlignment="1" applyProtection="1">
      <alignment horizontal="center" wrapText="1"/>
      <protection hidden="1"/>
    </xf>
    <xf numFmtId="0" fontId="28" fillId="2" borderId="0" xfId="0" applyFont="1" applyFill="1" applyBorder="1" applyAlignment="1" applyProtection="1">
      <alignment horizontal="center" wrapText="1"/>
      <protection hidden="1"/>
    </xf>
    <xf numFmtId="0" fontId="11" fillId="4" borderId="0" xfId="0" applyFont="1" applyFill="1" applyBorder="1" applyAlignment="1" applyProtection="1">
      <alignment horizontal="left" vertical="center" wrapText="1"/>
      <protection hidden="1"/>
    </xf>
    <xf numFmtId="0" fontId="11" fillId="2" borderId="5" xfId="0" applyFont="1" applyFill="1" applyBorder="1" applyAlignment="1" applyProtection="1">
      <alignment horizontal="left" vertical="center" wrapText="1"/>
      <protection hidden="1"/>
    </xf>
    <xf numFmtId="0" fontId="26" fillId="4" borderId="4" xfId="0" applyFont="1" applyFill="1" applyBorder="1" applyAlignment="1" applyProtection="1">
      <alignment horizontal="center" vertical="top" wrapText="1"/>
      <protection hidden="1"/>
    </xf>
    <xf numFmtId="0" fontId="26" fillId="2" borderId="0" xfId="0" applyFont="1" applyFill="1" applyBorder="1" applyAlignment="1" applyProtection="1">
      <alignment horizontal="center" vertical="top" wrapText="1"/>
      <protection hidden="1"/>
    </xf>
    <xf numFmtId="0" fontId="26" fillId="2" borderId="4" xfId="0" applyFont="1" applyFill="1" applyBorder="1" applyAlignment="1" applyProtection="1">
      <alignment horizontal="center" vertical="top" wrapText="1"/>
      <protection hidden="1"/>
    </xf>
    <xf numFmtId="0" fontId="21" fillId="4" borderId="0" xfId="0" applyFont="1" applyFill="1" applyBorder="1" applyAlignment="1" applyProtection="1">
      <alignment horizontal="left" vertical="center" wrapText="1" indent="1"/>
      <protection hidden="1"/>
    </xf>
    <xf numFmtId="0" fontId="21" fillId="2" borderId="0" xfId="0" applyFont="1" applyFill="1" applyBorder="1" applyAlignment="1" applyProtection="1">
      <alignment horizontal="left" vertical="center" wrapText="1" indent="1"/>
      <protection hidden="1"/>
    </xf>
    <xf numFmtId="0" fontId="14" fillId="4" borderId="0" xfId="0" applyFont="1" applyFill="1" applyBorder="1" applyAlignment="1" applyProtection="1">
      <alignment horizontal="left" vertical="center" wrapText="1" indent="1"/>
      <protection hidden="1"/>
    </xf>
    <xf numFmtId="0" fontId="14" fillId="2" borderId="0" xfId="0" applyFont="1" applyFill="1" applyBorder="1" applyAlignment="1" applyProtection="1">
      <alignment horizontal="left" vertical="center" wrapText="1" indent="1"/>
      <protection hidden="1"/>
    </xf>
    <xf numFmtId="0" fontId="19" fillId="0" borderId="17" xfId="3" applyFont="1" applyBorder="1" applyAlignment="1" applyProtection="1">
      <alignment horizontal="left" vertical="top" wrapText="1" indent="1"/>
      <protection hidden="1"/>
    </xf>
    <xf numFmtId="0" fontId="19" fillId="0" borderId="18" xfId="3" applyFont="1" applyBorder="1" applyAlignment="1" applyProtection="1">
      <alignment horizontal="left" vertical="top" wrapText="1" indent="1"/>
      <protection hidden="1"/>
    </xf>
    <xf numFmtId="0" fontId="19" fillId="0" borderId="19" xfId="3" applyFont="1" applyBorder="1" applyAlignment="1" applyProtection="1">
      <alignment horizontal="left" vertical="top" wrapText="1" indent="1"/>
      <protection hidden="1"/>
    </xf>
    <xf numFmtId="0" fontId="19" fillId="0" borderId="20" xfId="3" applyFont="1" applyBorder="1" applyAlignment="1" applyProtection="1">
      <alignment horizontal="left" vertical="top" wrapText="1" indent="1"/>
      <protection hidden="1"/>
    </xf>
    <xf numFmtId="0" fontId="19" fillId="0" borderId="11" xfId="3" applyFont="1" applyBorder="1" applyAlignment="1" applyProtection="1">
      <alignment horizontal="left" vertical="top" wrapText="1" indent="1"/>
      <protection hidden="1"/>
    </xf>
    <xf numFmtId="0" fontId="19" fillId="0" borderId="21" xfId="3" applyFont="1" applyBorder="1" applyAlignment="1" applyProtection="1">
      <alignment horizontal="left" vertical="top" wrapText="1" indent="1"/>
      <protection hidden="1"/>
    </xf>
    <xf numFmtId="0" fontId="19" fillId="0" borderId="22" xfId="3" applyFont="1" applyBorder="1" applyAlignment="1" applyProtection="1">
      <alignment horizontal="left" vertical="top" wrapText="1" indent="1"/>
      <protection hidden="1"/>
    </xf>
    <xf numFmtId="0" fontId="19" fillId="0" borderId="23" xfId="3" applyFont="1" applyBorder="1" applyAlignment="1" applyProtection="1">
      <alignment horizontal="left" vertical="top" wrapText="1" indent="1"/>
      <protection hidden="1"/>
    </xf>
    <xf numFmtId="0" fontId="19" fillId="0" borderId="24" xfId="3" applyFont="1" applyBorder="1" applyAlignment="1" applyProtection="1">
      <alignment horizontal="left" vertical="top" wrapText="1" indent="1"/>
      <protection hidden="1"/>
    </xf>
    <xf numFmtId="0" fontId="29" fillId="4" borderId="2" xfId="0" applyFont="1" applyFill="1" applyBorder="1" applyAlignment="1" applyProtection="1">
      <alignment horizontal="left" vertical="center" wrapText="1" indent="1"/>
      <protection hidden="1"/>
    </xf>
    <xf numFmtId="0" fontId="29" fillId="2" borderId="2" xfId="0" applyFont="1" applyFill="1" applyBorder="1" applyAlignment="1" applyProtection="1">
      <alignment horizontal="left" vertical="center" wrapText="1" indent="1"/>
      <protection hidden="1"/>
    </xf>
    <xf numFmtId="0" fontId="14" fillId="4" borderId="0" xfId="0" applyFont="1" applyFill="1" applyBorder="1" applyAlignment="1" applyProtection="1">
      <alignment horizontal="left" vertical="center" wrapText="1"/>
      <protection hidden="1"/>
    </xf>
    <xf numFmtId="0" fontId="14" fillId="2" borderId="0" xfId="0" applyFont="1" applyFill="1" applyBorder="1" applyAlignment="1" applyProtection="1">
      <alignment horizontal="left" vertical="center" wrapText="1"/>
      <protection hidden="1"/>
    </xf>
    <xf numFmtId="0" fontId="21" fillId="4" borderId="0" xfId="0" applyFont="1" applyFill="1" applyBorder="1" applyAlignment="1" applyProtection="1">
      <alignment horizontal="left" vertical="center" wrapText="1"/>
      <protection hidden="1"/>
    </xf>
    <xf numFmtId="0" fontId="21" fillId="2" borderId="0" xfId="0" applyFont="1" applyFill="1" applyBorder="1" applyAlignment="1" applyProtection="1">
      <alignment horizontal="left" vertical="center" wrapText="1"/>
      <protection hidden="1"/>
    </xf>
    <xf numFmtId="0" fontId="14" fillId="4" borderId="0" xfId="0" applyFont="1" applyFill="1" applyBorder="1" applyAlignment="1" applyProtection="1">
      <alignment horizontal="left" vertical="center" wrapText="1" indent="2"/>
      <protection hidden="1"/>
    </xf>
    <xf numFmtId="0" fontId="14" fillId="2" borderId="0" xfId="0" applyFont="1" applyFill="1" applyBorder="1" applyAlignment="1" applyProtection="1">
      <alignment horizontal="left" vertical="center" wrapText="1" indent="2"/>
      <protection hidden="1"/>
    </xf>
    <xf numFmtId="0" fontId="11" fillId="4" borderId="0" xfId="0" applyFont="1" applyFill="1" applyBorder="1" applyAlignment="1" applyProtection="1">
      <alignment horizontal="left" vertical="center" wrapText="1" indent="2"/>
      <protection hidden="1"/>
    </xf>
    <xf numFmtId="0" fontId="16" fillId="4" borderId="0" xfId="0" applyFont="1" applyFill="1" applyBorder="1" applyAlignment="1" applyProtection="1">
      <alignment horizontal="left" vertical="center" wrapText="1" indent="1"/>
      <protection hidden="1"/>
    </xf>
    <xf numFmtId="0" fontId="16" fillId="4" borderId="26" xfId="0" applyFont="1" applyFill="1" applyBorder="1" applyAlignment="1" applyProtection="1">
      <alignment horizontal="left" vertical="center" wrapText="1" indent="1"/>
      <protection hidden="1"/>
    </xf>
    <xf numFmtId="0" fontId="18" fillId="4" borderId="0" xfId="0" applyFont="1" applyFill="1" applyBorder="1" applyAlignment="1" applyProtection="1">
      <alignment horizontal="left" vertical="center" wrapText="1"/>
      <protection hidden="1"/>
    </xf>
    <xf numFmtId="0" fontId="18" fillId="2" borderId="0" xfId="0" applyFont="1" applyFill="1" applyBorder="1" applyAlignment="1" applyProtection="1">
      <alignment horizontal="left" vertical="center" wrapText="1"/>
      <protection hidden="1"/>
    </xf>
    <xf numFmtId="0" fontId="18" fillId="2" borderId="7" xfId="0" applyFont="1" applyFill="1" applyBorder="1" applyAlignment="1" applyProtection="1">
      <alignment horizontal="left" vertical="center" wrapText="1"/>
      <protection hidden="1"/>
    </xf>
    <xf numFmtId="0" fontId="20" fillId="4" borderId="2" xfId="0" applyFont="1" applyFill="1" applyBorder="1" applyAlignment="1" applyProtection="1">
      <alignment horizontal="left" vertical="center" wrapText="1"/>
      <protection hidden="1"/>
    </xf>
    <xf numFmtId="0" fontId="20" fillId="2" borderId="2" xfId="0" applyFont="1" applyFill="1" applyBorder="1" applyAlignment="1" applyProtection="1">
      <alignment horizontal="left" vertical="center" wrapText="1"/>
      <protection hidden="1"/>
    </xf>
    <xf numFmtId="0" fontId="13" fillId="4" borderId="0" xfId="0" applyFont="1" applyFill="1" applyBorder="1" applyAlignment="1" applyProtection="1">
      <alignment horizontal="center" vertical="top"/>
      <protection hidden="1"/>
    </xf>
    <xf numFmtId="0" fontId="13" fillId="2" borderId="0" xfId="0" applyFont="1" applyFill="1" applyBorder="1" applyAlignment="1" applyProtection="1">
      <alignment horizontal="center" vertical="top"/>
      <protection hidden="1"/>
    </xf>
    <xf numFmtId="0" fontId="19" fillId="0" borderId="51" xfId="4" applyFont="1" applyFill="1" applyBorder="1" applyAlignment="1" applyProtection="1">
      <alignment horizontal="left" vertical="top" wrapText="1" indent="1"/>
      <protection hidden="1"/>
    </xf>
    <xf numFmtId="0" fontId="19" fillId="0" borderId="52" xfId="4" applyFont="1" applyFill="1" applyBorder="1" applyAlignment="1" applyProtection="1">
      <alignment horizontal="left" vertical="top" wrapText="1" indent="1"/>
      <protection hidden="1"/>
    </xf>
    <xf numFmtId="0" fontId="19" fillId="0" borderId="53" xfId="4" applyFont="1" applyFill="1" applyBorder="1" applyAlignment="1" applyProtection="1">
      <alignment horizontal="left" vertical="top" wrapText="1" indent="1"/>
      <protection hidden="1"/>
    </xf>
    <xf numFmtId="0" fontId="19" fillId="0" borderId="54" xfId="4" applyFont="1" applyFill="1" applyBorder="1" applyAlignment="1" applyProtection="1">
      <alignment horizontal="left" vertical="top" wrapText="1" indent="1"/>
      <protection hidden="1"/>
    </xf>
    <xf numFmtId="0" fontId="19" fillId="0" borderId="0" xfId="4" applyFont="1" applyFill="1" applyBorder="1" applyAlignment="1" applyProtection="1">
      <alignment horizontal="left" vertical="top" wrapText="1" indent="1"/>
      <protection hidden="1"/>
    </xf>
    <xf numFmtId="0" fontId="19" fillId="0" borderId="50" xfId="4" applyFont="1" applyFill="1" applyBorder="1" applyAlignment="1" applyProtection="1">
      <alignment horizontal="left" vertical="top" wrapText="1" indent="1"/>
      <protection hidden="1"/>
    </xf>
    <xf numFmtId="0" fontId="19" fillId="0" borderId="55" xfId="4" applyFont="1" applyFill="1" applyBorder="1" applyAlignment="1" applyProtection="1">
      <alignment horizontal="left" vertical="top" wrapText="1" indent="1"/>
      <protection hidden="1"/>
    </xf>
    <xf numFmtId="0" fontId="19" fillId="0" borderId="56" xfId="4" applyFont="1" applyFill="1" applyBorder="1" applyAlignment="1" applyProtection="1">
      <alignment horizontal="left" vertical="top" wrapText="1" indent="1"/>
      <protection hidden="1"/>
    </xf>
    <xf numFmtId="0" fontId="19" fillId="0" borderId="57" xfId="4" applyFont="1" applyFill="1" applyBorder="1" applyAlignment="1" applyProtection="1">
      <alignment horizontal="left" vertical="top" wrapText="1" indent="1"/>
      <protection hidden="1"/>
    </xf>
    <xf numFmtId="0" fontId="13" fillId="4" borderId="0" xfId="0" applyFont="1" applyFill="1" applyAlignment="1" applyProtection="1">
      <alignment horizontal="center" vertical="top" wrapText="1"/>
      <protection hidden="1"/>
    </xf>
    <xf numFmtId="0" fontId="13" fillId="2" borderId="0" xfId="0" applyFont="1" applyFill="1" applyAlignment="1" applyProtection="1">
      <alignment horizontal="center" vertical="top" wrapText="1"/>
      <protection hidden="1"/>
    </xf>
    <xf numFmtId="0" fontId="12" fillId="4" borderId="0" xfId="0" applyFont="1" applyFill="1" applyBorder="1" applyAlignment="1" applyProtection="1">
      <alignment horizontal="left" vertical="center"/>
      <protection hidden="1"/>
    </xf>
    <xf numFmtId="0" fontId="12" fillId="2" borderId="0" xfId="0" applyFont="1" applyFill="1" applyBorder="1" applyAlignment="1" applyProtection="1">
      <alignment horizontal="left" vertical="center"/>
      <protection hidden="1"/>
    </xf>
    <xf numFmtId="0" fontId="12" fillId="2" borderId="26" xfId="0" applyFont="1" applyFill="1" applyBorder="1" applyAlignment="1" applyProtection="1">
      <alignment horizontal="left" vertical="center"/>
      <protection hidden="1"/>
    </xf>
    <xf numFmtId="0" fontId="17" fillId="4" borderId="2" xfId="0" applyFont="1" applyFill="1" applyBorder="1" applyAlignment="1" applyProtection="1">
      <alignment horizontal="left" wrapText="1"/>
      <protection hidden="1"/>
    </xf>
    <xf numFmtId="0" fontId="17" fillId="2" borderId="2" xfId="0" applyFont="1" applyFill="1" applyBorder="1" applyAlignment="1" applyProtection="1">
      <alignment horizontal="left" wrapText="1"/>
      <protection hidden="1"/>
    </xf>
    <xf numFmtId="0" fontId="11" fillId="4" borderId="4" xfId="0" applyFont="1" applyFill="1" applyBorder="1" applyAlignment="1" applyProtection="1">
      <alignment horizontal="left" vertical="top" wrapText="1" indent="1"/>
      <protection hidden="1"/>
    </xf>
    <xf numFmtId="0" fontId="11" fillId="2" borderId="0" xfId="0" applyFont="1" applyFill="1" applyBorder="1" applyAlignment="1" applyProtection="1">
      <alignment horizontal="left" vertical="top" wrapText="1" indent="1"/>
      <protection hidden="1"/>
    </xf>
    <xf numFmtId="0" fontId="11" fillId="2" borderId="4" xfId="0" applyFont="1" applyFill="1" applyBorder="1" applyAlignment="1" applyProtection="1">
      <alignment horizontal="left" vertical="top" wrapText="1" indent="1"/>
      <protection hidden="1"/>
    </xf>
    <xf numFmtId="0" fontId="16" fillId="4" borderId="4" xfId="0" applyFont="1" applyFill="1" applyBorder="1" applyAlignment="1" applyProtection="1">
      <alignment horizontal="left" vertical="top" wrapText="1" indent="1"/>
      <protection hidden="1"/>
    </xf>
    <xf numFmtId="0" fontId="16" fillId="2" borderId="4" xfId="0" applyFont="1" applyFill="1" applyBorder="1" applyAlignment="1" applyProtection="1">
      <alignment horizontal="left" vertical="top" wrapText="1" indent="1"/>
      <protection hidden="1"/>
    </xf>
    <xf numFmtId="0" fontId="16" fillId="2" borderId="6" xfId="0" applyFont="1" applyFill="1" applyBorder="1" applyAlignment="1" applyProtection="1">
      <alignment horizontal="left" vertical="top" wrapText="1" indent="1"/>
      <protection hidden="1"/>
    </xf>
    <xf numFmtId="0" fontId="16" fillId="4" borderId="0" xfId="0" applyFont="1" applyFill="1" applyBorder="1" applyAlignment="1" applyProtection="1">
      <alignment vertical="top" wrapText="1"/>
      <protection hidden="1"/>
    </xf>
    <xf numFmtId="0" fontId="16" fillId="2" borderId="0" xfId="0" applyFont="1" applyFill="1" applyBorder="1" applyAlignment="1" applyProtection="1">
      <alignment vertical="top" wrapText="1"/>
      <protection hidden="1"/>
    </xf>
    <xf numFmtId="0" fontId="16" fillId="2" borderId="7" xfId="0" applyFont="1" applyFill="1" applyBorder="1" applyAlignment="1" applyProtection="1">
      <alignment vertical="top" wrapText="1"/>
      <protection hidden="1"/>
    </xf>
    <xf numFmtId="0" fontId="17" fillId="4"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center" wrapText="1"/>
      <protection hidden="1"/>
    </xf>
    <xf numFmtId="0" fontId="11" fillId="4" borderId="0" xfId="0" applyFont="1" applyFill="1" applyBorder="1" applyAlignment="1" applyProtection="1">
      <alignment horizontal="left" vertical="top" wrapText="1"/>
      <protection hidden="1"/>
    </xf>
    <xf numFmtId="0" fontId="11" fillId="2" borderId="0" xfId="0" applyFont="1" applyFill="1" applyBorder="1" applyAlignment="1" applyProtection="1">
      <alignment horizontal="left" vertical="top" wrapText="1"/>
      <protection hidden="1"/>
    </xf>
    <xf numFmtId="0" fontId="16" fillId="4" borderId="0" xfId="0" applyFont="1" applyFill="1" applyBorder="1" applyAlignment="1" applyProtection="1">
      <alignment horizontal="left" vertical="top" wrapText="1" indent="1"/>
      <protection hidden="1"/>
    </xf>
    <xf numFmtId="0" fontId="16" fillId="2" borderId="0" xfId="0" applyFont="1" applyFill="1" applyBorder="1" applyAlignment="1" applyProtection="1">
      <alignment horizontal="left" vertical="top" wrapText="1" indent="1"/>
      <protection hidden="1"/>
    </xf>
    <xf numFmtId="0" fontId="16" fillId="2" borderId="7" xfId="0" applyFont="1" applyFill="1" applyBorder="1" applyAlignment="1" applyProtection="1">
      <alignment horizontal="left" vertical="top" wrapText="1" indent="1"/>
      <protection hidden="1"/>
    </xf>
    <xf numFmtId="0" fontId="18" fillId="4" borderId="0" xfId="0" applyFont="1" applyFill="1" applyBorder="1" applyAlignment="1" applyProtection="1">
      <alignment horizontal="left" vertical="top" wrapText="1" indent="1"/>
      <protection hidden="1"/>
    </xf>
    <xf numFmtId="0" fontId="18" fillId="2" borderId="0" xfId="0" applyFont="1" applyFill="1" applyBorder="1" applyAlignment="1" applyProtection="1">
      <alignment horizontal="left" vertical="top" wrapText="1" indent="1"/>
      <protection hidden="1"/>
    </xf>
  </cellXfs>
  <cellStyles count="7">
    <cellStyle name="Drop-down menu" xfId="3" xr:uid="{9A912496-A5B6-4AB7-9E70-7A281664DF24}"/>
    <cellStyle name="Hyperlink" xfId="6" builtinId="8"/>
    <cellStyle name="Normal" xfId="0" builtinId="0"/>
    <cellStyle name="Normal 2 2" xfId="1" xr:uid="{D3CB7531-AC80-44A9-8F0A-9EF96DF6C4DF}"/>
    <cellStyle name="Percent" xfId="2" builtinId="5"/>
    <cellStyle name="Recessed cell" xfId="4" xr:uid="{442E480E-0242-4153-8B88-F0C890411FB0}"/>
    <cellStyle name="Style 1" xfId="5" xr:uid="{A99BF108-B9D9-4E8C-8A74-C66DA5572B0E}"/>
  </cellStyles>
  <dxfs count="247">
    <dxf>
      <fill>
        <patternFill>
          <bgColor rgb="FFCDFFCD"/>
        </patternFill>
      </fill>
    </dxf>
    <dxf>
      <fill>
        <patternFill>
          <bgColor rgb="FFFFCDE6"/>
        </patternFill>
      </fill>
    </dxf>
    <dxf>
      <fill>
        <patternFill>
          <bgColor rgb="FFB9DDF5"/>
        </patternFill>
      </fill>
    </dxf>
    <dxf>
      <fill>
        <patternFill>
          <bgColor rgb="FFBAA1D3"/>
        </patternFill>
      </fill>
    </dxf>
    <dxf>
      <fill>
        <patternFill>
          <bgColor rgb="FFE0A790"/>
        </patternFill>
      </fill>
    </dxf>
    <dxf>
      <fill>
        <patternFill>
          <bgColor rgb="FFEBCC95"/>
        </patternFill>
      </fill>
    </dxf>
    <dxf>
      <fill>
        <patternFill>
          <bgColor rgb="FF99B78F"/>
        </patternFill>
      </fill>
    </dxf>
    <dxf>
      <fill>
        <patternFill>
          <bgColor rgb="FFFF7C80"/>
        </patternFill>
      </fill>
    </dxf>
    <dxf>
      <fill>
        <patternFill>
          <bgColor rgb="FFFF7C80"/>
        </patternFill>
      </fill>
    </dxf>
    <dxf>
      <numFmt numFmtId="166" formatCode="0.#&quot;%&quot;"/>
    </dxf>
    <dxf>
      <fill>
        <patternFill>
          <bgColor rgb="FFFFCDE6"/>
        </patternFill>
      </fill>
    </dxf>
    <dxf>
      <fill>
        <patternFill>
          <bgColor rgb="FFCDFFCD"/>
        </patternFill>
      </fill>
    </dxf>
    <dxf>
      <fill>
        <gradientFill degree="90">
          <stop position="0">
            <color rgb="FFFFCDE6"/>
          </stop>
          <stop position="1">
            <color rgb="FFCDFFCD"/>
          </stop>
        </gradientFill>
      </fill>
    </dxf>
    <dxf>
      <fill>
        <patternFill>
          <bgColor theme="7" tint="0.59996337778862885"/>
        </patternFill>
      </fill>
    </dxf>
    <dxf>
      <fill>
        <patternFill>
          <bgColor rgb="FFFF7C80"/>
        </patternFill>
      </fill>
    </dxf>
    <dxf>
      <fill>
        <patternFill>
          <bgColor rgb="FFFF7C80"/>
        </patternFill>
      </fill>
    </dxf>
    <dxf>
      <fill>
        <patternFill>
          <bgColor theme="0" tint="-0.14996795556505021"/>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FF7C80"/>
        </patternFill>
      </fill>
    </dxf>
    <dxf>
      <fill>
        <patternFill>
          <bgColor rgb="FFFF7C80"/>
        </patternFill>
      </fill>
    </dxf>
    <dxf>
      <fill>
        <patternFill>
          <bgColor theme="7" tint="0.59996337778862885"/>
        </patternFill>
      </fill>
    </dxf>
    <dxf>
      <fill>
        <patternFill>
          <bgColor rgb="FFFF7C80"/>
        </patternFill>
      </fill>
    </dxf>
    <dxf>
      <fill>
        <patternFill>
          <bgColor rgb="FFFF7C80"/>
        </patternFill>
      </fill>
    </dxf>
    <dxf>
      <fill>
        <patternFill>
          <bgColor theme="7" tint="0.59996337778862885"/>
        </patternFill>
      </fill>
    </dxf>
    <dxf>
      <fill>
        <patternFill>
          <bgColor theme="7" tint="0.79998168889431442"/>
        </patternFill>
      </fill>
    </dxf>
    <dxf>
      <fill>
        <patternFill>
          <bgColor rgb="FFFF7C80"/>
        </patternFill>
      </fill>
    </dxf>
    <dxf>
      <fill>
        <patternFill>
          <bgColor rgb="FFFF7C80"/>
        </patternFill>
      </fill>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left/>
        <right style="thin">
          <color theme="0" tint="-0.14993743705557422"/>
        </right>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CDFFCD"/>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FFCDE6"/>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11"/>
        <color theme="0" tint="-0.14999847407452621"/>
        <name val="Calibri"/>
        <family val="2"/>
        <scheme val="minor"/>
      </font>
      <fill>
        <patternFill patternType="solid">
          <fgColor indexed="64"/>
          <bgColor theme="0" tint="-0.14999847407452621"/>
        </patternFill>
      </fill>
      <border diagonalUp="0" diagonalDown="0">
        <right style="thin">
          <color theme="0" tint="-0.14996795556505021"/>
        </right>
      </border>
      <protection locked="1" hidden="1"/>
    </dxf>
    <dxf>
      <fill>
        <patternFill patternType="solid">
          <fgColor indexed="64"/>
          <bgColor theme="0" tint="-0.249977111117893"/>
        </patternFill>
      </fill>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diagonalUp="0" diagonalDown="0">
        <right style="thin">
          <color theme="0" tint="-0.14996795556505021"/>
        </right>
      </border>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medium">
          <color theme="0" tint="-4.9989318521683403E-2"/>
        </left>
        <right/>
        <top/>
        <bottom/>
      </border>
      <protection locked="1" hidden="1"/>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medium">
          <color indexed="64"/>
        </right>
        <top/>
        <bottom/>
      </border>
      <protection locked="1" hidden="1"/>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right style="thin">
          <color theme="0" tint="-0.499984740745262"/>
        </right>
        <top/>
        <bottom/>
      </border>
      <protection locked="1" hidden="1"/>
    </dxf>
    <dxf>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rgb="FFF2F2F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8"/>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numFmt numFmtId="0" formatCode="General"/>
      <protection locked="1" hidden="1"/>
    </dxf>
    <dxf>
      <numFmt numFmtId="2" formatCode="0.00"/>
      <protection locked="1" hidden="1"/>
    </dxf>
    <dxf>
      <protection locked="1" hidden="1"/>
    </dxf>
    <dxf>
      <protection locked="1" hidden="1"/>
    </dxf>
    <dxf>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font>
        <b val="0"/>
        <i val="0"/>
        <strike val="0"/>
        <condense val="0"/>
        <extend val="0"/>
        <outline val="0"/>
        <shadow val="0"/>
        <u val="none"/>
        <vertAlign val="baseline"/>
        <sz val="9"/>
        <color theme="1"/>
        <name val="Arial"/>
        <family val="2"/>
        <scheme val="none"/>
      </font>
      <fill>
        <patternFill patternType="none">
          <fgColor indexed="64"/>
          <bgColor indexed="65"/>
        </patternFill>
      </fill>
      <border diagonalUp="0" diagonalDown="0">
        <left style="thin">
          <color theme="0" tint="-0.14996795556505021"/>
        </left>
        <right/>
        <top/>
        <bottom style="thin">
          <color theme="0" tint="-0.14996795556505021"/>
        </bottom>
      </border>
      <protection locked="1" hidden="1"/>
    </dxf>
    <dxf>
      <border outline="0">
        <bottom style="thin">
          <color theme="0" tint="-0.1499679555650502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protection locked="1" hidden="1"/>
    </dxf>
    <dxf>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numFmt numFmtId="0" formatCode="General"/>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164" formatCode="0.0%"/>
      <protection locked="1" hidden="1"/>
    </dxf>
    <dxf>
      <numFmt numFmtId="164" formatCode="0.0%"/>
      <protection locked="1" hidden="1"/>
    </dxf>
    <dxf>
      <numFmt numFmtId="164" formatCode="0.0%"/>
      <protection locked="1" hidden="1"/>
    </dxf>
    <dxf>
      <numFmt numFmtId="0" formatCode="General"/>
      <protection locked="1" hidden="1"/>
    </dxf>
    <dxf>
      <numFmt numFmtId="164" formatCode="0.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font>
        <b val="0"/>
        <i val="0"/>
        <strike val="0"/>
        <condense val="0"/>
        <extend val="0"/>
        <outline val="0"/>
        <shadow val="0"/>
        <u val="none"/>
        <vertAlign val="baseline"/>
        <sz val="11"/>
        <color theme="1"/>
        <name val="Calibri"/>
        <family val="2"/>
        <scheme val="minor"/>
      </font>
      <protection locked="1" hidden="1"/>
    </dxf>
    <dxf>
      <font>
        <b val="0"/>
        <i val="0"/>
        <strike val="0"/>
        <condense val="0"/>
        <extend val="0"/>
        <outline val="0"/>
        <shadow val="0"/>
        <u val="none"/>
        <vertAlign val="baseline"/>
        <sz val="11"/>
        <color theme="1"/>
        <name val="Calibri"/>
        <family val="2"/>
        <scheme val="minor"/>
      </font>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protection locked="1" hidden="1"/>
    </dxf>
    <dxf>
      <protection locked="1" hidden="1"/>
    </dxf>
    <dxf>
      <fill>
        <patternFill patternType="none">
          <fgColor indexed="64"/>
          <bgColor auto="1"/>
        </patternFill>
      </fill>
      <alignment horizontal="general" vertical="bottom" textRotation="0" wrapText="1" indent="0" justifyLastLine="0" shrinkToFit="0" readingOrder="0"/>
      <protection locked="1" hidden="1"/>
    </dxf>
    <dxf>
      <fill>
        <patternFill patternType="none">
          <fgColor indexed="64"/>
          <bgColor auto="1"/>
        </patternFill>
      </fil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fill>
        <patternFill patternType="solid">
          <fgColor theme="4" tint="0.79995117038483843"/>
          <bgColor rgb="FFD9E1F2"/>
        </patternFill>
      </fill>
    </dxf>
    <dxf>
      <fill>
        <patternFill patternType="solid">
          <fgColor theme="4" tint="0.79995117038483843"/>
          <bgColor rgb="FFD9E1F2"/>
        </patternFill>
      </fill>
    </dxf>
    <dxf>
      <font>
        <b/>
        <color theme="1"/>
      </font>
    </dxf>
    <dxf>
      <font>
        <b/>
        <color theme="1"/>
      </font>
    </dxf>
    <dxf>
      <font>
        <b/>
        <color theme="1"/>
      </font>
      <border>
        <top style="double">
          <color rgb="FF4472C4"/>
        </top>
      </border>
    </dxf>
    <dxf>
      <font>
        <b/>
        <color theme="0"/>
      </font>
      <fill>
        <patternFill patternType="solid">
          <fgColor theme="4"/>
          <bgColor rgb="FF4472C4"/>
        </patternFill>
      </fill>
    </dxf>
    <dxf>
      <font>
        <color theme="1"/>
      </font>
      <fill>
        <patternFill patternType="none">
          <bgColor auto="1"/>
        </patternFill>
      </fill>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RANAS Analyser Hidden Table Style" pivot="0" count="7" xr9:uid="{63C53791-DCD1-4204-AD23-43C051B61560}">
      <tableStyleElement type="wholeTable" dxfId="246"/>
      <tableStyleElement type="headerRow" dxfId="245"/>
      <tableStyleElement type="totalRow" dxfId="244"/>
      <tableStyleElement type="firstColumn" dxfId="243"/>
      <tableStyleElement type="lastColumn" dxfId="242"/>
      <tableStyleElement type="firstRowStripe" dxfId="241"/>
      <tableStyleElement type="firstColumnStripe" dxfId="240"/>
    </tableStyle>
  </tableStyles>
  <colors>
    <mruColors>
      <color rgb="FFFFCDE6"/>
      <color rgb="FF2DC8FF"/>
      <color rgb="FF8DF870"/>
      <color rgb="FFCDFFCD"/>
      <color rgb="FFFFB7DB"/>
      <color rgb="FF99B78F"/>
      <color rgb="FFEBCC95"/>
      <color rgb="FFE0A790"/>
      <color rgb="FFBAA1D3"/>
      <color rgb="FFB9D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7265168281736"/>
          <c:y val="0.160225105058589"/>
          <c:w val="0.87389729979161335"/>
          <c:h val="0.61800051632890152"/>
        </c:manualLayout>
      </c:layout>
      <c:barChart>
        <c:barDir val="col"/>
        <c:grouping val="stacked"/>
        <c:varyColors val="0"/>
        <c:ser>
          <c:idx val="1"/>
          <c:order val="0"/>
          <c:tx>
            <c:strRef>
              <c:f>'Cutoff - Seuil'!$F$24</c:f>
              <c:strCache>
                <c:ptCount val="1"/>
                <c:pt idx="0">
                  <c:v>Non-doers</c:v>
                </c:pt>
              </c:strCache>
            </c:strRef>
          </c:tx>
          <c:spPr>
            <a:solidFill>
              <a:schemeClr val="accent1"/>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Seuil'!$F$26:$F$35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680E-4296-A2B0-E5D50876C606}"/>
            </c:ext>
          </c:extLst>
        </c:ser>
        <c:ser>
          <c:idx val="0"/>
          <c:order val="1"/>
          <c:tx>
            <c:strRef>
              <c:f>'Cutoff - Seuil'!$G$24</c:f>
              <c:strCache>
                <c:ptCount val="1"/>
                <c:pt idx="0">
                  <c:v>Doers</c:v>
                </c:pt>
              </c:strCache>
            </c:strRef>
          </c:tx>
          <c:spPr>
            <a:solidFill>
              <a:schemeClr val="accent2"/>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Seuil'!$G$26:$G$35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680E-4296-A2B0-E5D50876C606}"/>
            </c:ext>
          </c:extLst>
        </c:ser>
        <c:dLbls>
          <c:showLegendKey val="0"/>
          <c:showVal val="0"/>
          <c:showCatName val="0"/>
          <c:showSerName val="0"/>
          <c:showPercent val="0"/>
          <c:showBubbleSize val="0"/>
        </c:dLbls>
        <c:gapWidth val="100"/>
        <c:overlap val="100"/>
        <c:axId val="728579384"/>
        <c:axId val="726748168"/>
      </c:barChart>
      <c:catAx>
        <c:axId val="728579384"/>
        <c:scaling>
          <c:orientation val="minMax"/>
        </c:scaling>
        <c:delete val="0"/>
        <c:axPos val="b"/>
        <c:title>
          <c:tx>
            <c:strRef>
              <c:f>[0]!langSpecBehaviourScore</c:f>
              <c:strCache>
                <c:ptCount val="1"/>
                <c:pt idx="0">
                  <c:v>Behaviour score</c:v>
                </c:pt>
              </c:strCache>
            </c:strRef>
          </c:tx>
          <c:overlay val="0"/>
          <c:spPr>
            <a:noFill/>
            <a:ln>
              <a:noFill/>
            </a:ln>
            <a:effectLst/>
          </c:spPr>
          <c:txPr>
            <a:bodyPr rot="0" spcFirstLastPara="1" vertOverflow="ellipsis" vert="horz" wrap="square" anchor="ctr" anchorCtr="1"/>
            <a:lstStyle/>
            <a:p>
              <a:pPr algn="ctr" rtl="0">
                <a:defRPr lang="en-GB"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ysClr val="windowText" lastClr="000000"/>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6748168"/>
        <c:crosses val="autoZero"/>
        <c:auto val="1"/>
        <c:lblAlgn val="ctr"/>
        <c:lblOffset val="100"/>
        <c:noMultiLvlLbl val="0"/>
      </c:catAx>
      <c:valAx>
        <c:axId val="726748168"/>
        <c:scaling>
          <c:orientation val="minMax"/>
        </c:scaling>
        <c:delete val="0"/>
        <c:axPos val="l"/>
        <c:majorGridlines>
          <c:spPr>
            <a:ln w="9525" cap="flat" cmpd="sng" algn="ctr">
              <a:solidFill>
                <a:schemeClr val="tx1">
                  <a:lumMod val="15000"/>
                  <a:lumOff val="85000"/>
                </a:schemeClr>
              </a:solidFill>
              <a:round/>
            </a:ln>
            <a:effectLst/>
          </c:spPr>
        </c:majorGridlines>
        <c:title>
          <c:tx>
            <c:strRef>
              <c:f>[0]!langSpecNumResponses</c:f>
              <c:strCache>
                <c:ptCount val="1"/>
                <c:pt idx="0">
                  <c:v># of responses</c:v>
                </c:pt>
              </c:strCache>
            </c:strRef>
          </c:tx>
          <c:layout>
            <c:manualLayout>
              <c:xMode val="edge"/>
              <c:yMode val="edge"/>
              <c:x val="2.6129152668906308E-2"/>
              <c:y val="0.25965104771739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8579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55900165568856"/>
          <c:y val="0.13855498622017404"/>
          <c:w val="0.74743220025560975"/>
          <c:h val="0.78433146061380798"/>
        </c:manualLayout>
      </c:layout>
      <c:barChart>
        <c:barDir val="col"/>
        <c:grouping val="clustered"/>
        <c:varyColors val="0"/>
        <c:ser>
          <c:idx val="0"/>
          <c:order val="0"/>
          <c:tx>
            <c:strRef>
              <c:f>'Cutoff - Seuil'!$K$24</c:f>
              <c:strCache>
                <c:ptCount val="1"/>
                <c:pt idx="0">
                  <c:v>Non-doers</c:v>
                </c:pt>
              </c:strCache>
            </c:strRef>
          </c:tx>
          <c:spPr>
            <a:solidFill>
              <a:schemeClr val="accent1"/>
            </a:solidFill>
            <a:ln>
              <a:noFill/>
            </a:ln>
            <a:effectLst/>
          </c:spPr>
          <c:invertIfNegative val="0"/>
          <c:val>
            <c:numRef>
              <c:f>'Cutoff - Seuil'!$K$26</c:f>
              <c:numCache>
                <c:formatCode>0.0%</c:formatCode>
                <c:ptCount val="1"/>
                <c:pt idx="0">
                  <c:v>0</c:v>
                </c:pt>
              </c:numCache>
            </c:numRef>
          </c:val>
          <c:extLst>
            <c:ext xmlns:c16="http://schemas.microsoft.com/office/drawing/2014/chart" uri="{C3380CC4-5D6E-409C-BE32-E72D297353CC}">
              <c16:uniqueId val="{00000000-52B6-4F07-9DA0-33D5EC459235}"/>
            </c:ext>
          </c:extLst>
        </c:ser>
        <c:ser>
          <c:idx val="1"/>
          <c:order val="1"/>
          <c:tx>
            <c:strRef>
              <c:f>'Cutoff - Seuil'!$L$24</c:f>
              <c:strCache>
                <c:ptCount val="1"/>
                <c:pt idx="0">
                  <c:v>Doers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D48-4620-95F1-46086A232F02}"/>
              </c:ext>
            </c:extLst>
          </c:dPt>
          <c:val>
            <c:numRef>
              <c:f>'Cutoff - Seuil'!$L$26</c:f>
              <c:numCache>
                <c:formatCode>0.0%</c:formatCode>
                <c:ptCount val="1"/>
                <c:pt idx="0">
                  <c:v>0</c:v>
                </c:pt>
              </c:numCache>
            </c:numRef>
          </c:val>
          <c:extLst>
            <c:ext xmlns:c16="http://schemas.microsoft.com/office/drawing/2014/chart" uri="{C3380CC4-5D6E-409C-BE32-E72D297353CC}">
              <c16:uniqueId val="{00000001-52B6-4F07-9DA0-33D5EC459235}"/>
            </c:ext>
          </c:extLst>
        </c:ser>
        <c:ser>
          <c:idx val="2"/>
          <c:order val="2"/>
          <c:tx>
            <c:strRef>
              <c:f>'Cutoff - Seuil'!$M$24</c:f>
              <c:strCache>
                <c:ptCount val="1"/>
                <c:pt idx="0">
                  <c:v>Difference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4214-484B-AC02-AA7DC581D2AE}"/>
              </c:ext>
            </c:extLst>
          </c:dPt>
          <c:val>
            <c:numRef>
              <c:f>'Cutoff - Seuil'!$M$26</c:f>
              <c:numCache>
                <c:formatCode>0.0%</c:formatCode>
                <c:ptCount val="1"/>
                <c:pt idx="0">
                  <c:v>0</c:v>
                </c:pt>
              </c:numCache>
            </c:numRef>
          </c:val>
          <c:extLst>
            <c:ext xmlns:c16="http://schemas.microsoft.com/office/drawing/2014/chart" uri="{C3380CC4-5D6E-409C-BE32-E72D297353CC}">
              <c16:uniqueId val="{00000002-52B6-4F07-9DA0-33D5EC459235}"/>
            </c:ext>
          </c:extLst>
        </c:ser>
        <c:dLbls>
          <c:showLegendKey val="0"/>
          <c:showVal val="0"/>
          <c:showCatName val="0"/>
          <c:showSerName val="0"/>
          <c:showPercent val="0"/>
          <c:showBubbleSize val="0"/>
        </c:dLbls>
        <c:gapWidth val="219"/>
        <c:overlap val="-27"/>
        <c:axId val="1335311871"/>
        <c:axId val="1335310207"/>
      </c:barChart>
      <c:catAx>
        <c:axId val="1335311871"/>
        <c:scaling>
          <c:orientation val="minMax"/>
        </c:scaling>
        <c:delete val="0"/>
        <c:axPos val="b"/>
        <c:numFmt formatCode="General" sourceLinked="1"/>
        <c:majorTickMark val="none"/>
        <c:minorTickMark val="none"/>
        <c:tickLblPos val="none"/>
        <c:spPr>
          <a:noFill/>
          <a:ln w="1270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strRef>
              <c:f>[0]!langSpecPercentResponses</c:f>
              <c:strCache>
                <c:ptCount val="1"/>
                <c:pt idx="0">
                  <c:v>% of responses</c:v>
                </c:pt>
              </c:strCache>
            </c:strRef>
          </c:tx>
          <c:overlay val="0"/>
          <c:spPr>
            <a:noFill/>
            <a:ln>
              <a:noFill/>
            </a:ln>
            <a:effectLst/>
          </c:spPr>
          <c:txPr>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Non-doers</c:v>
                </c:pt>
              </c:strCache>
            </c:strRef>
          </c:tx>
          <c:spPr>
            <a:solidFill>
              <a:schemeClr val="accent1"/>
            </a:solidFill>
            <a:ln>
              <a:noFill/>
            </a:ln>
            <a:effectLst/>
          </c:spPr>
          <c:invertIfNegative val="0"/>
          <c:cat>
            <c:multiLvlStrRef>
              <c:f>[0]!chartFactorRange2</c:f>
            </c:multiLvlStrRef>
          </c:cat>
          <c:val>
            <c:numRef>
              <c:f>[0]!chartNondoersRange2</c:f>
              <c:numCache>
                <c:formatCode>0.0%</c:formatCode>
                <c:ptCount val="1"/>
                <c:pt idx="0">
                  <c:v>0</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Doers</c:v>
                </c:pt>
              </c:strCache>
            </c:strRef>
          </c:tx>
          <c:spPr>
            <a:solidFill>
              <a:schemeClr val="accent2"/>
            </a:solidFill>
            <a:ln>
              <a:noFill/>
            </a:ln>
            <a:effectLst/>
          </c:spPr>
          <c:invertIfNegative val="0"/>
          <c:cat>
            <c:multiLvlStrRef>
              <c:f>[0]!chartFactorRange2</c:f>
            </c:multiLvlStrRef>
          </c:cat>
          <c:val>
            <c:numRef>
              <c:f>[0]!chartDoersRange2</c:f>
              <c:numCache>
                <c:formatCode>0.0%</c:formatCode>
                <c:ptCount val="1"/>
                <c:pt idx="0">
                  <c:v>0</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Difference</c:v>
                </c:pt>
              </c:strCache>
            </c:strRef>
          </c:tx>
          <c:spPr>
            <a:solidFill>
              <a:schemeClr val="accent3"/>
            </a:solidFill>
            <a:ln>
              <a:noFill/>
            </a:ln>
            <a:effectLst/>
          </c:spPr>
          <c:invertIfNegative val="0"/>
          <c:cat>
            <c:multiLvlStrRef>
              <c:f>[0]!chartFactorRange2</c:f>
            </c:multiLvlStrRef>
          </c:cat>
          <c:val>
            <c:numRef>
              <c:f>[0]!chartDifferenceRange2</c:f>
              <c:numCache>
                <c:formatCode>0.0%</c:formatCode>
                <c:ptCount val="1"/>
                <c:pt idx="0">
                  <c:v>0</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c:v>
                </c:pt>
                <c:pt idx="1">
                  <c:v>1</c:v>
                </c:pt>
              </c:numCache>
            </c:numRef>
          </c:val>
          <c:smooth val="0"/>
          <c:extLst>
            <c:ext xmlns:c16="http://schemas.microsoft.com/office/drawing/2014/chart" uri="{C3380CC4-5D6E-409C-BE32-E72D297353CC}">
              <c16:uniqueId val="{00000001-58E4-4422-8A92-F5AD2199B439}"/>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Normalised mean score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Non-doers</c:v>
                </c:pt>
              </c:strCache>
            </c:strRef>
          </c:tx>
          <c:spPr>
            <a:solidFill>
              <a:schemeClr val="accent1"/>
            </a:solidFill>
            <a:ln>
              <a:noFill/>
            </a:ln>
            <a:effectLst/>
          </c:spPr>
          <c:invertIfNegative val="0"/>
          <c:cat>
            <c:multiLvlStrRef>
              <c:f>[0]!chartFactorRange1</c:f>
            </c:multiLvlStrRef>
          </c:cat>
          <c:val>
            <c:numRef>
              <c:f>[0]!chartNondoersRange1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Doers</c:v>
                </c:pt>
              </c:strCache>
            </c:strRef>
          </c:tx>
          <c:spPr>
            <a:solidFill>
              <a:schemeClr val="accent2"/>
            </a:solidFill>
            <a:ln>
              <a:noFill/>
            </a:ln>
            <a:effectLst/>
          </c:spPr>
          <c:invertIfNegative val="0"/>
          <c:cat>
            <c:multiLvlStrRef>
              <c:f>[0]!chartFactorRange1</c:f>
            </c:multiLvlStrRef>
          </c:cat>
          <c:val>
            <c:numRef>
              <c:f>[0]!chartDoersRange1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Difference</c:v>
                </c:pt>
              </c:strCache>
            </c:strRef>
          </c:tx>
          <c:spPr>
            <a:solidFill>
              <a:schemeClr val="accent3"/>
            </a:solidFill>
            <a:ln>
              <a:noFill/>
            </a:ln>
            <a:effectLst/>
          </c:spPr>
          <c:invertIfNegative val="0"/>
          <c:cat>
            <c:multiLvlStrRef>
              <c:f>[0]!chartFactorRange1</c:f>
            </c:multiLvlStrRef>
          </c:cat>
          <c:val>
            <c:numRef>
              <c:f>[0]!chartDifferenceRange1</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c:v>
                </c:pt>
                <c:pt idx="1">
                  <c:v>1</c:v>
                </c:pt>
              </c:numCache>
            </c:numRef>
          </c:val>
          <c:smooth val="0"/>
          <c:extLst>
            <c:ext xmlns:c16="http://schemas.microsoft.com/office/drawing/2014/chart" uri="{C3380CC4-5D6E-409C-BE32-E72D297353CC}">
              <c16:uniqueId val="{00000000-8516-409F-B009-B0855F322E26}"/>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Normalised mean score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H$6" max="100" page="10" val="57"/>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91440</xdr:rowOff>
    </xdr:from>
    <xdr:ext cx="5505450" cy="1369823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0" y="91440"/>
          <a:ext cx="5505450" cy="136982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100" b="1" u="sng"/>
            <a:t>Worksheet protection before publication</a:t>
          </a:r>
        </a:p>
        <a:p>
          <a:r>
            <a:rPr lang="en-GB" sz="1100"/>
            <a:t>In the final, end-user version of this workbook, some items are hidden or protected to prevent accidental</a:t>
          </a:r>
          <a:r>
            <a:rPr lang="en-GB" sz="1100" baseline="0"/>
            <a:t> modifications by the user. Here's the step-by-step procedure to publish a new end-user version from the current "dev version". The end-user version is produced in 2 copies: a "blank" version and a "demo" version, the latter containing an example "data" sheet and a "Demo" sheet to illustrate how the Analyser works. There are also (for the time being) two versions for each of those copies: an "Excel 365" version (only compatible with recent versions of Excel) and a "Legacy" version (compatible with older versions of Excel).</a:t>
          </a:r>
        </a:p>
        <a:p>
          <a:endParaRPr lang="en-GB" sz="1100" baseline="0"/>
        </a:p>
        <a:p>
          <a:pPr marL="228600" indent="-228600">
            <a:buFont typeface="+mj-lt"/>
            <a:buAutoNum type="arabicPeriod"/>
          </a:pPr>
          <a:r>
            <a:rPr lang="en-GB" sz="1100" baseline="0"/>
            <a:t>Decide on a version number for the new published version. E.g. "v1.2.0".</a:t>
          </a:r>
        </a:p>
        <a:p>
          <a:pPr marL="228600" indent="-228600">
            <a:buFont typeface="+mj-lt"/>
            <a:buAutoNum type="arabicPeriod"/>
          </a:pPr>
          <a:r>
            <a:rPr lang="en-GB" sz="1100" baseline="0"/>
            <a:t>Update the versionNumber variable in the "MANUAL-ENTRY VARIABLES TABLE" in the "HiddenTables" sheet.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Save the current "dev version"; mark it as final; rename it with the chosen version number; </a:t>
          </a:r>
          <a:r>
            <a:rPr lang="en-GB" sz="1100" b="1" u="sng" baseline="0">
              <a:solidFill>
                <a:schemeClr val="dk1"/>
              </a:solidFill>
              <a:effectLst/>
              <a:latin typeface="+mn-lt"/>
              <a:ea typeface="+mn-ea"/>
              <a:cs typeface="+mn-cs"/>
            </a:rPr>
            <a:t>archive</a:t>
          </a:r>
          <a:r>
            <a:rPr lang="en-GB" sz="1100" baseline="0">
              <a:solidFill>
                <a:schemeClr val="dk1"/>
              </a:solidFill>
              <a:effectLst/>
              <a:latin typeface="+mn-lt"/>
              <a:ea typeface="+mn-ea"/>
              <a:cs typeface="+mn-cs"/>
            </a:rPr>
            <a:t>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Make </a:t>
          </a:r>
          <a:r>
            <a:rPr lang="en-GB" sz="1100" b="1" u="sng" baseline="0">
              <a:solidFill>
                <a:schemeClr val="dk1"/>
              </a:solidFill>
              <a:effectLst/>
              <a:latin typeface="+mn-lt"/>
              <a:ea typeface="+mn-ea"/>
              <a:cs typeface="+mn-cs"/>
            </a:rPr>
            <a:t>2</a:t>
          </a:r>
          <a:r>
            <a:rPr lang="en-GB" sz="1100" b="0" u="none" baseline="0">
              <a:solidFill>
                <a:schemeClr val="dk1"/>
              </a:solidFill>
              <a:effectLst/>
              <a:latin typeface="+mn-lt"/>
              <a:ea typeface="+mn-ea"/>
              <a:cs typeface="+mn-cs"/>
            </a:rPr>
            <a:t> copies of that archived version if only producing "Excel 365" versions. Make </a:t>
          </a:r>
          <a:r>
            <a:rPr lang="en-GB" sz="1100" b="1" u="sng" baseline="0">
              <a:solidFill>
                <a:schemeClr val="dk1"/>
              </a:solidFill>
              <a:effectLst/>
              <a:latin typeface="+mn-lt"/>
              <a:ea typeface="+mn-ea"/>
              <a:cs typeface="+mn-cs"/>
            </a:rPr>
            <a:t>3</a:t>
          </a:r>
          <a:r>
            <a:rPr lang="en-GB" sz="1100" b="0" u="none" baseline="0">
              <a:solidFill>
                <a:schemeClr val="dk1"/>
              </a:solidFill>
              <a:effectLst/>
              <a:latin typeface="+mn-lt"/>
              <a:ea typeface="+mn-ea"/>
              <a:cs typeface="+mn-cs"/>
            </a:rPr>
            <a:t> copies if also producing "Legacy" versions from the same file.</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solidFill>
                <a:schemeClr val="dk1"/>
              </a:solidFill>
              <a:effectLst/>
              <a:latin typeface="+mn-lt"/>
              <a:ea typeface="+mn-ea"/>
              <a:cs typeface="+mn-cs"/>
            </a:rPr>
            <a:t>One copy is the next "dev version": rename it with an incremented version number (e.g. "v1.2.1"); open it and unmark it as final; update the version number in the "MANUAL-ENTRY VARIABLES TABLE" with this incremented number; save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The second copy will be the new published "demo" version: </a:t>
          </a:r>
          <a:r>
            <a:rPr lang="en-GB" sz="1100" b="0" baseline="0">
              <a:solidFill>
                <a:schemeClr val="dk1"/>
              </a:solidFill>
              <a:effectLst/>
              <a:latin typeface="+mn-lt"/>
              <a:ea typeface="+mn-ea"/>
              <a:cs typeface="+mn-cs"/>
            </a:rPr>
            <a:t>rename it with an appropriate name for the "demo" version, keeping its version number (e.g. "RANAS Analyser v1.2.0 (Excel 365) - demo version"); open it and unmark it as final. Do the same with the third copy if also producing a "Legacy" version (and rename it with "(Legacy)").</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baseline="0">
              <a:solidFill>
                <a:schemeClr val="dk1"/>
              </a:solidFill>
              <a:effectLst/>
              <a:latin typeface="+mn-lt"/>
              <a:ea typeface="+mn-ea"/>
              <a:cs typeface="+mn-cs"/>
            </a:rPr>
            <a:t>If producing a "Legacy" version, replace all formulae that need it with their "Legacy" versions (in-sheet, Named Manager, CF and DV rules). Also </a:t>
          </a:r>
          <a:r>
            <a:rPr lang="en-GB" sz="1100" b="1" u="sng" baseline="0">
              <a:solidFill>
                <a:schemeClr val="dk1"/>
              </a:solidFill>
              <a:effectLst/>
              <a:latin typeface="+mn-lt"/>
              <a:ea typeface="+mn-ea"/>
              <a:cs typeface="+mn-cs"/>
            </a:rPr>
            <a:t>delete non-legacy objects from the Name Manager</a:t>
          </a:r>
          <a:r>
            <a:rPr lang="en-GB" sz="1100" b="0" baseline="0">
              <a:solidFill>
                <a:schemeClr val="dk1"/>
              </a:solidFill>
              <a:effectLst/>
              <a:latin typeface="+mn-lt"/>
              <a:ea typeface="+mn-ea"/>
              <a:cs typeface="+mn-cs"/>
            </a:rPr>
            <a:t> (user-defined functions using LAMBDA(), LET()), so that they don't generate warnings or errors in older Excel versions. In "Introduction" and "Configuration", replace "(Excel 365 version)" with "(Legacy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Delete any sheet that's only used for development (e.g. "dev_notes", "Audit" sheets).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a:t>
          </a:r>
          <a:r>
            <a:rPr lang="en-GB" sz="1100" baseline="0">
              <a:effectLst/>
            </a:rPr>
            <a:t> actual header rows of tables (</a:t>
          </a:r>
          <a:r>
            <a:rPr lang="en-GB" sz="1100" baseline="0">
              <a:solidFill>
                <a:schemeClr val="dk1"/>
              </a:solidFill>
              <a:effectLst/>
              <a:latin typeface="+mn-lt"/>
              <a:ea typeface="+mn-ea"/>
              <a:cs typeface="+mn-cs"/>
            </a:rPr>
            <a:t>the visible headers are dummy, language-specific headers for the user).</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three rows that contain the headers of "behaviourConfigTable", "factorsConfigTable" and "chartTranslationTable".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the row that contains the headers of both "cutoffChartTable" and "doersNondoersChartTable".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"Analysis", the row that contains the headers of "analysisChartTable".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If not already done, hide: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all sheets visible to the user, all the rows and columns after the last used ones (i.e., those not defined with a grey background).</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columns that contain the "hidden" columns of "chartTranslationTable" AFTER the thin black border (i.e., "tag" to "displayedText").</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Again, 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Select all cells in "dataCopy", "HiddenTables", "Introduction", "Demo", "Configuration", "Cutoff - Seuil" and "Analysis", and "lock &amp; hide" them (Format Cells... &gt; Protection &gt; Locked+Hidden). Then:</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"Introduction", </a:t>
          </a:r>
          <a:r>
            <a:rPr kumimoji="0" lang="en-GB" sz="1100" b="1" i="0" u="sng" strike="noStrike" kern="0" cap="none" spc="0" normalizeH="0" baseline="0" noProof="0">
              <a:ln>
                <a:noFill/>
              </a:ln>
              <a:solidFill>
                <a:prstClr val="black"/>
              </a:solidFill>
              <a:effectLst/>
              <a:uLnTx/>
              <a:uFillTx/>
              <a:latin typeface="+mn-lt"/>
              <a:ea typeface="+mn-ea"/>
              <a:cs typeface="+mn-cs"/>
            </a:rPr>
            <a:t>unlock</a:t>
          </a:r>
          <a:r>
            <a:rPr kumimoji="0" lang="en-GB" sz="1100" b="0" i="0" u="none" strike="noStrike" kern="0" cap="none" spc="0" normalizeH="0" baseline="0" noProof="0">
              <a:ln>
                <a:noFill/>
              </a:ln>
              <a:solidFill>
                <a:prstClr val="black"/>
              </a:solidFill>
              <a:effectLst/>
              <a:uLnTx/>
              <a:uFillTx/>
              <a:latin typeface="+mn-lt"/>
              <a:ea typeface="+mn-ea"/>
              <a:cs typeface="+mn-cs"/>
            </a:rPr>
            <a:t> (but keep hidden) the two cells/menus for "Interface language" and "Chart language".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and </a:t>
          </a:r>
          <a:r>
            <a:rPr lang="en-GB" sz="1100" b="1" u="sng" baseline="0">
              <a:solidFill>
                <a:schemeClr val="dk1"/>
              </a:solidFill>
              <a:effectLst/>
              <a:latin typeface="+mn-lt"/>
              <a:ea typeface="+mn-ea"/>
              <a:cs typeface="+mn-cs"/>
            </a:rPr>
            <a:t>unhide</a:t>
          </a:r>
          <a:r>
            <a:rPr lang="en-GB" sz="1100" baseline="0">
              <a:solidFill>
                <a:schemeClr val="dk1"/>
              </a:solidFill>
              <a:effectLst/>
              <a:latin typeface="+mn-lt"/>
              <a:ea typeface="+mn-ea"/>
              <a:cs typeface="+mn-cs"/>
            </a:rPr>
            <a:t> the yellow areas of all tables (use the shortcut "Go To... &gt; editableAreas" for a quick selection of those).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 the cell/menu for "Cutoff level".</a:t>
          </a:r>
          <a:br>
            <a:rPr lang="en-GB" sz="1100" baseline="0">
              <a:solidFill>
                <a:schemeClr val="dk1"/>
              </a:solidFill>
              <a:effectLst/>
              <a:latin typeface="+mn-lt"/>
              <a:ea typeface="+mn-ea"/>
              <a:cs typeface="+mn-cs"/>
            </a:rPr>
          </a:br>
          <a:r>
            <a:rPr lang="en-GB" sz="1100">
              <a:solidFill>
                <a:schemeClr val="dk1"/>
              </a:solidFill>
              <a:effectLst/>
              <a:latin typeface="+mn-lt"/>
              <a:ea typeface="+mn-ea"/>
              <a:cs typeface="+mn-cs"/>
            </a:rPr>
            <a:t>- In "Analysis",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a:t>
          </a:r>
          <a:r>
            <a:rPr lang="en-GB" sz="1100">
              <a:solidFill>
                <a:schemeClr val="dk1"/>
              </a:solidFill>
              <a:effectLst/>
              <a:latin typeface="+mn-lt"/>
              <a:ea typeface="+mn-ea"/>
              <a:cs typeface="+mn-cs"/>
            </a:rPr>
            <a:t> the cell/menu for "Data</a:t>
          </a:r>
          <a:r>
            <a:rPr lang="en-GB" sz="1100" baseline="0">
              <a:solidFill>
                <a:schemeClr val="dk1"/>
              </a:solidFill>
              <a:effectLst/>
              <a:latin typeface="+mn-lt"/>
              <a:ea typeface="+mn-ea"/>
              <a:cs typeface="+mn-cs"/>
            </a:rPr>
            <a:t> sorting</a:t>
          </a:r>
          <a:r>
            <a:rPr lang="en-GB" sz="1100">
              <a:solidFill>
                <a:schemeClr val="dk1"/>
              </a:solidFill>
              <a:effectLst/>
              <a:latin typeface="+mn-lt"/>
              <a:ea typeface="+mn-ea"/>
              <a:cs typeface="+mn-cs"/>
            </a:rPr>
            <a:t>".</a:t>
          </a:r>
          <a:endParaRPr lang="en-GB" sz="1100" baseline="0">
            <a:solidFill>
              <a:schemeClr val="dk1"/>
            </a:solidFill>
            <a:effectLst/>
            <a:latin typeface="+mn-lt"/>
            <a:ea typeface="+mn-ea"/>
            <a:cs typeface="+mn-cs"/>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Password-protect "dataCopy", "HiddenTables", "Introduction",</a:t>
          </a:r>
          <a:r>
            <a:rPr lang="en-GB" sz="1100" baseline="0">
              <a:solidFill>
                <a:schemeClr val="dk1"/>
              </a:solidFill>
              <a:effectLst/>
              <a:latin typeface="+mn-lt"/>
              <a:ea typeface="+mn-ea"/>
              <a:cs typeface="+mn-cs"/>
            </a:rPr>
            <a:t> "Demo",</a:t>
          </a:r>
          <a:r>
            <a:rPr lang="en-GB" sz="1100">
              <a:effectLst/>
            </a:rPr>
            <a:t> "Configuration", "Cutoff - Seuil" and "Analysis" using the default settings ("Select locked cells" and "Select unlocked cells" enabled).</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 row/columns headings and gridlines in "Introduction",</a:t>
          </a:r>
          <a:r>
            <a:rPr lang="en-GB" sz="1100" baseline="0">
              <a:solidFill>
                <a:schemeClr val="dk1"/>
              </a:solidFill>
              <a:effectLst/>
              <a:latin typeface="+mn-lt"/>
              <a:ea typeface="+mn-ea"/>
              <a:cs typeface="+mn-cs"/>
            </a:rPr>
            <a:t> "Demo",</a:t>
          </a:r>
          <a:r>
            <a:rPr lang="en-GB" sz="1100" baseline="0">
              <a:effectLst/>
            </a:rPr>
            <a:t> </a:t>
          </a:r>
          <a:r>
            <a:rPr lang="en-GB" sz="1100">
              <a:effectLst/>
            </a:rPr>
            <a:t>"Configuration", "Cutoff - Seuil" and "Analysis":</a:t>
          </a:r>
          <a:r>
            <a:rPr lang="en-GB" sz="1100" baseline="0">
              <a:effectLst/>
            </a:rPr>
            <a:t> </a:t>
          </a:r>
          <a:r>
            <a:rPr lang="en-GB" sz="1100">
              <a:effectLst/>
            </a:rPr>
            <a:t>View &gt; Show &gt; Headings+Gridlines. (That's just to make it look better, even though the user can revert this.)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kumimoji="0" lang="en-GB" sz="1100" b="0" i="0" u="none" strike="noStrike" kern="0" cap="none" spc="0" normalizeH="0" baseline="0" noProof="0">
              <a:ln>
                <a:noFill/>
              </a:ln>
              <a:solidFill>
                <a:prstClr val="black"/>
              </a:solidFill>
              <a:effectLst/>
              <a:uLnTx/>
              <a:uFillTx/>
              <a:latin typeface="+mn-lt"/>
              <a:ea typeface="+mn-ea"/>
              <a:cs typeface="+mn-cs"/>
            </a:rPr>
            <a:t>Hide </a:t>
          </a:r>
          <a:r>
            <a:rPr lang="en-GB" sz="1100" baseline="0">
              <a:solidFill>
                <a:schemeClr val="dk1"/>
              </a:solidFill>
              <a:effectLst/>
              <a:latin typeface="+mn-lt"/>
              <a:ea typeface="+mn-ea"/>
              <a:cs typeface="+mn-cs"/>
            </a:rPr>
            <a:t>"dataCopy" and </a:t>
          </a:r>
          <a:r>
            <a:rPr kumimoji="0" lang="en-GB" sz="1100" b="0" i="0" u="none" strike="noStrike" kern="0" cap="none" spc="0" normalizeH="0" baseline="0" noProof="0">
              <a:ln>
                <a:noFill/>
              </a:ln>
              <a:solidFill>
                <a:prstClr val="black"/>
              </a:solidFill>
              <a:effectLst/>
              <a:uLnTx/>
              <a:uFillTx/>
              <a:latin typeface="+mn-lt"/>
              <a:ea typeface="+mn-ea"/>
              <a:cs typeface="+mn-cs"/>
            </a:rPr>
            <a:t>"HiddenTables" as "very hidden" via the VBA Editor: Alt+F11 (open VBA Editor) &gt; F4 (open Properties window) &gt; set the "Visible" property for these sheets to "2 - xlSheetVeryHidden". Since the workbook cannot be protected (see note below), this will at least make it more difficult to unhide these sheets, because they won't be available through the "Unhide" function.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Save the workbook. </a:t>
          </a:r>
          <a:r>
            <a:rPr lang="en-GB" sz="1100" b="1" u="sng" baseline="0">
              <a:effectLst/>
            </a:rPr>
            <a:t>This is the end-user "demo"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Make </a:t>
          </a:r>
          <a:r>
            <a:rPr lang="en-GB" sz="1100" b="1" u="sng" baseline="0">
              <a:effectLst/>
            </a:rPr>
            <a:t>1</a:t>
          </a:r>
          <a:r>
            <a:rPr lang="en-GB" sz="1100" b="0" u="none" baseline="0">
              <a:effectLst/>
            </a:rPr>
            <a:t> copy of that version and rename it with an appropriate name for the "blank" version (e.g. "RANAS Analyser v1.2.0 (Excel 365)"); open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Delete sheets "Demo" and "data". Clear the yellow areas in "Configuration".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Save the workbook. </a:t>
          </a:r>
          <a:r>
            <a:rPr lang="en-GB" sz="1100" b="1" u="sng" baseline="0">
              <a:effectLst/>
            </a:rPr>
            <a:t>This is the end-user "blank" version.</a:t>
          </a:r>
          <a:endParaRPr lang="en-GB" sz="1100" baseline="0">
            <a:effectLst/>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endParaRPr lang="en-GB" sz="11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effectLst/>
            </a:rPr>
            <a:t>Notes: </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All charts in the "Cutoff - Seuil</a:t>
          </a:r>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and "Analysis" worksheets are left unlocked, despite the risk that the user could modify them, because that's currently the only way for the user to be able to copy them.</a:t>
          </a:r>
          <a:endParaRPr lang="en-GB">
            <a:effectLst/>
          </a:endParaRP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The workbook itself is left unprotected, otherwise the user wouldn't be able to import their data as a new spreadsheet. This is why the other sheets need to be protected with a password (because sheets protected without a password are only protected when the workbook is protected).</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168520</xdr:colOff>
      <xdr:row>14</xdr:row>
      <xdr:rowOff>1</xdr:rowOff>
    </xdr:from>
    <xdr:to>
      <xdr:col>10</xdr:col>
      <xdr:colOff>0</xdr:colOff>
      <xdr:row>15</xdr:row>
      <xdr:rowOff>0</xdr:rowOff>
    </xdr:to>
    <xdr:grpSp>
      <xdr:nvGrpSpPr>
        <xdr:cNvPr id="5" name="Group 4">
          <a:extLst>
            <a:ext uri="{FF2B5EF4-FFF2-40B4-BE49-F238E27FC236}">
              <a16:creationId xmlns:a16="http://schemas.microsoft.com/office/drawing/2014/main" id="{64BB6042-BC9C-4651-A23F-D67624DAA46D}"/>
            </a:ext>
          </a:extLst>
        </xdr:cNvPr>
        <xdr:cNvGrpSpPr>
          <a:grpSpLocks noChangeAspect="1"/>
        </xdr:cNvGrpSpPr>
      </xdr:nvGrpSpPr>
      <xdr:grpSpPr>
        <a:xfrm>
          <a:off x="426330" y="4085168"/>
          <a:ext cx="14527920" cy="836082"/>
          <a:chOff x="422520" y="4085168"/>
          <a:chExt cx="14531730" cy="836082"/>
        </a:xfrm>
      </xdr:grpSpPr>
      <xdr:sp macro="" textlink="">
        <xdr:nvSpPr>
          <xdr:cNvPr id="3" name="Rectangle 2">
            <a:extLst>
              <a:ext uri="{FF2B5EF4-FFF2-40B4-BE49-F238E27FC236}">
                <a16:creationId xmlns:a16="http://schemas.microsoft.com/office/drawing/2014/main" id="{714B1AC7-F50A-6B33-2A58-71FC8DAA40C5}"/>
              </a:ext>
            </a:extLst>
          </xdr:cNvPr>
          <xdr:cNvSpPr>
            <a:spLocks noChangeAspect="1"/>
          </xdr:cNvSpPr>
        </xdr:nvSpPr>
        <xdr:spPr>
          <a:xfrm>
            <a:off x="422520" y="4085168"/>
            <a:ext cx="14531730" cy="836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nvGrpSpPr>
          <xdr:cNvPr id="4" name="Group 3">
            <a:extLst>
              <a:ext uri="{FF2B5EF4-FFF2-40B4-BE49-F238E27FC236}">
                <a16:creationId xmlns:a16="http://schemas.microsoft.com/office/drawing/2014/main" id="{ABA6EFEB-50C4-FE34-D5EB-FA81AD0C65A3}"/>
              </a:ext>
            </a:extLst>
          </xdr:cNvPr>
          <xdr:cNvGrpSpPr/>
        </xdr:nvGrpSpPr>
        <xdr:grpSpPr>
          <a:xfrm>
            <a:off x="771912" y="4234904"/>
            <a:ext cx="13832947" cy="536610"/>
            <a:chOff x="731454" y="4254657"/>
            <a:chExt cx="13832947" cy="536610"/>
          </a:xfrm>
        </xdr:grpSpPr>
        <xdr:pic>
          <xdr:nvPicPr>
            <xdr:cNvPr id="6" name="Graphic 5">
              <a:extLst>
                <a:ext uri="{FF2B5EF4-FFF2-40B4-BE49-F238E27FC236}">
                  <a16:creationId xmlns:a16="http://schemas.microsoft.com/office/drawing/2014/main" id="{526B6410-660A-4779-66AF-6EE4EEA24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454" y="4254657"/>
              <a:ext cx="2156663" cy="536610"/>
            </a:xfrm>
            <a:prstGeom prst="rect">
              <a:avLst/>
            </a:prstGeom>
          </xdr:spPr>
        </xdr:pic>
        <xdr:pic>
          <xdr:nvPicPr>
            <xdr:cNvPr id="13" name="Graphic 12">
              <a:extLst>
                <a:ext uri="{FF2B5EF4-FFF2-40B4-BE49-F238E27FC236}">
                  <a16:creationId xmlns:a16="http://schemas.microsoft.com/office/drawing/2014/main" id="{D2BD6D71-CC83-B695-061A-94DB0CFF1F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7756" y="4300456"/>
              <a:ext cx="2615133" cy="445012"/>
            </a:xfrm>
            <a:prstGeom prst="rect">
              <a:avLst/>
            </a:prstGeom>
          </xdr:spPr>
        </xdr:pic>
        <xdr:pic>
          <xdr:nvPicPr>
            <xdr:cNvPr id="16" name="Graphic 15">
              <a:extLst>
                <a:ext uri="{FF2B5EF4-FFF2-40B4-BE49-F238E27FC236}">
                  <a16:creationId xmlns:a16="http://schemas.microsoft.com/office/drawing/2014/main" id="{84997B4E-FC91-D4C4-94F2-46F5A9857D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52053" y="4372963"/>
              <a:ext cx="3569030" cy="299998"/>
            </a:xfrm>
            <a:prstGeom prst="rect">
              <a:avLst/>
            </a:prstGeom>
          </xdr:spPr>
        </xdr:pic>
        <xdr:pic>
          <xdr:nvPicPr>
            <xdr:cNvPr id="18" name="Graphic 17">
              <a:extLst>
                <a:ext uri="{FF2B5EF4-FFF2-40B4-BE49-F238E27FC236}">
                  <a16:creationId xmlns:a16="http://schemas.microsoft.com/office/drawing/2014/main" id="{FBFD3DC4-C2E7-3AD2-097E-75F70B04B8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96436" y="4335775"/>
              <a:ext cx="2867965" cy="374374"/>
            </a:xfrm>
            <a:prstGeom prst="rect">
              <a:avLst/>
            </a:prstGeom>
          </xdr:spPr>
        </xdr:pic>
      </xdr:grpSp>
    </xdr:grpSp>
    <xdr:clientData/>
  </xdr:twoCellAnchor>
  <xdr:twoCellAnchor editAs="oneCell">
    <xdr:from>
      <xdr:col>6</xdr:col>
      <xdr:colOff>201931</xdr:colOff>
      <xdr:row>19</xdr:row>
      <xdr:rowOff>21277</xdr:rowOff>
    </xdr:from>
    <xdr:to>
      <xdr:col>6</xdr:col>
      <xdr:colOff>857250</xdr:colOff>
      <xdr:row>20</xdr:row>
      <xdr:rowOff>361587</xdr:rowOff>
    </xdr:to>
    <xdr:pic>
      <xdr:nvPicPr>
        <xdr:cNvPr id="17" name="Graphic 16">
          <a:extLst>
            <a:ext uri="{FF2B5EF4-FFF2-40B4-BE49-F238E27FC236}">
              <a16:creationId xmlns:a16="http://schemas.microsoft.com/office/drawing/2014/main" id="{7853E092-38A2-5B7A-D623-6011A5B4A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02906" y="6412552"/>
          <a:ext cx="655319" cy="656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1095249</xdr:colOff>
      <xdr:row>0</xdr:row>
      <xdr:rowOff>82296</xdr:rowOff>
    </xdr:from>
    <xdr:to>
      <xdr:col>15</xdr:col>
      <xdr:colOff>0</xdr:colOff>
      <xdr:row>2</xdr:row>
      <xdr:rowOff>0</xdr:rowOff>
    </xdr:to>
    <xdr:grpSp>
      <xdr:nvGrpSpPr>
        <xdr:cNvPr id="5" name="Group 4">
          <a:extLst>
            <a:ext uri="{FF2B5EF4-FFF2-40B4-BE49-F238E27FC236}">
              <a16:creationId xmlns:a16="http://schemas.microsoft.com/office/drawing/2014/main" id="{0D2DA0E2-5A13-4298-A182-B838A5DCD770}"/>
            </a:ext>
          </a:extLst>
        </xdr:cNvPr>
        <xdr:cNvGrpSpPr>
          <a:grpSpLocks noChangeAspect="1"/>
        </xdr:cNvGrpSpPr>
      </xdr:nvGrpSpPr>
      <xdr:grpSpPr>
        <a:xfrm>
          <a:off x="12068261" y="84201"/>
          <a:ext cx="3468072" cy="402632"/>
          <a:chOff x="11948160" y="121920"/>
          <a:chExt cx="3493008" cy="423672"/>
        </a:xfrm>
      </xdr:grpSpPr>
      <xdr:grpSp>
        <xdr:nvGrpSpPr>
          <xdr:cNvPr id="6" name="Group 5">
            <a:extLst>
              <a:ext uri="{FF2B5EF4-FFF2-40B4-BE49-F238E27FC236}">
                <a16:creationId xmlns:a16="http://schemas.microsoft.com/office/drawing/2014/main" id="{A158167F-818F-5967-CB60-612C83BEAF95}"/>
              </a:ext>
            </a:extLst>
          </xdr:cNvPr>
          <xdr:cNvGrpSpPr>
            <a:grpSpLocks noChangeAspect="1"/>
          </xdr:cNvGrpSpPr>
        </xdr:nvGrpSpPr>
        <xdr:grpSpPr>
          <a:xfrm>
            <a:off x="12004971" y="161606"/>
            <a:ext cx="3379386" cy="344301"/>
            <a:chOff x="14072871" y="518584"/>
            <a:chExt cx="5446507" cy="532800"/>
          </a:xfrm>
        </xdr:grpSpPr>
        <xdr:pic>
          <xdr:nvPicPr>
            <xdr:cNvPr id="9" name="Graphic 8">
              <a:extLst>
                <a:ext uri="{FF2B5EF4-FFF2-40B4-BE49-F238E27FC236}">
                  <a16:creationId xmlns:a16="http://schemas.microsoft.com/office/drawing/2014/main" id="{A6D4DBA9-4A74-E199-64D3-6E29B62F3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0" name="Graphic 9">
              <a:extLst>
                <a:ext uri="{FF2B5EF4-FFF2-40B4-BE49-F238E27FC236}">
                  <a16:creationId xmlns:a16="http://schemas.microsoft.com/office/drawing/2014/main" id="{9609098D-CD02-B2A8-5001-B4A4F3F4C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8" name="Rectangle 7">
            <a:extLst>
              <a:ext uri="{FF2B5EF4-FFF2-40B4-BE49-F238E27FC236}">
                <a16:creationId xmlns:a16="http://schemas.microsoft.com/office/drawing/2014/main" id="{D5F75F68-1369-6DA0-B6B3-866754F556B4}"/>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168813</xdr:colOff>
      <xdr:row>7</xdr:row>
      <xdr:rowOff>11850</xdr:rowOff>
    </xdr:from>
    <xdr:to>
      <xdr:col>8</xdr:col>
      <xdr:colOff>49530</xdr:colOff>
      <xdr:row>22</xdr:row>
      <xdr:rowOff>20955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440627</xdr:colOff>
      <xdr:row>3</xdr:row>
      <xdr:rowOff>19980</xdr:rowOff>
    </xdr:from>
    <xdr:to>
      <xdr:col>13</xdr:col>
      <xdr:colOff>365034</xdr:colOff>
      <xdr:row>21</xdr:row>
      <xdr:rowOff>152823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mc:AlternateContent xmlns:mc="http://schemas.openxmlformats.org/markup-compatibility/2006">
    <mc:Choice xmlns:a14="http://schemas.microsoft.com/office/drawing/2010/main" Requires="a14">
      <xdr:twoCellAnchor editAs="oneCell">
        <xdr:from>
          <xdr:col>8</xdr:col>
          <xdr:colOff>30480</xdr:colOff>
          <xdr:row>4</xdr:row>
          <xdr:rowOff>243840</xdr:rowOff>
        </xdr:from>
        <xdr:to>
          <xdr:col>8</xdr:col>
          <xdr:colOff>220980</xdr:colOff>
          <xdr:row>6</xdr:row>
          <xdr:rowOff>76200</xdr:rowOff>
        </xdr:to>
        <xdr:sp macro="" textlink="">
          <xdr:nvSpPr>
            <xdr:cNvPr id="10243" name="Spinner 3" hidden="1">
              <a:extLst>
                <a:ext uri="{63B3BB69-23CF-44E3-9099-C40C66FF867C}">
                  <a14:compatExt spid="_x0000_s10243"/>
                </a:ext>
                <a:ext uri="{FF2B5EF4-FFF2-40B4-BE49-F238E27FC236}">
                  <a16:creationId xmlns:a16="http://schemas.microsoft.com/office/drawing/2014/main" id="{00000000-0008-0000-0400-0000032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11</xdr:col>
      <xdr:colOff>168682</xdr:colOff>
      <xdr:row>0</xdr:row>
      <xdr:rowOff>87448</xdr:rowOff>
    </xdr:from>
    <xdr:to>
      <xdr:col>14</xdr:col>
      <xdr:colOff>249728</xdr:colOff>
      <xdr:row>2</xdr:row>
      <xdr:rowOff>115</xdr:rowOff>
    </xdr:to>
    <xdr:grpSp>
      <xdr:nvGrpSpPr>
        <xdr:cNvPr id="6" name="Group 5">
          <a:extLst>
            <a:ext uri="{FF2B5EF4-FFF2-40B4-BE49-F238E27FC236}">
              <a16:creationId xmlns:a16="http://schemas.microsoft.com/office/drawing/2014/main" id="{C2437FA1-D591-4107-9B2B-EB459B572580}"/>
            </a:ext>
          </a:extLst>
        </xdr:cNvPr>
        <xdr:cNvGrpSpPr>
          <a:grpSpLocks noChangeAspect="1"/>
        </xdr:cNvGrpSpPr>
      </xdr:nvGrpSpPr>
      <xdr:grpSpPr>
        <a:xfrm>
          <a:off x="11951742" y="89353"/>
          <a:ext cx="3460093" cy="397595"/>
          <a:chOff x="11948160" y="121920"/>
          <a:chExt cx="3493008" cy="423672"/>
        </a:xfrm>
      </xdr:grpSpPr>
      <xdr:grpSp>
        <xdr:nvGrpSpPr>
          <xdr:cNvPr id="10" name="Group 9">
            <a:extLst>
              <a:ext uri="{FF2B5EF4-FFF2-40B4-BE49-F238E27FC236}">
                <a16:creationId xmlns:a16="http://schemas.microsoft.com/office/drawing/2014/main" id="{D09753A8-B573-E8EB-B583-5118CD95FD4E}"/>
              </a:ext>
            </a:extLst>
          </xdr:cNvPr>
          <xdr:cNvGrpSpPr>
            <a:grpSpLocks noChangeAspect="1"/>
          </xdr:cNvGrpSpPr>
        </xdr:nvGrpSpPr>
        <xdr:grpSpPr>
          <a:xfrm>
            <a:off x="12004971" y="161606"/>
            <a:ext cx="3379386" cy="344301"/>
            <a:chOff x="14072871" y="518584"/>
            <a:chExt cx="5446507" cy="532800"/>
          </a:xfrm>
        </xdr:grpSpPr>
        <xdr:pic>
          <xdr:nvPicPr>
            <xdr:cNvPr id="12" name="Graphic 11">
              <a:extLst>
                <a:ext uri="{FF2B5EF4-FFF2-40B4-BE49-F238E27FC236}">
                  <a16:creationId xmlns:a16="http://schemas.microsoft.com/office/drawing/2014/main" id="{67A077E3-C694-5482-70E0-25F0DC75E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3" name="Graphic 12">
              <a:extLst>
                <a:ext uri="{FF2B5EF4-FFF2-40B4-BE49-F238E27FC236}">
                  <a16:creationId xmlns:a16="http://schemas.microsoft.com/office/drawing/2014/main" id="{9EDD1F7E-F00A-089C-4CC6-F4CA4925EC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1" name="Rectangle 10">
            <a:extLst>
              <a:ext uri="{FF2B5EF4-FFF2-40B4-BE49-F238E27FC236}">
                <a16:creationId xmlns:a16="http://schemas.microsoft.com/office/drawing/2014/main" id="{ADD8BE7E-DB36-A94D-EC47-D20A0E7B7F75}"/>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150283</xdr:colOff>
      <xdr:row>28</xdr:row>
      <xdr:rowOff>39604</xdr:rowOff>
    </xdr:from>
    <xdr:to>
      <xdr:col>15</xdr:col>
      <xdr:colOff>114790</xdr:colOff>
      <xdr:row>46</xdr:row>
      <xdr:rowOff>155358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154093</xdr:colOff>
      <xdr:row>8</xdr:row>
      <xdr:rowOff>91577</xdr:rowOff>
    </xdr:from>
    <xdr:to>
      <xdr:col>15</xdr:col>
      <xdr:colOff>110980</xdr:colOff>
      <xdr:row>27</xdr:row>
      <xdr:rowOff>21666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11</xdr:col>
      <xdr:colOff>299954</xdr:colOff>
      <xdr:row>0</xdr:row>
      <xdr:rowOff>88791</xdr:rowOff>
    </xdr:from>
    <xdr:to>
      <xdr:col>16</xdr:col>
      <xdr:colOff>0</xdr:colOff>
      <xdr:row>2</xdr:row>
      <xdr:rowOff>0</xdr:rowOff>
    </xdr:to>
    <xdr:grpSp>
      <xdr:nvGrpSpPr>
        <xdr:cNvPr id="4" name="Group 3">
          <a:extLst>
            <a:ext uri="{FF2B5EF4-FFF2-40B4-BE49-F238E27FC236}">
              <a16:creationId xmlns:a16="http://schemas.microsoft.com/office/drawing/2014/main" id="{C09F9609-5409-43D3-B511-D7805ECFA621}"/>
            </a:ext>
          </a:extLst>
        </xdr:cNvPr>
        <xdr:cNvGrpSpPr>
          <a:grpSpLocks noChangeAspect="1"/>
        </xdr:cNvGrpSpPr>
      </xdr:nvGrpSpPr>
      <xdr:grpSpPr>
        <a:xfrm>
          <a:off x="11982049" y="92601"/>
          <a:ext cx="3469618" cy="394232"/>
          <a:chOff x="11948160" y="121920"/>
          <a:chExt cx="3493008" cy="423672"/>
        </a:xfrm>
      </xdr:grpSpPr>
      <xdr:grpSp>
        <xdr:nvGrpSpPr>
          <xdr:cNvPr id="5" name="Group 4">
            <a:extLst>
              <a:ext uri="{FF2B5EF4-FFF2-40B4-BE49-F238E27FC236}">
                <a16:creationId xmlns:a16="http://schemas.microsoft.com/office/drawing/2014/main" id="{A29AA3D3-74E6-5F52-B053-16F44BF8600E}"/>
              </a:ext>
            </a:extLst>
          </xdr:cNvPr>
          <xdr:cNvGrpSpPr>
            <a:grpSpLocks noChangeAspect="1"/>
          </xdr:cNvGrpSpPr>
        </xdr:nvGrpSpPr>
        <xdr:grpSpPr>
          <a:xfrm>
            <a:off x="12004971" y="161606"/>
            <a:ext cx="3379386" cy="344301"/>
            <a:chOff x="14072871" y="518584"/>
            <a:chExt cx="5446507" cy="532800"/>
          </a:xfrm>
        </xdr:grpSpPr>
        <xdr:pic>
          <xdr:nvPicPr>
            <xdr:cNvPr id="13" name="Graphic 12">
              <a:extLst>
                <a:ext uri="{FF2B5EF4-FFF2-40B4-BE49-F238E27FC236}">
                  <a16:creationId xmlns:a16="http://schemas.microsoft.com/office/drawing/2014/main" id="{12BA0087-8552-772C-DD37-A8D3E50CA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4" name="Graphic 13">
              <a:extLst>
                <a:ext uri="{FF2B5EF4-FFF2-40B4-BE49-F238E27FC236}">
                  <a16:creationId xmlns:a16="http://schemas.microsoft.com/office/drawing/2014/main" id="{81091D63-3472-E70B-8D25-C838E76A5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2" name="Rectangle 11">
            <a:extLst>
              <a:ext uri="{FF2B5EF4-FFF2-40B4-BE49-F238E27FC236}">
                <a16:creationId xmlns:a16="http://schemas.microsoft.com/office/drawing/2014/main" id="{2F488B77-6598-CBF7-FC1B-F8E1E89812BE}"/>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ébastien MERCIER" id="{5D3AF245-2A3F-4AAD-90B1-868E92451BE0}" userId="S::sebastien.mercier@tdh.ch::30c3b16c-b0a8-48a6-afc1-161cafeb8c4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5A421-5823-4B73-B189-B78612F8E60D}" name="factorsTable" displayName="factorsTable" ref="CM2:DV32" totalsRowShown="0" headerRowDxfId="239" dataDxfId="238">
  <autoFilter ref="CM2:DV32" xr:uid="{7CF5A421-5823-4B73-B189-B78612F8E60D}"/>
  <tableColumns count="36">
    <tableColumn id="1" xr3:uid="{82BC3950-7955-42C1-A626-044D10F72A7B}" name="index" dataDxfId="237">
      <calculatedColumnFormula array="1">ROW()-ROW(factorsTable[#Headers])</calculatedColumnFormula>
    </tableColumn>
    <tableColumn id="5" xr3:uid="{C334C763-0B79-40C4-8C84-35FFF71B9899}" name="factorHeader" dataDxfId="236">
      <calculatedColumnFormula>IFERROR(
    INDEX(
      factorsConfigTable[factorHeader],
      MATCH(factorsTable[[#This Row],[index]], factorsConfigTable[index], 0)
    ),#REF!
  ) &amp; ""</calculatedColumnFormula>
    </tableColumn>
    <tableColumn id="9" xr3:uid="{5ADEB75C-70DD-4D3C-98E8-BB21F0C4BA10}" name="factorColNum" dataDxfId="235">
      <calculatedColumnFormula>IF(
    factorsTable[[#This Row],[factorHeader]] = "",
    "",
    _xlfn.IFNA(
      MATCH(factorsTable[[#This Row],[factorHeader]], dataHeaders, 0),
      _xlfn.IFNA(
        MATCH("*/" &amp; factorsTable[[#This Row],[factorHeader]], dataHeaders, 0),
        MATCH("*-" &amp; factorsTable[[#This Row],[factorHeader]], dataHeaders, 0)
      )
    )
  )</calculatedColumnFormula>
    </tableColumn>
    <tableColumn id="14" xr3:uid="{0A11D2CC-E16D-4DBE-8A92-2C4B94AA5636}" name="minScore" dataDxfId="234">
      <calculatedColumnFormula>IF(
    factorsTable[[#This Row],[factorHeader]] = "",
    "",
    IF(
      IFERROR(
        INDEX(
          factorsConfigTable[minScore],
          MATCH(factorsTable[[#This Row],[index]], factorsConfigTable[index], 0)
        ),#REF!
      ) = "",
      NA(),
      IFERROR(
        INDEX(
          factorsConfigTable[minScore],
          MATCH(factorsTable[[#This Row],[index]], factorsConfigTable[index], 0)
        ),#REF!
      )
    )
  )</calculatedColumnFormula>
    </tableColumn>
    <tableColumn id="15" xr3:uid="{568168DD-7F72-4643-9852-A444F53C3FE3}" name="maxScore" dataDxfId="233">
      <calculatedColumnFormula>IF(
    factorsTable[[#This Row],[factorHeader]] = "",
    "",
    IF(
      IFERROR(
        INDEX(
          factorsConfigTable[maxScore],
          MATCH(factorsTable[[#This Row],[index]], factorsConfigTable[index], 0)
        ),#REF!
      ) = "",
      NA(),
      IFERROR(
        INDEX(
          factorsConfigTable[maxScore],
          MATCH(factorsTable[[#This Row],[index]], factorsConfigTable[index], 0)
        ),#REF!
      )
    )
  )</calculatedColumnFormula>
    </tableColumn>
    <tableColumn id="3" xr3:uid="{9299B28D-2017-439E-8B00-00DCA6FE13E9}" name="minValue" dataDxfId="232">
      <calculatedColumnFormula>IF(
    factorsTable[[#This Row],[factorHeader]] = "",
    "",
    IF(
      ISERROR(factorsTable[[#This Row],[factorColNum]]),
      NA(),
      IF(
        ISNA(INDEX(dataRange,1,1)),
        NA(),
        MIN(INDEX(dataRange, , factorsTable[[#This Row],[factorColNum]]))
      )
    )
  )</calculatedColumnFormula>
    </tableColumn>
    <tableColumn id="8" xr3:uid="{87D4DA42-E1CB-4BAA-AD75-046EE9E49A5E}" name="maxValue" dataDxfId="231">
      <calculatedColumnFormula>IF(
    factorsTable[[#This Row],[factorHeader]] = "",
    "",
    IF(
      ISERROR(factorsTable[[#This Row],[factorColNum]]),
      NA(),
      IF(
        ISNA(INDEX(dataRange,1,1)),
        NA(),
        MAX(INDEX(dataRange, , factorsTable[[#This Row],[factorColNum]]))
      )
    )
  )</calculatedColumnFormula>
    </tableColumn>
    <tableColumn id="16" xr3:uid="{26229385-59A4-45ED-BD26-502C90A4D6A0}" name="minOutOfRange" dataDxfId="230">
      <calculatedColumnFormula array="1">AND(
    NOT(errorNoDataSheet),
    factorsTable[[#This Row],[factorHeader]] &lt;&gt; "",
    NOT(ISERROR(factorsTable[[#This Row],[factorColNum]])),
    IFERROR(factorsTable[[#This Row],[display]], FALSE),
    IFERROR(factorsTable[[#This Row],[minValue]] &lt; factorsTable[[#This Row],[minScore]], FALSE)
  )</calculatedColumnFormula>
    </tableColumn>
    <tableColumn id="17" xr3:uid="{D02B2224-E8C8-4264-9E03-631D8856935E}" name="maxOutOfRange" dataDxfId="229">
      <calculatedColumnFormula array="1">AND(
    NOT(errorNoDataSheet),
    factorsTable[[#This Row],[factorHeader]] &lt;&gt; "",
    NOT(ISERROR(factorsTable[[#This Row],[factorColNum]])),
    IFERROR(factorsTable[[#This Row],[display]], FALSE),
    IFERROR(factorsTable[[#This Row],[maxValue]] &gt; factorsTable[[#This Row],[maxScore]], FALSE)
  )</calculatedColumnFormula>
    </tableColumn>
    <tableColumn id="10" xr3:uid="{7034CAAD-F9E3-4C5E-BFBC-10F69E82E55E}" name="numNondoers" dataDxfId="228">
      <calculatedColumnFormula array="1">IF(
    factorsTable[[#This Row],[factorHeader]] = "",
    "",
    IF(
      ISNA(INDEX(dataRange,1,1)),
      NA(),
      SUMPRODUCT(
          IF(isDoer = "", 0, NOT(isDoer))
        * (INDEX(dataRange, , factorsTable[[#This Row],[factorColNum]]) &lt;&gt; "")
      )
    )
  )</calculatedColumnFormula>
    </tableColumn>
    <tableColumn id="11" xr3:uid="{0B3445FB-3943-446B-84EF-E6F032B77EBC}" name="numDoers" dataDxfId="227">
      <calculatedColumnFormula array="1">IF(
    factorsTable[[#This Row],[factorHeader]] = "",
    "",
    IF(
      ISNA(INDEX(dataRange,1,1)),
      NA(),
      SUMPRODUCT(
          IF(isDoer = "", 0, isDoer)
        * (INDEX(dataRange, , factorsTable[[#This Row],[factorColNum]]) &lt;&gt; "")
      )
    )
  )</calculatedColumnFormula>
    </tableColumn>
    <tableColumn id="12" xr3:uid="{6194FB4A-EAE1-4EB2-91CC-BAEB08C55F79}" name="numTotal" dataDxfId="226">
      <calculatedColumnFormula>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calculatedColumnFormula>
    </tableColumn>
    <tableColumn id="6" xr3:uid="{DC2441ED-25F7-4797-922A-27071D9A5F9B}" name="nondoers" dataDxfId="225">
      <calculatedColumnFormula array="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calculatedColumnFormula>
    </tableColumn>
    <tableColumn id="7" xr3:uid="{90E25F9A-68D3-4200-94FB-54A4734CD141}" name="doers" dataDxfId="224">
      <calculatedColumnFormula array="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calculatedColumnFormula>
    </tableColumn>
    <tableColumn id="4" xr3:uid="{23018A48-D49F-4352-A661-90DE45924ACF}" name="difference" dataDxfId="223">
      <calculatedColumnFormula>IF(
    factorsTable[[#This Row],[factorHeader]] = "",
    "",
    factorsTable[[#This Row],[doers]] - factorsTable[[#This Row],[nondoers]]
  )</calculatedColumnFormula>
    </tableColumn>
    <tableColumn id="2" xr3:uid="{00438B83-C38E-4558-A35F-4C6C6283246C}" name="displayConfig" dataDxfId="222">
      <calculatedColumnFormula>IF(
    factorsTable[[#This Row],[factorHeader]] = "",
    "",
    IFERROR(
      INDEX(
        yesNoTable[tag],
        MATCH(
          IFERROR(
            INDEX(
              factorsConfigTable[displayConfig],
              MATCH(factorsTable[[#This Row],[index]], factorsConfigTable[index], 0)
            ),#REF!
          ),
          yesNoTable[label],
          0
        )
      ),
      ""
    )
  )</calculatedColumnFormula>
    </tableColumn>
    <tableColumn id="18" xr3:uid="{18B128E5-4F26-4C09-85B4-EBFFB7C9392D}" name="display" dataDxfId="221">
      <calculatedColumnFormula>IF(
    factorsTable[[#This Row],[factorHeader]] = "",
    FALSE,
    IF(
      factorsTable[[#This Row],[displayConfig]] = "yes",
      TRUE,
      IF(
        factorsTable[[#This Row],[displayConfig]] = "no",
        FALSE,
        NA()
      )
    )
  )</calculatedColumnFormula>
    </tableColumn>
    <tableColumn id="19" xr3:uid="{BD9024DC-7C2F-475B-ACC4-8A5034D36271}" name="filteredIndex" dataDxfId="220">
      <calculatedColumnFormula array="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calculatedColumnFormula>
    </tableColumn>
    <tableColumn id="35" xr3:uid="{52AD6342-D0B2-4EC7-9A4D-DB12CB75927D}" name="relDiff" dataDxfId="219">
      <calculatedColumnFormula>IF(
    factorsTable[[#This Row],[filteredIndex]] = "",
    "",
    _xlfn.IFNA(
      INDEX(
        factorsTable[difference],
        MATCH(factorsTable[[#This Row],[filteredIndex]], factorsTable[index], 0)
      ),
      -99
    )
  )</calculatedColumnFormula>
    </tableColumn>
    <tableColumn id="36" xr3:uid="{FF853AE2-5312-4BF5-B35B-1F9A2FB0ACA9}" name="absDiff" dataDxfId="218">
      <calculatedColumnFormula>IF(
    factorsTable[[#This Row],[filteredIndex]] = "",
    "",
    IF(
      factorsTable[[#This Row],[relDiff]] = -99,
      -99,
      ABS(factorsTable[[#This Row],[relDiff]])
    )
  )</calculatedColumnFormula>
    </tableColumn>
    <tableColumn id="37" xr3:uid="{08369B9A-20E9-432E-B1A7-396C8F770DC9}" name="RANASIndex" dataDxfId="217">
      <calculatedColumnFormula>IF(
    factorsTable[[#This Row],[filteredIndex]] = "",
    "",
    IFERROR(
      INDEX(
        RANASBlocksTable[index],
        MATCH(
          IFERROR(
            INDEX(
              factorsConfigTable[RANASBlock],
              MATCH(factorsTable[[#This Row],[filteredIndex]], factorsConfigTable[index], 0)
            ),#REF!
          ),
          RANASBlocksTable[label],
          0
        )
      ),
      6
    )
  )</calculatedColumnFormula>
    </tableColumn>
    <tableColumn id="32" xr3:uid="{9E341CD6-683C-4366-ADB6-E5F93DBA0AE1}" name="relDiffRank" dataDxfId="216">
      <calculatedColumnFormula>IF(
    factorsTable[[#This Row],[filteredIndex]] = "",
    "",
    _xlfn.RANK.EQ(factorsTable[[#This Row],[relDiff]], factorsTable[relDiff], 0)
  )</calculatedColumnFormula>
    </tableColumn>
    <tableColumn id="31" xr3:uid="{0A5FAB1A-9422-407E-A938-D6D06FD3CD9F}" name="absDiffRank" dataDxfId="215">
      <calculatedColumnFormula>IF(
    factorsTable[[#This Row],[filteredIndex]] = "",
    "",
    _xlfn.RANK.EQ(factorsTable[[#This Row],[absDiff]], factorsTable[absDiff], 0)
  )</calculatedColumnFormula>
    </tableColumn>
    <tableColumn id="30" xr3:uid="{0DF5B1D8-1506-4D45-A9CD-5979C5718C18}" name="RANASRank" dataDxfId="214">
      <calculatedColumnFormula>IF(
    factorsTable[[#This Row],[filteredIndex]] = "",
    "",
    _xlfn.RANK.EQ(factorsTable[[#This Row],[RANASIndex]], factorsTable[RANASIndex], 1)
  )</calculatedColumnFormula>
    </tableColumn>
    <tableColumn id="38" xr3:uid="{13B86249-923F-4137-AB9E-07CD3E7F3FB7}" name="selectedRank" dataDxfId="213">
      <calculatedColumnFormula array="1">IF(sortingMethodTag = "none", factorsTable[[#This Row],[filteredIndex]],
  IF(sortingMethodTag = "relDiff", factorsTable[[#This Row],[relDiffRank]],
  IF(sortingMethodTag = "absDiff", factorsTable[[#This Row],[absDiffRank]],
  IF(sortingMethodTag = "RANAS", factorsTable[[#This Row],[RANASRank]],
  factorsTable[[#This Row],[filteredIndex]]))))</calculatedColumnFormula>
    </tableColumn>
    <tableColumn id="23" xr3:uid="{62BD2B63-0DCC-426B-A21E-D5A0544A9635}" name="uniqueRank" dataDxfId="212">
      <calculatedColumnFormula>IF(
    factorsTable[[#This Row],[filteredIndex]] = "",
    "",
    factorsTable[[#This Row],[selectedRank]]
      + COUNTIF(INDEX(factorsTable[selectedRank], 1):INDEX(factorsTable[selectedRank], factorsTable[[#This Row],[index]]), factorsTable[[#This Row],[selectedRank]])
      - 1
  )</calculatedColumnFormula>
    </tableColumn>
    <tableColumn id="20" xr3:uid="{048673BF-9B8A-42A8-89AF-54DC03EED6D7}" name="sortedIndex" dataDxfId="211">
      <calculatedColumnFormula>IF(
    factorsTable[[#This Row],[filteredIndex]] = "",
    "",
    IFERROR(
      INDEX(
        factorsTable[filteredIndex],
        MATCH(factorsTable[[#This Row],[index]], factorsTable[uniqueRank], 0)
      ),#REF!
    )
  )</calculatedColumnFormula>
    </tableColumn>
    <tableColumn id="21" xr3:uid="{EB7CE240-3840-4014-92DF-AF38D361033C}" name="langSpecFactor" dataDxfId="210">
      <calculatedColumnFormula>IF(
    factorsTable[[#This Row],[sortedIndex]] = "",
    "",
    INDEX(
      INDEX(
        factorsConfigTable[],
        0,
        MATCH(
          chartLanguage,
          languageHeadersList,
          0
        )
        + MATCH(factorsConfigTable[[#Headers],[lang1]], factorsConfigTable[#Headers], 0)
        - 1
      ),
      MATCH(factorsTable[[#This Row],[sortedIndex]], factorsConfigTable[index], 0)
    ) &amp; ""
  )</calculatedColumnFormula>
    </tableColumn>
    <tableColumn id="22" xr3:uid="{3817E727-BEC8-4531-9AB7-D3DCA6BCC3BB}" name="displayedFactor" dataDxfId="209">
      <calculatedColumnFormula>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calculatedColumnFormula>
    </tableColumn>
    <tableColumn id="34" xr3:uid="{904AAD75-D400-45A7-AB40-8F2F7CDF85C6}" name="RANASTag" dataDxfId="208">
      <calculatedColumnFormula>IF(
    factorsTable[[#This Row],[sortedIndex]] = "",
    "",
    IFERROR(
      INDEX(
        RANASBlocksTable[tag],
        MATCH(
          IFERROR(
            INDEX(
              factorsConfigTable[RANASBlock],
              MATCH(factorsTable[[#This Row],[sortedIndex]], factorsConfigTable[index], 0)
            ),#REF!
          ),
          RANASBlocksTable[label],
          0
        )
      ),
      NA()
    )
  )</calculatedColumnFormula>
    </tableColumn>
    <tableColumn id="28" xr3:uid="{1B3A54FC-B133-42B0-8449-81B8DC66E8A9}" name="displayedRANASBlock" dataDxfId="207">
      <calculatedColumnFormula>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calculatedColumnFormula>
    </tableColumn>
    <tableColumn id="24" xr3:uid="{0010B1FE-6B67-4704-88F3-8EB8057E0527}" name="chartLabel" dataDxfId="206">
      <calculatedColumnFormula>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calculatedColumnFormula>
    </tableColumn>
    <tableColumn id="25" xr3:uid="{0EC9F653-6B28-495B-B4E3-C653DA8D708C}" name="sortedNumTotal" dataDxfId="205">
      <calculatedColumnFormula>IF(
    factorsTable[[#This Row],[sortedIndex]] = "",
    "",
    INDEX(factorsTable[numTotal], MATCH(factorsTable[[#This Row],[sortedIndex]], factorsTable[index], 0))
  )</calculatedColumnFormula>
    </tableColumn>
    <tableColumn id="29" xr3:uid="{C63C1D5F-847C-4F2F-A655-A9404A302B5C}" name="sortedNondoers" dataDxfId="204">
      <calculatedColumnFormula>IF(
    factorsTable[[#This Row],[sortedIndex]] = "",
    "",
    INDEX(factorsTable[nondoers], MATCH(factorsTable[[#This Row],[sortedIndex]], factorsTable[index], 0))
  )</calculatedColumnFormula>
    </tableColumn>
    <tableColumn id="26" xr3:uid="{B3313D7F-936C-428E-A332-C62ACFDCFDB4}" name="sortedDoers" dataDxfId="203">
      <calculatedColumnFormula>IF(
    factorsTable[[#This Row],[sortedIndex]] = "",
    "",
    INDEX(factorsTable[doers], MATCH(factorsTable[[#This Row],[sortedIndex]], factorsTable[index], 0))
  )</calculatedColumnFormula>
    </tableColumn>
    <tableColumn id="27" xr3:uid="{2E011E21-7BBF-4AA7-8219-246E6ABE2ECA}" name="sortedDifference" dataDxfId="202">
      <calculatedColumnFormula>IF(
    factorsTable[[#This Row],[sortedIndex]] = "",
    "",
    INDEX(factorsTable[difference], MATCH(factorsTable[[#This Row],[sortedIndex]], factorsTable[index], 0))
  )</calculatedColumnFormula>
    </tableColumn>
  </tableColumns>
  <tableStyleInfo name="RANAS Analyser Hidden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A987BA-385B-43CF-8D75-8A20E76AD886}" name="UITranslationTable" displayName="UITranslationTable" ref="E2:H93" totalsRowShown="0" headerRowDxfId="201" dataDxfId="200">
  <autoFilter ref="E2:H93" xr:uid="{E1A987BA-385B-43CF-8D75-8A20E76AD886}"/>
  <tableColumns count="4">
    <tableColumn id="3" xr3:uid="{17CAD664-B418-4D78-BD59-D4B5737AD7EE}" name="index" dataDxfId="199">
      <calculatedColumnFormula array="1">ROW()-ROW(UITranslationTable[#Headers])</calculatedColumnFormula>
    </tableColumn>
    <tableColumn id="4" xr3:uid="{03C503E5-E9D8-4551-A8B5-9FDA56521045}" name="tag" dataDxfId="198"/>
    <tableColumn id="1" xr3:uid="{ECDE7AEB-F368-44E7-BFCF-A5753FD7A477}" name="English" dataDxfId="197"/>
    <tableColumn id="2" xr3:uid="{946F114A-2EA8-47CB-BD50-78D857845A99}" name="Français" dataDxfId="196"/>
  </tableColumns>
  <tableStyleInfo name="RANAS Analyser Hidden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4E278-58A9-4D09-BB20-6D25AF029CB5}" name="manualEntryVariablesTable" displayName="manualEntryVariablesTable" ref="S2:U9" totalsRowShown="0" headerRowDxfId="195" dataDxfId="194">
  <autoFilter ref="S2:U9" xr:uid="{14C4E278-58A9-4D09-BB20-6D25AF029CB5}"/>
  <tableColumns count="3">
    <tableColumn id="1" xr3:uid="{912A0017-B2A0-4A04-8A68-66A7A1E432D1}" name="index" dataDxfId="193">
      <calculatedColumnFormula array="1">ROW()-ROW(manualEntryVariablesTable[#Headers])</calculatedColumnFormula>
    </tableColumn>
    <tableColumn id="2" xr3:uid="{52453FB5-F9AE-4E53-B527-C38E684511CB}" name="name" dataDxfId="192"/>
    <tableColumn id="3" xr3:uid="{029DACD9-A350-4330-B274-0DE49C3615C4}" name="value" dataDxfId="191"/>
  </tableColumns>
  <tableStyleInfo name="RANAS Analyser Hidden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E5A4B-2319-4FD1-AC15-9BE5A872EDDF}" name="behaviourTable" displayName="behaviourTable" ref="AY2:BK7" totalsRowShown="0" headerRowDxfId="190" dataDxfId="189">
  <autoFilter ref="AY2:BK7" xr:uid="{5FDE5A4B-2319-4FD1-AC15-9BE5A872EDDF}"/>
  <tableColumns count="13">
    <tableColumn id="1" xr3:uid="{DA0F2668-A103-4359-B616-FFC277054B9F}" name="index" dataDxfId="188">
      <calculatedColumnFormula array="1">ROW()-ROW(behaviourTable[#Headers])</calculatedColumnFormula>
    </tableColumn>
    <tableColumn id="3" xr3:uid="{49F46BD0-801C-4055-8591-0CFDACBD2D40}" name="behaviourHeader" dataDxfId="187">
      <calculatedColumnFormula>IFERROR(
    INDEX(
      behaviourConfigTable[behaviourHeader],
      MATCH(behaviourTable[[#This Row],[index]], behaviourConfigTable[index], 0)
    ),#REF!
  ) &amp; ""</calculatedColumnFormula>
    </tableColumn>
    <tableColumn id="11" xr3:uid="{4860B4A1-8BF8-4F96-B9BF-FD4AF26F2F9A}" name="includeConfig" dataDxfId="186">
      <calculatedColumnFormula>IF(
    behaviourTable[[#This Row],[behaviourHeader]] = "",
    "",
    IFERROR(
      INDEX(
        yesNoTable[tag],
        MATCH(
          IFERROR(
            INDEX(
              behaviourConfigTable[includeConfig],
              MATCH(behaviourTable[[#This Row],[index]], behaviourConfigTable[index], 0)
            ),#REF!
          ),
          yesNoTable[label],
          0
        )
      ),
      ""
    )
  )</calculatedColumnFormula>
    </tableColumn>
    <tableColumn id="7" xr3:uid="{903BBE01-8B4D-4C5F-BDDD-C592210169B0}" name="include" dataDxfId="185">
      <calculatedColumnFormula>IF(
    behaviourTable[[#This Row],[behaviourHeader]] = "",
    FALSE,
    IF(
      behaviourTable[[#This Row],[includeConfig]] = "yes",
      TRUE,
      IF(
        behaviourTable[[#This Row],[includeConfig]] = "no",
        FALSE,
        NA()
      )
    )
  )</calculatedColumnFormula>
    </tableColumn>
    <tableColumn id="4" xr3:uid="{9878937E-978B-416D-B361-0E258C1B1556}" name="behaviourColNum" dataDxfId="184">
      <calculatedColumnFormula>IF(
    behaviourTable[[#This Row],[behaviourHeader]] = "",
    "",
    _xlfn.IFNA(
      MATCH(behaviourTable[[#This Row],[behaviourHeader]], dataHeaders, 0),
      _xlfn.IFNA(
        MATCH("*/" &amp; behaviourTable[[#This Row],[behaviourHeader]], dataHeaders, 0),
        MATCH("*-" &amp; behaviourTable[[#This Row],[behaviourHeader]], dataHeaders, 0)
      )
    )
  )</calculatedColumnFormula>
    </tableColumn>
    <tableColumn id="9" xr3:uid="{1696FAA8-5ACD-4FF4-A9A6-119C8FA14B41}" name="minScore" dataDxfId="183">
      <calculatedColumnFormula>IF(
    behaviourTable[[#This Row],[behaviourHeader]] = "",
    "",
    IF(
      IFERROR(
        INDEX(
          behaviourConfigTable[minScore],
          MATCH(behaviourTable[[#This Row],[index]], behaviourConfigTable[index], 0)
        ),#REF!
      ) = "",
      NA(),
      IFERROR(
        INDEX(
          behaviourConfigTable[minScore],
          MATCH(behaviourTable[[#This Row],[index]], behaviourConfigTable[index], 0)
        ),#REF!
      )
    )
  )</calculatedColumnFormula>
    </tableColumn>
    <tableColumn id="10" xr3:uid="{478B80A2-9BB7-4CEE-973B-907ABC66097C}" name="maxScore" dataDxfId="182">
      <calculatedColumnFormula>IF(
    behaviourTable[[#This Row],[behaviourHeader]] = "",
    "",
    IF(
      IFERROR(
        INDEX(
          behaviourConfigTable[maxScore],
          MATCH(behaviourTable[[#This Row],[index]], behaviourConfigTable[index], 0)
        ),#REF!
      ) = "",
      NA(),
      IFERROR(
        INDEX(
          behaviourConfigTable[maxScore],
          MATCH(behaviourTable[[#This Row],[index]], behaviourConfigTable[index], 0)
        ),#REF!
      )
    )
  )</calculatedColumnFormula>
    </tableColumn>
    <tableColumn id="2" xr3:uid="{2442D8FE-2472-42CF-B04F-67F3F6C3F2EC}" name="minValue" dataDxfId="181">
      <calculatedColumnFormula>IF(
    behaviourTable[[#This Row],[behaviourHeader]] = "",
    "",
    IF(
      ISNA(INDEX(dataRange,1,1)),
      NA(),
      MIN(INDEX(dataRange, , behaviourTable[[#This Row],[behaviourColNum]]))
    )
  )</calculatedColumnFormula>
    </tableColumn>
    <tableColumn id="12" xr3:uid="{E08D2F4D-5983-4350-9C20-AF28D7B6127E}" name="maxValue" dataDxfId="180">
      <calculatedColumnFormula>IF(
    behaviourTable[[#This Row],[behaviourHeader]] = "",
    "",
    IF(
      ISNA(INDEX(dataRange,1,1)),
      NA(),
      MAX(INDEX(dataRange, , behaviourTable[[#This Row],[behaviourColNum]]))
    )
  )</calculatedColumnFormula>
    </tableColumn>
    <tableColumn id="13" xr3:uid="{911173CE-D06E-4A78-BDC9-715BBB20BECA}" name="minOutOfRange" dataDxfId="179">
      <calculatedColumnFormula array="1">AND(
    NOT(errorNoDataSheet),
    behaviourTable[[#This Row],[behaviourHeader]] &lt;&gt; "",
    NOT(ISERROR(behaviourTable[[#This Row],[behaviourColNum]])),
    IFERROR(behaviourTable[[#This Row],[include]], FALSE),
    IFERROR(behaviourTable[[#This Row],[minValue]] &lt; behaviourTable[[#This Row],[minScore]], FALSE)
  )</calculatedColumnFormula>
    </tableColumn>
    <tableColumn id="14" xr3:uid="{E1E7F99A-51A0-4D5A-ADED-F100F7E230FC}" name="maxOutOfRange" dataDxfId="178">
      <calculatedColumnFormula array="1">AND(
    NOT(errorNoDataSheet),
    behaviourTable[[#This Row],[behaviourHeader]] &lt;&gt; "",
    NOT(ISERROR(behaviourTable[[#This Row],[behaviourColNum]])),
    IFERROR(behaviourTable[[#This Row],[include]], FALSE),
    IFERROR(behaviourTable[[#This Row],[maxValue]] &gt; behaviourTable[[#This Row],[maxScore]], FALSE)
  )</calculatedColumnFormula>
    </tableColumn>
    <tableColumn id="5" xr3:uid="{A4F0FFD7-4D9A-4925-8656-F33ED8C27B89}" name="numResponses" dataDxfId="177">
      <calculatedColumnFormula array="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calculatedColumnFormula>
    </tableColumn>
    <tableColumn id="6" xr3:uid="{4707CFD5-D28C-4733-A0AE-D9614A3D98E6}" name="numBlanks" dataDxfId="176">
      <calculatedColumnFormula array="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calculatedColumnFormula>
    </tableColumn>
  </tableColumns>
  <tableStyleInfo name="RANAS Analyser Hidden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C3707-EDFC-4B32-99EA-4581A83A4BC6}" name="cutoffTable" displayName="cutoffTable" ref="BW2:CB12" totalsRowShown="0" headerRowDxfId="175" dataDxfId="174">
  <autoFilter ref="BW2:CB12" xr:uid="{626C3707-EDFC-4B32-99EA-4581A83A4BC6}"/>
  <tableColumns count="6">
    <tableColumn id="1" xr3:uid="{7E5FC355-9944-4804-BFC7-5349A6B5424B}" name="index" dataDxfId="173" dataCellStyle="Percent">
      <calculatedColumnFormula array="1">ROW()-ROW(cutoffTable[#Headers])</calculatedColumnFormula>
    </tableColumn>
    <tableColumn id="7" xr3:uid="{7AB9D2B2-F8A1-4FC8-9BE6-857137E1B164}" name="cutoffLevel" dataDxfId="172" dataCellStyle="Percent"/>
    <tableColumn id="2" xr3:uid="{F1876B10-5AAD-47FC-BA19-E3F64A284499}" name="label" dataDxfId="171"/>
    <tableColumn id="3" xr3:uid="{3D08B3FA-BE94-4F05-8C7E-208F67B1368E}" name="numResponses" dataDxfId="170">
      <calculatedColumnFormula array="1">SUMPRODUCT(
    (behaviourScore &lt;&gt; "")
  * (behaviourScore &gt;= IF(cutoffTable[[#This Row],[index]] = 1, 0, INDEX(cutoffTable[cutoffLevel], cutoffTable[[#This Row],[index]]-1)))
  * IF(
      cutoffTable[[#This Row],[cutoffLevel]] = 1,
      behaviourScore &lt;= 1,
      behaviourScore &lt; cutoffTable[[#This Row],[cutoffLevel]]
    )
  )</calculatedColumnFormula>
    </tableColumn>
    <tableColumn id="4" xr3:uid="{9C1EEF13-B70A-466F-9372-1089744CB9D1}" name="numNondoersBin" dataDxfId="169">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&lt; cutoffLevel)
  )</calculatedColumnFormula>
    </tableColumn>
    <tableColumn id="5" xr3:uid="{31E07016-4269-467F-A5CF-C1E939DAD00E}" name="numDoersBin" dataDxfId="168">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&gt;= cutoffLevel)
  )</calculatedColumnFormula>
    </tableColumn>
  </tableColumns>
  <tableStyleInfo name="RANAS Analyser Hidden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0E1FF-62B3-4C6A-BFCE-37C7A704AE2E}" name="doersNondoersTable" displayName="doersNondoersTable" ref="CH2:CK3" totalsRowShown="0" headerRowDxfId="167" dataDxfId="166" dataCellStyle="Percent">
  <autoFilter ref="CH2:CK3" xr:uid="{8370E1FF-62B3-4C6A-BFCE-37C7A704AE2E}"/>
  <tableColumns count="4">
    <tableColumn id="4" xr3:uid="{A1DD797A-BD13-4265-B3BB-DEC48664BB26}" name="index" dataDxfId="165" dataCellStyle="Percent">
      <calculatedColumnFormula array="1">ROW()-ROW(doersNondoersTable[#Headers])</calculatedColumnFormula>
    </tableColumn>
    <tableColumn id="1" xr3:uid="{CE98A6BF-A591-490B-B7FF-95F0757BEC26}" name="percentNondoers" dataDxfId="164" dataCellStyle="Percent">
      <calculatedColumnFormula>SUM(cutoffTable[numNondoersBin]) / SUM(cutoffTable[numResponses])</calculatedColumnFormula>
    </tableColumn>
    <tableColumn id="2" xr3:uid="{4405B7FD-EADF-4B9D-8F61-ECF6DB7DD9D2}" name="percentDoers" dataDxfId="163" dataCellStyle="Percent">
      <calculatedColumnFormula>SUM(cutoffTable[numDoersBin]) / SUM(cutoffTable[numResponses])</calculatedColumnFormula>
    </tableColumn>
    <tableColumn id="3" xr3:uid="{26EBCF1F-F51C-47CB-8FDE-C0F16439573B}" name="difference" dataDxfId="162" dataCellStyle="Percent">
      <calculatedColumnFormula>doersNondoersTable[[#This Row],[percentDoers]] - doersNondoersTable[[#This Row],[percentNondoers]]</calculatedColumnFormula>
    </tableColumn>
  </tableColumns>
  <tableStyleInfo name="RANAS Analyser Hidden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9BB5F-79E5-40A7-918D-2DAA96437C0C}" name="yesNoTable" displayName="yesNoTable" ref="AJ2:AL4" totalsRowShown="0" headerRowDxfId="161" dataDxfId="160">
  <autoFilter ref="AJ2:AL4" xr:uid="{3CB9BB5F-79E5-40A7-918D-2DAA96437C0C}"/>
  <tableColumns count="3">
    <tableColumn id="1" xr3:uid="{7BF02E13-E0BD-4B20-B095-39672FC2BC73}" name="index" dataDxfId="159">
      <calculatedColumnFormula array="1">ROW()-ROW(yesNoTable[#Headers])</calculatedColumnFormula>
    </tableColumn>
    <tableColumn id="2" xr3:uid="{21B32DDF-C526-4F99-9BEC-BF9E504269BD}" name="tag" dataDxfId="158"/>
    <tableColumn id="3" xr3:uid="{C36A9535-CE17-4A1D-A3B2-94720DE568F7}" name="label" dataDxfId="157"/>
  </tableColumns>
  <tableStyleInfo name="RANAS Analyser Hidden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9F1969-0E0C-4887-8029-F381EE40E627}" name="RANASBlocksTable" displayName="RANASBlocksTable" ref="AN2:AQ7" totalsRowShown="0" headerRowDxfId="156" dataDxfId="155">
  <autoFilter ref="AN2:AQ7" xr:uid="{D09F1969-0E0C-4887-8029-F381EE40E627}"/>
  <tableColumns count="4">
    <tableColumn id="1" xr3:uid="{B60E233B-4CF5-4D31-B9A9-F2820E4C2F91}" name="index" dataDxfId="154">
      <calculatedColumnFormula array="1">ROW()-ROW(RANASBlocksTable[#Headers])</calculatedColumnFormula>
    </tableColumn>
    <tableColumn id="2" xr3:uid="{C24DA6E5-D528-4966-A411-051C61457E97}" name="tag" dataDxfId="153"/>
    <tableColumn id="3" xr3:uid="{DCDA070F-C663-438D-AA33-F480D39AF44C}" name="label" dataDxfId="152">
      <calculatedColumnFormula>INDEX(chartTranslationTable[lang1], MATCH(RANASBlocksTable[[#This Row],[tag]], chartTranslationTable[tag], 0))
 &amp; " / "
 &amp; INDEX(chartTranslationTable[lang2], MATCH(RANASBlocksTable[[#This Row],[tag]], chartTranslationTable[tag], 0))</calculatedColumnFormula>
    </tableColumn>
    <tableColumn id="4" xr3:uid="{96A5596B-F6F5-4CC3-9704-7FA7D258009B}" name="langSpecLabel" dataDxfId="151">
      <calculatedColumnFormula>INDEX(chartTranslationTable[displayedText], MATCH(RANASBlocksTable[[#This Row],[tag]], chartTranslationTable[tag], 0))</calculatedColumnFormula>
    </tableColumn>
  </tableColumns>
  <tableStyleInfo name="RANAS Analyser Hidden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572049-63CB-4771-ADE3-A97A3C740CAE}" name="sortMenuTable" displayName="sortMenuTable" ref="AS2:AU6" totalsRowShown="0" headerRowDxfId="150" dataDxfId="149">
  <autoFilter ref="AS2:AU6" xr:uid="{46572049-63CB-4771-ADE3-A97A3C740CAE}"/>
  <tableColumns count="3">
    <tableColumn id="1" xr3:uid="{ACC44954-6B90-44FE-88E1-190E6A569A67}" name="index" dataDxfId="148">
      <calculatedColumnFormula array="1">ROW()-ROW(sortMenuTable[#Headers])</calculatedColumnFormula>
    </tableColumn>
    <tableColumn id="2" xr3:uid="{4D51B9A4-2B71-4841-B8D6-EA667254BD8B}" name="tag" dataDxfId="147"/>
    <tableColumn id="3" xr3:uid="{1D506C08-274F-4C63-9890-FC6BB8AB0B98}" name="label" dataDxfId="146"/>
  </tableColumns>
  <tableStyleInfo name="RANAS Analyser Hidden Table 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69D290-14F6-40FE-BED8-CCD81ECD108D}" name="errorMessagesTable" displayName="errorMessagesTable" ref="J2:Q22" totalsRowShown="0" headerRowDxfId="145" dataDxfId="144">
  <autoFilter ref="J2:Q22" xr:uid="{AB69D290-14F6-40FE-BED8-CCD81ECD108D}"/>
  <tableColumns count="8">
    <tableColumn id="1" xr3:uid="{3D127308-F44A-49E6-9F3C-C656E68E8ED1}" name="index" dataDxfId="143">
      <calculatedColumnFormula array="1">ROW()-ROW(errorMessagesTable[#Headers])</calculatedColumnFormula>
    </tableColumn>
    <tableColumn id="8" xr3:uid="{AA75FF76-EA7C-4094-83A5-B190354EF05A}" name="name" dataDxfId="142"/>
    <tableColumn id="2" xr3:uid="{FFA21826-123C-4CB7-9DF9-678C1EE3C288}" name="condition" dataDxfId="141"/>
    <tableColumn id="3" xr3:uid="{AC91FBF4-9C1F-4FA0-A6A4-FF295EDC8FCE}" name="English" dataDxfId="140"/>
    <tableColumn id="4" xr3:uid="{D4F08017-9763-449D-916C-76BCDA80CA8E}" name="Français" dataDxfId="139"/>
    <tableColumn id="5" xr3:uid="{E82D8A26-C0DB-40D7-A244-F53F76AF432C}" name="filteredIndex" dataDxfId="138">
      <calculatedColumnFormula array="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calculatedColumnFormula>
    </tableColumn>
    <tableColumn id="6" xr3:uid="{7B9D172B-977C-41C6-89D0-C603BCD7ECCB}" name="langSpecError" dataDxfId="137">
      <calculatedColumnFormula>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calculatedColumnFormula>
    </tableColumn>
    <tableColumn id="7" xr3:uid="{079D933C-40BE-4252-8C8A-7D0F8055F81D}" name="concatErrors" dataDxfId="136">
      <calculatedColumnFormula array="1">IF(
    errorMessagesTable[[#This Row],[filteredIndex]] = "",
    "",
    IF(
      errorMessagesTable[[#This Row],[index]] = 1,
      "",
      INDEX(errorMessagesTable[concatErrors], errorMessagesTable[[#This Row],[index]]-1)
      &amp; CHAR(10) &amp; CHAR(10)
    )
    &amp; INDEX(errorMessagesTable[langSpecError], errorMessagesTable[[#This Row],[index]])
  )</calculatedColumnFormula>
    </tableColumn>
  </tableColumns>
  <tableStyleInfo name="RANAS Analyser Hidden Table 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3C4FF4-8FD9-4D15-B4B0-8CA194D8A016}" name="languageTable" displayName="languageTable" ref="AD2:AH7" totalsRowShown="0" headerRowDxfId="135" dataDxfId="134">
  <autoFilter ref="AD2:AH7" xr:uid="{E23C4FF4-8FD9-4D15-B4B0-8CA194D8A016}"/>
  <tableColumns count="5">
    <tableColumn id="1" xr3:uid="{9A98E7F9-13A5-4FB5-A569-F8A363E10403}" name="index" dataDxfId="133">
      <calculatedColumnFormula array="1">ROW()-ROW(languageTable[#Headers])</calculatedColumnFormula>
    </tableColumn>
    <tableColumn id="2" xr3:uid="{60B4F238-6219-48F8-A2CB-CD0410D91196}" name="languageHeaders" dataDxfId="132">
      <calculatedColumnFormula array="1">INDEX(languageHeadersList, languageTable[[#This Row],[index]]) &amp; ""</calculatedColumnFormula>
    </tableColumn>
    <tableColumn id="5" xr3:uid="{A6991E2D-E892-482B-A043-A4CE9032B971}" name="hasValue" dataDxfId="131">
      <calculatedColumnFormula>languageTable[[#This Row],[languageHeaders]] &lt;&gt; ""</calculatedColumnFormula>
    </tableColumn>
    <tableColumn id="6" xr3:uid="{C425EB26-4BEF-4C04-82E8-AC8F24CD68F9}" name="filteredIndex" dataDxfId="130">
      <calculatedColumnFormula array="1">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calculatedColumnFormula>
    </tableColumn>
    <tableColumn id="4" xr3:uid="{98FCEBFB-8113-4BCC-81CD-7849AB1DB835}" name="languageList" dataDxfId="129">
      <calculatedColumnFormula array="1">IFERROR(
    INDEX(languageTable[languageHeaders], languageTable[[#This Row],[filteredIndex]]),
    ""
  )</calculatedColumnFormula>
    </tableColumn>
  </tableColumns>
  <tableStyleInfo name="RANAS Analyser Hidden Table 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A35650-374D-4C03-A6DB-6A4E389D6F32}" name="YaxisLimitsTable" displayName="YaxisLimitsTable" ref="AW2:AW4" totalsRowShown="0" headerRowDxfId="128" dataDxfId="127" tableBorderDxfId="126">
  <autoFilter ref="AW2:AW4" xr:uid="{58A35650-374D-4C03-A6DB-6A4E389D6F32}"/>
  <tableColumns count="1">
    <tableColumn id="1" xr3:uid="{51ECF4B0-F9CD-455D-B50C-D6D778696F7C}" name="YaxisLimits" dataDxfId="125"/>
  </tableColumns>
  <tableStyleInfo name="RANAS Analyser Hidden Table 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2EECF3-DDE0-43E0-9DE9-A1D6AC8735DA}" name="structuredFormulaeTable" displayName="structuredFormulaeTable" ref="W2:AB118" totalsRowShown="0" headerRowDxfId="124" dataDxfId="123">
  <autoFilter ref="W2:AB118" xr:uid="{692EECF3-DDE0-43E0-9DE9-A1D6AC8735DA}"/>
  <tableColumns count="6">
    <tableColumn id="1" xr3:uid="{37BD9ACD-8233-46EE-A8D7-31FF3F136553}" name="index" dataDxfId="122">
      <calculatedColumnFormula array="1">ROW()-ROW(structuredFormulaeTable[#Headers])</calculatedColumnFormula>
    </tableColumn>
    <tableColumn id="2" xr3:uid="{55F52F71-A6B4-4919-A316-722AA9191F2E}" name="type" dataDxfId="121"/>
    <tableColumn id="3" xr3:uid="{A58F873E-CB71-4EB2-8AD9-A47999CE859E}" name="name" dataDxfId="120"/>
    <tableColumn id="6" xr3:uid="{40D80251-EECE-436D-9ECB-B9C599419170}" name="value" dataDxfId="119"/>
    <tableColumn id="4" xr3:uid="{7E2294D9-B3F7-4443-9687-4841AA820BF9}" name="formula" dataDxfId="118"/>
    <tableColumn id="5" xr3:uid="{1F5F45D8-BE4C-4548-B2D8-0A288947052A}" name="legacyFormula" dataDxfId="117"/>
  </tableColumns>
  <tableStyleInfo name="RANAS Analyser Hidden Table Sty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4E0D271-5ED9-4A06-BB1A-D1ECD5DBA4D4}" name="recommendedCutoffTable" displayName="recommendedCutoffTable" ref="CD2:CF103" totalsRowShown="0" headerRowDxfId="116" dataDxfId="115">
  <autoFilter ref="CD2:CF103" xr:uid="{A4E0D271-5ED9-4A06-BB1A-D1ECD5DBA4D4}"/>
  <tableColumns count="3">
    <tableColumn id="1" xr3:uid="{2E51A376-278D-40B9-812B-617F78121C99}" name="index" dataDxfId="114">
      <calculatedColumnFormula array="1">ROW()-ROW(recommendedCutoffTable[#Headers])</calculatedColumnFormula>
    </tableColumn>
    <tableColumn id="2" xr3:uid="{5BA56D66-544B-4829-A150-88B6084D2F43}" name="cutoffLevel" dataDxfId="113">
      <calculatedColumnFormula>(recommendedCutoffTable[[#This Row],[index]] - 1) / 100</calculatedColumnFormula>
    </tableColumn>
    <tableColumn id="3" xr3:uid="{B46BA529-015C-4F0E-B5A1-02B39C0B4CD1}" name="absDiff" dataDxfId="112">
      <calculatedColumnFormula array="1">ABS(
    numScores
  - 2 * SUMPRODUCT((behaviourScore &lt;&gt; "") * (behaviourScore &lt; recommendedCutoffTable[[#This Row],[cutoffLevel]]))
  )</calculatedColumnFormula>
    </tableColumn>
  </tableColumns>
  <tableStyleInfo name="RANAS Analyser Hidden Table Sty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547E3B-6B00-48B8-9FC1-175272B3EE45}" name="factorsConfigTable" displayName="factorsConfigTable" ref="C38:N68" totalsRowShown="0" headerRowDxfId="111" dataDxfId="109" headerRowBorderDxfId="110" tableBorderDxfId="108">
  <autoFilter ref="C38:N68" xr:uid="{94547E3B-6B00-48B8-9FC1-175272B3EE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D1BEB34-9A84-4FA6-AF32-0E51972E73EE}" name="displayConfig" dataDxfId="107"/>
    <tableColumn id="2" xr3:uid="{89A08754-E7CC-4160-B6E7-5DBF5AF5D2E9}" name="index" dataDxfId="106">
      <calculatedColumnFormula array="1">ROW()-ROW(factorsConfigTable[#Headers])</calculatedColumnFormula>
    </tableColumn>
    <tableColumn id="3" xr3:uid="{04F7C43C-4093-42C9-BC3A-3285917102D9}" name="factorHeader" dataDxfId="105"/>
    <tableColumn id="9" xr3:uid="{190C740B-C44E-44FC-90AA-B78BE7267F6D}" name="minScore" dataDxfId="104"/>
    <tableColumn id="10" xr3:uid="{DD3D6939-ED52-4010-A52D-CDC2F9344A25}" name="maxScore" dataDxfId="103"/>
    <tableColumn id="12" xr3:uid="{2E6D148D-4688-4C67-8B5F-F4C5084E319E}" name="numResponses" dataDxfId="102">
      <calculatedColumnFormula>_xlfn.XLOOKUP(factorsConfigTable[[#This Row],[index]], factorsTable[index], factorsTable[numTotal])</calculatedColumnFormula>
    </tableColumn>
    <tableColumn id="11" xr3:uid="{E56B3153-9766-4BAC-8604-C3AA2DBBD18F}" name="RANASBlock" dataDxfId="101"/>
    <tableColumn id="4" xr3:uid="{4FED2339-5CC8-42E8-8DB8-A6005219AC78}" name="lang1" dataDxfId="100"/>
    <tableColumn id="5" xr3:uid="{EFF58075-D767-4931-93D7-F079E8DB8217}" name="lang2" dataDxfId="99"/>
    <tableColumn id="6" xr3:uid="{DC7804F4-FAD3-439F-851A-0F85D5A99E9B}" name="lang3" dataDxfId="98"/>
    <tableColumn id="7" xr3:uid="{EB15F8F1-6FB7-4181-8D53-53CF9508B29C}" name="lang4" dataDxfId="97"/>
    <tableColumn id="8" xr3:uid="{A3C2536F-3617-4D7E-B46A-E4EE31E086F3}" name="lang5" dataDxfId="9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5730C0-2116-4860-A363-1A54658B1423}" name="chartTranslationTable" displayName="chartTranslationTable" ref="J76:S91" totalsRowShown="0" headerRowDxfId="95" dataDxfId="93" headerRowBorderDxfId="94">
  <autoFilter ref="J76:S91" xr:uid="{645730C0-2116-4860-A363-1A54658B1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CB0001DA-6DF8-4726-9044-9A913BF69F6D}" name="lang1" dataDxfId="92"/>
    <tableColumn id="4" xr3:uid="{D9EBB72D-A365-48F6-B932-6E11687E9300}" name="lang2" dataDxfId="91"/>
    <tableColumn id="5" xr3:uid="{8962A8BA-1FF8-482C-AB9E-760301C355CC}" name="lang3" dataDxfId="90"/>
    <tableColumn id="6" xr3:uid="{79C890F6-D8AF-4509-9754-523928675713}" name="lang4" dataDxfId="89"/>
    <tableColumn id="7" xr3:uid="{D594F7E4-EE1A-4DDA-B4FB-08FBC6DFDEFB}" name="lang5" dataDxfId="88"/>
    <tableColumn id="12" xr3:uid="{EC020DE5-5E0D-420C-B091-995DEF7B60C3}" name="dummyColumn1" dataDxfId="87"/>
    <tableColumn id="2" xr3:uid="{36B11783-3EBB-4BC9-AC3B-2A6F5E0A0816}" name="tag" dataDxfId="86"/>
    <tableColumn id="1" xr3:uid="{D682E62E-539D-4788-B390-71FE3A01FFFF}" name="index" dataDxfId="85">
      <calculatedColumnFormula array="1">ROW()-ROW(chartTranslationTable[#Headers])</calculatedColumnFormula>
    </tableColumn>
    <tableColumn id="8" xr3:uid="{A62E74DE-998F-4619-9065-DED6DB1E31BF}" name="langSpecText" dataDxfId="84">
      <calculatedColumnFormula array="1">IF(
    chartTranslationTable[[#This Row],[tag]] = "",
    "",
    INDEX(
      INDEX(
        chartTranslationTable[],
        0,
        MATCH(
          IF(
            errorChartLanguage,
            "English",
            chartLanguage
          ),
          languageHeadersList,
          0
        )
        + MATCH(chartTranslationTable[[#Headers],[lang1]], chartTranslationTable[#Headers], 0)
        - 1
      ),
      chartTranslationTable[[#This Row],[index]]
    ) &amp; ""
  )</calculatedColumnFormula>
    </tableColumn>
    <tableColumn id="9" xr3:uid="{898CF4B2-0371-4A7C-B4CD-1EE331BD1E68}" name="displayedText" dataDxfId="83">
      <calculatedColumnFormula>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calculatedColumnFormula>
    </tableColumn>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DA155-644E-4397-98A5-176CB83384DD}" name="numScoresTable" displayName="numScoresTable" ref="H23:I24" totalsRowShown="0" headerRowDxfId="82" dataDxfId="80" headerRowBorderDxfId="81">
  <autoFilter ref="H23:I24" xr:uid="{451DA155-644E-4397-98A5-176CB83384DD}">
    <filterColumn colId="0" hiddenButton="1"/>
    <filterColumn colId="1" hiddenButton="1"/>
  </autoFilter>
  <tableColumns count="2">
    <tableColumn id="1" xr3:uid="{391F934A-6FCD-4E49-9355-69C18B5E8F58}" name="numScores" dataDxfId="79">
      <calculatedColumnFormula array="1">numScores</calculatedColumnFormula>
    </tableColumn>
    <tableColumn id="2" xr3:uid="{9A99A030-BAE0-48C7-98BC-38A381095921}" name="numBlankScores" dataDxfId="78">
      <calculatedColumnFormula array="1">numEntries - numScores</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66AE9-AB86-4D9C-BFBB-FFE98E443F6E}" name="behaviourConfigTable" displayName="behaviourConfigTable" ref="C15:I20" totalsRowShown="0" headerRowDxfId="77" dataDxfId="75" headerRowBorderDxfId="76" tableBorderDxfId="74">
  <autoFilter ref="C15:I20" xr:uid="{0B866AE9-AB86-4D9C-BFBB-FFE98E443F6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8A7B52-7A59-4B9C-AD27-994C30519632}" name="includeConfig" dataDxfId="73"/>
    <tableColumn id="2" xr3:uid="{49CBA26E-5C7F-47E8-A14C-035629D59FF4}" name="index" dataDxfId="72">
      <calculatedColumnFormula array="1">ROW()-ROW(behaviourConfigTable[#Headers])</calculatedColumnFormula>
    </tableColumn>
    <tableColumn id="3" xr3:uid="{9E321BEB-12BF-410B-A0B8-571168D7CB6E}" name="behaviourHeader" dataDxfId="71"/>
    <tableColumn id="4" xr3:uid="{96B46EBA-0C69-4555-AD13-7D7AF6FF76D9}" name="minScore" dataDxfId="70"/>
    <tableColumn id="5" xr3:uid="{866F458D-33A6-47DD-B1E4-BAFE3681229F}" name="maxScore" dataDxfId="69"/>
    <tableColumn id="6" xr3:uid="{B0F89DAF-D367-4343-8FA7-C52681D5973D}" name="numResponses" dataDxfId="68">
      <calculatedColumnFormula>_xlfn.XLOOKUP(behaviourConfigTable[[#This Row],[index]], behaviourTable[index], behaviourTable[numResponses])</calculatedColumnFormula>
    </tableColumn>
    <tableColumn id="7" xr3:uid="{FC9843CC-967E-4330-BBCB-FF1375BCDA4C}" name="numBlanks" dataDxfId="67">
      <calculatedColumnFormula>_xlfn.XLOOKUP(behaviourConfigTable[[#This Row],[index]], behaviourTable[index], behaviourTable[numBlanks])</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73EE6E-2FD0-4ED4-9549-C3C345AE80A9}" name="cutoffChartTable" displayName="cutoffChartTable" ref="C25:G35" totalsRowShown="0" headerRowDxfId="66" dataDxfId="64" headerRowBorderDxfId="65">
  <tableColumns count="5">
    <tableColumn id="1" xr3:uid="{4CB45C51-CB69-4CC1-B338-FF7F101C0FDD}" name="index" dataDxfId="63">
      <calculatedColumnFormula array="1">ROW()-ROW(cutoffChartTable[#Headers])</calculatedColumnFormula>
    </tableColumn>
    <tableColumn id="2" xr3:uid="{0DB2BC85-F6F4-49BC-80BE-1AEE8BC2AE66}" name="label" dataDxfId="62">
      <calculatedColumnFormula>_xlfn.XLOOKUP(cutoffChartTable[[#This Row],[index]], cutoffTable[index], cutoffTable[label])</calculatedColumnFormula>
    </tableColumn>
    <tableColumn id="3" xr3:uid="{1C850F94-CAA9-4191-8D8A-85A8048CCA90}" name="numResponses" dataDxfId="61">
      <calculatedColumnFormula>_xlfn.XLOOKUP(cutoffChartTable[[#This Row],[index]], cutoffTable[index], cutoffTable[numResponses])</calculatedColumnFormula>
    </tableColumn>
    <tableColumn id="4" xr3:uid="{C4768E52-01B5-4D13-9707-17AD7B461447}" name="numNondoersBin" dataDxfId="60">
      <calculatedColumnFormula>_xlfn.XLOOKUP(cutoffChartTable[[#This Row],[index]], cutoffTable[index], cutoffTable[numNondoersBin])</calculatedColumnFormula>
    </tableColumn>
    <tableColumn id="5" xr3:uid="{D194BD99-D6D8-48CB-AA7E-9C7F48284702}" name="numDoersBin" dataDxfId="59">
      <calculatedColumnFormula>_xlfn.XLOOKUP(cutoffChartTable[[#This Row],[index]], cutoffTable[index], cutoffTable[numDoersBin])</calculatedColumnFormula>
    </tableColumn>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C1D0C4-073C-4BDB-91E1-4F84C4B9344E}" name="doersNondoersChartTable" displayName="doersNondoersChartTable" ref="J25:M26" totalsRowShown="0" headerRowDxfId="58" dataDxfId="56" headerRowBorderDxfId="57">
  <tableColumns count="4">
    <tableColumn id="1" xr3:uid="{1614890C-8CFE-49D2-AC79-A06A96C249C1}" name="index" dataDxfId="55"/>
    <tableColumn id="2" xr3:uid="{A96518A4-4144-403E-A144-B1156ED17703}" name="percentNondoers" dataDxfId="54" dataCellStyle="Percent">
      <calculatedColumnFormula>_xlfn.XLOOKUP(doersNondoersChartTable[[#This Row],[index]], doersNondoersTable[index], doersNondoersTable[percentNondoers])</calculatedColumnFormula>
    </tableColumn>
    <tableColumn id="3" xr3:uid="{52331AC1-DDEC-4492-B14D-59610AA44305}" name="percentDoers" dataDxfId="53" dataCellStyle="Percent">
      <calculatedColumnFormula>_xlfn.XLOOKUP(doersNondoersChartTable[[#This Row],[index]], doersNondoersTable[index], doersNondoersTable[percentDoers])</calculatedColumnFormula>
    </tableColumn>
    <tableColumn id="4" xr3:uid="{304F33DB-9E7C-4AE3-B895-B43D2DD3C077}" name="difference" dataDxfId="52" dataCellStyle="Percent">
      <calculatedColumnFormula>_xlfn.XLOOKUP(doersNondoersChartTable[[#This Row],[index]], doersNondoersTable[index], doersNondoersTable[difference])</calculatedColumnFormula>
    </tableColumn>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2528C8-83F2-4D54-B52D-C6543471DD7C}" name="analysisChartTable" displayName="analysisChartTable" ref="C50:K80" totalsRowShown="0" headerRowDxfId="51" dataDxfId="49" headerRowBorderDxfId="50">
  <tableColumns count="9">
    <tableColumn id="7" xr3:uid="{73A9F968-C223-45AF-9B43-D37C15C90BDA}" name="index" dataDxfId="48">
      <calculatedColumnFormula array="1">ROW()-ROW(analysisChartTable[#Headers])</calculatedColumnFormula>
    </tableColumn>
    <tableColumn id="6" xr3:uid="{24D8732E-0D42-456B-A89F-B6F2988575FD}" name="chartLabel" dataDxfId="47">
      <calculatedColumnFormula>_xlfn.XLOOKUP(analysisChartTable[[#This Row],[index]], factorsTable[index], factorsTable[chartLabel])</calculatedColumnFormula>
    </tableColumn>
    <tableColumn id="9" xr3:uid="{E584D00C-BD4D-4805-BD0C-15F1ECDB3164}" name="RANASTag" dataDxfId="46">
      <calculatedColumnFormula>_xlfn.XLOOKUP(analysisChartTable[[#This Row],[index]], factorsTable[index], factorsTable[RANASTag])</calculatedColumnFormula>
    </tableColumn>
    <tableColumn id="1" xr3:uid="{D7B991BD-4644-4836-A962-8B6228469595}" name="displayedFactor" dataDxfId="45">
      <calculatedColumnFormula>_xlfn.XLOOKUP(analysisChartTable[[#This Row],[index]], factorsTable[index], factorsTable[displayedFactor])</calculatedColumnFormula>
    </tableColumn>
    <tableColumn id="8" xr3:uid="{948C760D-3BFA-4038-9E7E-26D392A9ABAD}" name="displayedRANASBlock" dataDxfId="44">
      <calculatedColumnFormula>_xlfn.XLOOKUP(analysisChartTable[[#This Row],[index]], factorsTable[index], factorsTable[displayedRANASBlock])</calculatedColumnFormula>
    </tableColumn>
    <tableColumn id="2" xr3:uid="{6FF69577-BFF1-4BAB-A33F-8907707E7F23}" name="sortedNondoers" dataDxfId="43" dataCellStyle="Percent">
      <calculatedColumnFormula>_xlfn.XLOOKUP(analysisChartTable[[#This Row],[index]], factorsTable[index], factorsTable[sortedNondoers])</calculatedColumnFormula>
    </tableColumn>
    <tableColumn id="3" xr3:uid="{AAA2ADF6-CA6C-4194-A2EA-95548C570799}" name="sortedDoers" dataDxfId="42" dataCellStyle="Percent">
      <calculatedColumnFormula>_xlfn.XLOOKUP(analysisChartTable[[#This Row],[index]], factorsTable[index], factorsTable[sortedDoers])</calculatedColumnFormula>
    </tableColumn>
    <tableColumn id="4" xr3:uid="{225894AD-DD7A-493E-A5EC-B5B242433372}" name="sortedDifference" dataDxfId="41" dataCellStyle="Percent">
      <calculatedColumnFormula>_xlfn.XLOOKUP(analysisChartTable[[#This Row],[index]], factorsTable[index], factorsTable[sortedDifference])</calculatedColumnFormula>
    </tableColumn>
    <tableColumn id="5" xr3:uid="{0EF07200-BD5E-4F9F-9DDA-0A2E76BC4044}" name="sortedNumTotal" dataDxfId="40">
      <calculatedColumnFormula>_xlfn.XLOOKUP(analysisChartTable[[#This Row],[index]], factorsTable[index], factorsTable[sortedNumTotal])</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99CC"/>
      </a:accent1>
      <a:accent2>
        <a:srgbClr val="99FF99"/>
      </a:accent2>
      <a:accent3>
        <a:srgbClr val="FFC000"/>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2-04T20:03:45.22" personId="{5D3AF245-2A3F-4AAD-90B1-868E92451BE0}" id="{642E0654-908C-444E-B518-0916D3BF50B9}">
    <text>Copy of the first row of the "data" sheet, up to column 'maxColNum'. Used to eventually define dataHeaders and dataRange.</text>
  </threadedComment>
  <threadedComment ref="A4" dT="2026-02-04T20:23:44.08" personId="{5D3AF245-2A3F-4AAD-90B1-868E92451BE0}" id="{6C44E4F4-0698-4275-8CC6-863951580E48}">
    <text>Copy (down to row 'maxRowNum') of the data column from the "data" sheet that serves as an index for the survey submissions. Used to count the total number of data entries.</text>
  </threadedComment>
  <threadedComment ref="C4" dT="2026-02-04T20:11:26.84" personId="{5D3AF245-2A3F-4AAD-90B1-868E92451BE0}" id="{3F594EE3-B120-4423-93D2-26576404B3DB}">
    <text>Copy of the row of column headers in the "data" sheet. Used in various formula to look up / reference column headers.</text>
  </threadedComment>
  <threadedComment ref="C5" dT="2026-02-04T22:36:56.02" personId="{5D3AF245-2A3F-4AAD-90B1-868E92451BE0}" id="{79BD005D-9F85-49B3-8F64-CAA0A13BDEFF}">
    <text>Copy of the range of the "data" sheet from row 2 (i.e., without the column headers) and 'numEntries'-row high, and from columns 1 to dataLastColNum. Used to then reference data columns with the INDEX() function.</text>
  </threadedComment>
  <threadedComment ref="C6" dT="2026-01-09T14:36:51.16" personId="{5D3AF245-2A3F-4AAD-90B1-868E92451BE0}" id="{BECC8FE3-2FC4-4C87-AA48-5F5B24B15A35}">
    <text>Legacy version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6-01-09T14:36:51.16" personId="{5D3AF245-2A3F-4AAD-90B1-868E92451BE0}" id="{39E6F978-3C84-41CD-A7D0-97EAFDDCED97}">
    <text>Legacy version</text>
  </threadedComment>
  <threadedComment ref="P1" dT="2026-01-09T14:36:51.16" personId="{5D3AF245-2A3F-4AAD-90B1-868E92451BE0}" id="{BBD831BC-6DBE-4E41-8B1E-3111352333B8}">
    <text>Legacy version</text>
  </threadedComment>
  <threadedComment ref="S1" dT="2023-02-27T05:26:28.24" personId="{5D3AF245-2A3F-4AAD-90B1-868E92451BE0}" id="{38C86FA5-742F-4C4C-B63F-FFE18671B4F8}">
    <text>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ext>
  </threadedComment>
  <threadedComment ref="Q2" dT="2023-02-28T21:36:36.05" personId="{5D3AF245-2A3F-4AAD-90B1-868E92451BE0}" id="{0CF385CD-78A4-4D17-BD9F-9F454DA9DC1A}">
    <text>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ext>
  </threadedComment>
  <threadedComment ref="AB2" dT="2026-01-08T10:36:06.68" personId="{5D3AF245-2A3F-4AAD-90B1-868E92451BE0}" id="{FA99D751-4424-4719-B4F2-AA71785A3DE4}">
    <text>This column contains the formulae that should replace those in the "formula" column in the "Legacy" version of the file.</text>
  </threadedComment>
  <threadedComment ref="BM2" dT="2026-01-09T14:36:51.16" personId="{5D3AF245-2A3F-4AAD-90B1-868E92451BE0}" id="{C1D74717-9E3A-49D1-90BE-1473D382D71B}">
    <text>Legacy version</text>
  </threadedComment>
  <threadedComment ref="BN2" dT="2026-01-09T14:36:51.16" personId="{5D3AF245-2A3F-4AAD-90B1-868E92451BE0}" id="{147FD3D0-9ECF-453D-A2C3-68A746F7A623}">
    <text>Legacy version</text>
  </threadedComment>
  <threadedComment ref="BO2" dT="2026-01-09T14:36:51.16" personId="{5D3AF245-2A3F-4AAD-90B1-868E92451BE0}" id="{B683A297-2ED4-4146-B01E-9A17A755844B}">
    <text>Legacy version</text>
  </threadedComment>
  <threadedComment ref="BP2" dT="2026-01-09T14:36:51.16" personId="{5D3AF245-2A3F-4AAD-90B1-868E92451BE0}" id="{3F80F0C2-C9D4-4865-905C-3A4FA27C3A23}">
    <text>Legacy version</text>
  </threadedComment>
  <threadedComment ref="BQ2" dT="2026-01-09T14:36:51.16" personId="{5D3AF245-2A3F-4AAD-90B1-868E92451BE0}" id="{67BB9B8F-1554-431D-9876-BACFAA44CCE2}">
    <text>Legacy version</text>
  </threadedComment>
  <threadedComment ref="T3" dT="2026-01-07T11:14:25.42" personId="{5D3AF245-2A3F-4AAD-90B1-868E92451BE0}" id="{7B30AC4B-A213-4136-836D-7C16FEE2FD13}">
    <text>Name of the "data" sheet, used in UI text and to reference the data columns. Its value (currently "data") is hard-coded in the "Manual-entry variables table" and can be changed there if wanted.</text>
  </threadedComment>
  <threadedComment ref="Y3" dT="2026-01-13T17:48:06.21" personId="{5D3AF245-2A3F-4AAD-90B1-868E92451BE0}" id="{7C0EDA3B-30AE-489A-8FA0-C8643C6FDB18}">
    <text>User-defined function that takes as argument a "behaviourIndex" and returns the corresponding data column from dataRange.</text>
  </threadedComment>
  <threadedComment ref="BM3" dT="2026-02-04T22:43:41.86" personId="{5D3AF245-2A3F-4AAD-90B1-868E92451BE0}" id="{66853D4F-F89F-4E32-AC13-26DC354E4FC9}">
    <text>Copy of the "data" column for behaviour header #1. Used to simplify formulae.</text>
  </threadedComment>
  <threadedComment ref="BN3" dT="2026-02-04T22:43:41.86" personId="{5D3AF245-2A3F-4AAD-90B1-868E92451BE0}" id="{182165B5-26F6-4F81-8E85-1DC77B044D16}">
    <text>Copy of the "data" column for behaviour header #2. Used to simplify formulae.</text>
  </threadedComment>
  <threadedComment ref="BO3" dT="2026-02-04T22:43:41.86" personId="{5D3AF245-2A3F-4AAD-90B1-868E92451BE0}" id="{3386F9D7-AF8D-4721-8A64-9206E9EAD5C5}">
    <text>Copy of the "data" column for behaviour header #3. Used to simplify formulae.</text>
  </threadedComment>
  <threadedComment ref="BP3" dT="2026-02-04T22:43:41.86" personId="{5D3AF245-2A3F-4AAD-90B1-868E92451BE0}" id="{6F6D2AF2-3646-4E7D-B4E4-37DC032D7DCF}">
    <text>Copy of the "data" column for behaviour header #4. Used to simplify formulae.</text>
  </threadedComment>
  <threadedComment ref="BQ3" dT="2026-02-04T22:43:41.86" personId="{5D3AF245-2A3F-4AAD-90B1-868E92451BE0}" id="{27F75A60-E649-42E2-99F4-B0C513C2107C}">
    <text>Copy of the "data" column for behaviour header #5. Used to simplify formulae.</text>
  </threadedComment>
  <threadedComment ref="BR3" dT="2026-02-04T22:46:12.32" personId="{5D3AF245-2A3F-4AAD-90B1-868E92451BE0}" id="{D1457836-9247-487C-997C-ED15C9A5819C}">
    <text>Array containing the numerator of the behaviour score for each data entry. It is computed on its own to simplify the overall formula for the behaviour score.</text>
  </threadedComment>
  <threadedComment ref="BS3" dT="2026-02-04T22:46:38.04" personId="{5D3AF245-2A3F-4AAD-90B1-868E92451BE0}" id="{1400722F-15C4-48B1-A517-E579917D6EC0}">
    <text>Array containing the denominator of the behaviour score for each data entry. It is computed on its own to simplify the overall formula for the behaviour score.</text>
  </threadedComment>
  <threadedComment ref="BT3" dT="2026-02-04T22:47:01.45" personId="{5D3AF245-2A3F-4AAD-90B1-868E92451BE0}" id="{8C48700E-31ED-4FB7-964A-A27A91D2807F}">
    <text>Array containing the normalized behaviour score (0-100%) for each data entry for which a score can be computed.</text>
  </threadedComment>
  <threadedComment ref="BU3" dT="2026-01-16T14:23:13.33" personId="{5D3AF245-2A3F-4AAD-90B1-868E92451BE0}" id="{ED77F99E-76D8-4872-9F5C-0F0146EEBF56}">
    <text>Array containing a TRUE/FALSE value for each data entry, indicating a doer/non-doer, or an empty value if a behaviour score cannot be computed.</text>
  </threadedComment>
  <threadedComment ref="T4" dT="2026-01-07T11:16:35.69" personId="{5D3AF245-2A3F-4AAD-90B1-868E92451BE0}" id="{3BEF204C-2584-4591-9B34-6AD9FD391CC5}">
    <text>Version number of the RANAS Analyser. Set in the "HiddenTables" sheet and used in various places.</text>
  </threadedComment>
  <threadedComment ref="Y4" dT="2026-01-13T17:48:06.21" personId="{5D3AF245-2A3F-4AAD-90B1-868E92451BE0}" id="{5D1BC0D0-EA03-4732-8325-CAC25158754F}">
    <text>User-defined function that takes as argument a "behaviourIndex" and returns the corresponding "include" value from behaviourTable. Used to simplify formulae.</text>
  </threadedComment>
  <threadedComment ref="T5" dT="2026-01-07T11:17:00.68" personId="{5D3AF245-2A3F-4AAD-90B1-868E92451BE0}" id="{C1E92698-CDF4-4626-9560-1E7560AB8D3D}">
    <text>Permanent link to the webpage that hosts the reference version of this file available to the public (plus possibly documentation and archived versions).</text>
  </threadedComment>
  <threadedComment ref="Y5" dT="2026-01-13T17:48:06.21" personId="{5D3AF245-2A3F-4AAD-90B1-868E92451BE0}" id="{CB05F824-A649-4013-8CFB-A7519B734B18}">
    <text>User-defined function that takes as argument a "behaviourIndex" and returns the corresponding "maxScore" value from behaviourTable. Used to simplify formulae.</text>
  </threadedComment>
  <threadedComment ref="T6" dT="2026-01-07T11:17:25.23" personId="{5D3AF245-2A3F-4AAD-90B1-868E92451BE0}" id="{056945A4-78A6-4F8F-B2C5-B191DCB18BFE}">
    <text>Link to the RANAS website.</text>
  </threadedComment>
  <threadedComment ref="Y6" dT="2026-01-13T17:48:06.21" personId="{5D3AF245-2A3F-4AAD-90B1-868E92451BE0}" id="{6DC96BFF-B3D6-46B1-8D38-5EA4AB8BD543}">
    <text>User-defined function that takes as argument a "behaviourIndex" and returns the corresponding "minScore" value from behaviourTable. Used to simplify formulae.</text>
  </threadedComment>
  <threadedComment ref="T7" dT="2026-01-07T11:17:50.84" personId="{5D3AF245-2A3F-4AAD-90B1-868E92451BE0}" id="{642A9713-8C2F-44C4-8481-0F64559453E8}">
    <text>Maximum number of rows allowed in the "data" sheet (used to prevent slow calculations).</text>
  </threadedComment>
  <threadedComment ref="Y7" dT="2026-01-09T13:36:12.50" personId="{5D3AF245-2A3F-4AAD-90B1-868E92451BE0}" id="{8028B8F5-12DE-412E-B03F-538113D6F08F}">
    <text>User-defined function to be used in an Excel table. The table contains an index column and a column with TRUE/FALSE values. The function is entered in a filteredIndexCol column and returns the list of indices corresponding to TRUE values, without blanks.</text>
  </threadedComment>
  <threadedComment ref="T8" dT="2026-01-07T11:18:05.52" personId="{5D3AF245-2A3F-4AAD-90B1-868E92451BE0}" id="{E6311091-327B-4EB1-8DB1-BF2EF6D42508}">
    <text>Maximum number of columns allowed in the "data" sheet (used to prevent slow calculations).</text>
  </threadedComment>
  <threadedComment ref="Y8" dT="2025-07-20T19:29:01.41" personId="{5D3AF245-2A3F-4AAD-90B1-868E92451BE0}" id="{AB114D5E-8F5A-426D-A437-3853E174B4FF}">
    <text>User-defined function that takes as argument any value and returns that same value, even if it is blank (i.e. the empty string "" or from an empty cell). Used to keep empty values as such, e.g. to prevent the XLOOKUP of an empty cell being converted to 0.</text>
  </threadedComment>
  <threadedComment ref="Y8" dT="2025-11-20T14:02:27.01" personId="{5D3AF245-2A3F-4AAD-90B1-868E92451BE0}" id="{50CCE661-3D11-454C-A688-FA002255D931}" parentId="{AB114D5E-8F5A-426D-A437-3853E174B4FF}">
    <text>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ext>
  </threadedComment>
  <threadedComment ref="T9" dT="2026-01-07T14:26:22.79" personId="{5D3AF245-2A3F-4AAD-90B1-868E92451BE0}" id="{08C4D84F-9FD3-4C12-BA3E-9D1DE87ECB99}">
    <text>If the number of factors selected for display by the user is less than or equal to this threshold, all factors will be displayed in the first chart. If it is above the threshold, the factors will be evenly split across both charts.</text>
  </threadedComment>
  <threadedComment ref="Y9" dT="2026-01-26T20:11:06.95" personId="{5D3AF245-2A3F-4AAD-90B1-868E92451BE0}" id="{C6EF09CE-66FC-420A-9DB2-24EB149724A7}">
    <text>User-defined function that takes as arguments a "reference" on a worksheet (e.g., cell address, named range) and a "defaultName", and returns the name of that worksheet (or the defaultName).</text>
  </threadedComment>
  <threadedComment ref="AB9" dT="2026-01-16T17:30:04.27" personId="{5D3AF245-2A3F-4AAD-90B1-868E92451BE0}" id="{B7EB3A7C-296A-4B23-A576-77E53F899698}">
    <text>For an explanation for the use of MATCH() with 1/(MID...) to find the last match in the string, see this link where the same strategy is used:
https://exceljet.net/formulas/lookup-latest-price</text>
    <extLst>
      <x:ext xmlns:xltc2="http://schemas.microsoft.com/office/spreadsheetml/2020/threadedcomments2" uri="{F7C98A9C-CBB3-438F-8F68-D28B6AF4A901}">
        <xltc2:checksum>619791977</xltc2:checksum>
        <xltc2:hyperlink startIndex="143" length="49" url="https://exceljet.net/formulas/lookup-latest-price"/>
      </x:ext>
    </extLst>
  </threadedComment>
  <threadedComment ref="AE9" dT="2026-01-09T14:36:51.16" personId="{5D3AF245-2A3F-4AAD-90B1-868E92451BE0}" id="{137C8FC4-AF6C-45E3-B2C8-AE3BE30F10E9}">
    <text>Legacy version</text>
  </threadedComment>
  <threadedComment ref="AG9" dT="2026-01-09T14:36:51.16" personId="{5D3AF245-2A3F-4AAD-90B1-868E92451BE0}" id="{0EF8A64D-BC06-4E49-ADA5-514829E8355A}">
    <text>Legacy version</text>
  </threadedComment>
  <threadedComment ref="AP9" dT="2026-01-09T14:36:51.16" personId="{5D3AF245-2A3F-4AAD-90B1-868E92451BE0}" id="{37375FA1-022D-4780-AE17-17184A876CCF}">
    <text>Legacy version</text>
  </threadedComment>
  <threadedComment ref="AQ9" dT="2026-01-09T14:36:51.16" personId="{5D3AF245-2A3F-4AAD-90B1-868E92451BE0}" id="{696FC813-9452-43F5-9B07-B25C73CC8152}">
    <text>Legacy version</text>
  </threadedComment>
  <threadedComment ref="AZ9" dT="2026-01-09T14:36:51.16" personId="{5D3AF245-2A3F-4AAD-90B1-868E92451BE0}" id="{0EA9F409-7F70-408C-8B40-A2753E65D588}">
    <text>Legacy version</text>
  </threadedComment>
  <threadedComment ref="BA9" dT="2026-01-09T14:36:51.16" personId="{5D3AF245-2A3F-4AAD-90B1-868E92451BE0}" id="{3E47D23E-F675-4CBA-968E-26EDF8823513}">
    <text>Legacy version</text>
  </threadedComment>
  <threadedComment ref="BD9" dT="2026-01-09T14:36:51.16" personId="{5D3AF245-2A3F-4AAD-90B1-868E92451BE0}" id="{551A561B-2DCB-4801-8052-FE795B3244CB}">
    <text>Legacy version</text>
  </threadedComment>
  <threadedComment ref="BE9" dT="2026-01-09T14:36:51.16" personId="{5D3AF245-2A3F-4AAD-90B1-868E92451BE0}" id="{D1C10C29-B0EA-46F1-A01E-46EFABEF5D51}">
    <text>Legacy version</text>
  </threadedComment>
  <threadedComment ref="BF9" dT="2026-01-09T14:36:51.16" personId="{5D3AF245-2A3F-4AAD-90B1-868E92451BE0}" id="{99B71060-9919-4866-B80C-342391F7441F}">
    <text>Legacy version</text>
  </threadedComment>
  <threadedComment ref="BG9" dT="2026-01-09T14:36:51.16" personId="{5D3AF245-2A3F-4AAD-90B1-868E92451BE0}" id="{D59BEEB3-68F4-4FA3-8443-1CBA6C475507}">
    <text>Legacy version</text>
  </threadedComment>
  <threadedComment ref="BJ9" dT="2026-01-09T14:36:51.16" personId="{5D3AF245-2A3F-4AAD-90B1-868E92451BE0}" id="{D2577CAA-09DA-4035-AFF6-A1A925BDB61E}">
    <text>Legacy version</text>
  </threadedComment>
  <threadedComment ref="BK9" dT="2026-01-09T14:36:51.16" personId="{5D3AF245-2A3F-4AAD-90B1-868E92451BE0}" id="{23E12202-66A6-463D-955A-38450B307E0D}">
    <text>Legacy version</text>
  </threadedComment>
  <threadedComment ref="Y10" dT="2026-01-08T15:51:19.02" personId="{5D3AF245-2A3F-4AAD-90B1-868E92451BE0}" id="{CBE2BC9A-1F21-4A1D-AAFE-EDCADD10E0DA}">
    <text>User-defined function that takes as arguments a "value" and references to a translation table (reference column, table itself, and table header), and returns the translation of that value into the selected UI language.</text>
  </threadedComment>
  <threadedComment ref="Y11" dT="2026-01-27T14:35:24.77" personId="{5D3AF245-2A3F-4AAD-90B1-868E92451BE0}" id="{FF68B974-7419-4BC2-B43C-2DDBF67903C2}">
    <text>Value of the "include" parameter for behaviour header #1, combining the user selection in the "Include?" column and whether a data header for that question is defined or not. Used to simplify formulae.</text>
  </threadedComment>
  <threadedComment ref="Y12" dT="2026-01-27T14:35:24.77" personId="{5D3AF245-2A3F-4AAD-90B1-868E92451BE0}" id="{C7B745AE-F254-4B1D-AE90-BBCD690A5D5C}">
    <text>Value of the "include" parameter for behaviour header #2, combining the user selection in the "Include?" column and whether a data header for that question is defined or not. Used to simplify formulae.</text>
  </threadedComment>
  <threadedComment ref="Y13" dT="2026-01-27T14:35:24.77" personId="{5D3AF245-2A3F-4AAD-90B1-868E92451BE0}" id="{7B7AF2D4-8C72-4E2E-8C0D-767D1839A0CF}">
    <text>Value of the "include" parameter for behaviour header #3, combining the user selection in the "Include?" column and whether a data header for that question is defined or not. Used to simplify formulae.</text>
  </threadedComment>
  <threadedComment ref="Y14" dT="2026-01-27T14:35:24.77" personId="{5D3AF245-2A3F-4AAD-90B1-868E92451BE0}" id="{E6DB978E-E1C8-48FF-9945-B7C966618BAD}">
    <text>Value of the "include" parameter for behaviour header #4, combining the user selection in the "Include?" column and whether a data header for that question is defined or not. Used to simplify formulae.</text>
  </threadedComment>
  <threadedComment ref="Y15" dT="2026-01-27T14:35:24.77" personId="{5D3AF245-2A3F-4AAD-90B1-868E92451BE0}" id="{5FA0289D-9367-4DE5-9F5C-6E6087B2AF36}">
    <text>Value of the "include" parameter for behaviour header #5, combining the user selection in the "Include?" column and whether a data header for that question is defined or not. Used to simplify formulae.</text>
  </threadedComment>
  <threadedComment ref="Y16" dT="2026-01-27T15:09:22.35" personId="{5D3AF245-2A3F-4AAD-90B1-868E92451BE0}" id="{069E79A2-8650-4DCC-9FB2-91D4E9692E77}">
    <text>Reference to the maximum score for behaviour header #1. Used to simplify formulae.</text>
  </threadedComment>
  <threadedComment ref="Y17" dT="2026-01-27T15:09:22.35" personId="{5D3AF245-2A3F-4AAD-90B1-868E92451BE0}" id="{B9A10C44-0FAD-4F37-B36C-EC48DF08F035}">
    <text>Reference to the maximum score for behaviour header #2. Used to simplify formulae.</text>
  </threadedComment>
  <threadedComment ref="Y18" dT="2026-01-27T15:09:22.35" personId="{5D3AF245-2A3F-4AAD-90B1-868E92451BE0}" id="{B7AC37A0-A4A5-4D6E-8DA5-A3AA096A1CD7}">
    <text>Reference to the maximum score for behaviour header #3. Used to simplify formulae.</text>
  </threadedComment>
  <threadedComment ref="Y19" dT="2026-01-27T15:09:22.35" personId="{5D3AF245-2A3F-4AAD-90B1-868E92451BE0}" id="{7681F98F-BA2F-4A93-82EE-B4B6184663E7}">
    <text>Reference to the maximum score for behaviour header #4. Used to simplify formulae.</text>
  </threadedComment>
  <threadedComment ref="Y20" dT="2026-01-27T15:09:22.35" personId="{5D3AF245-2A3F-4AAD-90B1-868E92451BE0}" id="{A54C0B2F-E66A-4DC0-8D93-ACC628DEE982}">
    <text>Reference to the maximum score for behaviour header #5. Used to simplify formulae.</text>
  </threadedComment>
  <threadedComment ref="Y21" dT="2026-01-27T15:14:22.31" personId="{5D3AF245-2A3F-4AAD-90B1-868E92451BE0}" id="{61C1D618-FBEB-4B53-AF51-A6383E6ECD64}">
    <text>Reference to the minimum score for behaviour header #1. Used to simplify formulae.</text>
  </threadedComment>
  <threadedComment ref="Y22" dT="2026-01-27T15:14:22.31" personId="{5D3AF245-2A3F-4AAD-90B1-868E92451BE0}" id="{4F8EC9CC-41AD-4070-82C6-6BC77148DA2F}">
    <text>Reference to the minimum score for behaviour header #2. Used to simplify formulae.</text>
  </threadedComment>
  <threadedComment ref="Y23" dT="2026-01-27T15:14:22.31" personId="{5D3AF245-2A3F-4AAD-90B1-868E92451BE0}" id="{6E273767-BDEA-4A32-B36C-30AB1F7F23E4}">
    <text>Reference to the minimum score for behaviour header #3. Used to simplify formulae.</text>
  </threadedComment>
  <threadedComment ref="Y24" dT="2026-01-27T15:14:22.31" personId="{5D3AF245-2A3F-4AAD-90B1-868E92451BE0}" id="{D089B2D2-7239-491C-880E-0D381B82E98B}">
    <text>Reference to the minimum score for behaviour header #4. Used to simplify formulae.</text>
  </threadedComment>
  <threadedComment ref="Y25" dT="2026-01-27T15:14:22.31" personId="{5D3AF245-2A3F-4AAD-90B1-868E92451BE0}" id="{0BB4B623-2B26-4B74-BC84-1ECA6D9A74E5}">
    <text>Reference to the minimum score for behaviour header #5. Used to simplify formulae.</text>
  </threadedComment>
  <threadedComment ref="Y26" dT="2026-01-27T13:09:53.11" personId="{5D3AF245-2A3F-4AAD-90B1-868E92451BE0}" id="{B37F5880-FC94-4A10-A839-9DBF44F1621D}">
    <text>List of "Difference" values for the first chart in the "Analysis" sheet, defined as a dynamic named range to include only the number of factors defined by "numFactorsChart1".</text>
  </threadedComment>
  <threadedComment ref="Y27" dT="2026-01-27T13:18:04.66" personId="{5D3AF245-2A3F-4AAD-90B1-868E92451BE0}" id="{79AFA561-4FC7-42D1-8F8B-DC2A23C007C4}">
    <text>List of "Difference" values for the second chart in the "Analysis" sheet, defined as a dynamic named range to include only the number of factors defined by "numFactorsChart2".</text>
  </threadedComment>
  <threadedComment ref="Y28" dT="2026-01-27T13:19:55.33" personId="{5D3AF245-2A3F-4AAD-90B1-868E92451BE0}" id="{30D27FDA-2F44-4607-9CA3-4F3260F09905}">
    <text>List of "Doers" values for the first chart in the "Analysis" sheet, defined as a dynamic named range to include only the number of factors defined by "numFactorsChart1".</text>
  </threadedComment>
  <threadedComment ref="Y29" dT="2026-01-27T13:23:12.06" personId="{5D3AF245-2A3F-4AAD-90B1-868E92451BE0}" id="{C2CE5CB3-64A7-4FB0-8B0C-43DB64F8CC19}">
    <text>List of "Doers" values for the second chart in the "Analysis" sheet, defined as a dynamic named range to include only the number of factors defined by "numFactorsChart2".</text>
  </threadedComment>
  <threadedComment ref="Y30" dT="2026-01-27T13:29:52.24" personId="{5D3AF245-2A3F-4AAD-90B1-868E92451BE0}" id="{55A0EB8F-A113-47F0-81DB-8D5E8793BCAA}">
    <text>List of "Factor" values for the first chart in the "Analysis" sheet, defined as a dynamic named range to include only the number of factors defined by "numFactorsChart1".</text>
  </threadedComment>
  <threadedComment ref="Y31" dT="2026-01-27T13:30:23.30" personId="{5D3AF245-2A3F-4AAD-90B1-868E92451BE0}" id="{4C49E352-E88B-4329-BDAC-50FEE4297B25}">
    <text>List of "Factor" values for the second chart in the "Analysis" sheet, defined as a dynamic named range to include only the number of factors defined by "numFactorsChart2".</text>
  </threadedComment>
  <threadedComment ref="Y32" dT="2026-01-27T13:36:57.76" personId="{5D3AF245-2A3F-4AAD-90B1-868E92451BE0}" id="{BEDC556C-09DF-4A70-ABC5-8A7A8D720EFD}">
    <text>List of languages that the user can choose from for text elements in the charts. It starts with the languages already available for the user interface (UI), followed by languages that the user can define in the "Configuration" tab.</text>
  </threadedComment>
  <threadedComment ref="Y33" dT="2026-01-27T13:42:41.98" personId="{5D3AF245-2A3F-4AAD-90B1-868E92451BE0}" id="{64898062-36E6-45FA-BBD7-0F6344739EC5}">
    <text>List of "Non-doers" values for the first chart in the "Analysis" sheet, defined as a dynamic named range to include only the number of factors defined by "numFactorsChart1".</text>
  </threadedComment>
  <threadedComment ref="Y34" dT="2026-01-27T13:43:08.05" personId="{5D3AF245-2A3F-4AAD-90B1-868E92451BE0}" id="{21AED473-6BF6-4329-B639-FC160108CCFD}">
    <text>List of "Non-doers" values for the second chart in the "Analysis" sheet, defined as a dynamic named range to include only the number of factors defined by "numFactorsChart2".</text>
  </threadedComment>
  <threadedComment ref="CN34" dT="2026-01-09T14:36:51.16" personId="{5D3AF245-2A3F-4AAD-90B1-868E92451BE0}" id="{343F2EB5-57A6-4C8D-A3F3-E9B8E0BBE862}">
    <text>Legacy version</text>
  </threadedComment>
  <threadedComment ref="CP34" dT="2026-01-09T14:36:51.16" personId="{5D3AF245-2A3F-4AAD-90B1-868E92451BE0}" id="{994267E3-3361-4824-B4A3-30F5E5D59019}">
    <text>Legacy version</text>
  </threadedComment>
  <threadedComment ref="CQ34" dT="2026-01-09T14:36:51.16" personId="{5D3AF245-2A3F-4AAD-90B1-868E92451BE0}" id="{D4A4D34B-5EE5-43AF-97C8-F95147B19289}">
    <text>Legacy version</text>
  </threadedComment>
  <threadedComment ref="CX34" dT="2026-01-09T14:36:51.16" personId="{5D3AF245-2A3F-4AAD-90B1-868E92451BE0}" id="{8357C38D-C22E-493C-B7E3-7BDF57F9A627}">
    <text>Legacy version</text>
  </threadedComment>
  <threadedComment ref="DB34" dT="2026-01-09T14:36:51.16" personId="{5D3AF245-2A3F-4AAD-90B1-868E92451BE0}" id="{01B6D153-1091-43BE-8750-4818FF608602}">
    <text>Legacy version</text>
  </threadedComment>
  <threadedComment ref="DD34" dT="2026-01-09T14:36:51.16" personId="{5D3AF245-2A3F-4AAD-90B1-868E92451BE0}" id="{542614EF-4E61-43DB-B965-327B07EFA70D}">
    <text>Legacy version</text>
  </threadedComment>
  <threadedComment ref="DE34" dT="2026-01-09T14:36:51.16" personId="{5D3AF245-2A3F-4AAD-90B1-868E92451BE0}" id="{BAF157BD-7CBA-495D-842C-F1622F67F52F}">
    <text>Legacy version</text>
  </threadedComment>
  <threadedComment ref="DG34" dT="2026-01-09T14:36:51.16" personId="{5D3AF245-2A3F-4AAD-90B1-868E92451BE0}" id="{AAF340A8-69FE-4884-BFA9-28F6DC56FB6D}">
    <text>Legacy version</text>
  </threadedComment>
  <threadedComment ref="DK34" dT="2026-01-09T14:36:51.16" personId="{5D3AF245-2A3F-4AAD-90B1-868E92451BE0}" id="{758CCC2C-7031-4F18-AA27-22795F830487}">
    <text>Legacy version</text>
  </threadedComment>
  <threadedComment ref="DM34" dT="2026-01-09T14:36:51.16" personId="{5D3AF245-2A3F-4AAD-90B1-868E92451BE0}" id="{5358B228-A2E0-4877-A34B-42B5C277DDA7}">
    <text>Legacy version</text>
  </threadedComment>
  <threadedComment ref="DN34" dT="2026-01-09T14:36:51.16" personId="{5D3AF245-2A3F-4AAD-90B1-868E92451BE0}" id="{F1A10D28-1D9D-4779-B879-39DB213B5C02}">
    <text>Legacy version</text>
  </threadedComment>
  <threadedComment ref="DO34" dT="2026-01-09T14:36:51.16" personId="{5D3AF245-2A3F-4AAD-90B1-868E92451BE0}" id="{CE1D0935-7D3B-40B0-873F-43F1536A4A98}">
    <text>Legacy version</text>
  </threadedComment>
  <threadedComment ref="DP34" dT="2026-01-09T14:36:51.16" personId="{5D3AF245-2A3F-4AAD-90B1-868E92451BE0}" id="{48281D58-DC50-4E69-890E-E31654A3982D}">
    <text>Legacy version</text>
  </threadedComment>
  <threadedComment ref="DQ34" dT="2026-01-09T14:36:51.16" personId="{5D3AF245-2A3F-4AAD-90B1-868E92451BE0}" id="{6775F86F-7A02-46F0-9A62-861834EB7FD9}">
    <text>Legacy version</text>
  </threadedComment>
  <threadedComment ref="DR34" dT="2026-01-09T14:36:51.16" personId="{5D3AF245-2A3F-4AAD-90B1-868E92451BE0}" id="{3FCA4CB4-4C73-499A-A5BF-0CE3AFE94B58}">
    <text>Legacy version</text>
  </threadedComment>
  <threadedComment ref="DS34" dT="2026-01-09T14:36:51.16" personId="{5D3AF245-2A3F-4AAD-90B1-868E92451BE0}" id="{774982DB-0BFC-42DE-80B0-309BC14D86BC}">
    <text>Legacy version</text>
  </threadedComment>
  <threadedComment ref="DT34" dT="2026-01-09T14:36:51.16" personId="{5D3AF245-2A3F-4AAD-90B1-868E92451BE0}" id="{56FDB060-5736-4CE6-8729-A0A1A1D541BB}">
    <text>Legacy version</text>
  </threadedComment>
  <threadedComment ref="DU34" dT="2026-01-09T14:36:51.16" personId="{5D3AF245-2A3F-4AAD-90B1-868E92451BE0}" id="{B8CADD6B-7EBB-43FB-A3C4-32DF9A625650}">
    <text>Legacy version</text>
  </threadedComment>
  <threadedComment ref="DV34" dT="2026-01-09T14:36:51.16" personId="{5D3AF245-2A3F-4AAD-90B1-868E92451BE0}" id="{F41DA8C5-C198-4E74-82C2-D3B151C97384}">
    <text>Legacy version</text>
  </threadedComment>
  <threadedComment ref="Y35" dT="2026-01-07T14:10:05.99" personId="{5D3AF245-2A3F-4AAD-90B1-868E92451BE0}" id="{48BC226F-FD01-45D2-B60B-B5C969AFB89B}">
    <text>Recommended cutoff level that minimizes the absolute difference between the number of doers and the number of non-doers.</text>
  </threadedComment>
  <threadedComment ref="AB35" dT="2026-01-16T17:30:04.27" personId="{5D3AF245-2A3F-4AAD-90B1-868E92451BE0}" id="{1FC628A3-BD28-40B4-BB5E-DA52123B1EFC}">
    <text>For an explanation for the use of LOOKUP() to find the last match in an array, see this link:
https://exceljet.net/formulas/lookup-latest-price</text>
    <extLst>
      <x:ext xmlns:xltc2="http://schemas.microsoft.com/office/spreadsheetml/2020/threadedcomments2" uri="{F7C98A9C-CBB3-438F-8F68-D28B6AF4A901}">
        <xltc2:checksum>41752812</xltc2:checksum>
        <xltc2:hyperlink startIndex="94" length="49" url="https://exceljet.net/formulas/lookup-latest-price"/>
      </x:ext>
    </extLst>
  </threadedComment>
  <threadedComment ref="Y36" dT="2026-01-08T17:25:09.73" personId="{5D3AF245-2A3F-4AAD-90B1-868E92451BE0}" id="{231D4EA3-8C4C-428C-A7BC-96D26254D798}">
    <text>Column number of the last non-empty cell (up to maxColNum) in dataFirstRow. Used to define dataHeaders.</text>
  </threadedComment>
  <threadedComment ref="Y37" dT="2026-01-07T11:27:55.11" personId="{5D3AF245-2A3F-4AAD-90B1-868E92451BE0}" id="{54CCF8C4-939A-4969-9C71-D43B5659856B}">
    <text>Column number of the data column that serves as an index for the survey submissions. Used to copy that column (as dataRefCol) and count the total number of data entries.</text>
  </threadedComment>
  <threadedComment ref="AA37" dT="2026-01-07T11:38:32.15" personId="{5D3AF245-2A3F-4AAD-90B1-868E92451BE0}" id="{3EA9EAB6-464C-40FF-A29C-5AC5F2CF62A3}">
    <text>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ext>
  </threadedComment>
  <threadedComment ref="Y38" dT="2026-01-27T15:20:26.86" personId="{5D3AF245-2A3F-4AAD-90B1-868E92451BE0}" id="{9FBCCA0B-0F3E-4D10-B107-0F855F175A52}">
    <text>Union of all yellow user-editable areas in the tables of the "Configuration" sheet. Used as a shortcut to quickly select them with "Go To..." and define their "locked/hidden" settings. /!\ If these areas change, check if the range resized accordingly /!\</text>
  </threadedComment>
  <threadedComment ref="Y39" dT="2026-01-10T17:53:59.79" personId="{5D3AF245-2A3F-4AAD-90B1-868E92451BE0}" id="{1ED1FFBF-B238-4A39-A3E3-7CCB2BA2EEE9}">
    <text>Error that evaluates to TRUE if any selected behaviour header in behaviourConfigTable is not found in the "data" sheet.</text>
  </threadedComment>
  <threadedComment ref="Y40" dT="2026-01-12T13:36:47.18" personId="{5D3AF245-2A3F-4AAD-90B1-868E92451BE0}" id="{1BCD0FF1-DA5D-4539-B94C-19746D52FE99}">
    <text>Error that evaluates to TRUE if the "Include?" value for a non-empty behaviour header in behaviourConfigTable is missing or invalid.</text>
  </threadedComment>
  <threadedComment ref="Y41" dT="2026-01-12T19:43:39.68" personId="{5D3AF245-2A3F-4AAD-90B1-868E92451BE0}" id="{DB77FBFE-A695-4012-850B-37FA9B88E51C}">
    <text>Error that evaluates to TRUE if a min. or max. score for a selected, non-empty behaviour header in behaviourConfigTable is missing or invalid (e.g., min &gt;= max).</text>
  </threadedComment>
  <threadedComment ref="Y42" dT="2026-01-12T17:12:08.01" personId="{5D3AF245-2A3F-4AAD-90B1-868E92451BE0}" id="{4199D389-F3F7-4C37-85DB-77F36C5CEE14}">
    <text>Error that evaluates to TRUE if none of the valid behaviour headers in behaviourConfigTable (i.e. headers successfully found in the "data" sheet) is selected in the "Include?" column.</text>
  </threadedComment>
  <threadedComment ref="Y43" dT="2026-01-13T07:52:57.14" personId="{5D3AF245-2A3F-4AAD-90B1-868E92451BE0}" id="{736B03EB-F22F-4F8F-AE7B-DD9DDFD55729}">
    <text>Error that evaluates to TRUE if any value in the "data" sheet for the selected behaviour headers falls outside of the corresponding "Min. score"-"Max. score" range defined in behaviourConfigTable.</text>
  </threadedComment>
  <threadedComment ref="Y44" dT="2026-01-20T18:20:38.59" personId="{5D3AF245-2A3F-4AAD-90B1-868E92451BE0}" id="{E948A971-AEFD-4E80-BF50-D017BABD9D29}">
    <text>Error that evaluates to TRUE if the selected chartLanguage is not from the allowed chartLanguageList.</text>
  </threadedComment>
  <threadedComment ref="Y45" dT="2026-01-21T16:39:16.55" personId="{5D3AF245-2A3F-4AAD-90B1-868E92451BE0}" id="{17B9A7AA-8B5C-47F6-A1CE-B38EA8D2E485}">
    <text>Error that evaluates to TRUE if the translation into chartLanguage for any entry in chartTranslationTable is missing.</text>
  </threadedComment>
  <threadedComment ref="Y46" dT="2026-01-21T22:25:51.86" personId="{5D3AF245-2A3F-4AAD-90B1-868E92451BE0}" id="{14283CDC-D4F3-4C5C-A3BB-E8763029DBAB}">
    <text>Error that evaluates to TRUE if the value entered for cutoffLevel is invalid (i.e., not an integer between 0 and 100%).</text>
  </threadedComment>
  <threadedComment ref="AA46" dT="2026-01-26T12:28:29.35" personId="{5D3AF245-2A3F-4AAD-90B1-868E92451BE0}" id="{CE1B0804-00CA-4D76-95CC-70BA8827023F}">
    <text>The test for the whole number is done on the cell itself rather than 100*cutoffLevel, because otherwise rounding errors with the MOD() function can produce false positives.</text>
  </threadedComment>
  <threadedComment ref="Y47" dT="2026-01-09T15:24:34.56" personId="{5D3AF245-2A3F-4AAD-90B1-868E92451BE0}" id="{18BBC9C1-6A69-4400-AD5D-2FBCFBFBA785}">
    <text>Error that evaluates to TRUE if any space character is found in the first row of the "data" sheet. Spaces in column headers could cause problems when referencing those columns.</text>
  </threadedComment>
  <threadedComment ref="Y48" dT="2026-01-21T22:33:24.44" personId="{5D3AF245-2A3F-4AAD-90B1-868E92451BE0}" id="{6C98878A-7F5F-45FC-A412-F804D6DAA995}">
    <text>Error that evaluates to TRUE if the selected sortingMethod is not from the allowed sortMenuList.</text>
  </threadedComment>
  <threadedComment ref="Y49" dT="2026-01-20T16:54:12.61" personId="{5D3AF245-2A3F-4AAD-90B1-868E92451BE0}" id="{7A4E84DF-9EA5-4DBE-BA23-31D8CA68311D}">
    <text>Error that evaluates to TRUE if the "Display?" value for a non-empty factor header in factorConfigTable is missing or invalid.</text>
  </threadedComment>
  <threadedComment ref="Y50" dT="2026-01-20T16:43:49.45" personId="{5D3AF245-2A3F-4AAD-90B1-868E92451BE0}" id="{6327AD21-F5E2-4AA8-99D5-F06E2C68A509}">
    <text>Error that evaluates to TRUE if any selected factor header in factorConfigTable is not found in the "data" sheet.</text>
  </threadedComment>
  <threadedComment ref="Y51" dT="2026-01-20T17:58:05.87" personId="{5D3AF245-2A3F-4AAD-90B1-868E92451BE0}" id="{278C3B32-19EA-42D2-A788-E923A8488E96}">
    <text>Error that evaluates to TRUE if a min. or max. score for a selected, non-empty factor header in factorConfigTable is missing or invalid (e.g., min &gt;= max).</text>
  </threadedComment>
  <threadedComment ref="Y52" dT="2026-01-20T17:05:14.09" personId="{5D3AF245-2A3F-4AAD-90B1-868E92451BE0}" id="{01C52DD6-00F8-4D6C-B072-6B0E9824E8FF}">
    <text>Error that evaluates to TRUE if none of the valid factor headers in factorConfigTable (i.e. headers successfully found in the "data" sheet) is selected in the "Display?" column.</text>
  </threadedComment>
  <threadedComment ref="Y53" dT="2026-01-20T18:15:06.05" personId="{5D3AF245-2A3F-4AAD-90B1-868E92451BE0}" id="{DE2D93FE-8BD9-4A7F-88F1-9C72626ABAAD}">
    <text>Error that evaluates to TRUE if any value in the "data" sheet for the selected factor headers falls outside of the corresponding "Min. score"-"Max. score" range defined in factorConfigTable.</text>
  </threadedComment>
  <threadedComment ref="Y54" dT="2026-01-21T13:41:21.89" personId="{5D3AF245-2A3F-4AAD-90B1-868E92451BE0}" id="{A539FC2A-A770-47B3-B74C-8A171C72BC85}">
    <text>Error that evaluates to TRUE if the translation into chartLanguage for a selected, non-empty factor header in factorConfigTable is missing.</text>
  </threadedComment>
  <threadedComment ref="Y55" dT="2026-01-07T14:52:16.25" personId="{5D3AF245-2A3F-4AAD-90B1-868E92451BE0}" id="{E1A5970E-EE85-4A4E-9903-F00D568C51F7}">
    <text>List of error messages displayed to the user in the "Configuration" sheet, concatenated from a list of possible messages defined in the hidden "Error messages" table.</text>
  </threadedComment>
  <threadedComment ref="Y56" dT="2026-01-09T09:30:28.02" personId="{5D3AF245-2A3F-4AAD-90B1-868E92451BE0}" id="{AC6C909B-7866-422D-82E8-C6A96A224936}">
    <text>Error that evaluates to TRUE if none of the predefined headers for a reference column is found in the "data" sheet.</text>
  </threadedComment>
  <threadedComment ref="Y57" dT="2026-01-09T09:20:18.63" personId="{5D3AF245-2A3F-4AAD-90B1-868E92451BE0}" id="{AF6E7DC9-01F5-4F75-A174-D8B1DB671270}">
    <text>Error that evaluates to TRUE if the "data" sheet does not exist.</text>
  </threadedComment>
  <threadedComment ref="Y58" dT="2026-01-20T22:46:29.25" personId="{5D3AF245-2A3F-4AAD-90B1-868E92451BE0}" id="{7591502D-8F1C-493C-8B3F-9806BD17D2AF}">
    <text>Error that evaluates to TRUE if a RANAS block for a selected, non-empty factor header in factorConfigTable is missing or invalid.</text>
  </threadedComment>
  <threadedComment ref="Y59" dT="2026-01-09T09:18:27.33" personId="{5D3AF245-2A3F-4AAD-90B1-868E92451BE0}" id="{59345150-73A7-4AFE-860F-BDB68B001667}">
    <text>Error that evaluates to TRUE if the selected UILanguage is not from the allowed UILanguageList.</text>
  </threadedComment>
  <threadedComment ref="Y60" dT="2026-01-07T14:44:46.08" personId="{5D3AF245-2A3F-4AAD-90B1-868E92451BE0}" id="{303A217B-0797-4C81-9D61-BBE0A1E6C70D}">
    <text>Translation of "Behaviour score" into the chartLanguage selected by the user. Used mostly for the axis label on the chart, which can accept a named variable, but not a complex formula.</text>
  </threadedComment>
  <threadedComment ref="Y61" dT="2026-01-07T14:44:07.59" personId="{5D3AF245-2A3F-4AAD-90B1-868E92451BE0}" id="{850F4624-7EC3-460F-AFEC-32934209FD8C}">
    <text>Translation of "Cutoff level" into the chartLanguage selected by the user. Used mostly for the axis label on the chart, which can accept a named variable, but not a complex formula.</text>
  </threadedComment>
  <threadedComment ref="Y62" dT="2026-01-07T14:47:01.58" personId="{5D3AF245-2A3F-4AAD-90B1-868E92451BE0}" id="{F4BC9FE4-A5D3-49D9-8CA6-C4731DC09A31}">
    <text>Translation of "Normalized mean score" into the chartLanguage selected by the user. Used mostly for the axis label on the chart, which can accept a named variable, but not a complex formula.</text>
  </threadedComment>
  <threadedComment ref="AA62" dT="2023-02-25T04:21:27.96" personId="{5D3AF245-2A3F-4AAD-90B1-868E92451BE0}" id="{A7BAF418-6AFA-4735-AF91-43C5DE25FB15}">
    <text>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ext>
  </threadedComment>
  <threadedComment ref="AB62" dT="2026-01-12T16:49:31.64" personId="{5D3AF245-2A3F-4AAD-90B1-868E92451BE0}" id="{6D2BDB2D-DEF7-4BD0-B302-C5B450709BED}">
    <text>Note: Using the function UNICHAR() in this formula could make it incompatible with Excel versions prior to 2013. Find an alternative (e.g., just use a regular hyphen) if this turns out to be a problem.</text>
  </threadedComment>
  <threadedComment ref="Y63" dT="2026-01-07T14:50:02.83" personId="{5D3AF245-2A3F-4AAD-90B1-868E92451BE0}" id="{DECBFD3E-B119-43A3-8C16-48BE13D1DA62}">
    <text>Translation of "# of responses" into the chartLanguage selected by the user. Used mostly for the axis label on the chart, which can accept a named variable, but not a complex formula.</text>
  </threadedComment>
  <threadedComment ref="Y64" dT="2026-01-07T14:50:59.79" personId="{5D3AF245-2A3F-4AAD-90B1-868E92451BE0}" id="{CBD9C711-5209-416C-8A94-54CD0ED95062}">
    <text>Translation of "% of responses" into the chartLanguage selected by the user. Used mostly for the axis label on the chart, which can accept a named variable, but not a complex formula.</text>
  </threadedComment>
  <threadedComment ref="Y65" dT="2026-01-27T17:51:28.34" personId="{5D3AF245-2A3F-4AAD-90B1-868E92451BE0}" id="{3428773C-B63D-401E-B7F9-7955C0E75568}">
    <text>List of the user-interface + user-defined languages in the header of the "Factors configuration table". Used to compute the "chartLanguageList" and to look up various text values in the selected chartLanguage.</text>
  </threadedComment>
  <threadedComment ref="Y66" dT="2026-01-07T11:13:42.79" personId="{5D3AF245-2A3F-4AAD-90B1-868E92451BE0}" id="{B3C2F7E7-D905-488E-959F-71514EBA8466}">
    <text>Local equivalent of the "address" parameter for the CELL() function, which is specific to the language version of Excel. CELL() is used to dynamically reference the sheets' names, in case they change in the future.</text>
  </threadedComment>
  <threadedComment ref="AA66" dT="2023-02-27T02:54:44.34" personId="{5D3AF245-2A3F-4AAD-90B1-868E92451BE0}" id="{BDFD382D-8813-439A-8635-35E286C7274B}">
    <text>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ext>
  </threadedComment>
  <threadedComment ref="Y67" dT="2026-01-07T14:40:30.72" personId="{5D3AF245-2A3F-4AAD-90B1-868E92451BE0}" id="{63EC71EC-6CC4-403B-BC02-E2EE9D085CC6}">
    <text>Maximum doers/non-doers difference (in absolute value) used to define the lower and upper limits of the colour scale in Conditional formatting for the "Difference" column of the "analysisChartTable".</text>
  </threadedComment>
  <threadedComment ref="Y68" dT="2026-01-27T18:06:47.08" personId="{5D3AF245-2A3F-4AAD-90B1-868E92451BE0}" id="{8E5387EE-F35C-4C99-B5A2-501661974AE7}">
    <text>Reference to the label meaning "no" in the drop-down menus of the "Include?" and "Display?" columns of the "Behaviour" and "Factors" configuration tables. Used in UI text.</text>
  </threadedComment>
  <threadedComment ref="Y69" dT="2026-01-07T14:00:40.92" personId="{5D3AF245-2A3F-4AAD-90B1-868E92451BE0}" id="{98EFA81E-B26B-4162-BF70-4BBA624CECE4}">
    <text>Number of entries in the "data" sheet. It is counted as the number of values in the "index" column dataRefCol.</text>
  </threadedComment>
  <threadedComment ref="Y70" dT="2026-01-07T14:16:38.98" personId="{5D3AF245-2A3F-4AAD-90B1-868E92451BE0}" id="{6987FA74-F492-4B7C-99EF-65FE22D4256E}">
    <text>Number of factors selected for display by the user in the Configuration tab (up to 30). Used to calculate the number of factors displayed in each chart of the "Analysis" sheet ("numFactorsChart1" and "numFactorsChart2").</text>
  </threadedComment>
  <threadedComment ref="Y71" dT="2026-01-07T14:24:50.65" personId="{5D3AF245-2A3F-4AAD-90B1-868E92451BE0}" id="{0E5A0A8E-AF58-40CB-BAF5-BF37AA6895DC}">
    <text>Number of factors that will be displayed in the first chart of the "Analysis" sheet. It depends on "numFactors" and "numFactorsThreshold" in order to split the factors across both charts. Used to define a dynamic range for the chart data.</text>
  </threadedComment>
  <threadedComment ref="Y72" dT="2026-01-07T14:27:30.39" personId="{5D3AF245-2A3F-4AAD-90B1-868E92451BE0}" id="{9C2EF22F-7719-45E7-A51A-43194BFC951E}">
    <text>Number of factors that will be displayed in the second chart of the "Analysis" sheet. It depends on "numFactors" and "numFactorsThreshold" in order to split the factors across both charts. Used to define a dynamic range for the chart data.</text>
  </threadedComment>
  <threadedComment ref="Y73" dT="2026-01-07T14:31:54.60" personId="{5D3AF245-2A3F-4AAD-90B1-868E92451BE0}" id="{F8EA8679-A5A3-4E64-B223-C85FD6BD4DCD}">
    <text>Number of languages available to display chart/table text (it includes the UI + the user-defined languages). Used mostly to define a dynamic range for the "Chart language" drop-down menu.</text>
  </threadedComment>
  <threadedComment ref="Y74" dT="2026-01-07T14:05:01.19" personId="{5D3AF245-2A3F-4AAD-90B1-868E92451BE0}" id="{80D50726-EF2C-4C67-9FBB-E23389320578}">
    <text>Number of scores, i.e. number of "data" entries having at least one non-empty value among the selected "behaviour" questions and for which a behaviour score can be computed.</text>
  </threadedComment>
  <threadedComment ref="Y75" dT="2026-01-27T23:01:04.70" personId="{5D3AF245-2A3F-4AAD-90B1-868E92451BE0}" id="{EC282725-E97D-4442-A25E-96E89D8860B6}">
    <text>List of RANAS blocks in (currently) both UI languages (English, Français) used in drop-down menus in the "Factors configuration table".</text>
  </threadedComment>
  <threadedComment ref="Y76" dT="2026-01-07T11:16:08.31" personId="{5D3AF245-2A3F-4AAD-90B1-868E92451BE0}" id="{D7D70823-CDCD-482A-8D64-14AAA174D567}">
    <text>Dynamic reference to the "Analysis" sheet name (in case it changes in the future), used mostly in UI text.</text>
  </threadedComment>
  <threadedComment ref="Y77" dT="2026-01-07T11:15:23.66" personId="{5D3AF245-2A3F-4AAD-90B1-868E92451BE0}" id="{D7107A38-D6DB-469A-8C87-CE953DC74C5C}">
    <text>Dynamic reference to the "Configuration" sheet name (in case it changes in the future), used mostly in UI text.</text>
  </threadedComment>
  <threadedComment ref="Y78" dT="2026-01-07T11:15:54.85" personId="{5D3AF245-2A3F-4AAD-90B1-868E92451BE0}" id="{38B92C36-2D09-4392-B5D0-AB22DF93AA64}">
    <text>Dynamic reference to the "Cutoff" sheet name (in case it changes in the future), used mostly in UI text.</text>
  </threadedComment>
  <threadedComment ref="Y79" dT="2026-01-07T11:14:56.54" personId="{5D3AF245-2A3F-4AAD-90B1-868E92451BE0}" id="{07A2D467-7B27-4D0F-A15A-9EF144A70C0D}">
    <text>Dynamic reference to the "HiddenTables" sheet name (in case it changes in the future).</text>
  </threadedComment>
  <threadedComment ref="AA79" dT="2023-02-27T02:54:44.34" personId="{5D3AF245-2A3F-4AAD-90B1-868E92451BE0}" id="{920D1D5A-2398-4BA7-B424-F90D035B6A6A}">
    <text>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ext>
  </threadedComment>
  <threadedComment ref="Y80" dT="2026-01-07T11:15:12.27" personId="{5D3AF245-2A3F-4AAD-90B1-868E92451BE0}" id="{99D08BBB-6A83-48E4-92DF-884E316E478F}">
    <text>Dynamic reference to the "Introduction" sheet name (in case it changes in the future), used mostly in UI text.</text>
  </threadedComment>
  <threadedComment ref="Y81" dT="2026-01-07T14:43:07.22" personId="{5D3AF245-2A3F-4AAD-90B1-868E92451BE0}" id="{CA9389B5-559B-4E70-9A1A-9063BF203F27}">
    <text>Tag associated with the selected sorting method for the data in the "Factors analysis chart". Used to simplify the formula that sorts the data according to the selected method.</text>
  </threadedComment>
  <threadedComment ref="Y82" dT="2026-01-28T12:17:07.12" personId="{5D3AF245-2A3F-4AAD-90B1-868E92451BE0}" id="{52CA9CC3-2DD0-427C-849D-AA85538CB280}">
    <text>List of sorting options for the "Factors analysis chart". Using symbols to make it (sort of) language-independent, so the options must be described in the UI language next to the menu.</text>
  </threadedComment>
  <threadedComment ref="Y83" dT="2026-01-28T12:27:01.86" personId="{5D3AF245-2A3F-4AAD-90B1-868E92451BE0}" id="{581ECF05-C743-4C62-BBE0-89915C1748BD}">
    <text>List of available languages for the user interface. New languages must be added as new columns in UITranslationTable, errorMessagesTable, factorsConfigTable and chartTranslationTable, completed with all corresponding translations.</text>
  </threadedComment>
  <threadedComment ref="Y84" dT="2026-01-27T18:10:32.10" personId="{5D3AF245-2A3F-4AAD-90B1-868E92451BE0}" id="{2C6136A3-2FA2-4040-B462-4804885A4F56}">
    <text>Reference to the label meaning "yes" in the drop-down menus of the "Include?" and "Display?" columns of the "Behaviour" and "Factors" configuration tables.  Used in UI text and conditional formatting rules.</text>
  </threadedComment>
  <threadedComment ref="Y85" dT="2026-01-28T13:19:06.00" personId="{5D3AF245-2A3F-4AAD-90B1-868E92451BE0}" id="{1B90EA43-A512-4D8C-AED7-B8CCEAA8D002}">
    <text>List of yes/no values (check mark/cross mark) used in drop-down menus in the "Behaviour configuration table" and "Factors configuration table" to include behaviour questions/factors in the behaviour score/analysis chart.</text>
  </threadedComment>
  <threadedComment ref="AA112" dT="2026-01-26T12:28:29.35" personId="{5D3AF245-2A3F-4AAD-90B1-868E92451BE0}" id="{CAE2CE7C-DC90-4E8B-8BFF-5771B8010C60}">
    <text>The test for the whole number is done on the cell itself rather than on 100*cutoffLevel, because otherwise rounding errors with the MOD() function can produce false positives.</text>
  </threadedComment>
  <threadedComment ref="Y113" dT="2026-01-26T11:19:14.46" personId="{5D3AF245-2A3F-4AAD-90B1-868E92451BE0}" id="{C13CC2AB-4B99-40A8-9566-82F95A04CE16}">
    <text>This CF rule displays a decimal digit to the cutoff level value (e.g., 56.7%) to highlight that the entered value is not a whole number.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drawing" Target="../drawings/drawing1.xml"/><Relationship Id="rId16"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19" Type="http://schemas.microsoft.com/office/2017/10/relationships/threadedComment" Target="../threadedComments/threadedComment2.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7F1E-25AA-4AE8-99EF-6E049206A1C6}">
  <sheetPr codeName="Sheet5"/>
  <dimension ref="A1:D6"/>
  <sheetViews>
    <sheetView workbookViewId="0">
      <selection activeCell="C8" sqref="C8"/>
    </sheetView>
  </sheetViews>
  <sheetFormatPr defaultRowHeight="14.4" customHeight="1" x14ac:dyDescent="0.3"/>
  <cols>
    <col min="1" max="1" width="14.21875" style="9" customWidth="1"/>
    <col min="2" max="2" width="11.33203125" style="1" bestFit="1" customWidth="1"/>
    <col min="3" max="3" width="13.5546875" style="1" customWidth="1"/>
    <col min="4" max="16384" width="8.88671875" style="1"/>
  </cols>
  <sheetData>
    <row r="1" spans="1:4" ht="14.4" customHeight="1" x14ac:dyDescent="0.3">
      <c r="A1" s="74" t="s">
        <v>664</v>
      </c>
    </row>
    <row r="2" spans="1:4" ht="14.4" customHeight="1" x14ac:dyDescent="0.3">
      <c r="A2" s="9" t="e" cm="1">
        <f t="array" aca="1" ref="A2" ca="1">INDIRECT(
    ADDRESS(1, 1, 1, 0, sheetNameData)
    &amp; ":"
    &amp; ADDRESS(1, maxColNum, 1, 0),
    FALSE
  ) &amp; ""</f>
        <v>#REF!</v>
      </c>
    </row>
    <row r="4" spans="1:4" ht="14.4" customHeight="1" x14ac:dyDescent="0.3">
      <c r="A4" s="74" t="s">
        <v>666</v>
      </c>
      <c r="C4" s="62" t="s">
        <v>551</v>
      </c>
      <c r="D4" s="1" t="e" cm="1">
        <f t="array" aca="1" ref="D4" ca="1">IF(
    errorNoDataSheet,
    NA(),
    INDEX(dataFirstRow, 1, 1)
    :INDEX(dataFirstRow, 1, dataLastColNum)
  )</f>
        <v>#N/A</v>
      </c>
    </row>
    <row r="5" spans="1:4" ht="14.4" customHeight="1" x14ac:dyDescent="0.3">
      <c r="A5" s="9" t="e" cm="1">
        <f t="array" aca="1" ref="A5" ca="1">IF(
    ISNA(dataRefColNum),
    NA(),
    INDIRECT(
      ADDRESS(2, dataRefColNum, 1, 0, sheetNameData)
      &amp; ":"
      &amp; ADDRESS(maxRowNum, dataRefColNum, 1, 0),
      FALSE
    ) &amp; ""
  )</f>
        <v>#N/A</v>
      </c>
      <c r="C5" s="62" t="s">
        <v>421</v>
      </c>
      <c r="D5" s="1" t="e" cm="1">
        <f t="array" aca="1" ref="D5" ca="1">IF(
    OR(ISNA(numEntries), numEntries = 0),
    NA(),
    IF(
      INDIRECT(
        ADDRESS(2, 1, 1, 0, sheetNameData)
        &amp; ":"
        &amp; ADDRESS(numEntries + 1, dataLastColNum, 1, 0),
        FALSE
      ) = "",
      "",
      INDIRECT(
        ADDRESS(2, 1, 1, 0, sheetNameData)
        &amp; ":"
        &amp; ADDRESS(numEntries + 1, dataLastColNum, 1, 0),
        FALSE
      )
    )
  )</f>
        <v>#N/A</v>
      </c>
    </row>
    <row r="6" spans="1:4" ht="14.4" customHeight="1" x14ac:dyDescent="0.3">
      <c r="C6" s="164" t="s">
        <v>677</v>
      </c>
    </row>
  </sheetData>
  <sheetProtection algorithmName="SHA-512" hashValue="P21V3rh5zOg2E2UnP+5EbKaXtYmdpFQfxks7fOsalZnazf83eaNr/sH1rMAb31XgH/pgZHzG02tM7NdVyqFgqA==" saltValue="IcwoL+B75NkQUNUgzanyaQ==" spinCount="100000" sheet="1" objects="1" scenarios="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74B6-D5C9-48EE-ADA9-AE5AA25D6B3E}">
  <sheetPr codeName="Sheet1">
    <pageSetUpPr autoPageBreaks="0"/>
  </sheetPr>
  <dimension ref="E1:DV118"/>
  <sheetViews>
    <sheetView topLeftCell="A31" zoomScaleNormal="100" workbookViewId="0">
      <selection activeCell="J24" sqref="J24"/>
    </sheetView>
  </sheetViews>
  <sheetFormatPr defaultRowHeight="14.4" customHeight="1" x14ac:dyDescent="0.3"/>
  <cols>
    <col min="1" max="4" width="20.6640625" style="1" customWidth="1"/>
    <col min="5" max="5" width="8.5546875" style="1" customWidth="1"/>
    <col min="6" max="8" width="20.6640625" style="1" customWidth="1"/>
    <col min="9" max="10" width="8.88671875" style="1"/>
    <col min="11" max="11" width="27.33203125" style="1" bestFit="1" customWidth="1"/>
    <col min="12" max="12" width="11.109375" style="1" customWidth="1"/>
    <col min="13" max="14" width="20.88671875" style="1" customWidth="1"/>
    <col min="15" max="15" width="14.33203125" style="1" customWidth="1"/>
    <col min="16" max="17" width="14.6640625" style="1" customWidth="1"/>
    <col min="18" max="19" width="8.88671875" style="1"/>
    <col min="20" max="20" width="25" style="1" bestFit="1" customWidth="1"/>
    <col min="21" max="21" width="30.77734375" style="1" customWidth="1"/>
    <col min="22" max="23" width="8.88671875" style="1"/>
    <col min="24" max="24" width="21" style="1" bestFit="1" customWidth="1"/>
    <col min="25" max="25" width="31.88671875" style="1" bestFit="1" customWidth="1"/>
    <col min="26" max="26" width="25.6640625" style="1" customWidth="1"/>
    <col min="27" max="27" width="19.21875" style="1" customWidth="1"/>
    <col min="28" max="28" width="16.21875" style="1" customWidth="1"/>
    <col min="29" max="30" width="8.88671875" style="1"/>
    <col min="31" max="31" width="17.6640625" style="1" bestFit="1" customWidth="1"/>
    <col min="32" max="32" width="10.88671875" style="1" bestFit="1" customWidth="1"/>
    <col min="33" max="33" width="13.88671875" style="1" bestFit="1" customWidth="1"/>
    <col min="34" max="34" width="13.6640625" style="1" bestFit="1" customWidth="1"/>
    <col min="35" max="37" width="8.88671875" style="1"/>
    <col min="38" max="38" width="8.33203125" style="1" customWidth="1"/>
    <col min="39" max="40" width="8.88671875" style="1"/>
    <col min="41" max="41" width="12.5546875" style="1" bestFit="1" customWidth="1"/>
    <col min="42" max="42" width="27.109375" style="1" bestFit="1" customWidth="1"/>
    <col min="43" max="43" width="17.44140625" style="1" customWidth="1"/>
    <col min="44" max="46" width="8.88671875" style="1"/>
    <col min="47" max="47" width="14.109375" style="1" customWidth="1"/>
    <col min="48" max="48" width="8.88671875" style="1" customWidth="1"/>
    <col min="49" max="49" width="14.109375" style="1" customWidth="1"/>
    <col min="50" max="51" width="8.88671875" style="1"/>
    <col min="52" max="52" width="17.44140625" style="1" customWidth="1"/>
    <col min="53" max="53" width="14.6640625" style="1" bestFit="1" customWidth="1"/>
    <col min="54" max="54" width="9.88671875" style="1" customWidth="1"/>
    <col min="55" max="55" width="18.33203125" style="1" customWidth="1"/>
    <col min="56" max="59" width="11.6640625" style="1" customWidth="1"/>
    <col min="60" max="60" width="16.88671875" style="1" bestFit="1" customWidth="1"/>
    <col min="61" max="61" width="17.21875" style="1" bestFit="1" customWidth="1"/>
    <col min="62" max="62" width="16" style="1" bestFit="1" customWidth="1"/>
    <col min="63" max="63" width="12.5546875" style="1" bestFit="1" customWidth="1"/>
    <col min="64" max="64" width="8.88671875" style="1"/>
    <col min="65" max="69" width="14.77734375" style="1" customWidth="1"/>
    <col min="70" max="70" width="24.33203125" style="1" bestFit="1" customWidth="1"/>
    <col min="71" max="71" width="26.33203125" style="1" bestFit="1" customWidth="1"/>
    <col min="72" max="72" width="14.5546875" style="1" bestFit="1" customWidth="1"/>
    <col min="73" max="75" width="8.88671875" style="1"/>
    <col min="76" max="76" width="12.88671875" style="1" customWidth="1"/>
    <col min="77" max="77" width="8.88671875" style="1"/>
    <col min="78" max="78" width="16" style="1" bestFit="1" customWidth="1"/>
    <col min="79" max="79" width="18.33203125" style="1" bestFit="1" customWidth="1"/>
    <col min="80" max="80" width="14.6640625" style="1" bestFit="1" customWidth="1"/>
    <col min="81" max="82" width="8.88671875" style="1"/>
    <col min="83" max="83" width="12.6640625" style="1" customWidth="1"/>
    <col min="84" max="84" width="15.33203125" style="1" customWidth="1"/>
    <col min="85" max="86" width="8.88671875" style="1"/>
    <col min="87" max="87" width="19.33203125" style="1" customWidth="1"/>
    <col min="88" max="88" width="14.44140625" style="1" bestFit="1" customWidth="1"/>
    <col min="89" max="89" width="11.6640625" style="1" bestFit="1" customWidth="1"/>
    <col min="90" max="90" width="8.88671875" style="1"/>
    <col min="91" max="91" width="8.6640625" style="1" customWidth="1"/>
    <col min="92" max="92" width="16.6640625" style="1" bestFit="1" customWidth="1"/>
    <col min="93" max="93" width="15" style="1" bestFit="1" customWidth="1"/>
    <col min="94" max="94" width="11.109375" style="1" bestFit="1" customWidth="1"/>
    <col min="95" max="95" width="11.88671875" style="1" bestFit="1" customWidth="1"/>
    <col min="96" max="97" width="11.88671875" style="1" customWidth="1"/>
    <col min="98" max="98" width="16.88671875" style="1" bestFit="1" customWidth="1"/>
    <col min="99" max="99" width="17.21875" style="1" bestFit="1" customWidth="1"/>
    <col min="100" max="100" width="15.6640625" style="1" bestFit="1" customWidth="1"/>
    <col min="101" max="102" width="12" style="1" bestFit="1" customWidth="1"/>
    <col min="103" max="103" width="12.6640625" style="1" bestFit="1" customWidth="1"/>
    <col min="104" max="104" width="14.5546875" style="1" bestFit="1" customWidth="1"/>
    <col min="105" max="105" width="12.6640625" style="1" bestFit="1" customWidth="1"/>
    <col min="106" max="106" width="14.5546875" style="1" bestFit="1" customWidth="1"/>
    <col min="107" max="107" width="13.88671875" style="1" customWidth="1"/>
    <col min="108" max="108" width="14.5546875" style="1" bestFit="1" customWidth="1"/>
    <col min="109" max="110" width="13.88671875" style="1" customWidth="1"/>
    <col min="111" max="111" width="13.77734375" style="1" bestFit="1" customWidth="1"/>
    <col min="112" max="112" width="12.5546875" style="1" bestFit="1" customWidth="1"/>
    <col min="113" max="114" width="13.33203125" style="1" bestFit="1" customWidth="1"/>
    <col min="115" max="115" width="14.33203125" style="1" bestFit="1" customWidth="1"/>
    <col min="116" max="116" width="13.33203125" style="1" bestFit="1" customWidth="1"/>
    <col min="117" max="117" width="13.21875" style="1" bestFit="1" customWidth="1"/>
    <col min="118" max="118" width="16.33203125" style="1" customWidth="1"/>
    <col min="119" max="119" width="17.33203125" style="1" customWidth="1"/>
    <col min="120" max="120" width="12.6640625" style="1" customWidth="1"/>
    <col min="121" max="121" width="21.88671875" style="1" bestFit="1" customWidth="1"/>
    <col min="122" max="122" width="12.33203125" style="1" customWidth="1"/>
    <col min="123" max="123" width="17" style="1" bestFit="1" customWidth="1"/>
    <col min="124" max="124" width="17.33203125" style="1" bestFit="1" customWidth="1"/>
    <col min="125" max="125" width="13.33203125" style="1" bestFit="1" customWidth="1"/>
    <col min="126" max="126" width="17.33203125" style="1" bestFit="1" customWidth="1"/>
    <col min="127" max="127" width="8.88671875" style="1" customWidth="1"/>
    <col min="128" max="128" width="8.88671875" style="1"/>
    <col min="129" max="133" width="8.88671875" style="1" customWidth="1"/>
    <col min="134" max="134" width="8.88671875" style="1"/>
    <col min="135" max="135" width="8.88671875" style="1" customWidth="1"/>
    <col min="136" max="16384" width="8.88671875" style="1"/>
  </cols>
  <sheetData>
    <row r="1" spans="5:126" ht="14.4" customHeight="1" x14ac:dyDescent="0.3">
      <c r="E1" s="1" t="s">
        <v>37</v>
      </c>
      <c r="J1" s="1" t="s">
        <v>175</v>
      </c>
      <c r="O1" s="164" t="s">
        <v>446</v>
      </c>
      <c r="P1" s="164" t="s">
        <v>564</v>
      </c>
      <c r="S1" s="1" t="s">
        <v>662</v>
      </c>
      <c r="W1" s="1" t="s">
        <v>414</v>
      </c>
      <c r="AD1" s="12" t="s">
        <v>47</v>
      </c>
      <c r="AE1" s="12"/>
      <c r="AF1" s="12"/>
      <c r="AH1" s="12"/>
      <c r="AJ1" s="1" t="s">
        <v>121</v>
      </c>
      <c r="AN1" s="1" t="s">
        <v>127</v>
      </c>
      <c r="AS1" s="1" t="s">
        <v>139</v>
      </c>
      <c r="AW1" s="12" t="s">
        <v>184</v>
      </c>
      <c r="AY1" s="1" t="s">
        <v>95</v>
      </c>
      <c r="BM1" s="1" t="s">
        <v>668</v>
      </c>
      <c r="BW1" s="1" t="s">
        <v>97</v>
      </c>
      <c r="CD1" s="1" t="s">
        <v>484</v>
      </c>
      <c r="CH1" s="1" t="s">
        <v>32</v>
      </c>
      <c r="CM1" s="1" t="s">
        <v>94</v>
      </c>
      <c r="CQ1" s="173"/>
      <c r="CR1" s="173"/>
      <c r="CS1" s="173"/>
      <c r="CT1" s="173"/>
      <c r="CU1" s="173"/>
      <c r="CV1" s="173"/>
      <c r="CX1" s="12"/>
      <c r="DE1" s="12"/>
      <c r="DF1" s="12"/>
      <c r="DG1" s="12"/>
      <c r="DH1" s="12"/>
      <c r="DI1" s="12"/>
      <c r="DJ1" s="12"/>
    </row>
    <row r="2" spans="5:126" ht="14.4" customHeight="1" x14ac:dyDescent="0.3">
      <c r="E2" s="1" t="s">
        <v>1</v>
      </c>
      <c r="F2" s="1" t="s">
        <v>12</v>
      </c>
      <c r="G2" s="1" t="s">
        <v>3</v>
      </c>
      <c r="H2" s="1" t="s">
        <v>5</v>
      </c>
      <c r="J2" s="1" t="s">
        <v>1</v>
      </c>
      <c r="K2" s="1" t="s">
        <v>0</v>
      </c>
      <c r="L2" s="1" t="s">
        <v>176</v>
      </c>
      <c r="M2" s="1" t="s">
        <v>3</v>
      </c>
      <c r="N2" s="1" t="s">
        <v>5</v>
      </c>
      <c r="O2" s="1" t="s">
        <v>149</v>
      </c>
      <c r="P2" s="1" t="s">
        <v>177</v>
      </c>
      <c r="Q2" s="174" t="s">
        <v>412</v>
      </c>
      <c r="S2" s="1" t="s">
        <v>1</v>
      </c>
      <c r="T2" s="1" t="s">
        <v>0</v>
      </c>
      <c r="U2" s="1" t="s">
        <v>29</v>
      </c>
      <c r="W2" s="1" t="s">
        <v>1</v>
      </c>
      <c r="X2" s="1" t="s">
        <v>405</v>
      </c>
      <c r="Y2" s="1" t="s">
        <v>0</v>
      </c>
      <c r="Z2" s="1" t="s">
        <v>29</v>
      </c>
      <c r="AA2" s="1" t="s">
        <v>397</v>
      </c>
      <c r="AB2" s="175" t="s">
        <v>406</v>
      </c>
      <c r="AD2" s="12" t="s">
        <v>1</v>
      </c>
      <c r="AE2" s="12" t="s">
        <v>44</v>
      </c>
      <c r="AF2" s="12" t="s">
        <v>150</v>
      </c>
      <c r="AG2" s="12" t="s">
        <v>149</v>
      </c>
      <c r="AH2" s="12" t="s">
        <v>43</v>
      </c>
      <c r="AJ2" s="1" t="s">
        <v>1</v>
      </c>
      <c r="AK2" s="1" t="s">
        <v>12</v>
      </c>
      <c r="AL2" s="1" t="s">
        <v>98</v>
      </c>
      <c r="AN2" s="1" t="s">
        <v>1</v>
      </c>
      <c r="AO2" s="1" t="s">
        <v>12</v>
      </c>
      <c r="AP2" s="1" t="s">
        <v>98</v>
      </c>
      <c r="AQ2" s="1" t="s">
        <v>20</v>
      </c>
      <c r="AS2" s="1" t="s">
        <v>1</v>
      </c>
      <c r="AT2" s="1" t="s">
        <v>12</v>
      </c>
      <c r="AU2" s="1" t="s">
        <v>98</v>
      </c>
      <c r="AW2" s="11" t="s">
        <v>173</v>
      </c>
      <c r="AY2" s="1" t="s">
        <v>1</v>
      </c>
      <c r="AZ2" s="1" t="s">
        <v>65</v>
      </c>
      <c r="BA2" s="1" t="s">
        <v>147</v>
      </c>
      <c r="BB2" s="1" t="s">
        <v>146</v>
      </c>
      <c r="BC2" s="1" t="s">
        <v>96</v>
      </c>
      <c r="BD2" s="1" t="s">
        <v>66</v>
      </c>
      <c r="BE2" s="1" t="s">
        <v>67</v>
      </c>
      <c r="BF2" s="1" t="s">
        <v>296</v>
      </c>
      <c r="BG2" s="1" t="s">
        <v>297</v>
      </c>
      <c r="BH2" s="1" t="s">
        <v>452</v>
      </c>
      <c r="BI2" s="1" t="s">
        <v>453</v>
      </c>
      <c r="BJ2" s="1" t="s">
        <v>35</v>
      </c>
      <c r="BK2" s="1" t="s">
        <v>79</v>
      </c>
      <c r="BM2" s="164" t="s">
        <v>672</v>
      </c>
      <c r="BN2" s="164" t="s">
        <v>673</v>
      </c>
      <c r="BO2" s="164" t="s">
        <v>674</v>
      </c>
      <c r="BP2" s="164" t="s">
        <v>675</v>
      </c>
      <c r="BQ2" s="164" t="s">
        <v>676</v>
      </c>
      <c r="BW2" s="1" t="s">
        <v>1</v>
      </c>
      <c r="BX2" s="1" t="s">
        <v>39</v>
      </c>
      <c r="BY2" s="1" t="s">
        <v>98</v>
      </c>
      <c r="BZ2" s="1" t="s">
        <v>35</v>
      </c>
      <c r="CA2" s="1" t="s">
        <v>298</v>
      </c>
      <c r="CB2" s="1" t="s">
        <v>299</v>
      </c>
      <c r="CD2" s="1" t="s">
        <v>1</v>
      </c>
      <c r="CE2" s="1" t="s">
        <v>39</v>
      </c>
      <c r="CF2" s="1" t="s">
        <v>99</v>
      </c>
      <c r="CH2" s="1" t="s">
        <v>1</v>
      </c>
      <c r="CI2" s="1" t="s">
        <v>110</v>
      </c>
      <c r="CJ2" s="1" t="s">
        <v>111</v>
      </c>
      <c r="CK2" s="1" t="s">
        <v>26</v>
      </c>
      <c r="CM2" s="1" t="s">
        <v>1</v>
      </c>
      <c r="CN2" s="1" t="s">
        <v>55</v>
      </c>
      <c r="CO2" s="1" t="s">
        <v>57</v>
      </c>
      <c r="CP2" s="1" t="s">
        <v>66</v>
      </c>
      <c r="CQ2" s="1" t="s">
        <v>67</v>
      </c>
      <c r="CR2" s="1" t="s">
        <v>296</v>
      </c>
      <c r="CS2" s="1" t="s">
        <v>297</v>
      </c>
      <c r="CT2" s="1" t="s">
        <v>452</v>
      </c>
      <c r="CU2" s="1" t="s">
        <v>453</v>
      </c>
      <c r="CV2" s="1" t="s">
        <v>28</v>
      </c>
      <c r="CW2" s="1" t="s">
        <v>27</v>
      </c>
      <c r="CX2" s="1" t="s">
        <v>33</v>
      </c>
      <c r="CY2" s="1" t="s">
        <v>25</v>
      </c>
      <c r="CZ2" s="1" t="s">
        <v>24</v>
      </c>
      <c r="DA2" s="1" t="s">
        <v>26</v>
      </c>
      <c r="DB2" s="1" t="s">
        <v>183</v>
      </c>
      <c r="DC2" s="1" t="s">
        <v>148</v>
      </c>
      <c r="DD2" s="1" t="s">
        <v>149</v>
      </c>
      <c r="DE2" s="1" t="s">
        <v>141</v>
      </c>
      <c r="DF2" s="1" t="s">
        <v>99</v>
      </c>
      <c r="DG2" s="1" t="s">
        <v>171</v>
      </c>
      <c r="DH2" s="1" t="s">
        <v>165</v>
      </c>
      <c r="DI2" s="1" t="s">
        <v>166</v>
      </c>
      <c r="DJ2" s="1" t="s">
        <v>167</v>
      </c>
      <c r="DK2" s="1" t="s">
        <v>302</v>
      </c>
      <c r="DL2" s="1" t="s">
        <v>303</v>
      </c>
      <c r="DM2" s="1" t="s">
        <v>151</v>
      </c>
      <c r="DN2" s="1" t="s">
        <v>152</v>
      </c>
      <c r="DO2" s="1" t="s">
        <v>153</v>
      </c>
      <c r="DP2" s="1" t="s">
        <v>164</v>
      </c>
      <c r="DQ2" s="1" t="s">
        <v>157</v>
      </c>
      <c r="DR2" s="1" t="s">
        <v>19</v>
      </c>
      <c r="DS2" s="1" t="s">
        <v>160</v>
      </c>
      <c r="DT2" s="1" t="s">
        <v>161</v>
      </c>
      <c r="DU2" s="1" t="s">
        <v>162</v>
      </c>
      <c r="DV2" s="1" t="s">
        <v>163</v>
      </c>
    </row>
    <row r="3" spans="5:126" ht="14.4" customHeight="1" x14ac:dyDescent="0.3">
      <c r="E3" s="9" cm="1">
        <f t="array" ref="E3">ROW()-ROW(UITranslationTable[#Headers])</f>
        <v>1</v>
      </c>
      <c r="F3" s="9" t="s">
        <v>21</v>
      </c>
      <c r="G3" s="176" t="s">
        <v>22</v>
      </c>
      <c r="H3" s="176" t="s">
        <v>23</v>
      </c>
      <c r="J3" s="1" cm="1">
        <f t="array" ref="J3">ROW()-ROW(errorMessagesTable[#Headers])</f>
        <v>1</v>
      </c>
      <c r="K3" s="1" t="s">
        <v>423</v>
      </c>
      <c r="L3" s="1" t="b" cm="1">
        <f t="array" ref="L3">errorUILanguage</f>
        <v>0</v>
      </c>
      <c r="M3" s="9" t="str" cm="1">
        <f t="array" aca="1" ref="M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N3" s="9" t="str" cm="1">
        <f t="array" aca="1" ref="N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O3" s="1" cm="1">
        <f t="array" aca="1" ref="O3"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2</v>
      </c>
      <c r="P3"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xml:space="preserve">
1. The "data" sheet cannot be found. Make sure you have imported your data file as a new spreadsheet in this Excel workbook and renamed that sheet "data" (without quotes).</v>
      </c>
      <c r="Q3" s="9" t="str" cm="1">
        <f t="array" aca="1" ref="Q3" ca="1">IF(
    errorMessagesTable[[#This Row],[filteredIndex]] = "",
    "",
    IF(
      errorMessagesTable[[#This Row],[index]] = 1,
      "",
      INDEX(errorMessagesTable[concatErrors], errorMessagesTable[[#This Row],[index]]-1)
      &amp; CHAR(10) &amp; CHAR(10)
    )
    &amp; INDEX(errorMessagesTable[langSpecError], errorMessagesTable[[#This Row],[index]])
  )</f>
        <v xml:space="preserve">
1. The "data" sheet cannot be found. Make sure you have imported your data file as a new spreadsheet in this Excel workbook and renamed that sheet "data" (without quotes).</v>
      </c>
      <c r="S3" s="177" cm="1">
        <f t="array" ref="S3">ROW()-ROW(manualEntryVariablesTable[#Headers])</f>
        <v>1</v>
      </c>
      <c r="T3" s="1" t="s">
        <v>280</v>
      </c>
      <c r="U3" s="176" t="s">
        <v>281</v>
      </c>
      <c r="W3" s="177" cm="1">
        <f t="array" ref="W3">ROW()-ROW(structuredFormulaeTable[#Headers])</f>
        <v>1</v>
      </c>
      <c r="X3" s="1" t="s">
        <v>418</v>
      </c>
      <c r="Y3" s="1" t="s">
        <v>468</v>
      </c>
      <c r="AA3" s="178" t="s">
        <v>671</v>
      </c>
      <c r="AB3" s="178" t="s">
        <v>678</v>
      </c>
      <c r="AD3" s="12" cm="1">
        <f t="array" ref="AD3">ROW()-ROW(languageTable[#Headers])</f>
        <v>1</v>
      </c>
      <c r="AE3" s="12" t="str" cm="1">
        <f t="array" ref="AE3">INDEX(languageHeadersList, languageTable[[#This Row],[index]]) &amp; ""</f>
        <v>English</v>
      </c>
      <c r="AF3" s="12" t="b">
        <f>languageTable[[#This Row],[languageHeaders]] &lt;&gt; ""</f>
        <v>1</v>
      </c>
      <c r="AG3" s="12" cm="1">
        <f t="array" ref="AG3">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1</v>
      </c>
      <c r="AH3" s="12" t="str" cm="1">
        <f t="array" ref="AH3">IFERROR(
    INDEX(languageTable[languageHeaders], languageTable[[#This Row],[filteredIndex]]),
    ""
  )</f>
        <v>English</v>
      </c>
      <c r="AJ3" s="1" cm="1">
        <f t="array" ref="AJ3">ROW()-ROW(yesNoTable[#Headers])</f>
        <v>1</v>
      </c>
      <c r="AK3" s="1" t="s">
        <v>122</v>
      </c>
      <c r="AL3" s="179" t="s">
        <v>124</v>
      </c>
      <c r="AN3" s="1" cm="1">
        <f t="array" ref="AN3">ROW()-ROW(RANASBlocksTable[#Headers])</f>
        <v>1</v>
      </c>
      <c r="AO3" s="1" t="s">
        <v>130</v>
      </c>
      <c r="AP3" s="1" t="str">
        <f>INDEX(chartTranslationTable[lang1], MATCH(RANASBlocksTable[[#This Row],[tag]], chartTranslationTable[tag], 0))
 &amp; " / "
 &amp; INDEX(chartTranslationTable[lang2], MATCH(RANASBlocksTable[[#This Row],[tag]], chartTranslationTable[tag], 0))</f>
        <v>Risks / Risques</v>
      </c>
      <c r="AQ3" s="1" t="str">
        <f>INDEX(chartTranslationTable[displayedText], MATCH(RANASBlocksTable[[#This Row],[tag]], chartTranslationTable[tag], 0))</f>
        <v>Risks</v>
      </c>
      <c r="AS3" s="1" cm="1">
        <f t="array" ref="AS3">ROW()-ROW(sortMenuTable[#Headers])</f>
        <v>1</v>
      </c>
      <c r="AT3" s="1" t="s">
        <v>140</v>
      </c>
      <c r="AU3" s="180" t="s">
        <v>142</v>
      </c>
      <c r="AV3" s="180"/>
      <c r="AW3" s="12" cm="1">
        <f t="array" ref="AW3">MIN(
    MIN(
      IFERROR(analysisChartTable[sortedDifference], 0)
    ),
    0
  )</f>
        <v>0</v>
      </c>
      <c r="AY3" s="1" cm="1">
        <f t="array" ref="AY3">ROW()-ROW(behaviourTable[#Headers])</f>
        <v>1</v>
      </c>
      <c r="AZ3" s="1" t="str">
        <f>IFERROR(
    INDEX(
      behaviourConfigTable[behaviourHeader],
      MATCH(behaviourTable[[#This Row],[index]], behaviourConfigTable[index], 0)
    ),#REF!
  ) &amp; ""</f>
        <v/>
      </c>
      <c r="BA3" s="1" t="str">
        <f>IF(
    behaviourTable[[#This Row],[behaviourHeader]] = "",
    "",
    IFERROR(
      INDEX(
        yesNoTable[tag],
        MATCH(
          IFERROR(
            INDEX(
              behaviourConfigTable[includeConfig],
              MATCH(behaviourTable[[#This Row],[index]], behaviourConfigTable[index], 0)
            ),#REF!
          ),
          yesNoTable[label],
          0
        )
      ),
      ""
    )
  )</f>
        <v/>
      </c>
      <c r="BB3" s="1" t="b">
        <f>IF(
    behaviourTable[[#This Row],[behaviourHeader]] = "",
    FALSE,
    IF(
      behaviourTable[[#This Row],[includeConfig]] = "yes",
      TRUE,
      IF(
        behaviourTable[[#This Row],[includeConfig]] = "no",
        FALSE,
        NA()
      )
    )
  )</f>
        <v>0</v>
      </c>
      <c r="BC3" s="1" t="str">
        <f>IF(
    behaviourTable[[#This Row],[behaviourHeader]] = "",
    "",
    _xlfn.IFNA(
      MATCH(behaviourTable[[#This Row],[behaviourHeader]], dataHeaders, 0),
      _xlfn.IFNA(
        MATCH("*/" &amp; behaviourTable[[#This Row],[behaviourHeader]], dataHeaders, 0),
        MATCH("*-" &amp; behaviourTable[[#This Row],[behaviourHeader]], dataHeaders, 0)
      )
    )
  )</f>
        <v/>
      </c>
      <c r="BD3" s="1" t="str">
        <f>IF(
    behaviourTable[[#This Row],[behaviourHeader]] = "",
    "",
    IF(
      IFERROR(
        INDEX(
          behaviourConfigTable[minScore],
          MATCH(behaviourTable[[#This Row],[index]], behaviourConfigTable[index], 0)
        ),#REF!
      ) = "",
      NA(),
      IFERROR(
        INDEX(
          behaviourConfigTable[minScore],
          MATCH(behaviourTable[[#This Row],[index]], behaviourConfigTable[index], 0)
        ),#REF!
      )
    )
  )</f>
        <v/>
      </c>
      <c r="BE3" s="1" t="str">
        <f>IF(
    behaviourTable[[#This Row],[behaviourHeader]] = "",
    "",
    IF(
      IFERROR(
        INDEX(
          behaviourConfigTable[maxScore],
          MATCH(behaviourTable[[#This Row],[index]], behaviourConfigTable[index], 0)
        ),#REF!
      ) = "",
      NA(),
      IFERROR(
        INDEX(
          behaviourConfigTable[maxScore],
          MATCH(behaviourTable[[#This Row],[index]], behaviourConfigTable[index], 0)
        ),#REF!
      )
    )
  )</f>
        <v/>
      </c>
      <c r="BF3" s="1" t="str">
        <f>IF(
    behaviourTable[[#This Row],[behaviourHeader]] = "",
    "",
    IF(
      ISNA(INDEX(dataRange,1,1)),
      NA(),
      MIN(INDEX(dataRange, , behaviourTable[[#This Row],[behaviourColNum]]))
    )
  )</f>
        <v/>
      </c>
      <c r="BG3" s="1" t="str">
        <f>IF(
    behaviourTable[[#This Row],[behaviourHeader]] = "",
    "",
    IF(
      ISNA(INDEX(dataRange,1,1)),
      NA(),
      MAX(INDEX(dataRange, , behaviourTable[[#This Row],[behaviourColNum]]))
    )
  )</f>
        <v/>
      </c>
      <c r="BH3" s="178" t="b" cm="1">
        <f t="array" aca="1" ref="BH3" ca="1">AND(
    NOT(errorNoDataSheet),
    behaviourTable[[#This Row],[behaviourHeader]] &lt;&gt; "",
    NOT(ISERROR(behaviourTable[[#This Row],[behaviourColNum]])),
    IFERROR(behaviourTable[[#This Row],[include]], FALSE),
    IFERROR(behaviourTable[[#This Row],[minValue]] &lt; behaviourTable[[#This Row],[minScore]], FALSE)
  )</f>
        <v>0</v>
      </c>
      <c r="BI3" s="1" t="b" cm="1">
        <f t="array" aca="1" ref="BI3" ca="1">AND(
    NOT(errorNoDataSheet),
    behaviourTable[[#This Row],[behaviourHeader]] &lt;&gt; "",
    NOT(ISERROR(behaviourTable[[#This Row],[behaviourColNum]])),
    IFERROR(behaviourTable[[#This Row],[include]], FALSE),
    IFERROR(behaviourTable[[#This Row],[maxValue]] &gt; behaviourTable[[#This Row],[maxScore]], FALSE)
  )</f>
        <v>0</v>
      </c>
      <c r="BJ3" s="1" t="str" cm="1">
        <f t="array" ref="BJ3">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
      </c>
      <c r="BK3" s="1" t="str" cm="1">
        <f t="array" ref="BK3">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
      </c>
      <c r="BM3" s="62" t="s">
        <v>463</v>
      </c>
      <c r="BN3" s="62" t="s">
        <v>464</v>
      </c>
      <c r="BO3" s="62" t="s">
        <v>465</v>
      </c>
      <c r="BP3" s="62" t="s">
        <v>466</v>
      </c>
      <c r="BQ3" s="62" t="s">
        <v>467</v>
      </c>
      <c r="BR3" s="62" t="s">
        <v>461</v>
      </c>
      <c r="BS3" s="62" t="s">
        <v>462</v>
      </c>
      <c r="BT3" s="62" t="s">
        <v>104</v>
      </c>
      <c r="BU3" s="62" t="s">
        <v>112</v>
      </c>
      <c r="BW3" s="181" cm="1">
        <f t="array" ref="BW3">ROW()-ROW(cutoffTable[#Headers])</f>
        <v>1</v>
      </c>
      <c r="BX3" s="182">
        <v>0.1</v>
      </c>
      <c r="BY3" s="1" t="s">
        <v>286</v>
      </c>
      <c r="BZ3" s="1" cm="1">
        <f t="array" ref="BZ3">SUMPRODUCT(
    (behaviourScore &lt;&gt; "")
  * (behaviourScore &gt;= IF(cutoffTable[[#This Row],[index]] = 1, 0, INDEX(cutoffTable[cutoffLevel], cutoffTable[[#This Row],[index]]-1)))
  * IF(
      cutoffTable[[#This Row],[cutoffLevel]] = 1,
      behaviourScore &lt;= 1,
      behaviourScore &lt; cutoffTable[[#This Row],[cutoffLevel]]
    )
  )</f>
        <v>0</v>
      </c>
      <c r="CA3" s="1" cm="1">
        <f t="array" ref="CA3">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3" s="1" cm="1">
        <f t="array" ref="CB3">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3" s="1" cm="1">
        <f t="array" ref="CD3">ROW()-ROW(recommendedCutoffTable[#Headers])</f>
        <v>1</v>
      </c>
      <c r="CE3" s="183">
        <f>(recommendedCutoffTable[[#This Row],[index]] - 1) / 100</f>
        <v>0</v>
      </c>
      <c r="CF3" s="1" cm="1">
        <f t="array" ref="CF3">ABS(
    numScores
  - 2 * SUMPRODUCT((behaviourScore &lt;&gt; "") * (behaviourScore &lt; recommendedCutoffTable[[#This Row],[cutoffLevel]]))
  )</f>
        <v>0</v>
      </c>
      <c r="CH3" s="181" cm="1">
        <f t="array" ref="CH3">ROW()-ROW(doersNondoersTable[#Headers])</f>
        <v>1</v>
      </c>
      <c r="CI3" s="184" t="e">
        <f>SUM(cutoffTable[numNondoersBin]) / SUM(cutoffTable[numResponses])</f>
        <v>#DIV/0!</v>
      </c>
      <c r="CJ3" s="184" t="e">
        <f>SUM(cutoffTable[numDoersBin]) / SUM(cutoffTable[numResponses])</f>
        <v>#DIV/0!</v>
      </c>
      <c r="CK3" s="184" t="e">
        <f>doersNondoersTable[[#This Row],[percentDoers]] - doersNondoersTable[[#This Row],[percentNondoers]]</f>
        <v>#DIV/0!</v>
      </c>
      <c r="CM3" s="1" cm="1">
        <f t="array" ref="CM3">ROW()-ROW(factorsTable[#Headers])</f>
        <v>1</v>
      </c>
      <c r="CN3" s="1" t="str">
        <f>IFERROR(
    INDEX(
      factorsConfigTable[factorHeader],
      MATCH(factorsTable[[#This Row],[index]], factorsConfigTable[index], 0)
    ),#REF!
  ) &amp; ""</f>
        <v/>
      </c>
      <c r="CO3" s="12" t="str">
        <f>IF(
    factorsTable[[#This Row],[factorHeader]] = "",
    "",
    _xlfn.IFNA(
      MATCH(factorsTable[[#This Row],[factorHeader]], dataHeaders, 0),
      _xlfn.IFNA(
        MATCH("*/" &amp; factorsTable[[#This Row],[factorHeader]], dataHeaders, 0),
        MATCH("*-" &amp; factorsTable[[#This Row],[factorHeader]], dataHeaders, 0)
      )
    )
  )</f>
        <v/>
      </c>
      <c r="CP3" s="1" t="str">
        <f>IF(
    factorsTable[[#This Row],[factorHeader]] = "",
    "",
    IF(
      IFERROR(
        INDEX(
          factorsConfigTable[minScore],
          MATCH(factorsTable[[#This Row],[index]], factorsConfigTable[index], 0)
        ),#REF!
      ) = "",
      NA(),
      IFERROR(
        INDEX(
          factorsConfigTable[minScore],
          MATCH(factorsTable[[#This Row],[index]], factorsConfigTable[index], 0)
        ),#REF!
      )
    )
  )</f>
        <v/>
      </c>
      <c r="CQ3" s="1" t="str">
        <f>IF(
    factorsTable[[#This Row],[factorHeader]] = "",
    "",
    IF(
      IFERROR(
        INDEX(
          factorsConfigTable[maxScore],
          MATCH(factorsTable[[#This Row],[index]], factorsConfigTable[index], 0)
        ),#REF!
      ) = "",
      NA(),
      IFERROR(
        INDEX(
          factorsConfigTable[maxScore],
          MATCH(factorsTable[[#This Row],[index]], factorsConfigTable[index], 0)
        ),#REF!
      )
    )
  )</f>
        <v/>
      </c>
      <c r="CR3" s="1" t="str">
        <f>IF(
    factorsTable[[#This Row],[factorHeader]] = "",
    "",
    IF(
      ISERROR(factorsTable[[#This Row],[factorColNum]]),
      NA(),
      IF(
        ISNA(INDEX(dataRange,1,1)),
        NA(),
        MIN(INDEX(dataRange, , factorsTable[[#This Row],[factorColNum]]))
      )
    )
  )</f>
        <v/>
      </c>
      <c r="CS3" s="1" t="str">
        <f>IF(
    factorsTable[[#This Row],[factorHeader]] = "",
    "",
    IF(
      ISERROR(factorsTable[[#This Row],[factorColNum]]),
      NA(),
      IF(
        ISNA(INDEX(dataRange,1,1)),
        NA(),
        MAX(INDEX(dataRange, , factorsTable[[#This Row],[factorColNum]]))
      )
    )
  )</f>
        <v/>
      </c>
      <c r="CT3" s="1" t="b" cm="1">
        <f t="array" aca="1" ref="CT3" ca="1">AND(
    NOT(errorNoDataSheet),
    factorsTable[[#This Row],[factorHeader]] &lt;&gt; "",
    NOT(ISERROR(factorsTable[[#This Row],[factorColNum]])),
    IFERROR(factorsTable[[#This Row],[display]], FALSE),
    IFERROR(factorsTable[[#This Row],[minValue]] &lt; factorsTable[[#This Row],[minScore]], FALSE)
  )</f>
        <v>0</v>
      </c>
      <c r="CU3" s="1" t="b" cm="1">
        <f t="array" aca="1" ref="CU3" ca="1">AND(
    NOT(errorNoDataSheet),
    factorsTable[[#This Row],[factorHeader]] &lt;&gt; "",
    NOT(ISERROR(factorsTable[[#This Row],[factorColNum]])),
    IFERROR(factorsTable[[#This Row],[display]], FALSE),
    IFERROR(factorsTable[[#This Row],[maxValue]] &gt; factorsTable[[#This Row],[maxScore]], FALSE)
  )</f>
        <v>0</v>
      </c>
      <c r="CV3" s="1" t="str" cm="1">
        <f t="array" ref="CV3">IF(
    factorsTable[[#This Row],[factorHeader]] = "",
    "",
    IF(
      ISNA(INDEX(dataRange,1,1)),
      NA(),
      SUMPRODUCT(
          IF(isDoer = "", 0, NOT(isDoer))
        * (INDEX(dataRange, , factorsTable[[#This Row],[factorColNum]]) &lt;&gt; "")
      )
    )
  )</f>
        <v/>
      </c>
      <c r="CW3" s="1" t="str" cm="1">
        <f t="array" ref="CW3">IF(
    factorsTable[[#This Row],[factorHeader]] = "",
    "",
    IF(
      ISNA(INDEX(dataRange,1,1)),
      NA(),
      SUMPRODUCT(
          IF(isDoer = "", 0, isDoer)
        * (INDEX(dataRange, , factorsTable[[#This Row],[factorColNum]]) &lt;&gt; "")
      )
    )
  )</f>
        <v/>
      </c>
      <c r="CX3"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 s="1" t="str" cm="1">
        <f t="array" ref="CY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 s="1" t="str" cm="1">
        <f t="array" ref="CZ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 s="1" t="str">
        <f>IF(
    factorsTable[[#This Row],[factorHeader]] = "",
    "",
    factorsTable[[#This Row],[doers]] - factorsTable[[#This Row],[nondoers]]
  )</f>
        <v/>
      </c>
      <c r="DB3" s="1" t="str">
        <f>IF(
    factorsTable[[#This Row],[factorHeader]] = "",
    "",
    IFERROR(
      INDEX(
        yesNoTable[tag],
        MATCH(
          IFERROR(
            INDEX(
              factorsConfigTable[displayConfig],
              MATCH(factorsTable[[#This Row],[index]], factorsConfigTable[index], 0)
            ),#REF!
          ),
          yesNoTable[label],
          0
        )
      ),
      ""
    )
  )</f>
        <v/>
      </c>
      <c r="DC3" s="177" t="b">
        <f>IF(
    factorsTable[[#This Row],[factorHeader]] = "",
    FALSE,
    IF(
      factorsTable[[#This Row],[displayConfig]] = "yes",
      TRUE,
      IF(
        factorsTable[[#This Row],[displayConfig]] = "no",
        FALSE,
        NA()
      )
    )
  )</f>
        <v>0</v>
      </c>
      <c r="DD3" s="185" t="str" cm="1">
        <f t="array" ref="DD3">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 s="177" t="str">
        <f>IF(
    factorsTable[[#This Row],[filteredIndex]] = "",
    "",
    _xlfn.IFNA(
      INDEX(
        factorsTable[difference],
        MATCH(factorsTable[[#This Row],[filteredIndex]], factorsTable[index], 0)
      ),
      -99
    )
  )</f>
        <v/>
      </c>
      <c r="DF3" s="177" t="str">
        <f>IF(
    factorsTable[[#This Row],[filteredIndex]] = "",
    "",
    IF(
      factorsTable[[#This Row],[relDiff]] = -99,
      -99,
      ABS(factorsTable[[#This Row],[relDiff]])
    )
  )</f>
        <v/>
      </c>
      <c r="DG3" s="177" t="str">
        <f>IF(
    factorsTable[[#This Row],[filteredIndex]] = "",
    "",
    IFERROR(
      INDEX(
        RANASBlocksTable[index],
        MATCH(
          IFERROR(
            INDEX(
              factorsConfigTable[RANASBlock],
              MATCH(factorsTable[[#This Row],[filteredIndex]], factorsConfigTable[index], 0)
            ),#REF!
          ),
          RANASBlocksTable[label],
          0
        )
      ),
      6
    )
  )</f>
        <v/>
      </c>
      <c r="DH3" s="177" t="str">
        <f>IF(
    factorsTable[[#This Row],[filteredIndex]] = "",
    "",
    _xlfn.RANK.EQ(factorsTable[[#This Row],[relDiff]], factorsTable[relDiff], 0)
  )</f>
        <v/>
      </c>
      <c r="DI3" s="177" t="str">
        <f>IF(
    factorsTable[[#This Row],[filteredIndex]] = "",
    "",
    _xlfn.RANK.EQ(factorsTable[[#This Row],[absDiff]], factorsTable[absDiff], 0)
  )</f>
        <v/>
      </c>
      <c r="DJ3" s="177" t="str">
        <f>IF(
    factorsTable[[#This Row],[filteredIndex]] = "",
    "",
    _xlfn.RANK.EQ(factorsTable[[#This Row],[RANASIndex]], factorsTable[RANASIndex], 1)
  )</f>
        <v/>
      </c>
      <c r="DK3" s="177" t="str" cm="1">
        <f t="array" ref="DK3">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 s="177" t="str">
        <f>IF(
    factorsTable[[#This Row],[filteredIndex]] = "",
    "",
    factorsTable[[#This Row],[selectedRank]]
      + COUNTIF(INDEX(factorsTable[selectedRank], 1):INDEX(factorsTable[selectedRank], factorsTable[[#This Row],[index]]), factorsTable[[#This Row],[selectedRank]])
      - 1
  )</f>
        <v/>
      </c>
      <c r="DM3" s="177" t="str">
        <f>IF(
    factorsTable[[#This Row],[filteredIndex]] = "",
    "",
    IFERROR(
      INDEX(
        factorsTable[filteredIndex],
        MATCH(factorsTable[[#This Row],[index]], factorsTable[uniqueRank], 0)
      ),#REF!
    )
  )</f>
        <v/>
      </c>
      <c r="DN3" s="177" t="str">
        <f>IF(
    factorsTable[[#This Row],[sortedIndex]] = "",
    "",
    INDEX(
      INDEX(
        factorsConfigTable[],
        0,
        MATCH(
          chartLanguage,
          languageHeadersList,
          0
        )
        + MATCH(factorsConfigTable[[#Headers],[lang1]], factorsConfigTable[#Headers], 0)
        - 1
      ),
      MATCH(factorsTable[[#This Row],[sortedIndex]], factorsConfigTable[index], 0)
    ) &amp; ""
  )</f>
        <v/>
      </c>
      <c r="DO3"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 s="177" t="str">
        <f>IF(
    factorsTable[[#This Row],[sortedIndex]] = "",
    "",
    IFERROR(
      INDEX(
        RANASBlocksTable[tag],
        MATCH(
          IFERROR(
            INDEX(
              factorsConfigTable[RANASBlock],
              MATCH(factorsTable[[#This Row],[sortedIndex]], factorsConfigTable[index], 0)
            ),#REF!
          ),
          RANASBlocksTable[label],
          0
        )
      ),
      NA()
    )
  )</f>
        <v/>
      </c>
      <c r="DQ3"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 s="177" t="str">
        <f>IF(
    factorsTable[[#This Row],[sortedIndex]] = "",
    "",
    INDEX(factorsTable[numTotal], MATCH(factorsTable[[#This Row],[sortedIndex]], factorsTable[index], 0))
  )</f>
        <v/>
      </c>
      <c r="DT3" s="177" t="str">
        <f>IF(
    factorsTable[[#This Row],[sortedIndex]] = "",
    "",
    INDEX(factorsTable[nondoers], MATCH(factorsTable[[#This Row],[sortedIndex]], factorsTable[index], 0))
  )</f>
        <v/>
      </c>
      <c r="DU3" s="177" t="str">
        <f>IF(
    factorsTable[[#This Row],[sortedIndex]] = "",
    "",
    INDEX(factorsTable[doers], MATCH(factorsTable[[#This Row],[sortedIndex]], factorsTable[index], 0))
  )</f>
        <v/>
      </c>
      <c r="DV3" s="177" t="str">
        <f>IF(
    factorsTable[[#This Row],[sortedIndex]] = "",
    "",
    INDEX(factorsTable[difference], MATCH(factorsTable[[#This Row],[sortedIndex]], factorsTable[index], 0))
  )</f>
        <v/>
      </c>
    </row>
    <row r="4" spans="5:126" ht="14.4" customHeight="1" x14ac:dyDescent="0.3">
      <c r="E4" s="9" cm="1">
        <f t="array" ref="E4">ROW()-ROW(UITranslationTable[#Headers])</f>
        <v>2</v>
      </c>
      <c r="F4" s="9" t="s">
        <v>154</v>
      </c>
      <c r="G4" s="176" t="s">
        <v>155</v>
      </c>
      <c r="H4" s="176" t="s">
        <v>156</v>
      </c>
      <c r="J4" s="1" cm="1">
        <f t="array" ref="J4">ROW()-ROW(errorMessagesTable[#Headers])</f>
        <v>2</v>
      </c>
      <c r="K4" s="1" t="s">
        <v>422</v>
      </c>
      <c r="L4" s="1" t="b" cm="1">
        <f t="array" aca="1" ref="L4" ca="1">errorNoDataSheet</f>
        <v>1</v>
      </c>
      <c r="M4" s="9" t="str" cm="1">
        <f t="array" ref="M4">"The """ &amp; sheetNameData &amp; """ sheet cannot be found. Make sure you have imported your data file as a new spreadsheet in this Excel workbook and renamed that sheet """ &amp; sheetNameData &amp; """ (without quotes)."</f>
        <v>The "data" sheet cannot be found. Make sure you have imported your data file as a new spreadsheet in this Excel workbook and renamed that sheet "data" (without quotes).</v>
      </c>
      <c r="N4" s="9" t="str" cm="1">
        <f t="array" ref="N4">"La feuille «" &amp; sheetNameData &amp; "» est introuvable. Veuillez importer votre fichier de données comme nouvelle feuille dans ce fichier Excel et renommer cette feuille «" &amp; sheetNameData &amp; "» (sans les guillemets)."</f>
        <v>La feuille «data» est introuvable. Veuillez importer votre fichier de données comme nouvelle feuille dans ce fichier Excel et renommer cette feuille «data» (sans les guillemets).</v>
      </c>
      <c r="O4" s="1" t="str" cm="1">
        <f t="array" aca="1" ref="O4"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4"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4" s="9" t="str" cm="1">
        <f t="array" aca="1" ref="Q4" ca="1">IF(
    errorMessagesTable[[#This Row],[filteredIndex]] = "",
    "",
    IF(
      errorMessagesTable[[#This Row],[index]] = 1,
      "",
      INDEX(errorMessagesTable[concatErrors], errorMessagesTable[[#This Row],[index]]-1)
      &amp; CHAR(10) &amp; CHAR(10)
    )
    &amp; INDEX(errorMessagesTable[langSpecError], errorMessagesTable[[#This Row],[index]])
  )</f>
        <v/>
      </c>
      <c r="S4" s="177" cm="1">
        <f t="array" ref="S4">ROW()-ROW(manualEntryVariablesTable[#Headers])</f>
        <v>2</v>
      </c>
      <c r="T4" s="1" t="s">
        <v>304</v>
      </c>
      <c r="U4" s="186" t="s">
        <v>396</v>
      </c>
      <c r="W4" s="177" cm="1">
        <f t="array" ref="W4">ROW()-ROW(structuredFormulaeTable[#Headers])</f>
        <v>2</v>
      </c>
      <c r="X4" s="1" t="s">
        <v>418</v>
      </c>
      <c r="Y4" s="1" t="s">
        <v>470</v>
      </c>
      <c r="AA4" s="178" t="s">
        <v>473</v>
      </c>
      <c r="AB4" s="178" t="s">
        <v>474</v>
      </c>
      <c r="AD4" s="12" cm="1">
        <f t="array" ref="AD4">ROW()-ROW(languageTable[#Headers])</f>
        <v>2</v>
      </c>
      <c r="AE4" s="12" t="str" cm="1">
        <f t="array" ref="AE4">INDEX(languageHeadersList, languageTable[[#This Row],[index]]) &amp; ""</f>
        <v>Français</v>
      </c>
      <c r="AF4" s="12" t="b">
        <f>languageTable[[#This Row],[languageHeaders]] &lt;&gt; ""</f>
        <v>1</v>
      </c>
      <c r="AG4" s="12" cm="1">
        <f t="array" ref="AG4">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2</v>
      </c>
      <c r="AH4" s="12" t="str" cm="1">
        <f t="array" ref="AH4">IFERROR(
    INDEX(languageTable[languageHeaders], languageTable[[#This Row],[filteredIndex]]),
    ""
  )</f>
        <v>Français</v>
      </c>
      <c r="AJ4" s="1" cm="1">
        <f t="array" ref="AJ4">ROW()-ROW(yesNoTable[#Headers])</f>
        <v>2</v>
      </c>
      <c r="AK4" s="1" t="s">
        <v>123</v>
      </c>
      <c r="AL4" s="1" t="s">
        <v>125</v>
      </c>
      <c r="AN4" s="1" cm="1">
        <f t="array" ref="AN4">ROW()-ROW(RANASBlocksTable[#Headers])</f>
        <v>2</v>
      </c>
      <c r="AO4" s="1" t="s">
        <v>132</v>
      </c>
      <c r="AP4" s="1" t="str">
        <f>INDEX(chartTranslationTable[lang1], MATCH(RANASBlocksTable[[#This Row],[tag]], chartTranslationTable[tag], 0))
 &amp; " / "
 &amp; INDEX(chartTranslationTable[lang2], MATCH(RANASBlocksTable[[#This Row],[tag]], chartTranslationTable[tag], 0))</f>
        <v>Attitudes / Attitudes</v>
      </c>
      <c r="AQ4" s="1" t="str">
        <f>INDEX(chartTranslationTable[displayedText], MATCH(RANASBlocksTable[[#This Row],[tag]], chartTranslationTable[tag], 0))</f>
        <v>Attitudes</v>
      </c>
      <c r="AS4" s="1" cm="1">
        <f t="array" ref="AS4">ROW()-ROW(sortMenuTable[#Headers])</f>
        <v>2</v>
      </c>
      <c r="AT4" s="1" t="s">
        <v>141</v>
      </c>
      <c r="AU4" s="1" t="s">
        <v>143</v>
      </c>
      <c r="AW4" s="12">
        <v>1</v>
      </c>
      <c r="AY4" s="1" cm="1">
        <f t="array" ref="AY4">ROW()-ROW(behaviourTable[#Headers])</f>
        <v>2</v>
      </c>
      <c r="AZ4" s="1" t="str">
        <f>IFERROR(
    INDEX(
      behaviourConfigTable[behaviourHeader],
      MATCH(behaviourTable[[#This Row],[index]], behaviourConfigTable[index], 0)
    ),#REF!
  ) &amp; ""</f>
        <v/>
      </c>
      <c r="BA4" s="1" t="str">
        <f>IF(
    behaviourTable[[#This Row],[behaviourHeader]] = "",
    "",
    IFERROR(
      INDEX(
        yesNoTable[tag],
        MATCH(
          IFERROR(
            INDEX(
              behaviourConfigTable[includeConfig],
              MATCH(behaviourTable[[#This Row],[index]], behaviourConfigTable[index], 0)
            ),#REF!
          ),
          yesNoTable[label],
          0
        )
      ),
      ""
    )
  )</f>
        <v/>
      </c>
      <c r="BB4" s="1" t="b">
        <f>IF(
    behaviourTable[[#This Row],[behaviourHeader]] = "",
    FALSE,
    IF(
      behaviourTable[[#This Row],[includeConfig]] = "yes",
      TRUE,
      IF(
        behaviourTable[[#This Row],[includeConfig]] = "no",
        FALSE,
        NA()
      )
    )
  )</f>
        <v>0</v>
      </c>
      <c r="BC4" s="1" t="str">
        <f>IF(
    behaviourTable[[#This Row],[behaviourHeader]] = "",
    "",
    _xlfn.IFNA(
      MATCH(behaviourTable[[#This Row],[behaviourHeader]], dataHeaders, 0),
      _xlfn.IFNA(
        MATCH("*/" &amp; behaviourTable[[#This Row],[behaviourHeader]], dataHeaders, 0),
        MATCH("*-" &amp; behaviourTable[[#This Row],[behaviourHeader]], dataHeaders, 0)
      )
    )
  )</f>
        <v/>
      </c>
      <c r="BD4" s="1" t="str">
        <f>IF(
    behaviourTable[[#This Row],[behaviourHeader]] = "",
    "",
    IF(
      IFERROR(
        INDEX(
          behaviourConfigTable[minScore],
          MATCH(behaviourTable[[#This Row],[index]], behaviourConfigTable[index], 0)
        ),#REF!
      ) = "",
      NA(),
      IFERROR(
        INDEX(
          behaviourConfigTable[minScore],
          MATCH(behaviourTable[[#This Row],[index]], behaviourConfigTable[index], 0)
        ),#REF!
      )
    )
  )</f>
        <v/>
      </c>
      <c r="BE4" s="1" t="str">
        <f>IF(
    behaviourTable[[#This Row],[behaviourHeader]] = "",
    "",
    IF(
      IFERROR(
        INDEX(
          behaviourConfigTable[maxScore],
          MATCH(behaviourTable[[#This Row],[index]], behaviourConfigTable[index], 0)
        ),#REF!
      ) = "",
      NA(),
      IFERROR(
        INDEX(
          behaviourConfigTable[maxScore],
          MATCH(behaviourTable[[#This Row],[index]], behaviourConfigTable[index], 0)
        ),#REF!
      )
    )
  )</f>
        <v/>
      </c>
      <c r="BF4" s="1" t="str">
        <f>IF(
    behaviourTable[[#This Row],[behaviourHeader]] = "",
    "",
    IF(
      ISNA(INDEX(dataRange,1,1)),
      NA(),
      MIN(INDEX(dataRange, , behaviourTable[[#This Row],[behaviourColNum]]))
    )
  )</f>
        <v/>
      </c>
      <c r="BG4" s="1" t="str">
        <f>IF(
    behaviourTable[[#This Row],[behaviourHeader]] = "",
    "",
    IF(
      ISNA(INDEX(dataRange,1,1)),
      NA(),
      MAX(INDEX(dataRange, , behaviourTable[[#This Row],[behaviourColNum]]))
    )
  )</f>
        <v/>
      </c>
      <c r="BH4" s="1" t="b" cm="1">
        <f t="array" aca="1" ref="BH4" ca="1">AND(
    NOT(errorNoDataSheet),
    behaviourTable[[#This Row],[behaviourHeader]] &lt;&gt; "",
    NOT(ISERROR(behaviourTable[[#This Row],[behaviourColNum]])),
    IFERROR(behaviourTable[[#This Row],[include]], FALSE),
    IFERROR(behaviourTable[[#This Row],[minValue]] &lt; behaviourTable[[#This Row],[minScore]], FALSE)
  )</f>
        <v>0</v>
      </c>
      <c r="BI4" s="1" t="b" cm="1">
        <f t="array" aca="1" ref="BI4" ca="1">AND(
    NOT(errorNoDataSheet),
    behaviourTable[[#This Row],[behaviourHeader]] &lt;&gt; "",
    NOT(ISERROR(behaviourTable[[#This Row],[behaviourColNum]])),
    IFERROR(behaviourTable[[#This Row],[include]], FALSE),
    IFERROR(behaviourTable[[#This Row],[maxValue]] &gt; behaviourTable[[#This Row],[maxScore]], FALSE)
  )</f>
        <v>0</v>
      </c>
      <c r="BJ4" s="1" t="str" cm="1">
        <f t="array" ref="BJ4">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
      </c>
      <c r="BK4" s="1" t="str" cm="1">
        <f t="array" ref="BK4">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
      </c>
      <c r="BM4" s="178" t="str" cm="1">
        <f t="array" ref="BM4">IF(
    INDEX(behaviourTable[behaviourColNum], MATCH(1, behaviourTable[index], 0)) = "",
    "",
    IF(
      ISNA(INDEX(dataRange,1,1)),
      NA(),
      INDEX(
        dataRange,
        ,
        INDEX(behaviourTable[behaviourColNum], MATCH(1, behaviourTable[index], 0))
      )
    )
  )</f>
        <v/>
      </c>
      <c r="BN4" s="1" t="str" cm="1">
        <f t="array" ref="BN4">IF(
    INDEX(behaviourTable[behaviourColNum], MATCH(2, behaviourTable[index], 0)) = "",
    "",
    IF(
      ISNA(INDEX(dataRange,1,1)),
      NA(),
      INDEX(
        dataRange,
        ,
        INDEX(behaviourTable[behaviourColNum], MATCH(2, behaviourTable[index], 0))
      )
    )
  )</f>
        <v/>
      </c>
      <c r="BO4" s="1" t="str" cm="1">
        <f t="array" ref="BO4">IF(
    INDEX(behaviourTable[behaviourColNum], MATCH(3, behaviourTable[index], 0)) = "",
    "",
    IF(
      ISNA(INDEX(dataRange,1,1)),
      NA(),
      INDEX(
        dataRange,
        ,
        INDEX(behaviourTable[behaviourColNum], MATCH(3, behaviourTable[index], 0))
      )
    )
  )</f>
        <v/>
      </c>
      <c r="BP4" s="1" t="str" cm="1">
        <f t="array" ref="BP4">IF(
    INDEX(behaviourTable[behaviourColNum], MATCH(4, behaviourTable[index], 0)) = "",
    "",
    IF(
      ISNA(INDEX(dataRange,1,1)),
      NA(),
      INDEX(
        dataRange,
        ,
        INDEX(behaviourTable[behaviourColNum], MATCH(4, behaviourTable[index], 0))
      )
    )
  )</f>
        <v/>
      </c>
      <c r="BQ4" s="1" t="str" cm="1">
        <f t="array" ref="BQ4">IF(
    INDEX(behaviourTable[behaviourColNum], MATCH(5, behaviourTable[index], 0)) = "",
    "",
    IF(
      ISNA(INDEX(dataRange,1,1)),
      NA(),
      INDEX(
        dataRange,
        ,
        INDEX(behaviourTable[behaviourColNum], MATCH(5, behaviourTable[index], 0))
      )
    )
  )</f>
        <v/>
      </c>
      <c r="BR4" s="1" cm="1">
        <f t="array" ref="BR4">IF(behaviourInclude1,
    IF(behaviourData1 &lt;&gt; "",
      (behaviourData1 - behaviourMinScore1) / (behaviourMaxScore1 - behaviourMinScore1),
      0),
    0)
+ IF(behaviourInclude2,
    IF(behaviourData2 &lt;&gt; "",
      (behaviourData2 - behaviourMinScore2) / (behaviourMaxScore2 - behaviourMinScore2),
      0),
    0)
+ IF(behaviourInclude3,
    IF(behaviourData3 &lt;&gt; "",
      (behaviourData3 - behaviourMinScore3) / (behaviourMaxScore3 - behaviourMinScore3),
      0),
    0)
+ IF(behaviourInclude4,
    IF(behaviourData4 &lt;&gt; "",
      (behaviourData4 - behaviourMinScore4) / (behaviourMaxScore4 - behaviourMinScore4),
      0),
    0)
+ IF(behaviourInclude5,
    IF(behaviourData5 &lt;&gt; "",
      (behaviourData5 - behaviourMinScore5) / (behaviourMaxScore5 - behaviourMinScore5),
      0),
    0)</f>
        <v>0</v>
      </c>
      <c r="BS4" s="1" cm="1">
        <f t="array" ref="BS4">IF(behaviourInclude1, --(behaviourData1 &lt;&gt; ""), 0)
+ IF(behaviourInclude2, --(behaviourData2 &lt;&gt; ""), 0)
+ IF(behaviourInclude3, --(behaviourData3 &lt;&gt; ""), 0)
+ IF(behaviourInclude4, --(behaviourData4 &lt;&gt; ""), 0)
+ IF(behaviourInclude5, --(behaviourData5 &lt;&gt; ""), 0)</f>
        <v>0</v>
      </c>
      <c r="BT4" s="1" t="str" cm="1">
        <f t="array" ref="BT4">IF(
    behaviourScoreDenominator = 0,
    "",
    behaviourScoreNumerator / behaviourScoreDenominator
  )</f>
        <v/>
      </c>
      <c r="BU4" s="1" t="str" cm="1">
        <f t="array" ref="BU4">IF(
    behaviourScore = "",
    "",
    behaviourScore &gt;= cutoffLevel
  )</f>
        <v/>
      </c>
      <c r="BW4" s="181" cm="1">
        <f t="array" ref="BW4">ROW()-ROW(cutoffTable[#Headers])</f>
        <v>2</v>
      </c>
      <c r="BX4" s="182">
        <v>0.2</v>
      </c>
      <c r="BY4" s="1" t="s">
        <v>287</v>
      </c>
      <c r="BZ4" s="1" cm="1">
        <f t="array" ref="BZ4">SUMPRODUCT(
    (behaviourScore &lt;&gt; "")
  * (behaviourScore &gt;= IF(cutoffTable[[#This Row],[index]] = 1, 0, INDEX(cutoffTable[cutoffLevel], cutoffTable[[#This Row],[index]]-1)))
  * IF(
      cutoffTable[[#This Row],[cutoffLevel]] = 1,
      behaviourScore &lt;= 1,
      behaviourScore &lt; cutoffTable[[#This Row],[cutoffLevel]]
    )
  )</f>
        <v>0</v>
      </c>
      <c r="CA4" s="1" cm="1">
        <f t="array" ref="CA4">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4" s="1" cm="1">
        <f t="array" ref="CB4">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4" s="1" cm="1">
        <f t="array" ref="CD4">ROW()-ROW(recommendedCutoffTable[#Headers])</f>
        <v>2</v>
      </c>
      <c r="CE4" s="183">
        <f>(recommendedCutoffTable[[#This Row],[index]] - 1) / 100</f>
        <v>0.01</v>
      </c>
      <c r="CF4" s="1" cm="1">
        <f t="array" ref="CF4">ABS(
    numScores
  - 2 * SUMPRODUCT((behaviourScore &lt;&gt; "") * (behaviourScore &lt; recommendedCutoffTable[[#This Row],[cutoffLevel]]))
  )</f>
        <v>0</v>
      </c>
      <c r="CM4" s="1" cm="1">
        <f t="array" ref="CM4">ROW()-ROW(factorsTable[#Headers])</f>
        <v>2</v>
      </c>
      <c r="CN4" s="1" t="str">
        <f>IFERROR(
    INDEX(
      factorsConfigTable[factorHeader],
      MATCH(factorsTable[[#This Row],[index]], factorsConfigTable[index], 0)
    ),#REF!
  ) &amp; ""</f>
        <v/>
      </c>
      <c r="CO4" s="1" t="str">
        <f>IF(
    factorsTable[[#This Row],[factorHeader]] = "",
    "",
    _xlfn.IFNA(
      MATCH(factorsTable[[#This Row],[factorHeader]], dataHeaders, 0),
      _xlfn.IFNA(
        MATCH("*/" &amp; factorsTable[[#This Row],[factorHeader]], dataHeaders, 0),
        MATCH("*-" &amp; factorsTable[[#This Row],[factorHeader]], dataHeaders, 0)
      )
    )
  )</f>
        <v/>
      </c>
      <c r="CP4" s="1" t="str">
        <f>IF(
    factorsTable[[#This Row],[factorHeader]] = "",
    "",
    IF(
      IFERROR(
        INDEX(
          factorsConfigTable[minScore],
          MATCH(factorsTable[[#This Row],[index]], factorsConfigTable[index], 0)
        ),#REF!
      ) = "",
      NA(),
      IFERROR(
        INDEX(
          factorsConfigTable[minScore],
          MATCH(factorsTable[[#This Row],[index]], factorsConfigTable[index], 0)
        ),#REF!
      )
    )
  )</f>
        <v/>
      </c>
      <c r="CQ4" s="1" t="str">
        <f>IF(
    factorsTable[[#This Row],[factorHeader]] = "",
    "",
    IF(
      IFERROR(
        INDEX(
          factorsConfigTable[maxScore],
          MATCH(factorsTable[[#This Row],[index]], factorsConfigTable[index], 0)
        ),#REF!
      ) = "",
      NA(),
      IFERROR(
        INDEX(
          factorsConfigTable[maxScore],
          MATCH(factorsTable[[#This Row],[index]], factorsConfigTable[index], 0)
        ),#REF!
      )
    )
  )</f>
        <v/>
      </c>
      <c r="CR4" s="1" t="str">
        <f>IF(
    factorsTable[[#This Row],[factorHeader]] = "",
    "",
    IF(
      ISERROR(factorsTable[[#This Row],[factorColNum]]),
      NA(),
      IF(
        ISNA(INDEX(dataRange,1,1)),
        NA(),
        MIN(INDEX(dataRange, , factorsTable[[#This Row],[factorColNum]]))
      )
    )
  )</f>
        <v/>
      </c>
      <c r="CS4" s="1" t="str">
        <f>IF(
    factorsTable[[#This Row],[factorHeader]] = "",
    "",
    IF(
      ISERROR(factorsTable[[#This Row],[factorColNum]]),
      NA(),
      IF(
        ISNA(INDEX(dataRange,1,1)),
        NA(),
        MAX(INDEX(dataRange, , factorsTable[[#This Row],[factorColNum]]))
      )
    )
  )</f>
        <v/>
      </c>
      <c r="CT4" s="1" t="b" cm="1">
        <f t="array" aca="1" ref="CT4" ca="1">AND(
    NOT(errorNoDataSheet),
    factorsTable[[#This Row],[factorHeader]] &lt;&gt; "",
    NOT(ISERROR(factorsTable[[#This Row],[factorColNum]])),
    IFERROR(factorsTable[[#This Row],[display]], FALSE),
    IFERROR(factorsTable[[#This Row],[minValue]] &lt; factorsTable[[#This Row],[minScore]], FALSE)
  )</f>
        <v>0</v>
      </c>
      <c r="CU4" s="1" t="b" cm="1">
        <f t="array" aca="1" ref="CU4" ca="1">AND(
    NOT(errorNoDataSheet),
    factorsTable[[#This Row],[factorHeader]] &lt;&gt; "",
    NOT(ISERROR(factorsTable[[#This Row],[factorColNum]])),
    IFERROR(factorsTable[[#This Row],[display]], FALSE),
    IFERROR(factorsTable[[#This Row],[maxValue]] &gt; factorsTable[[#This Row],[maxScore]], FALSE)
  )</f>
        <v>0</v>
      </c>
      <c r="CV4" s="1" t="str" cm="1">
        <f t="array" ref="CV4">IF(
    factorsTable[[#This Row],[factorHeader]] = "",
    "",
    IF(
      ISNA(INDEX(dataRange,1,1)),
      NA(),
      SUMPRODUCT(
          IF(isDoer = "", 0, NOT(isDoer))
        * (INDEX(dataRange, , factorsTable[[#This Row],[factorColNum]]) &lt;&gt; "")
      )
    )
  )</f>
        <v/>
      </c>
      <c r="CW4" s="1" t="str" cm="1">
        <f t="array" ref="CW4">IF(
    factorsTable[[#This Row],[factorHeader]] = "",
    "",
    IF(
      ISNA(INDEX(dataRange,1,1)),
      NA(),
      SUMPRODUCT(
          IF(isDoer = "", 0, isDoer)
        * (INDEX(dataRange, , factorsTable[[#This Row],[factorColNum]]) &lt;&gt; "")
      )
    )
  )</f>
        <v/>
      </c>
      <c r="CX4"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4" s="1" t="str" cm="1">
        <f t="array" ref="CY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4" s="1" t="str" cm="1">
        <f t="array" ref="CZ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4" s="1" t="str">
        <f>IF(
    factorsTable[[#This Row],[factorHeader]] = "",
    "",
    factorsTable[[#This Row],[doers]] - factorsTable[[#This Row],[nondoers]]
  )</f>
        <v/>
      </c>
      <c r="DB4" s="1" t="str">
        <f>IF(
    factorsTable[[#This Row],[factorHeader]] = "",
    "",
    IFERROR(
      INDEX(
        yesNoTable[tag],
        MATCH(
          IFERROR(
            INDEX(
              factorsConfigTable[displayConfig],
              MATCH(factorsTable[[#This Row],[index]], factorsConfigTable[index], 0)
            ),#REF!
          ),
          yesNoTable[label],
          0
        )
      ),
      ""
    )
  )</f>
        <v/>
      </c>
      <c r="DC4" s="177" t="b">
        <f>IF(
    factorsTable[[#This Row],[factorHeader]] = "",
    FALSE,
    IF(
      factorsTable[[#This Row],[displayConfig]] = "yes",
      TRUE,
      IF(
        factorsTable[[#This Row],[displayConfig]] = "no",
        FALSE,
        NA()
      )
    )
  )</f>
        <v>0</v>
      </c>
      <c r="DD4" s="177" t="str" cm="1">
        <f t="array" ref="DD4">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4" s="177" t="str">
        <f>IF(
    factorsTable[[#This Row],[filteredIndex]] = "",
    "",
    _xlfn.IFNA(
      INDEX(
        factorsTable[difference],
        MATCH(factorsTable[[#This Row],[filteredIndex]], factorsTable[index], 0)
      ),
      -99
    )
  )</f>
        <v/>
      </c>
      <c r="DF4" s="177" t="str">
        <f>IF(
    factorsTable[[#This Row],[filteredIndex]] = "",
    "",
    IF(
      factorsTable[[#This Row],[relDiff]] = -99,
      -99,
      ABS(factorsTable[[#This Row],[relDiff]])
    )
  )</f>
        <v/>
      </c>
      <c r="DG4" s="177" t="str">
        <f>IF(
    factorsTable[[#This Row],[filteredIndex]] = "",
    "",
    IFERROR(
      INDEX(
        RANASBlocksTable[index],
        MATCH(
          IFERROR(
            INDEX(
              factorsConfigTable[RANASBlock],
              MATCH(factorsTable[[#This Row],[filteredIndex]], factorsConfigTable[index], 0)
            ),#REF!
          ),
          RANASBlocksTable[label],
          0
        )
      ),
      6
    )
  )</f>
        <v/>
      </c>
      <c r="DH4" s="177" t="str">
        <f>IF(
    factorsTable[[#This Row],[filteredIndex]] = "",
    "",
    _xlfn.RANK.EQ(factorsTable[[#This Row],[relDiff]], factorsTable[relDiff], 0)
  )</f>
        <v/>
      </c>
      <c r="DI4" s="177" t="str">
        <f>IF(
    factorsTable[[#This Row],[filteredIndex]] = "",
    "",
    _xlfn.RANK.EQ(factorsTable[[#This Row],[absDiff]], factorsTable[absDiff], 0)
  )</f>
        <v/>
      </c>
      <c r="DJ4" s="177" t="str">
        <f>IF(
    factorsTable[[#This Row],[filteredIndex]] = "",
    "",
    _xlfn.RANK.EQ(factorsTable[[#This Row],[RANASIndex]], factorsTable[RANASIndex], 1)
  )</f>
        <v/>
      </c>
      <c r="DK4" s="177" t="str" cm="1">
        <f t="array" ref="DK4">IF(sortingMethodTag = "none", factorsTable[[#This Row],[filteredIndex]],
  IF(sortingMethodTag = "relDiff", factorsTable[[#This Row],[relDiffRank]],
  IF(sortingMethodTag = "absDiff", factorsTable[[#This Row],[absDiffRank]],
  IF(sortingMethodTag = "RANAS", factorsTable[[#This Row],[RANASRank]],
  factorsTable[[#This Row],[filteredIndex]]))))</f>
        <v/>
      </c>
      <c r="DL4" s="177" t="str">
        <f>IF(
    factorsTable[[#This Row],[filteredIndex]] = "",
    "",
    factorsTable[[#This Row],[selectedRank]]
      + COUNTIF(INDEX(factorsTable[selectedRank], 1):INDEX(factorsTable[selectedRank], factorsTable[[#This Row],[index]]), factorsTable[[#This Row],[selectedRank]])
      - 1
  )</f>
        <v/>
      </c>
      <c r="DM4" s="177" t="str">
        <f>IF(
    factorsTable[[#This Row],[filteredIndex]] = "",
    "",
    IFERROR(
      INDEX(
        factorsTable[filteredIndex],
        MATCH(factorsTable[[#This Row],[index]], factorsTable[uniqueRank], 0)
      ),#REF!
    )
  )</f>
        <v/>
      </c>
      <c r="DN4" s="177" t="str">
        <f>IF(
    factorsTable[[#This Row],[sortedIndex]] = "",
    "",
    INDEX(
      INDEX(
        factorsConfigTable[],
        0,
        MATCH(
          chartLanguage,
          languageHeadersList,
          0
        )
        + MATCH(factorsConfigTable[[#Headers],[lang1]], factorsConfigTable[#Headers], 0)
        - 1
      ),
      MATCH(factorsTable[[#This Row],[sortedIndex]], factorsConfigTable[index], 0)
    ) &amp; ""
  )</f>
        <v/>
      </c>
      <c r="DO4"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4" s="177" t="str">
        <f>IF(
    factorsTable[[#This Row],[sortedIndex]] = "",
    "",
    IFERROR(
      INDEX(
        RANASBlocksTable[tag],
        MATCH(
          IFERROR(
            INDEX(
              factorsConfigTable[RANASBlock],
              MATCH(factorsTable[[#This Row],[sortedIndex]], factorsConfigTable[index], 0)
            ),#REF!
          ),
          RANASBlocksTable[label],
          0
        )
      ),
      NA()
    )
  )</f>
        <v/>
      </c>
      <c r="DQ4"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4"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4" s="177" t="str">
        <f>IF(
    factorsTable[[#This Row],[sortedIndex]] = "",
    "",
    INDEX(factorsTable[numTotal], MATCH(factorsTable[[#This Row],[sortedIndex]], factorsTable[index], 0))
  )</f>
        <v/>
      </c>
      <c r="DT4" s="177" t="str">
        <f>IF(
    factorsTable[[#This Row],[sortedIndex]] = "",
    "",
    INDEX(factorsTable[nondoers], MATCH(factorsTable[[#This Row],[sortedIndex]], factorsTable[index], 0))
  )</f>
        <v/>
      </c>
      <c r="DU4" s="177" t="str">
        <f>IF(
    factorsTable[[#This Row],[sortedIndex]] = "",
    "",
    INDEX(factorsTable[doers], MATCH(factorsTable[[#This Row],[sortedIndex]], factorsTable[index], 0))
  )</f>
        <v/>
      </c>
      <c r="DV4" s="177" t="str">
        <f>IF(
    factorsTable[[#This Row],[sortedIndex]] = "",
    "",
    INDEX(factorsTable[difference], MATCH(factorsTable[[#This Row],[sortedIndex]], factorsTable[index], 0))
  )</f>
        <v/>
      </c>
    </row>
    <row r="5" spans="5:126" ht="14.4" customHeight="1" x14ac:dyDescent="0.3">
      <c r="E5" s="9" cm="1">
        <f t="array" ref="E5">ROW()-ROW(UITranslationTable[#Headers])</f>
        <v>3</v>
      </c>
      <c r="F5" s="9" t="s">
        <v>178</v>
      </c>
      <c r="G5" s="176" t="s">
        <v>179</v>
      </c>
      <c r="H5" s="176" t="s">
        <v>180</v>
      </c>
      <c r="J5" s="1" cm="1">
        <f t="array" ref="J5">ROW()-ROW(errorMessagesTable[#Headers])</f>
        <v>3</v>
      </c>
      <c r="K5" s="1" t="s">
        <v>424</v>
      </c>
      <c r="L5" s="1" t="b" cm="1">
        <f t="array" aca="1" ref="L5" ca="1">errorNoDataRefCol</f>
        <v>0</v>
      </c>
      <c r="M5" s="9" t="str" cm="1">
        <f t="array" ref="M5">"No reference column can be found in the """ &amp; sheetNameData &amp; """ sheet to identify the data entries. The header of this column must be ""_uuid"" for KoboToolbox files or ""instanceID"" (or ""meta" &amp; CHAR(173) &amp; "instanceID"") for ODK files. Try reexporting your data from your survey management platform and reimporting it in the RANAS Analyser." &amp; " Alternatively, you could manually create a column in the """ &amp; sheetNameData &amp; """ sheet with the header ""_uuid"" or ""instanceID"" (without quotes) and fill this column with any value for" &amp; " EXACTLY EACH ENTRY of your database, no more, no less. (This column is used as a reference to count the number of entries in your database.)"</f>
        <v>No reference column can be found in the "data" sheet to identify the data entries. The header of this column must be "_uuid" for KoboToolbox files or "instanceID" (or "meta­instanceID") for ODK files. Try reexporting your data from your survey management platform and reimporting it in the RANAS Analyser. Alternatively, you could manually create a column in the "data" sheet with the header "_uuid" or "instanceID" (without quotes) and fill this column with any value for EXACTLY EACH ENTRY of your database, no more, no less. (This column is used as a reference to count the number of entries in your database.)</v>
      </c>
      <c r="N5" s="9" t="str" cm="1">
        <f t="array" ref="N5">"Aucune colonne de référence ne peut être trouvée sur la feuille «" &amp; sheetNameData &amp; "» pour identifier les entrées de votre base de données. L'en-tête de cette colonne doit être «_uuid» pour les fichiers KoboToolbox ou «instanceID» (ou «meta" &amp; CHAR(173) &amp; "instanceID») pour les fichiers ODK. Essayez de ré-exporter vos données depuis votre plateforme de gestion d'enquêtes et de les réimporter dans le RANAS Analyser." &amp; " Ou alors, vous pouvez créer manuellement une colonne sur la feuille «" &amp; sheetNameData &amp; "» avec l'en-tête «_uuid» ou «instanceID» (sans les guillemets) et remplir cette colonne avec n'importe quelle valeur pour" &amp; " EXACTEMENT CHAQUE ENTRÉE de votre base de données, ni plus ni moins. (Cette colonne sert de référence pour compter le nombre d'entrées dans votre base de données.)"</f>
        <v>Aucune colonne de référence ne peut être trouvée sur la feuille «data» pour identifier les entrées de votre base de données. L'en-tête de cette colonne doit être «_uuid» pour les fichiers KoboToolbox ou «instanceID» (ou «meta­instanceID») pour les fichiers ODK. Essayez de ré-exporter vos données depuis votre plateforme de gestion d'enquêtes et de les réimporter dans le RANAS Analyser. Ou alors, vous pouvez créer manuellement une colonne sur la feuille «data» avec l'en-tête «_uuid» ou «instanceID» (sans les guillemets) et remplir cette colonne avec n'importe quelle valeur pour EXACTEMENT CHAQUE ENTRÉE de votre base de données, ni plus ni moins. (Cette colonne sert de référence pour compter le nombre d'entrées dans votre base de données.)</v>
      </c>
      <c r="O5" s="1" t="str" cm="1">
        <f t="array" aca="1" ref="O5"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5"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5" s="9" t="str" cm="1">
        <f t="array" aca="1" ref="Q5" ca="1">IF(
    errorMessagesTable[[#This Row],[filteredIndex]] = "",
    "",
    IF(
      errorMessagesTable[[#This Row],[index]] = 1,
      "",
      INDEX(errorMessagesTable[concatErrors], errorMessagesTable[[#This Row],[index]]-1)
      &amp; CHAR(10) &amp; CHAR(10)
    )
    &amp; INDEX(errorMessagesTable[langSpecError], errorMessagesTable[[#This Row],[index]])
  )</f>
        <v/>
      </c>
      <c r="S5" s="177" cm="1">
        <f t="array" ref="S5">ROW()-ROW(manualEntryVariablesTable[#Headers])</f>
        <v>3</v>
      </c>
      <c r="T5" s="1" t="s">
        <v>322</v>
      </c>
      <c r="U5" s="186" t="s">
        <v>483</v>
      </c>
      <c r="W5" s="177" cm="1">
        <f t="array" ref="W5">ROW()-ROW(structuredFormulaeTable[#Headers])</f>
        <v>3</v>
      </c>
      <c r="X5" s="1" t="s">
        <v>418</v>
      </c>
      <c r="Y5" s="1" t="s">
        <v>472</v>
      </c>
      <c r="AA5" s="178" t="s">
        <v>476</v>
      </c>
      <c r="AB5" s="178" t="s">
        <v>539</v>
      </c>
      <c r="AD5" s="12" cm="1">
        <f t="array" ref="AD5">ROW()-ROW(languageTable[#Headers])</f>
        <v>3</v>
      </c>
      <c r="AE5" s="12" t="str" cm="1">
        <f t="array" ref="AE5">INDEX(languageHeadersList, languageTable[[#This Row],[index]]) &amp; ""</f>
        <v/>
      </c>
      <c r="AF5" s="12" t="b">
        <f>languageTable[[#This Row],[languageHeaders]] &lt;&gt; ""</f>
        <v>0</v>
      </c>
      <c r="AG5" s="12" t="str" cm="1">
        <f t="array" ref="AG5">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
      </c>
      <c r="AH5" s="12" t="str" cm="1">
        <f t="array" ref="AH5">IFERROR(
    INDEX(languageTable[languageHeaders], languageTable[[#This Row],[filteredIndex]]),
    ""
  )</f>
        <v/>
      </c>
      <c r="AN5" s="1" cm="1">
        <f t="array" ref="AN5">ROW()-ROW(RANASBlocksTable[#Headers])</f>
        <v>3</v>
      </c>
      <c r="AO5" s="1" t="s">
        <v>133</v>
      </c>
      <c r="AP5" s="1" t="str">
        <f>INDEX(chartTranslationTable[lang1], MATCH(RANASBlocksTable[[#This Row],[tag]], chartTranslationTable[tag], 0))
 &amp; " / "
 &amp; INDEX(chartTranslationTable[lang2], MATCH(RANASBlocksTable[[#This Row],[tag]], chartTranslationTable[tag], 0))</f>
        <v>Norms / Normes</v>
      </c>
      <c r="AQ5" s="1" t="str">
        <f>INDEX(chartTranslationTable[displayedText], MATCH(RANASBlocksTable[[#This Row],[tag]], chartTranslationTable[tag], 0))</f>
        <v>Norms</v>
      </c>
      <c r="AS5" s="1" cm="1">
        <f t="array" ref="AS5">ROW()-ROW(sortMenuTable[#Headers])</f>
        <v>3</v>
      </c>
      <c r="AT5" s="1" t="s">
        <v>99</v>
      </c>
      <c r="AU5" s="1" t="s">
        <v>126</v>
      </c>
      <c r="AY5" s="1" cm="1">
        <f t="array" ref="AY5">ROW()-ROW(behaviourTable[#Headers])</f>
        <v>3</v>
      </c>
      <c r="AZ5" s="1" t="str">
        <f>IFERROR(
    INDEX(
      behaviourConfigTable[behaviourHeader],
      MATCH(behaviourTable[[#This Row],[index]], behaviourConfigTable[index], 0)
    ),#REF!
  ) &amp; ""</f>
        <v/>
      </c>
      <c r="BA5" s="1" t="str">
        <f>IF(
    behaviourTable[[#This Row],[behaviourHeader]] = "",
    "",
    IFERROR(
      INDEX(
        yesNoTable[tag],
        MATCH(
          IFERROR(
            INDEX(
              behaviourConfigTable[includeConfig],
              MATCH(behaviourTable[[#This Row],[index]], behaviourConfigTable[index], 0)
            ),#REF!
          ),
          yesNoTable[label],
          0
        )
      ),
      ""
    )
  )</f>
        <v/>
      </c>
      <c r="BB5" s="1" t="b">
        <f>IF(
    behaviourTable[[#This Row],[behaviourHeader]] = "",
    FALSE,
    IF(
      behaviourTable[[#This Row],[includeConfig]] = "yes",
      TRUE,
      IF(
        behaviourTable[[#This Row],[includeConfig]] = "no",
        FALSE,
        NA()
      )
    )
  )</f>
        <v>0</v>
      </c>
      <c r="BC5" s="1" t="str">
        <f>IF(
    behaviourTable[[#This Row],[behaviourHeader]] = "",
    "",
    _xlfn.IFNA(
      MATCH(behaviourTable[[#This Row],[behaviourHeader]], dataHeaders, 0),
      _xlfn.IFNA(
        MATCH("*/" &amp; behaviourTable[[#This Row],[behaviourHeader]], dataHeaders, 0),
        MATCH("*-" &amp; behaviourTable[[#This Row],[behaviourHeader]], dataHeaders, 0)
      )
    )
  )</f>
        <v/>
      </c>
      <c r="BD5" s="1" t="str">
        <f>IF(
    behaviourTable[[#This Row],[behaviourHeader]] = "",
    "",
    IF(
      IFERROR(
        INDEX(
          behaviourConfigTable[minScore],
          MATCH(behaviourTable[[#This Row],[index]], behaviourConfigTable[index], 0)
        ),#REF!
      ) = "",
      NA(),
      IFERROR(
        INDEX(
          behaviourConfigTable[minScore],
          MATCH(behaviourTable[[#This Row],[index]], behaviourConfigTable[index], 0)
        ),#REF!
      )
    )
  )</f>
        <v/>
      </c>
      <c r="BE5" s="1" t="str">
        <f>IF(
    behaviourTable[[#This Row],[behaviourHeader]] = "",
    "",
    IF(
      IFERROR(
        INDEX(
          behaviourConfigTable[maxScore],
          MATCH(behaviourTable[[#This Row],[index]], behaviourConfigTable[index], 0)
        ),#REF!
      ) = "",
      NA(),
      IFERROR(
        INDEX(
          behaviourConfigTable[maxScore],
          MATCH(behaviourTable[[#This Row],[index]], behaviourConfigTable[index], 0)
        ),#REF!
      )
    )
  )</f>
        <v/>
      </c>
      <c r="BF5" s="1" t="str">
        <f>IF(
    behaviourTable[[#This Row],[behaviourHeader]] = "",
    "",
    IF(
      ISNA(INDEX(dataRange,1,1)),
      NA(),
      MIN(INDEX(dataRange, , behaviourTable[[#This Row],[behaviourColNum]]))
    )
  )</f>
        <v/>
      </c>
      <c r="BG5" s="1" t="str">
        <f>IF(
    behaviourTable[[#This Row],[behaviourHeader]] = "",
    "",
    IF(
      ISNA(INDEX(dataRange,1,1)),
      NA(),
      MAX(INDEX(dataRange, , behaviourTable[[#This Row],[behaviourColNum]]))
    )
  )</f>
        <v/>
      </c>
      <c r="BH5" s="1" t="b" cm="1">
        <f t="array" aca="1" ref="BH5" ca="1">AND(
    NOT(errorNoDataSheet),
    behaviourTable[[#This Row],[behaviourHeader]] &lt;&gt; "",
    NOT(ISERROR(behaviourTable[[#This Row],[behaviourColNum]])),
    IFERROR(behaviourTable[[#This Row],[include]], FALSE),
    IFERROR(behaviourTable[[#This Row],[minValue]] &lt; behaviourTable[[#This Row],[minScore]], FALSE)
  )</f>
        <v>0</v>
      </c>
      <c r="BI5" s="1" t="b" cm="1">
        <f t="array" aca="1" ref="BI5" ca="1">AND(
    NOT(errorNoDataSheet),
    behaviourTable[[#This Row],[behaviourHeader]] &lt;&gt; "",
    NOT(ISERROR(behaviourTable[[#This Row],[behaviourColNum]])),
    IFERROR(behaviourTable[[#This Row],[include]], FALSE),
    IFERROR(behaviourTable[[#This Row],[maxValue]] &gt; behaviourTable[[#This Row],[maxScore]], FALSE)
  )</f>
        <v>0</v>
      </c>
      <c r="BJ5" s="1" t="str" cm="1">
        <f t="array" ref="BJ5">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
      </c>
      <c r="BK5" s="1" t="str" cm="1">
        <f t="array" ref="BK5">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
      </c>
      <c r="BW5" s="181" cm="1">
        <f t="array" ref="BW5">ROW()-ROW(cutoffTable[#Headers])</f>
        <v>3</v>
      </c>
      <c r="BX5" s="182">
        <v>0.3</v>
      </c>
      <c r="BY5" s="1" t="s">
        <v>288</v>
      </c>
      <c r="BZ5" s="1" cm="1">
        <f t="array" ref="BZ5">SUMPRODUCT(
    (behaviourScore &lt;&gt; "")
  * (behaviourScore &gt;= IF(cutoffTable[[#This Row],[index]] = 1, 0, INDEX(cutoffTable[cutoffLevel], cutoffTable[[#This Row],[index]]-1)))
  * IF(
      cutoffTable[[#This Row],[cutoffLevel]] = 1,
      behaviourScore &lt;= 1,
      behaviourScore &lt; cutoffTable[[#This Row],[cutoffLevel]]
    )
  )</f>
        <v>0</v>
      </c>
      <c r="CA5" s="1" cm="1">
        <f t="array" ref="CA5">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5" s="1" cm="1">
        <f t="array" ref="CB5">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5" s="1" cm="1">
        <f t="array" ref="CD5">ROW()-ROW(recommendedCutoffTable[#Headers])</f>
        <v>3</v>
      </c>
      <c r="CE5" s="183">
        <f>(recommendedCutoffTable[[#This Row],[index]] - 1) / 100</f>
        <v>0.02</v>
      </c>
      <c r="CF5" s="1" cm="1">
        <f t="array" ref="CF5">ABS(
    numScores
  - 2 * SUMPRODUCT((behaviourScore &lt;&gt; "") * (behaviourScore &lt; recommendedCutoffTable[[#This Row],[cutoffLevel]]))
  )</f>
        <v>0</v>
      </c>
      <c r="CM5" s="1" cm="1">
        <f t="array" ref="CM5">ROW()-ROW(factorsTable[#Headers])</f>
        <v>3</v>
      </c>
      <c r="CN5" s="1" t="str">
        <f>IFERROR(
    INDEX(
      factorsConfigTable[factorHeader],
      MATCH(factorsTable[[#This Row],[index]], factorsConfigTable[index], 0)
    ),#REF!
  ) &amp; ""</f>
        <v/>
      </c>
      <c r="CO5" s="1" t="str">
        <f>IF(
    factorsTable[[#This Row],[factorHeader]] = "",
    "",
    _xlfn.IFNA(
      MATCH(factorsTable[[#This Row],[factorHeader]], dataHeaders, 0),
      _xlfn.IFNA(
        MATCH("*/" &amp; factorsTable[[#This Row],[factorHeader]], dataHeaders, 0),
        MATCH("*-" &amp; factorsTable[[#This Row],[factorHeader]], dataHeaders, 0)
      )
    )
  )</f>
        <v/>
      </c>
      <c r="CP5" s="1" t="str">
        <f>IF(
    factorsTable[[#This Row],[factorHeader]] = "",
    "",
    IF(
      IFERROR(
        INDEX(
          factorsConfigTable[minScore],
          MATCH(factorsTable[[#This Row],[index]], factorsConfigTable[index], 0)
        ),#REF!
      ) = "",
      NA(),
      IFERROR(
        INDEX(
          factorsConfigTable[minScore],
          MATCH(factorsTable[[#This Row],[index]], factorsConfigTable[index], 0)
        ),#REF!
      )
    )
  )</f>
        <v/>
      </c>
      <c r="CQ5" s="1" t="str">
        <f>IF(
    factorsTable[[#This Row],[factorHeader]] = "",
    "",
    IF(
      IFERROR(
        INDEX(
          factorsConfigTable[maxScore],
          MATCH(factorsTable[[#This Row],[index]], factorsConfigTable[index], 0)
        ),#REF!
      ) = "",
      NA(),
      IFERROR(
        INDEX(
          factorsConfigTable[maxScore],
          MATCH(factorsTable[[#This Row],[index]], factorsConfigTable[index], 0)
        ),#REF!
      )
    )
  )</f>
        <v/>
      </c>
      <c r="CR5" s="1" t="str">
        <f>IF(
    factorsTable[[#This Row],[factorHeader]] = "",
    "",
    IF(
      ISERROR(factorsTable[[#This Row],[factorColNum]]),
      NA(),
      IF(
        ISNA(INDEX(dataRange,1,1)),
        NA(),
        MIN(INDEX(dataRange, , factorsTable[[#This Row],[factorColNum]]))
      )
    )
  )</f>
        <v/>
      </c>
      <c r="CS5" s="1" t="str">
        <f>IF(
    factorsTable[[#This Row],[factorHeader]] = "",
    "",
    IF(
      ISERROR(factorsTable[[#This Row],[factorColNum]]),
      NA(),
      IF(
        ISNA(INDEX(dataRange,1,1)),
        NA(),
        MAX(INDEX(dataRange, , factorsTable[[#This Row],[factorColNum]]))
      )
    )
  )</f>
        <v/>
      </c>
      <c r="CT5" s="1" t="b" cm="1">
        <f t="array" aca="1" ref="CT5" ca="1">AND(
    NOT(errorNoDataSheet),
    factorsTable[[#This Row],[factorHeader]] &lt;&gt; "",
    NOT(ISERROR(factorsTable[[#This Row],[factorColNum]])),
    IFERROR(factorsTable[[#This Row],[display]], FALSE),
    IFERROR(factorsTable[[#This Row],[minValue]] &lt; factorsTable[[#This Row],[minScore]], FALSE)
  )</f>
        <v>0</v>
      </c>
      <c r="CU5" s="1" t="b" cm="1">
        <f t="array" aca="1" ref="CU5" ca="1">AND(
    NOT(errorNoDataSheet),
    factorsTable[[#This Row],[factorHeader]] &lt;&gt; "",
    NOT(ISERROR(factorsTable[[#This Row],[factorColNum]])),
    IFERROR(factorsTable[[#This Row],[display]], FALSE),
    IFERROR(factorsTable[[#This Row],[maxValue]] &gt; factorsTable[[#This Row],[maxScore]], FALSE)
  )</f>
        <v>0</v>
      </c>
      <c r="CV5" s="1" t="str" cm="1">
        <f t="array" ref="CV5">IF(
    factorsTable[[#This Row],[factorHeader]] = "",
    "",
    IF(
      ISNA(INDEX(dataRange,1,1)),
      NA(),
      SUMPRODUCT(
          IF(isDoer = "", 0, NOT(isDoer))
        * (INDEX(dataRange, , factorsTable[[#This Row],[factorColNum]]) &lt;&gt; "")
      )
    )
  )</f>
        <v/>
      </c>
      <c r="CW5" s="1" t="str" cm="1">
        <f t="array" ref="CW5">IF(
    factorsTable[[#This Row],[factorHeader]] = "",
    "",
    IF(
      ISNA(INDEX(dataRange,1,1)),
      NA(),
      SUMPRODUCT(
          IF(isDoer = "", 0, isDoer)
        * (INDEX(dataRange, , factorsTable[[#This Row],[factorColNum]]) &lt;&gt; "")
      )
    )
  )</f>
        <v/>
      </c>
      <c r="CX5"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5" s="1" t="str" cm="1">
        <f t="array" ref="CY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5" s="1" t="str" cm="1">
        <f t="array" ref="CZ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5" s="1" t="str">
        <f>IF(
    factorsTable[[#This Row],[factorHeader]] = "",
    "",
    factorsTable[[#This Row],[doers]] - factorsTable[[#This Row],[nondoers]]
  )</f>
        <v/>
      </c>
      <c r="DB5" s="1" t="str">
        <f>IF(
    factorsTable[[#This Row],[factorHeader]] = "",
    "",
    IFERROR(
      INDEX(
        yesNoTable[tag],
        MATCH(
          IFERROR(
            INDEX(
              factorsConfigTable[displayConfig],
              MATCH(factorsTable[[#This Row],[index]], factorsConfigTable[index], 0)
            ),#REF!
          ),
          yesNoTable[label],
          0
        )
      ),
      ""
    )
  )</f>
        <v/>
      </c>
      <c r="DC5" s="177" t="b">
        <f>IF(
    factorsTable[[#This Row],[factorHeader]] = "",
    FALSE,
    IF(
      factorsTable[[#This Row],[displayConfig]] = "yes",
      TRUE,
      IF(
        factorsTable[[#This Row],[displayConfig]] = "no",
        FALSE,
        NA()
      )
    )
  )</f>
        <v>0</v>
      </c>
      <c r="DD5" s="177" t="str" cm="1">
        <f t="array" ref="DD5">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5" s="177" t="str">
        <f>IF(
    factorsTable[[#This Row],[filteredIndex]] = "",
    "",
    _xlfn.IFNA(
      INDEX(
        factorsTable[difference],
        MATCH(factorsTable[[#This Row],[filteredIndex]], factorsTable[index], 0)
      ),
      -99
    )
  )</f>
        <v/>
      </c>
      <c r="DF5" s="177" t="str">
        <f>IF(
    factorsTable[[#This Row],[filteredIndex]] = "",
    "",
    IF(
      factorsTable[[#This Row],[relDiff]] = -99,
      -99,
      ABS(factorsTable[[#This Row],[relDiff]])
    )
  )</f>
        <v/>
      </c>
      <c r="DG5" s="177" t="str">
        <f>IF(
    factorsTable[[#This Row],[filteredIndex]] = "",
    "",
    IFERROR(
      INDEX(
        RANASBlocksTable[index],
        MATCH(
          IFERROR(
            INDEX(
              factorsConfigTable[RANASBlock],
              MATCH(factorsTable[[#This Row],[filteredIndex]], factorsConfigTable[index], 0)
            ),#REF!
          ),
          RANASBlocksTable[label],
          0
        )
      ),
      6
    )
  )</f>
        <v/>
      </c>
      <c r="DH5" s="177" t="str">
        <f>IF(
    factorsTable[[#This Row],[filteredIndex]] = "",
    "",
    _xlfn.RANK.EQ(factorsTable[[#This Row],[relDiff]], factorsTable[relDiff], 0)
  )</f>
        <v/>
      </c>
      <c r="DI5" s="177" t="str">
        <f>IF(
    factorsTable[[#This Row],[filteredIndex]] = "",
    "",
    _xlfn.RANK.EQ(factorsTable[[#This Row],[absDiff]], factorsTable[absDiff], 0)
  )</f>
        <v/>
      </c>
      <c r="DJ5" s="177" t="str">
        <f>IF(
    factorsTable[[#This Row],[filteredIndex]] = "",
    "",
    _xlfn.RANK.EQ(factorsTable[[#This Row],[RANASIndex]], factorsTable[RANASIndex], 1)
  )</f>
        <v/>
      </c>
      <c r="DK5" s="177" t="str" cm="1">
        <f t="array" ref="DK5">IF(sortingMethodTag = "none", factorsTable[[#This Row],[filteredIndex]],
  IF(sortingMethodTag = "relDiff", factorsTable[[#This Row],[relDiffRank]],
  IF(sortingMethodTag = "absDiff", factorsTable[[#This Row],[absDiffRank]],
  IF(sortingMethodTag = "RANAS", factorsTable[[#This Row],[RANASRank]],
  factorsTable[[#This Row],[filteredIndex]]))))</f>
        <v/>
      </c>
      <c r="DL5" s="177" t="str">
        <f>IF(
    factorsTable[[#This Row],[filteredIndex]] = "",
    "",
    factorsTable[[#This Row],[selectedRank]]
      + COUNTIF(INDEX(factorsTable[selectedRank], 1):INDEX(factorsTable[selectedRank], factorsTable[[#This Row],[index]]), factorsTable[[#This Row],[selectedRank]])
      - 1
  )</f>
        <v/>
      </c>
      <c r="DM5" s="177" t="str">
        <f>IF(
    factorsTable[[#This Row],[filteredIndex]] = "",
    "",
    IFERROR(
      INDEX(
        factorsTable[filteredIndex],
        MATCH(factorsTable[[#This Row],[index]], factorsTable[uniqueRank], 0)
      ),#REF!
    )
  )</f>
        <v/>
      </c>
      <c r="DN5" s="177" t="str">
        <f>IF(
    factorsTable[[#This Row],[sortedIndex]] = "",
    "",
    INDEX(
      INDEX(
        factorsConfigTable[],
        0,
        MATCH(
          chartLanguage,
          languageHeadersList,
          0
        )
        + MATCH(factorsConfigTable[[#Headers],[lang1]], factorsConfigTable[#Headers], 0)
        - 1
      ),
      MATCH(factorsTable[[#This Row],[sortedIndex]], factorsConfigTable[index], 0)
    ) &amp; ""
  )</f>
        <v/>
      </c>
      <c r="DO5"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5" s="177" t="str">
        <f>IF(
    factorsTable[[#This Row],[sortedIndex]] = "",
    "",
    IFERROR(
      INDEX(
        RANASBlocksTable[tag],
        MATCH(
          IFERROR(
            INDEX(
              factorsConfigTable[RANASBlock],
              MATCH(factorsTable[[#This Row],[sortedIndex]], factorsConfigTable[index], 0)
            ),#REF!
          ),
          RANASBlocksTable[label],
          0
        )
      ),
      NA()
    )
  )</f>
        <v/>
      </c>
      <c r="DQ5"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5"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5" s="177" t="str">
        <f>IF(
    factorsTable[[#This Row],[sortedIndex]] = "",
    "",
    INDEX(factorsTable[numTotal], MATCH(factorsTable[[#This Row],[sortedIndex]], factorsTable[index], 0))
  )</f>
        <v/>
      </c>
      <c r="DT5" s="177" t="str">
        <f>IF(
    factorsTable[[#This Row],[sortedIndex]] = "",
    "",
    INDEX(factorsTable[nondoers], MATCH(factorsTable[[#This Row],[sortedIndex]], factorsTable[index], 0))
  )</f>
        <v/>
      </c>
      <c r="DU5" s="177" t="str">
        <f>IF(
    factorsTable[[#This Row],[sortedIndex]] = "",
    "",
    INDEX(factorsTable[doers], MATCH(factorsTable[[#This Row],[sortedIndex]], factorsTable[index], 0))
  )</f>
        <v/>
      </c>
      <c r="DV5" s="177" t="str">
        <f>IF(
    factorsTable[[#This Row],[sortedIndex]] = "",
    "",
    INDEX(factorsTable[difference], MATCH(factorsTable[[#This Row],[sortedIndex]], factorsTable[index], 0))
  )</f>
        <v/>
      </c>
    </row>
    <row r="6" spans="5:126" ht="14.4" customHeight="1" x14ac:dyDescent="0.3">
      <c r="E6" s="187" cm="1">
        <f t="array" ref="E6">ROW()-ROW(UITranslationTable[#Headers])</f>
        <v>4</v>
      </c>
      <c r="F6" s="9"/>
      <c r="G6" s="176"/>
      <c r="H6" s="176"/>
      <c r="J6" s="1" cm="1">
        <f t="array" ref="J6">ROW()-ROW(errorMessagesTable[#Headers])</f>
        <v>4</v>
      </c>
      <c r="K6" s="1" t="s">
        <v>425</v>
      </c>
      <c r="L6" s="12" t="b" cm="1">
        <f t="array" aca="1" ref="L6" ca="1">errorDataHeaderSpace</f>
        <v>0</v>
      </c>
      <c r="M6" s="9" t="str" cm="1">
        <f t="array" ref="M6">"Spaces were detected in the headers of your """ &amp; sheetNameData &amp; """ sheet. In case of problems, if you exported your data from KoboToolbox, make sure that you selected the option ""XML values and headers"" before exporting."</f>
        <v>Spaces were detected in the headers of your "data" sheet. In case of problems, if you exported your data from KoboToolbox, make sure that you selected the option "XML values and headers" before exporting.</v>
      </c>
      <c r="N6" s="9" t="str" cm="1">
        <f t="array" ref="N6">"Des espaces ont été détectées dans les en-têtes de votre feuille «" &amp; sheetNameData &amp; "». En cas de problèmes, si vous avez exporté vos données depuis KoboToolbox, assurez-vous d'avoir sélectionné l'option «Valeurs et en-tête XML» avant d'exporter."</f>
        <v>Des espaces ont été détectées dans les en-têtes de votre feuille «data». En cas de problèmes, si vous avez exporté vos données depuis KoboToolbox, assurez-vous d'avoir sélectionné l'option «Valeurs et en-tête XML» avant d'exporter.</v>
      </c>
      <c r="O6" s="1" t="str" cm="1">
        <f t="array" aca="1" ref="O6"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6"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6" s="9" t="str" cm="1">
        <f t="array" aca="1" ref="Q6" ca="1">IF(
    errorMessagesTable[[#This Row],[filteredIndex]] = "",
    "",
    IF(
      errorMessagesTable[[#This Row],[index]] = 1,
      "",
      INDEX(errorMessagesTable[concatErrors], errorMessagesTable[[#This Row],[index]]-1)
      &amp; CHAR(10) &amp; CHAR(10)
    )
    &amp; INDEX(errorMessagesTable[langSpecError], errorMessagesTable[[#This Row],[index]])
  )</f>
        <v/>
      </c>
      <c r="S6" s="177" cm="1">
        <f t="array" ref="S6">ROW()-ROW(manualEntryVariablesTable[#Headers])</f>
        <v>4</v>
      </c>
      <c r="T6" s="1" t="s">
        <v>328</v>
      </c>
      <c r="U6" s="186" t="s">
        <v>329</v>
      </c>
      <c r="W6" s="177" cm="1">
        <f t="array" ref="W6">ROW()-ROW(structuredFormulaeTable[#Headers])</f>
        <v>4</v>
      </c>
      <c r="X6" s="1" t="s">
        <v>418</v>
      </c>
      <c r="Y6" s="1" t="s">
        <v>471</v>
      </c>
      <c r="AA6" s="178" t="s">
        <v>475</v>
      </c>
      <c r="AB6" s="178" t="s">
        <v>477</v>
      </c>
      <c r="AD6" s="12" cm="1">
        <f t="array" ref="AD6">ROW()-ROW(languageTable[#Headers])</f>
        <v>4</v>
      </c>
      <c r="AE6" s="12" t="str" cm="1">
        <f t="array" ref="AE6">INDEX(languageHeadersList, languageTable[[#This Row],[index]]) &amp; ""</f>
        <v/>
      </c>
      <c r="AF6" s="12" t="b">
        <f>languageTable[[#This Row],[languageHeaders]] &lt;&gt; ""</f>
        <v>0</v>
      </c>
      <c r="AG6" s="12" t="str" cm="1">
        <f t="array" ref="AG6">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
      </c>
      <c r="AH6" s="12" t="str" cm="1">
        <f t="array" ref="AH6">IFERROR(
    INDEX(languageTable[languageHeaders], languageTable[[#This Row],[filteredIndex]]),
    ""
  )</f>
        <v/>
      </c>
      <c r="AN6" s="1" cm="1">
        <f t="array" ref="AN6">ROW()-ROW(RANASBlocksTable[#Headers])</f>
        <v>4</v>
      </c>
      <c r="AO6" s="1" t="s">
        <v>135</v>
      </c>
      <c r="AP6" s="1" t="str">
        <f>INDEX(chartTranslationTable[lang1], MATCH(RANASBlocksTable[[#This Row],[tag]], chartTranslationTable[tag], 0))
 &amp; " / "
 &amp; INDEX(chartTranslationTable[lang2], MATCH(RANASBlocksTable[[#This Row],[tag]], chartTranslationTable[tag], 0))</f>
        <v>Abilities / Capacités</v>
      </c>
      <c r="AQ6" s="1" t="str">
        <f>INDEX(chartTranslationTable[displayedText], MATCH(RANASBlocksTable[[#This Row],[tag]], chartTranslationTable[tag], 0))</f>
        <v>Abilities</v>
      </c>
      <c r="AS6" s="1" cm="1">
        <f t="array" ref="AS6">ROW()-ROW(sortMenuTable[#Headers])</f>
        <v>4</v>
      </c>
      <c r="AT6" s="1" t="s">
        <v>118</v>
      </c>
      <c r="AU6" s="1" t="s">
        <v>118</v>
      </c>
      <c r="AY6" s="1" cm="1">
        <f t="array" ref="AY6">ROW()-ROW(behaviourTable[#Headers])</f>
        <v>4</v>
      </c>
      <c r="AZ6" s="1" t="str">
        <f>IFERROR(
    INDEX(
      behaviourConfigTable[behaviourHeader],
      MATCH(behaviourTable[[#This Row],[index]], behaviourConfigTable[index], 0)
    ),#REF!
  ) &amp; ""</f>
        <v/>
      </c>
      <c r="BA6" s="1" t="str">
        <f>IF(
    behaviourTable[[#This Row],[behaviourHeader]] = "",
    "",
    IFERROR(
      INDEX(
        yesNoTable[tag],
        MATCH(
          IFERROR(
            INDEX(
              behaviourConfigTable[includeConfig],
              MATCH(behaviourTable[[#This Row],[index]], behaviourConfigTable[index], 0)
            ),#REF!
          ),
          yesNoTable[label],
          0
        )
      ),
      ""
    )
  )</f>
        <v/>
      </c>
      <c r="BB6" s="1" t="b">
        <f>IF(
    behaviourTable[[#This Row],[behaviourHeader]] = "",
    FALSE,
    IF(
      behaviourTable[[#This Row],[includeConfig]] = "yes",
      TRUE,
      IF(
        behaviourTable[[#This Row],[includeConfig]] = "no",
        FALSE,
        NA()
      )
    )
  )</f>
        <v>0</v>
      </c>
      <c r="BC6" s="1" t="str">
        <f>IF(
    behaviourTable[[#This Row],[behaviourHeader]] = "",
    "",
    _xlfn.IFNA(
      MATCH(behaviourTable[[#This Row],[behaviourHeader]], dataHeaders, 0),
      _xlfn.IFNA(
        MATCH("*/" &amp; behaviourTable[[#This Row],[behaviourHeader]], dataHeaders, 0),
        MATCH("*-" &amp; behaviourTable[[#This Row],[behaviourHeader]], dataHeaders, 0)
      )
    )
  )</f>
        <v/>
      </c>
      <c r="BD6" s="1" t="str">
        <f>IF(
    behaviourTable[[#This Row],[behaviourHeader]] = "",
    "",
    IF(
      IFERROR(
        INDEX(
          behaviourConfigTable[minScore],
          MATCH(behaviourTable[[#This Row],[index]], behaviourConfigTable[index], 0)
        ),#REF!
      ) = "",
      NA(),
      IFERROR(
        INDEX(
          behaviourConfigTable[minScore],
          MATCH(behaviourTable[[#This Row],[index]], behaviourConfigTable[index], 0)
        ),#REF!
      )
    )
  )</f>
        <v/>
      </c>
      <c r="BE6" s="1" t="str">
        <f>IF(
    behaviourTable[[#This Row],[behaviourHeader]] = "",
    "",
    IF(
      IFERROR(
        INDEX(
          behaviourConfigTable[maxScore],
          MATCH(behaviourTable[[#This Row],[index]], behaviourConfigTable[index], 0)
        ),#REF!
      ) = "",
      NA(),
      IFERROR(
        INDEX(
          behaviourConfigTable[maxScore],
          MATCH(behaviourTable[[#This Row],[index]], behaviourConfigTable[index], 0)
        ),#REF!
      )
    )
  )</f>
        <v/>
      </c>
      <c r="BF6" s="1" t="str">
        <f>IF(
    behaviourTable[[#This Row],[behaviourHeader]] = "",
    "",
    IF(
      ISNA(INDEX(dataRange,1,1)),
      NA(),
      MIN(INDEX(dataRange, , behaviourTable[[#This Row],[behaviourColNum]]))
    )
  )</f>
        <v/>
      </c>
      <c r="BG6" s="1" t="str">
        <f>IF(
    behaviourTable[[#This Row],[behaviourHeader]] = "",
    "",
    IF(
      ISNA(INDEX(dataRange,1,1)),
      NA(),
      MAX(INDEX(dataRange, , behaviourTable[[#This Row],[behaviourColNum]]))
    )
  )</f>
        <v/>
      </c>
      <c r="BH6" s="1" t="b" cm="1">
        <f t="array" aca="1" ref="BH6" ca="1">AND(
    NOT(errorNoDataSheet),
    behaviourTable[[#This Row],[behaviourHeader]] &lt;&gt; "",
    NOT(ISERROR(behaviourTable[[#This Row],[behaviourColNum]])),
    IFERROR(behaviourTable[[#This Row],[include]], FALSE),
    IFERROR(behaviourTable[[#This Row],[minValue]] &lt; behaviourTable[[#This Row],[minScore]], FALSE)
  )</f>
        <v>0</v>
      </c>
      <c r="BI6" s="1" t="b" cm="1">
        <f t="array" aca="1" ref="BI6" ca="1">AND(
    NOT(errorNoDataSheet),
    behaviourTable[[#This Row],[behaviourHeader]] &lt;&gt; "",
    NOT(ISERROR(behaviourTable[[#This Row],[behaviourColNum]])),
    IFERROR(behaviourTable[[#This Row],[include]], FALSE),
    IFERROR(behaviourTable[[#This Row],[maxValue]] &gt; behaviourTable[[#This Row],[maxScore]], FALSE)
  )</f>
        <v>0</v>
      </c>
      <c r="BJ6" s="1" t="str" cm="1">
        <f t="array" ref="BJ6">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
      </c>
      <c r="BK6" s="1" t="str" cm="1">
        <f t="array" ref="BK6">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
      </c>
      <c r="BW6" s="181" cm="1">
        <f t="array" ref="BW6">ROW()-ROW(cutoffTable[#Headers])</f>
        <v>4</v>
      </c>
      <c r="BX6" s="182">
        <v>0.4</v>
      </c>
      <c r="BY6" s="1" t="s">
        <v>289</v>
      </c>
      <c r="BZ6" s="1" cm="1">
        <f t="array" ref="BZ6">SUMPRODUCT(
    (behaviourScore &lt;&gt; "")
  * (behaviourScore &gt;= IF(cutoffTable[[#This Row],[index]] = 1, 0, INDEX(cutoffTable[cutoffLevel], cutoffTable[[#This Row],[index]]-1)))
  * IF(
      cutoffTable[[#This Row],[cutoffLevel]] = 1,
      behaviourScore &lt;= 1,
      behaviourScore &lt; cutoffTable[[#This Row],[cutoffLevel]]
    )
  )</f>
        <v>0</v>
      </c>
      <c r="CA6" s="1" cm="1">
        <f t="array" ref="CA6">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6" s="1" cm="1">
        <f t="array" ref="CB6">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6" s="1" cm="1">
        <f t="array" ref="CD6">ROW()-ROW(recommendedCutoffTable[#Headers])</f>
        <v>4</v>
      </c>
      <c r="CE6" s="183">
        <f>(recommendedCutoffTable[[#This Row],[index]] - 1) / 100</f>
        <v>0.03</v>
      </c>
      <c r="CF6" s="1" cm="1">
        <f t="array" ref="CF6">ABS(
    numScores
  - 2 * SUMPRODUCT((behaviourScore &lt;&gt; "") * (behaviourScore &lt; recommendedCutoffTable[[#This Row],[cutoffLevel]]))
  )</f>
        <v>0</v>
      </c>
      <c r="CM6" s="1" cm="1">
        <f t="array" ref="CM6">ROW()-ROW(factorsTable[#Headers])</f>
        <v>4</v>
      </c>
      <c r="CN6" s="1" t="str">
        <f>IFERROR(
    INDEX(
      factorsConfigTable[factorHeader],
      MATCH(factorsTable[[#This Row],[index]], factorsConfigTable[index], 0)
    ),#REF!
  ) &amp; ""</f>
        <v/>
      </c>
      <c r="CO6" s="1" t="str">
        <f>IF(
    factorsTable[[#This Row],[factorHeader]] = "",
    "",
    _xlfn.IFNA(
      MATCH(factorsTable[[#This Row],[factorHeader]], dataHeaders, 0),
      _xlfn.IFNA(
        MATCH("*/" &amp; factorsTable[[#This Row],[factorHeader]], dataHeaders, 0),
        MATCH("*-" &amp; factorsTable[[#This Row],[factorHeader]], dataHeaders, 0)
      )
    )
  )</f>
        <v/>
      </c>
      <c r="CP6" s="1" t="str">
        <f>IF(
    factorsTable[[#This Row],[factorHeader]] = "",
    "",
    IF(
      IFERROR(
        INDEX(
          factorsConfigTable[minScore],
          MATCH(factorsTable[[#This Row],[index]], factorsConfigTable[index], 0)
        ),#REF!
      ) = "",
      NA(),
      IFERROR(
        INDEX(
          factorsConfigTable[minScore],
          MATCH(factorsTable[[#This Row],[index]], factorsConfigTable[index], 0)
        ),#REF!
      )
    )
  )</f>
        <v/>
      </c>
      <c r="CQ6" s="1" t="str">
        <f>IF(
    factorsTable[[#This Row],[factorHeader]] = "",
    "",
    IF(
      IFERROR(
        INDEX(
          factorsConfigTable[maxScore],
          MATCH(factorsTable[[#This Row],[index]], factorsConfigTable[index], 0)
        ),#REF!
      ) = "",
      NA(),
      IFERROR(
        INDEX(
          factorsConfigTable[maxScore],
          MATCH(factorsTable[[#This Row],[index]], factorsConfigTable[index], 0)
        ),#REF!
      )
    )
  )</f>
        <v/>
      </c>
      <c r="CR6" s="1" t="str">
        <f>IF(
    factorsTable[[#This Row],[factorHeader]] = "",
    "",
    IF(
      ISERROR(factorsTable[[#This Row],[factorColNum]]),
      NA(),
      IF(
        ISNA(INDEX(dataRange,1,1)),
        NA(),
        MIN(INDEX(dataRange, , factorsTable[[#This Row],[factorColNum]]))
      )
    )
  )</f>
        <v/>
      </c>
      <c r="CS6" s="1" t="str">
        <f>IF(
    factorsTable[[#This Row],[factorHeader]] = "",
    "",
    IF(
      ISERROR(factorsTable[[#This Row],[factorColNum]]),
      NA(),
      IF(
        ISNA(INDEX(dataRange,1,1)),
        NA(),
        MAX(INDEX(dataRange, , factorsTable[[#This Row],[factorColNum]]))
      )
    )
  )</f>
        <v/>
      </c>
      <c r="CT6" s="1" t="b" cm="1">
        <f t="array" aca="1" ref="CT6" ca="1">AND(
    NOT(errorNoDataSheet),
    factorsTable[[#This Row],[factorHeader]] &lt;&gt; "",
    NOT(ISERROR(factorsTable[[#This Row],[factorColNum]])),
    IFERROR(factorsTable[[#This Row],[display]], FALSE),
    IFERROR(factorsTable[[#This Row],[minValue]] &lt; factorsTable[[#This Row],[minScore]], FALSE)
  )</f>
        <v>0</v>
      </c>
      <c r="CU6" s="1" t="b" cm="1">
        <f t="array" aca="1" ref="CU6" ca="1">AND(
    NOT(errorNoDataSheet),
    factorsTable[[#This Row],[factorHeader]] &lt;&gt; "",
    NOT(ISERROR(factorsTable[[#This Row],[factorColNum]])),
    IFERROR(factorsTable[[#This Row],[display]], FALSE),
    IFERROR(factorsTable[[#This Row],[maxValue]] &gt; factorsTable[[#This Row],[maxScore]], FALSE)
  )</f>
        <v>0</v>
      </c>
      <c r="CV6" s="1" t="str" cm="1">
        <f t="array" ref="CV6">IF(
    factorsTable[[#This Row],[factorHeader]] = "",
    "",
    IF(
      ISNA(INDEX(dataRange,1,1)),
      NA(),
      SUMPRODUCT(
          IF(isDoer = "", 0, NOT(isDoer))
        * (INDEX(dataRange, , factorsTable[[#This Row],[factorColNum]]) &lt;&gt; "")
      )
    )
  )</f>
        <v/>
      </c>
      <c r="CW6" s="1" t="str" cm="1">
        <f t="array" ref="CW6">IF(
    factorsTable[[#This Row],[factorHeader]] = "",
    "",
    IF(
      ISNA(INDEX(dataRange,1,1)),
      NA(),
      SUMPRODUCT(
          IF(isDoer = "", 0, isDoer)
        * (INDEX(dataRange, , factorsTable[[#This Row],[factorColNum]]) &lt;&gt; "")
      )
    )
  )</f>
        <v/>
      </c>
      <c r="CX6"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6" s="1" t="str" cm="1">
        <f t="array" ref="CY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6" s="1" t="str" cm="1">
        <f t="array" ref="CZ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6" s="1" t="str">
        <f>IF(
    factorsTable[[#This Row],[factorHeader]] = "",
    "",
    factorsTable[[#This Row],[doers]] - factorsTable[[#This Row],[nondoers]]
  )</f>
        <v/>
      </c>
      <c r="DB6" s="1" t="str">
        <f>IF(
    factorsTable[[#This Row],[factorHeader]] = "",
    "",
    IFERROR(
      INDEX(
        yesNoTable[tag],
        MATCH(
          IFERROR(
            INDEX(
              factorsConfigTable[displayConfig],
              MATCH(factorsTable[[#This Row],[index]], factorsConfigTable[index], 0)
            ),#REF!
          ),
          yesNoTable[label],
          0
        )
      ),
      ""
    )
  )</f>
        <v/>
      </c>
      <c r="DC6" s="177" t="b">
        <f>IF(
    factorsTable[[#This Row],[factorHeader]] = "",
    FALSE,
    IF(
      factorsTable[[#This Row],[displayConfig]] = "yes",
      TRUE,
      IF(
        factorsTable[[#This Row],[displayConfig]] = "no",
        FALSE,
        NA()
      )
    )
  )</f>
        <v>0</v>
      </c>
      <c r="DD6" s="177" t="str" cm="1">
        <f t="array" ref="DD6">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6" s="177" t="str">
        <f>IF(
    factorsTable[[#This Row],[filteredIndex]] = "",
    "",
    _xlfn.IFNA(
      INDEX(
        factorsTable[difference],
        MATCH(factorsTable[[#This Row],[filteredIndex]], factorsTable[index], 0)
      ),
      -99
    )
  )</f>
        <v/>
      </c>
      <c r="DF6" s="177" t="str">
        <f>IF(
    factorsTable[[#This Row],[filteredIndex]] = "",
    "",
    IF(
      factorsTable[[#This Row],[relDiff]] = -99,
      -99,
      ABS(factorsTable[[#This Row],[relDiff]])
    )
  )</f>
        <v/>
      </c>
      <c r="DG6" s="177" t="str">
        <f>IF(
    factorsTable[[#This Row],[filteredIndex]] = "",
    "",
    IFERROR(
      INDEX(
        RANASBlocksTable[index],
        MATCH(
          IFERROR(
            INDEX(
              factorsConfigTable[RANASBlock],
              MATCH(factorsTable[[#This Row],[filteredIndex]], factorsConfigTable[index], 0)
            ),#REF!
          ),
          RANASBlocksTable[label],
          0
        )
      ),
      6
    )
  )</f>
        <v/>
      </c>
      <c r="DH6" s="177" t="str">
        <f>IF(
    factorsTable[[#This Row],[filteredIndex]] = "",
    "",
    _xlfn.RANK.EQ(factorsTable[[#This Row],[relDiff]], factorsTable[relDiff], 0)
  )</f>
        <v/>
      </c>
      <c r="DI6" s="177" t="str">
        <f>IF(
    factorsTable[[#This Row],[filteredIndex]] = "",
    "",
    _xlfn.RANK.EQ(factorsTable[[#This Row],[absDiff]], factorsTable[absDiff], 0)
  )</f>
        <v/>
      </c>
      <c r="DJ6" s="177" t="str">
        <f>IF(
    factorsTable[[#This Row],[filteredIndex]] = "",
    "",
    _xlfn.RANK.EQ(factorsTable[[#This Row],[RANASIndex]], factorsTable[RANASIndex], 1)
  )</f>
        <v/>
      </c>
      <c r="DK6" s="177" t="str" cm="1">
        <f t="array" ref="DK6">IF(sortingMethodTag = "none", factorsTable[[#This Row],[filteredIndex]],
  IF(sortingMethodTag = "relDiff", factorsTable[[#This Row],[relDiffRank]],
  IF(sortingMethodTag = "absDiff", factorsTable[[#This Row],[absDiffRank]],
  IF(sortingMethodTag = "RANAS", factorsTable[[#This Row],[RANASRank]],
  factorsTable[[#This Row],[filteredIndex]]))))</f>
        <v/>
      </c>
      <c r="DL6" s="177" t="str">
        <f>IF(
    factorsTable[[#This Row],[filteredIndex]] = "",
    "",
    factorsTable[[#This Row],[selectedRank]]
      + COUNTIF(INDEX(factorsTable[selectedRank], 1):INDEX(factorsTable[selectedRank], factorsTable[[#This Row],[index]]), factorsTable[[#This Row],[selectedRank]])
      - 1
  )</f>
        <v/>
      </c>
      <c r="DM6" s="177" t="str">
        <f>IF(
    factorsTable[[#This Row],[filteredIndex]] = "",
    "",
    IFERROR(
      INDEX(
        factorsTable[filteredIndex],
        MATCH(factorsTable[[#This Row],[index]], factorsTable[uniqueRank], 0)
      ),#REF!
    )
  )</f>
        <v/>
      </c>
      <c r="DN6" s="177" t="str">
        <f>IF(
    factorsTable[[#This Row],[sortedIndex]] = "",
    "",
    INDEX(
      INDEX(
        factorsConfigTable[],
        0,
        MATCH(
          chartLanguage,
          languageHeadersList,
          0
        )
        + MATCH(factorsConfigTable[[#Headers],[lang1]], factorsConfigTable[#Headers], 0)
        - 1
      ),
      MATCH(factorsTable[[#This Row],[sortedIndex]], factorsConfigTable[index], 0)
    ) &amp; ""
  )</f>
        <v/>
      </c>
      <c r="DO6"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6" s="177" t="str">
        <f>IF(
    factorsTable[[#This Row],[sortedIndex]] = "",
    "",
    IFERROR(
      INDEX(
        RANASBlocksTable[tag],
        MATCH(
          IFERROR(
            INDEX(
              factorsConfigTable[RANASBlock],
              MATCH(factorsTable[[#This Row],[sortedIndex]], factorsConfigTable[index], 0)
            ),#REF!
          ),
          RANASBlocksTable[label],
          0
        )
      ),
      NA()
    )
  )</f>
        <v/>
      </c>
      <c r="DQ6"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6"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6" s="177" t="str">
        <f>IF(
    factorsTable[[#This Row],[sortedIndex]] = "",
    "",
    INDEX(factorsTable[numTotal], MATCH(factorsTable[[#This Row],[sortedIndex]], factorsTable[index], 0))
  )</f>
        <v/>
      </c>
      <c r="DT6" s="177" t="str">
        <f>IF(
    factorsTable[[#This Row],[sortedIndex]] = "",
    "",
    INDEX(factorsTable[nondoers], MATCH(factorsTable[[#This Row],[sortedIndex]], factorsTable[index], 0))
  )</f>
        <v/>
      </c>
      <c r="DU6" s="177" t="str">
        <f>IF(
    factorsTable[[#This Row],[sortedIndex]] = "",
    "",
    INDEX(factorsTable[doers], MATCH(factorsTable[[#This Row],[sortedIndex]], factorsTable[index], 0))
  )</f>
        <v/>
      </c>
      <c r="DV6" s="177" t="str">
        <f>IF(
    factorsTable[[#This Row],[sortedIndex]] = "",
    "",
    INDEX(factorsTable[difference], MATCH(factorsTable[[#This Row],[sortedIndex]], factorsTable[index], 0))
  )</f>
        <v/>
      </c>
    </row>
    <row r="7" spans="5:126" ht="14.4" customHeight="1" x14ac:dyDescent="0.3">
      <c r="E7" s="9" cm="1">
        <f t="array" ref="E7">ROW()-ROW(UITranslationTable[#Headers])</f>
        <v>5</v>
      </c>
      <c r="F7" s="176" t="s">
        <v>307</v>
      </c>
      <c r="G7" s="176" t="s">
        <v>60</v>
      </c>
      <c r="H7" s="176" t="s">
        <v>61</v>
      </c>
      <c r="J7" s="1" cm="1">
        <f t="array" ref="J7">ROW()-ROW(errorMessagesTable[#Headers])</f>
        <v>5</v>
      </c>
      <c r="K7" s="1" t="s">
        <v>426</v>
      </c>
      <c r="L7" s="1" t="b" cm="1">
        <f t="array" aca="1" ref="L7" ca="1">errorBehaviourHeader</f>
        <v>0</v>
      </c>
      <c r="M7" s="176" t="str" cm="1">
        <f t="array" ref="M7">"Some data headers selected in the ""Behaviour"" table (red cells) cannot be found in the """ &amp; sheetNameData &amp; """ sheet. Make sure that these data headers are accurately entered in the table (no typos, no spaces) or deselect them by choosing the cross mark (" &amp; noLabel &amp; ") from the drop-down menu in the ""Include?"" column."</f>
        <v>Some data headers selected in the "Behaviour" table (red cells) cannot be found in the "data" sheet. Make sure that these data headers are accurately entered in the table (no typos, no spaces) or deselect them by choosing the cross mark (✘) from the drop-down menu in the "Include?" column.</v>
      </c>
      <c r="N7" s="176" t="str" cm="1">
        <f t="array" ref="N7">"Certains en-têtes de données sélectionnés dans le tableau «Comportement»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«Inclure?»."</f>
        <v>Certains en-têtes de données sélectionnés dans le tableau «Comportement» (cellules rouges) sont introuvables sur la feuille «data». Veuillez vérifier que ces en-têtes sont saisis précisément dans le tableau (ni fautes de frappe, ni espaces) ou alors désélectionnez-les en choisissant la croix (✘) dans le menu déroulant de la colonne «Inclure?».</v>
      </c>
      <c r="O7" s="1" t="str" cm="1">
        <f t="array" aca="1" ref="O7"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7"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7" s="9" t="str" cm="1">
        <f t="array" aca="1" ref="Q7" ca="1">IF(
    errorMessagesTable[[#This Row],[filteredIndex]] = "",
    "",
    IF(
      errorMessagesTable[[#This Row],[index]] = 1,
      "",
      INDEX(errorMessagesTable[concatErrors], errorMessagesTable[[#This Row],[index]]-1)
      &amp; CHAR(10) &amp; CHAR(10)
    )
    &amp; INDEX(errorMessagesTable[langSpecError], errorMessagesTable[[#This Row],[index]])
  )</f>
        <v/>
      </c>
      <c r="S7" s="1" cm="1">
        <f t="array" ref="S7">ROW()-ROW(manualEntryVariablesTable[#Headers])</f>
        <v>5</v>
      </c>
      <c r="T7" s="1" t="s">
        <v>30</v>
      </c>
      <c r="U7" s="9">
        <v>1000</v>
      </c>
      <c r="W7" s="177" cm="1">
        <f t="array" ref="W7">ROW()-ROW(structuredFormulaeTable[#Headers])</f>
        <v>5</v>
      </c>
      <c r="X7" s="1" t="s">
        <v>418</v>
      </c>
      <c r="Y7" s="1" t="s">
        <v>442</v>
      </c>
      <c r="AA7" s="178" t="s">
        <v>443</v>
      </c>
      <c r="AB7" s="178" t="s">
        <v>469</v>
      </c>
      <c r="AD7" s="12" cm="1">
        <f t="array" ref="AD7">ROW()-ROW(languageTable[#Headers])</f>
        <v>5</v>
      </c>
      <c r="AE7" s="12" t="str" cm="1">
        <f t="array" ref="AE7">INDEX(languageHeadersList, languageTable[[#This Row],[index]]) &amp; ""</f>
        <v/>
      </c>
      <c r="AF7" s="12" t="b">
        <f>languageTable[[#This Row],[languageHeaders]] &lt;&gt; ""</f>
        <v>0</v>
      </c>
      <c r="AG7" s="12" t="str" cm="1">
        <f t="array" ref="AG7">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
      </c>
      <c r="AH7" s="12" t="str" cm="1">
        <f t="array" ref="AH7">IFERROR(
    INDEX(languageTable[languageHeaders], languageTable[[#This Row],[filteredIndex]]),
    ""
  )</f>
        <v/>
      </c>
      <c r="AN7" s="1" cm="1">
        <f t="array" ref="AN7">ROW()-ROW(RANASBlocksTable[#Headers])</f>
        <v>5</v>
      </c>
      <c r="AO7" s="1" t="s">
        <v>137</v>
      </c>
      <c r="AP7" s="1" t="str">
        <f>INDEX(chartTranslationTable[lang1], MATCH(RANASBlocksTable[[#This Row],[tag]], chartTranslationTable[tag], 0))
 &amp; " / "
 &amp; INDEX(chartTranslationTable[lang2], MATCH(RANASBlocksTable[[#This Row],[tag]], chartTranslationTable[tag], 0))</f>
        <v>Self-regulation / Autorégulation</v>
      </c>
      <c r="AQ7" s="1" t="str">
        <f>INDEX(chartTranslationTable[displayedText], MATCH(RANASBlocksTable[[#This Row],[tag]], chartTranslationTable[tag], 0))</f>
        <v>Self-regulation</v>
      </c>
      <c r="AY7" s="1" cm="1">
        <f t="array" ref="AY7">ROW()-ROW(behaviourTable[#Headers])</f>
        <v>5</v>
      </c>
      <c r="AZ7" s="1" t="str">
        <f>IFERROR(
    INDEX(
      behaviourConfigTable[behaviourHeader],
      MATCH(behaviourTable[[#This Row],[index]], behaviourConfigTable[index], 0)
    ),#REF!
  ) &amp; ""</f>
        <v/>
      </c>
      <c r="BA7" s="1" t="str">
        <f>IF(
    behaviourTable[[#This Row],[behaviourHeader]] = "",
    "",
    IFERROR(
      INDEX(
        yesNoTable[tag],
        MATCH(
          IFERROR(
            INDEX(
              behaviourConfigTable[includeConfig],
              MATCH(behaviourTable[[#This Row],[index]], behaviourConfigTable[index], 0)
            ),#REF!
          ),
          yesNoTable[label],
          0
        )
      ),
      ""
    )
  )</f>
        <v/>
      </c>
      <c r="BB7" s="1" t="b">
        <f>IF(
    behaviourTable[[#This Row],[behaviourHeader]] = "",
    FALSE,
    IF(
      behaviourTable[[#This Row],[includeConfig]] = "yes",
      TRUE,
      IF(
        behaviourTable[[#This Row],[includeConfig]] = "no",
        FALSE,
        NA()
      )
    )
  )</f>
        <v>0</v>
      </c>
      <c r="BC7" s="1" t="str">
        <f>IF(
    behaviourTable[[#This Row],[behaviourHeader]] = "",
    "",
    _xlfn.IFNA(
      MATCH(behaviourTable[[#This Row],[behaviourHeader]], dataHeaders, 0),
      _xlfn.IFNA(
        MATCH("*/" &amp; behaviourTable[[#This Row],[behaviourHeader]], dataHeaders, 0),
        MATCH("*-" &amp; behaviourTable[[#This Row],[behaviourHeader]], dataHeaders, 0)
      )
    )
  )</f>
        <v/>
      </c>
      <c r="BD7" s="1" t="str">
        <f>IF(
    behaviourTable[[#This Row],[behaviourHeader]] = "",
    "",
    IF(
      IFERROR(
        INDEX(
          behaviourConfigTable[minScore],
          MATCH(behaviourTable[[#This Row],[index]], behaviourConfigTable[index], 0)
        ),#REF!
      ) = "",
      NA(),
      IFERROR(
        INDEX(
          behaviourConfigTable[minScore],
          MATCH(behaviourTable[[#This Row],[index]], behaviourConfigTable[index], 0)
        ),#REF!
      )
    )
  )</f>
        <v/>
      </c>
      <c r="BE7" s="1" t="str">
        <f>IF(
    behaviourTable[[#This Row],[behaviourHeader]] = "",
    "",
    IF(
      IFERROR(
        INDEX(
          behaviourConfigTable[maxScore],
          MATCH(behaviourTable[[#This Row],[index]], behaviourConfigTable[index], 0)
        ),#REF!
      ) = "",
      NA(),
      IFERROR(
        INDEX(
          behaviourConfigTable[maxScore],
          MATCH(behaviourTable[[#This Row],[index]], behaviourConfigTable[index], 0)
        ),#REF!
      )
    )
  )</f>
        <v/>
      </c>
      <c r="BF7" s="1" t="str">
        <f>IF(
    behaviourTable[[#This Row],[behaviourHeader]] = "",
    "",
    IF(
      ISNA(INDEX(dataRange,1,1)),
      NA(),
      MIN(INDEX(dataRange, , behaviourTable[[#This Row],[behaviourColNum]]))
    )
  )</f>
        <v/>
      </c>
      <c r="BG7" s="1" t="str">
        <f>IF(
    behaviourTable[[#This Row],[behaviourHeader]] = "",
    "",
    IF(
      ISNA(INDEX(dataRange,1,1)),
      NA(),
      MAX(INDEX(dataRange, , behaviourTable[[#This Row],[behaviourColNum]]))
    )
  )</f>
        <v/>
      </c>
      <c r="BH7" s="1" t="b" cm="1">
        <f t="array" aca="1" ref="BH7" ca="1">AND(
    NOT(errorNoDataSheet),
    behaviourTable[[#This Row],[behaviourHeader]] &lt;&gt; "",
    NOT(ISERROR(behaviourTable[[#This Row],[behaviourColNum]])),
    IFERROR(behaviourTable[[#This Row],[include]], FALSE),
    IFERROR(behaviourTable[[#This Row],[minValue]] &lt; behaviourTable[[#This Row],[minScore]], FALSE)
  )</f>
        <v>0</v>
      </c>
      <c r="BI7" s="1" t="b" cm="1">
        <f t="array" aca="1" ref="BI7" ca="1">AND(
    NOT(errorNoDataSheet),
    behaviourTable[[#This Row],[behaviourHeader]] &lt;&gt; "",
    NOT(ISERROR(behaviourTable[[#This Row],[behaviourColNum]])),
    IFERROR(behaviourTable[[#This Row],[include]], FALSE),
    IFERROR(behaviourTable[[#This Row],[maxValue]] &gt; behaviourTable[[#This Row],[maxScore]], FALSE)
  )</f>
        <v>0</v>
      </c>
      <c r="BJ7" s="1" t="str" cm="1">
        <f t="array" ref="BJ7">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
      </c>
      <c r="BK7" s="1" t="str" cm="1">
        <f t="array" ref="BK7">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
      </c>
      <c r="BW7" s="181" cm="1">
        <f t="array" ref="BW7">ROW()-ROW(cutoffTable[#Headers])</f>
        <v>5</v>
      </c>
      <c r="BX7" s="182">
        <v>0.5</v>
      </c>
      <c r="BY7" s="1" t="s">
        <v>290</v>
      </c>
      <c r="BZ7" s="1" cm="1">
        <f t="array" ref="BZ7">SUMPRODUCT(
    (behaviourScore &lt;&gt; "")
  * (behaviourScore &gt;= IF(cutoffTable[[#This Row],[index]] = 1, 0, INDEX(cutoffTable[cutoffLevel], cutoffTable[[#This Row],[index]]-1)))
  * IF(
      cutoffTable[[#This Row],[cutoffLevel]] = 1,
      behaviourScore &lt;= 1,
      behaviourScore &lt; cutoffTable[[#This Row],[cutoffLevel]]
    )
  )</f>
        <v>0</v>
      </c>
      <c r="CA7" s="1" cm="1">
        <f t="array" ref="CA7">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7" s="1" cm="1">
        <f t="array" ref="CB7">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7" s="1" cm="1">
        <f t="array" ref="CD7">ROW()-ROW(recommendedCutoffTable[#Headers])</f>
        <v>5</v>
      </c>
      <c r="CE7" s="183">
        <f>(recommendedCutoffTable[[#This Row],[index]] - 1) / 100</f>
        <v>0.04</v>
      </c>
      <c r="CF7" s="1" cm="1">
        <f t="array" ref="CF7">ABS(
    numScores
  - 2 * SUMPRODUCT((behaviourScore &lt;&gt; "") * (behaviourScore &lt; recommendedCutoffTable[[#This Row],[cutoffLevel]]))
  )</f>
        <v>0</v>
      </c>
      <c r="CM7" s="1" cm="1">
        <f t="array" ref="CM7">ROW()-ROW(factorsTable[#Headers])</f>
        <v>5</v>
      </c>
      <c r="CN7" s="1" t="str">
        <f>IFERROR(
    INDEX(
      factorsConfigTable[factorHeader],
      MATCH(factorsTable[[#This Row],[index]], factorsConfigTable[index], 0)
    ),#REF!
  ) &amp; ""</f>
        <v/>
      </c>
      <c r="CO7" s="1" t="str">
        <f>IF(
    factorsTable[[#This Row],[factorHeader]] = "",
    "",
    _xlfn.IFNA(
      MATCH(factorsTable[[#This Row],[factorHeader]], dataHeaders, 0),
      _xlfn.IFNA(
        MATCH("*/" &amp; factorsTable[[#This Row],[factorHeader]], dataHeaders, 0),
        MATCH("*-" &amp; factorsTable[[#This Row],[factorHeader]], dataHeaders, 0)
      )
    )
  )</f>
        <v/>
      </c>
      <c r="CP7" s="1" t="str">
        <f>IF(
    factorsTable[[#This Row],[factorHeader]] = "",
    "",
    IF(
      IFERROR(
        INDEX(
          factorsConfigTable[minScore],
          MATCH(factorsTable[[#This Row],[index]], factorsConfigTable[index], 0)
        ),#REF!
      ) = "",
      NA(),
      IFERROR(
        INDEX(
          factorsConfigTable[minScore],
          MATCH(factorsTable[[#This Row],[index]], factorsConfigTable[index], 0)
        ),#REF!
      )
    )
  )</f>
        <v/>
      </c>
      <c r="CQ7" s="1" t="str">
        <f>IF(
    factorsTable[[#This Row],[factorHeader]] = "",
    "",
    IF(
      IFERROR(
        INDEX(
          factorsConfigTable[maxScore],
          MATCH(factorsTable[[#This Row],[index]], factorsConfigTable[index], 0)
        ),#REF!
      ) = "",
      NA(),
      IFERROR(
        INDEX(
          factorsConfigTable[maxScore],
          MATCH(factorsTable[[#This Row],[index]], factorsConfigTable[index], 0)
        ),#REF!
      )
    )
  )</f>
        <v/>
      </c>
      <c r="CR7" s="1" t="str">
        <f>IF(
    factorsTable[[#This Row],[factorHeader]] = "",
    "",
    IF(
      ISERROR(factorsTable[[#This Row],[factorColNum]]),
      NA(),
      IF(
        ISNA(INDEX(dataRange,1,1)),
        NA(),
        MIN(INDEX(dataRange, , factorsTable[[#This Row],[factorColNum]]))
      )
    )
  )</f>
        <v/>
      </c>
      <c r="CS7" s="1" t="str">
        <f>IF(
    factorsTable[[#This Row],[factorHeader]] = "",
    "",
    IF(
      ISERROR(factorsTable[[#This Row],[factorColNum]]),
      NA(),
      IF(
        ISNA(INDEX(dataRange,1,1)),
        NA(),
        MAX(INDEX(dataRange, , factorsTable[[#This Row],[factorColNum]]))
      )
    )
  )</f>
        <v/>
      </c>
      <c r="CT7" s="1" t="b" cm="1">
        <f t="array" aca="1" ref="CT7" ca="1">AND(
    NOT(errorNoDataSheet),
    factorsTable[[#This Row],[factorHeader]] &lt;&gt; "",
    NOT(ISERROR(factorsTable[[#This Row],[factorColNum]])),
    IFERROR(factorsTable[[#This Row],[display]], FALSE),
    IFERROR(factorsTable[[#This Row],[minValue]] &lt; factorsTable[[#This Row],[minScore]], FALSE)
  )</f>
        <v>0</v>
      </c>
      <c r="CU7" s="1" t="b" cm="1">
        <f t="array" aca="1" ref="CU7" ca="1">AND(
    NOT(errorNoDataSheet),
    factorsTable[[#This Row],[factorHeader]] &lt;&gt; "",
    NOT(ISERROR(factorsTable[[#This Row],[factorColNum]])),
    IFERROR(factorsTable[[#This Row],[display]], FALSE),
    IFERROR(factorsTable[[#This Row],[maxValue]] &gt; factorsTable[[#This Row],[maxScore]], FALSE)
  )</f>
        <v>0</v>
      </c>
      <c r="CV7" s="1" t="str" cm="1">
        <f t="array" ref="CV7">IF(
    factorsTable[[#This Row],[factorHeader]] = "",
    "",
    IF(
      ISNA(INDEX(dataRange,1,1)),
      NA(),
      SUMPRODUCT(
          IF(isDoer = "", 0, NOT(isDoer))
        * (INDEX(dataRange, , factorsTable[[#This Row],[factorColNum]]) &lt;&gt; "")
      )
    )
  )</f>
        <v/>
      </c>
      <c r="CW7" s="1" t="str" cm="1">
        <f t="array" ref="CW7">IF(
    factorsTable[[#This Row],[factorHeader]] = "",
    "",
    IF(
      ISNA(INDEX(dataRange,1,1)),
      NA(),
      SUMPRODUCT(
          IF(isDoer = "", 0, isDoer)
        * (INDEX(dataRange, , factorsTable[[#This Row],[factorColNum]]) &lt;&gt; "")
      )
    )
  )</f>
        <v/>
      </c>
      <c r="CX7"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7" s="1" t="str" cm="1">
        <f t="array" ref="CY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7" s="1" t="str" cm="1">
        <f t="array" ref="CZ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7" s="1" t="str">
        <f>IF(
    factorsTable[[#This Row],[factorHeader]] = "",
    "",
    factorsTable[[#This Row],[doers]] - factorsTable[[#This Row],[nondoers]]
  )</f>
        <v/>
      </c>
      <c r="DB7" s="1" t="str">
        <f>IF(
    factorsTable[[#This Row],[factorHeader]] = "",
    "",
    IFERROR(
      INDEX(
        yesNoTable[tag],
        MATCH(
          IFERROR(
            INDEX(
              factorsConfigTable[displayConfig],
              MATCH(factorsTable[[#This Row],[index]], factorsConfigTable[index], 0)
            ),#REF!
          ),
          yesNoTable[label],
          0
        )
      ),
      ""
    )
  )</f>
        <v/>
      </c>
      <c r="DC7" s="177" t="b">
        <f>IF(
    factorsTable[[#This Row],[factorHeader]] = "",
    FALSE,
    IF(
      factorsTable[[#This Row],[displayConfig]] = "yes",
      TRUE,
      IF(
        factorsTable[[#This Row],[displayConfig]] = "no",
        FALSE,
        NA()
      )
    )
  )</f>
        <v>0</v>
      </c>
      <c r="DD7" s="177" t="str" cm="1">
        <f t="array" ref="DD7">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7" s="177" t="str">
        <f>IF(
    factorsTable[[#This Row],[filteredIndex]] = "",
    "",
    _xlfn.IFNA(
      INDEX(
        factorsTable[difference],
        MATCH(factorsTable[[#This Row],[filteredIndex]], factorsTable[index], 0)
      ),
      -99
    )
  )</f>
        <v/>
      </c>
      <c r="DF7" s="177" t="str">
        <f>IF(
    factorsTable[[#This Row],[filteredIndex]] = "",
    "",
    IF(
      factorsTable[[#This Row],[relDiff]] = -99,
      -99,
      ABS(factorsTable[[#This Row],[relDiff]])
    )
  )</f>
        <v/>
      </c>
      <c r="DG7" s="177" t="str">
        <f>IF(
    factorsTable[[#This Row],[filteredIndex]] = "",
    "",
    IFERROR(
      INDEX(
        RANASBlocksTable[index],
        MATCH(
          IFERROR(
            INDEX(
              factorsConfigTable[RANASBlock],
              MATCH(factorsTable[[#This Row],[filteredIndex]], factorsConfigTable[index], 0)
            ),#REF!
          ),
          RANASBlocksTable[label],
          0
        )
      ),
      6
    )
  )</f>
        <v/>
      </c>
      <c r="DH7" s="177" t="str">
        <f>IF(
    factorsTable[[#This Row],[filteredIndex]] = "",
    "",
    _xlfn.RANK.EQ(factorsTable[[#This Row],[relDiff]], factorsTable[relDiff], 0)
  )</f>
        <v/>
      </c>
      <c r="DI7" s="177" t="str">
        <f>IF(
    factorsTable[[#This Row],[filteredIndex]] = "",
    "",
    _xlfn.RANK.EQ(factorsTable[[#This Row],[absDiff]], factorsTable[absDiff], 0)
  )</f>
        <v/>
      </c>
      <c r="DJ7" s="177" t="str">
        <f>IF(
    factorsTable[[#This Row],[filteredIndex]] = "",
    "",
    _xlfn.RANK.EQ(factorsTable[[#This Row],[RANASIndex]], factorsTable[RANASIndex], 1)
  )</f>
        <v/>
      </c>
      <c r="DK7" s="177" t="str" cm="1">
        <f t="array" ref="DK7">IF(sortingMethodTag = "none", factorsTable[[#This Row],[filteredIndex]],
  IF(sortingMethodTag = "relDiff", factorsTable[[#This Row],[relDiffRank]],
  IF(sortingMethodTag = "absDiff", factorsTable[[#This Row],[absDiffRank]],
  IF(sortingMethodTag = "RANAS", factorsTable[[#This Row],[RANASRank]],
  factorsTable[[#This Row],[filteredIndex]]))))</f>
        <v/>
      </c>
      <c r="DL7" s="177" t="str">
        <f>IF(
    factorsTable[[#This Row],[filteredIndex]] = "",
    "",
    factorsTable[[#This Row],[selectedRank]]
      + COUNTIF(INDEX(factorsTable[selectedRank], 1):INDEX(factorsTable[selectedRank], factorsTable[[#This Row],[index]]), factorsTable[[#This Row],[selectedRank]])
      - 1
  )</f>
        <v/>
      </c>
      <c r="DM7" s="177" t="str">
        <f>IF(
    factorsTable[[#This Row],[filteredIndex]] = "",
    "",
    IFERROR(
      INDEX(
        factorsTable[filteredIndex],
        MATCH(factorsTable[[#This Row],[index]], factorsTable[uniqueRank], 0)
      ),#REF!
    )
  )</f>
        <v/>
      </c>
      <c r="DN7" s="177" t="str">
        <f>IF(
    factorsTable[[#This Row],[sortedIndex]] = "",
    "",
    INDEX(
      INDEX(
        factorsConfigTable[],
        0,
        MATCH(
          chartLanguage,
          languageHeadersList,
          0
        )
        + MATCH(factorsConfigTable[[#Headers],[lang1]], factorsConfigTable[#Headers], 0)
        - 1
      ),
      MATCH(factorsTable[[#This Row],[sortedIndex]], factorsConfigTable[index], 0)
    ) &amp; ""
  )</f>
        <v/>
      </c>
      <c r="DO7"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7" s="177" t="str">
        <f>IF(
    factorsTable[[#This Row],[sortedIndex]] = "",
    "",
    IFERROR(
      INDEX(
        RANASBlocksTable[tag],
        MATCH(
          IFERROR(
            INDEX(
              factorsConfigTable[RANASBlock],
              MATCH(factorsTable[[#This Row],[sortedIndex]], factorsConfigTable[index], 0)
            ),#REF!
          ),
          RANASBlocksTable[label],
          0
        )
      ),
      NA()
    )
  )</f>
        <v/>
      </c>
      <c r="DQ7"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7"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7" s="177" t="str">
        <f>IF(
    factorsTable[[#This Row],[sortedIndex]] = "",
    "",
    INDEX(factorsTable[numTotal], MATCH(factorsTable[[#This Row],[sortedIndex]], factorsTable[index], 0))
  )</f>
        <v/>
      </c>
      <c r="DT7" s="177" t="str">
        <f>IF(
    factorsTable[[#This Row],[sortedIndex]] = "",
    "",
    INDEX(factorsTable[nondoers], MATCH(factorsTable[[#This Row],[sortedIndex]], factorsTable[index], 0))
  )</f>
        <v/>
      </c>
      <c r="DU7" s="177" t="str">
        <f>IF(
    factorsTable[[#This Row],[sortedIndex]] = "",
    "",
    INDEX(factorsTable[doers], MATCH(factorsTable[[#This Row],[sortedIndex]], factorsTable[index], 0))
  )</f>
        <v/>
      </c>
      <c r="DV7" s="177" t="str">
        <f>IF(
    factorsTable[[#This Row],[sortedIndex]] = "",
    "",
    INDEX(factorsTable[difference], MATCH(factorsTable[[#This Row],[sortedIndex]], factorsTable[index], 0))
  )</f>
        <v/>
      </c>
    </row>
    <row r="8" spans="5:126" ht="14.4" customHeight="1" x14ac:dyDescent="0.3">
      <c r="E8" s="9" cm="1">
        <f t="array" ref="E8">ROW()-ROW(UITranslationTable[#Headers])</f>
        <v>6</v>
      </c>
      <c r="F8" s="9" t="s">
        <v>308</v>
      </c>
      <c r="G8" s="176" t="s">
        <v>34</v>
      </c>
      <c r="H8" s="176" t="s">
        <v>62</v>
      </c>
      <c r="J8" s="1" cm="1">
        <f t="array" ref="J8">ROW()-ROW(errorMessagesTable[#Headers])</f>
        <v>6</v>
      </c>
      <c r="K8" s="1" t="s">
        <v>427</v>
      </c>
      <c r="L8" s="178" t="b" cm="1">
        <f t="array" aca="1" ref="L8" ca="1">errorBehaviourInclude</f>
        <v>0</v>
      </c>
      <c r="M8" s="176" t="s">
        <v>249</v>
      </c>
      <c r="N8" s="176" t="s">
        <v>253</v>
      </c>
      <c r="O8" s="1" t="str" cm="1">
        <f t="array" aca="1" ref="O8"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8"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8" s="9" t="str" cm="1">
        <f t="array" aca="1" ref="Q8" ca="1">IF(
    errorMessagesTable[[#This Row],[filteredIndex]] = "",
    "",
    IF(
      errorMessagesTable[[#This Row],[index]] = 1,
      "",
      INDEX(errorMessagesTable[concatErrors], errorMessagesTable[[#This Row],[index]]-1)
      &amp; CHAR(10) &amp; CHAR(10)
    )
    &amp; INDEX(errorMessagesTable[langSpecError], errorMessagesTable[[#This Row],[index]])
  )</f>
        <v/>
      </c>
      <c r="S8" s="1" cm="1">
        <f t="array" ref="S8">ROW()-ROW(manualEntryVariablesTable[#Headers])</f>
        <v>6</v>
      </c>
      <c r="T8" s="1" t="s">
        <v>31</v>
      </c>
      <c r="U8" s="9">
        <v>1000</v>
      </c>
      <c r="W8" s="177" cm="1">
        <f t="array" ref="W8">ROW()-ROW(structuredFormulaeTable[#Headers])</f>
        <v>6</v>
      </c>
      <c r="X8" s="1" t="s">
        <v>418</v>
      </c>
      <c r="Y8" s="1" t="s">
        <v>417</v>
      </c>
      <c r="AA8" s="178" t="s">
        <v>416</v>
      </c>
      <c r="AB8" s="178" t="s">
        <v>448</v>
      </c>
      <c r="BW8" s="181" cm="1">
        <f t="array" ref="BW8">ROW()-ROW(cutoffTable[#Headers])</f>
        <v>6</v>
      </c>
      <c r="BX8" s="182">
        <v>0.6</v>
      </c>
      <c r="BY8" s="1" t="s">
        <v>291</v>
      </c>
      <c r="BZ8" s="177" cm="1">
        <f t="array" ref="BZ8">SUMPRODUCT(
    (behaviourScore &lt;&gt; "")
  * (behaviourScore &gt;= IF(cutoffTable[[#This Row],[index]] = 1, 0, INDEX(cutoffTable[cutoffLevel], cutoffTable[[#This Row],[index]]-1)))
  * IF(
      cutoffTable[[#This Row],[cutoffLevel]] = 1,
      behaviourScore &lt;= 1,
      behaviourScore &lt; cutoffTable[[#This Row],[cutoffLevel]]
    )
  )</f>
        <v>0</v>
      </c>
      <c r="CA8" s="177" cm="1">
        <f t="array" ref="CA8">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8" s="177" cm="1">
        <f t="array" ref="CB8">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8" s="1" cm="1">
        <f t="array" ref="CD8">ROW()-ROW(recommendedCutoffTable[#Headers])</f>
        <v>6</v>
      </c>
      <c r="CE8" s="183">
        <f>(recommendedCutoffTable[[#This Row],[index]] - 1) / 100</f>
        <v>0.05</v>
      </c>
      <c r="CF8" s="1" cm="1">
        <f t="array" ref="CF8">ABS(
    numScores
  - 2 * SUMPRODUCT((behaviourScore &lt;&gt; "") * (behaviourScore &lt; recommendedCutoffTable[[#This Row],[cutoffLevel]]))
  )</f>
        <v>0</v>
      </c>
      <c r="CM8" s="1" cm="1">
        <f t="array" ref="CM8">ROW()-ROW(factorsTable[#Headers])</f>
        <v>6</v>
      </c>
      <c r="CN8" s="1" t="str">
        <f>IFERROR(
    INDEX(
      factorsConfigTable[factorHeader],
      MATCH(factorsTable[[#This Row],[index]], factorsConfigTable[index], 0)
    ),#REF!
  ) &amp; ""</f>
        <v/>
      </c>
      <c r="CO8" s="1" t="str">
        <f>IF(
    factorsTable[[#This Row],[factorHeader]] = "",
    "",
    _xlfn.IFNA(
      MATCH(factorsTable[[#This Row],[factorHeader]], dataHeaders, 0),
      _xlfn.IFNA(
        MATCH("*/" &amp; factorsTable[[#This Row],[factorHeader]], dataHeaders, 0),
        MATCH("*-" &amp; factorsTable[[#This Row],[factorHeader]], dataHeaders, 0)
      )
    )
  )</f>
        <v/>
      </c>
      <c r="CP8" s="1" t="str">
        <f>IF(
    factorsTable[[#This Row],[factorHeader]] = "",
    "",
    IF(
      IFERROR(
        INDEX(
          factorsConfigTable[minScore],
          MATCH(factorsTable[[#This Row],[index]], factorsConfigTable[index], 0)
        ),#REF!
      ) = "",
      NA(),
      IFERROR(
        INDEX(
          factorsConfigTable[minScore],
          MATCH(factorsTable[[#This Row],[index]], factorsConfigTable[index], 0)
        ),#REF!
      )
    )
  )</f>
        <v/>
      </c>
      <c r="CQ8" s="1" t="str">
        <f>IF(
    factorsTable[[#This Row],[factorHeader]] = "",
    "",
    IF(
      IFERROR(
        INDEX(
          factorsConfigTable[maxScore],
          MATCH(factorsTable[[#This Row],[index]], factorsConfigTable[index], 0)
        ),#REF!
      ) = "",
      NA(),
      IFERROR(
        INDEX(
          factorsConfigTable[maxScore],
          MATCH(factorsTable[[#This Row],[index]], factorsConfigTable[index], 0)
        ),#REF!
      )
    )
  )</f>
        <v/>
      </c>
      <c r="CR8" s="1" t="str">
        <f>IF(
    factorsTable[[#This Row],[factorHeader]] = "",
    "",
    IF(
      ISERROR(factorsTable[[#This Row],[factorColNum]]),
      NA(),
      IF(
        ISNA(INDEX(dataRange,1,1)),
        NA(),
        MIN(INDEX(dataRange, , factorsTable[[#This Row],[factorColNum]]))
      )
    )
  )</f>
        <v/>
      </c>
      <c r="CS8" s="1" t="str">
        <f>IF(
    factorsTable[[#This Row],[factorHeader]] = "",
    "",
    IF(
      ISERROR(factorsTable[[#This Row],[factorColNum]]),
      NA(),
      IF(
        ISNA(INDEX(dataRange,1,1)),
        NA(),
        MAX(INDEX(dataRange, , factorsTable[[#This Row],[factorColNum]]))
      )
    )
  )</f>
        <v/>
      </c>
      <c r="CT8" s="1" t="b" cm="1">
        <f t="array" aca="1" ref="CT8" ca="1">AND(
    NOT(errorNoDataSheet),
    factorsTable[[#This Row],[factorHeader]] &lt;&gt; "",
    NOT(ISERROR(factorsTable[[#This Row],[factorColNum]])),
    IFERROR(factorsTable[[#This Row],[display]], FALSE),
    IFERROR(factorsTable[[#This Row],[minValue]] &lt; factorsTable[[#This Row],[minScore]], FALSE)
  )</f>
        <v>0</v>
      </c>
      <c r="CU8" s="1" t="b" cm="1">
        <f t="array" aca="1" ref="CU8" ca="1">AND(
    NOT(errorNoDataSheet),
    factorsTable[[#This Row],[factorHeader]] &lt;&gt; "",
    NOT(ISERROR(factorsTable[[#This Row],[factorColNum]])),
    IFERROR(factorsTable[[#This Row],[display]], FALSE),
    IFERROR(factorsTable[[#This Row],[maxValue]] &gt; factorsTable[[#This Row],[maxScore]], FALSE)
  )</f>
        <v>0</v>
      </c>
      <c r="CV8" s="1" t="str" cm="1">
        <f t="array" ref="CV8">IF(
    factorsTable[[#This Row],[factorHeader]] = "",
    "",
    IF(
      ISNA(INDEX(dataRange,1,1)),
      NA(),
      SUMPRODUCT(
          IF(isDoer = "", 0, NOT(isDoer))
        * (INDEX(dataRange, , factorsTable[[#This Row],[factorColNum]]) &lt;&gt; "")
      )
    )
  )</f>
        <v/>
      </c>
      <c r="CW8" s="1" t="str" cm="1">
        <f t="array" ref="CW8">IF(
    factorsTable[[#This Row],[factorHeader]] = "",
    "",
    IF(
      ISNA(INDEX(dataRange,1,1)),
      NA(),
      SUMPRODUCT(
          IF(isDoer = "", 0, isDoer)
        * (INDEX(dataRange, , factorsTable[[#This Row],[factorColNum]]) &lt;&gt; "")
      )
    )
  )</f>
        <v/>
      </c>
      <c r="CX8"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8" s="1" t="str" cm="1">
        <f t="array" ref="CY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8" s="1" t="str" cm="1">
        <f t="array" ref="CZ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8" s="1" t="str">
        <f>IF(
    factorsTable[[#This Row],[factorHeader]] = "",
    "",
    factorsTable[[#This Row],[doers]] - factorsTable[[#This Row],[nondoers]]
  )</f>
        <v/>
      </c>
      <c r="DB8" s="1" t="str">
        <f>IF(
    factorsTable[[#This Row],[factorHeader]] = "",
    "",
    IFERROR(
      INDEX(
        yesNoTable[tag],
        MATCH(
          IFERROR(
            INDEX(
              factorsConfigTable[displayConfig],
              MATCH(factorsTable[[#This Row],[index]], factorsConfigTable[index], 0)
            ),#REF!
          ),
          yesNoTable[label],
          0
        )
      ),
      ""
    )
  )</f>
        <v/>
      </c>
      <c r="DC8" s="177" t="b">
        <f>IF(
    factorsTable[[#This Row],[factorHeader]] = "",
    FALSE,
    IF(
      factorsTable[[#This Row],[displayConfig]] = "yes",
      TRUE,
      IF(
        factorsTable[[#This Row],[displayConfig]] = "no",
        FALSE,
        NA()
      )
    )
  )</f>
        <v>0</v>
      </c>
      <c r="DD8" s="177" t="str" cm="1">
        <f t="array" ref="DD8">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8" s="177" t="str">
        <f>IF(
    factorsTable[[#This Row],[filteredIndex]] = "",
    "",
    _xlfn.IFNA(
      INDEX(
        factorsTable[difference],
        MATCH(factorsTable[[#This Row],[filteredIndex]], factorsTable[index], 0)
      ),
      -99
    )
  )</f>
        <v/>
      </c>
      <c r="DF8" s="177" t="str">
        <f>IF(
    factorsTable[[#This Row],[filteredIndex]] = "",
    "",
    IF(
      factorsTable[[#This Row],[relDiff]] = -99,
      -99,
      ABS(factorsTable[[#This Row],[relDiff]])
    )
  )</f>
        <v/>
      </c>
      <c r="DG8" s="177" t="str">
        <f>IF(
    factorsTable[[#This Row],[filteredIndex]] = "",
    "",
    IFERROR(
      INDEX(
        RANASBlocksTable[index],
        MATCH(
          IFERROR(
            INDEX(
              factorsConfigTable[RANASBlock],
              MATCH(factorsTable[[#This Row],[filteredIndex]], factorsConfigTable[index], 0)
            ),#REF!
          ),
          RANASBlocksTable[label],
          0
        )
      ),
      6
    )
  )</f>
        <v/>
      </c>
      <c r="DH8" s="177" t="str">
        <f>IF(
    factorsTable[[#This Row],[filteredIndex]] = "",
    "",
    _xlfn.RANK.EQ(factorsTable[[#This Row],[relDiff]], factorsTable[relDiff], 0)
  )</f>
        <v/>
      </c>
      <c r="DI8" s="177" t="str">
        <f>IF(
    factorsTable[[#This Row],[filteredIndex]] = "",
    "",
    _xlfn.RANK.EQ(factorsTable[[#This Row],[absDiff]], factorsTable[absDiff], 0)
  )</f>
        <v/>
      </c>
      <c r="DJ8" s="177" t="str">
        <f>IF(
    factorsTable[[#This Row],[filteredIndex]] = "",
    "",
    _xlfn.RANK.EQ(factorsTable[[#This Row],[RANASIndex]], factorsTable[RANASIndex], 1)
  )</f>
        <v/>
      </c>
      <c r="DK8" s="177" t="str" cm="1">
        <f t="array" ref="DK8">IF(sortingMethodTag = "none", factorsTable[[#This Row],[filteredIndex]],
  IF(sortingMethodTag = "relDiff", factorsTable[[#This Row],[relDiffRank]],
  IF(sortingMethodTag = "absDiff", factorsTable[[#This Row],[absDiffRank]],
  IF(sortingMethodTag = "RANAS", factorsTable[[#This Row],[RANASRank]],
  factorsTable[[#This Row],[filteredIndex]]))))</f>
        <v/>
      </c>
      <c r="DL8" s="177" t="str">
        <f>IF(
    factorsTable[[#This Row],[filteredIndex]] = "",
    "",
    factorsTable[[#This Row],[selectedRank]]
      + COUNTIF(INDEX(factorsTable[selectedRank], 1):INDEX(factorsTable[selectedRank], factorsTable[[#This Row],[index]]), factorsTable[[#This Row],[selectedRank]])
      - 1
  )</f>
        <v/>
      </c>
      <c r="DM8" s="177" t="str">
        <f>IF(
    factorsTable[[#This Row],[filteredIndex]] = "",
    "",
    IFERROR(
      INDEX(
        factorsTable[filteredIndex],
        MATCH(factorsTable[[#This Row],[index]], factorsTable[uniqueRank], 0)
      ),#REF!
    )
  )</f>
        <v/>
      </c>
      <c r="DN8" s="177" t="str">
        <f>IF(
    factorsTable[[#This Row],[sortedIndex]] = "",
    "",
    INDEX(
      INDEX(
        factorsConfigTable[],
        0,
        MATCH(
          chartLanguage,
          languageHeadersList,
          0
        )
        + MATCH(factorsConfigTable[[#Headers],[lang1]], factorsConfigTable[#Headers], 0)
        - 1
      ),
      MATCH(factorsTable[[#This Row],[sortedIndex]], factorsConfigTable[index], 0)
    ) &amp; ""
  )</f>
        <v/>
      </c>
      <c r="DO8"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8" s="177" t="str">
        <f>IF(
    factorsTable[[#This Row],[sortedIndex]] = "",
    "",
    IFERROR(
      INDEX(
        RANASBlocksTable[tag],
        MATCH(
          IFERROR(
            INDEX(
              factorsConfigTable[RANASBlock],
              MATCH(factorsTable[[#This Row],[sortedIndex]], factorsConfigTable[index], 0)
            ),#REF!
          ),
          RANASBlocksTable[label],
          0
        )
      ),
      NA()
    )
  )</f>
        <v/>
      </c>
      <c r="DQ8"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8"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8" s="177" t="str">
        <f>IF(
    factorsTable[[#This Row],[sortedIndex]] = "",
    "",
    INDEX(factorsTable[numTotal], MATCH(factorsTable[[#This Row],[sortedIndex]], factorsTable[index], 0))
  )</f>
        <v/>
      </c>
      <c r="DT8" s="177" t="str">
        <f>IF(
    factorsTable[[#This Row],[sortedIndex]] = "",
    "",
    INDEX(factorsTable[nondoers], MATCH(factorsTable[[#This Row],[sortedIndex]], factorsTable[index], 0))
  )</f>
        <v/>
      </c>
      <c r="DU8" s="177" t="str">
        <f>IF(
    factorsTable[[#This Row],[sortedIndex]] = "",
    "",
    INDEX(factorsTable[doers], MATCH(factorsTable[[#This Row],[sortedIndex]], factorsTable[index], 0))
  )</f>
        <v/>
      </c>
      <c r="DV8" s="177" t="str">
        <f>IF(
    factorsTable[[#This Row],[sortedIndex]] = "",
    "",
    INDEX(factorsTable[difference], MATCH(factorsTable[[#This Row],[sortedIndex]], factorsTable[index], 0))
  )</f>
        <v/>
      </c>
    </row>
    <row r="9" spans="5:126" ht="14.4" customHeight="1" x14ac:dyDescent="0.3">
      <c r="E9" s="9" cm="1">
        <f t="array" ref="E9">ROW()-ROW(UITranslationTable[#Headers])</f>
        <v>7</v>
      </c>
      <c r="F9" s="9" t="s">
        <v>309</v>
      </c>
      <c r="G9" s="176" t="str" cm="1">
        <f t="array" aca="1" ref="G9" ca="1">"This menu defines which language (built-in or user-defined in the """ &amp; sheetNameConfiguration &amp; """ sheet) is used in the charts and data tables."</f>
        <v>This menu defines which language (built-in or user-defined in the "Configuration" sheet) is used in the charts and data tables.</v>
      </c>
      <c r="H9" s="176" t="str" cm="1">
        <f t="array" aca="1" ref="H9" ca="1">"Ce menu désigne quelle langue (prédéfinie ou définie par l'utilisateur sur la feuille «" &amp; sheetNameConfiguration &amp; "») est utilisée dans les graphiques et les tableaux de données."</f>
        <v>Ce menu désigne quelle langue (prédéfinie ou définie par l'utilisateur sur la feuille «Configuration») est utilisée dans les graphiques et les tableaux de données.</v>
      </c>
      <c r="J9" s="1" cm="1">
        <f t="array" ref="J9">ROW()-ROW(errorMessagesTable[#Headers])</f>
        <v>7</v>
      </c>
      <c r="K9" s="1" t="s">
        <v>428</v>
      </c>
      <c r="L9" s="1" t="b" cm="1">
        <f t="array" aca="1" ref="L9" ca="1">errorBehaviourNoneSelected</f>
        <v>0</v>
      </c>
      <c r="M9" s="176" t="str" cm="1">
        <f t="array" ref="M9">"None of the valid data headers in the ""Behaviour"" table is selected, so the behaviour score cannot be calculated. Please use the drop-down menus in the ""Include?"" column (red cells) to add a tick mark (" &amp; yesLabel &amp; ") to at least one of the valid data headers."</f>
        <v>None of the valid data headers in the "Behaviour" table is selected, so the behaviour score cannot be calculated. Please use the drop-down menus in the "Include?" column (red cells) to add a tick mark (✔) to at least one of the valid data headers.</v>
      </c>
      <c r="N9" s="176" t="str" cm="1">
        <f t="array" ref="N9">"Aucun des en-têtes de données valables du tableau «Comportement» n'est sélectionné et le score de comportement ne peut donc pas être calculé. Veuillez utiliser le menu déroulant dans la colonne «Inclure?» (cellules rouges) pour ajouter une coche (" &amp; yesLabel &amp; ") à au moins l'un des en-têtes valables."</f>
        <v>Aucun des en-têtes de données valables du tableau «Comportement» n'est sélectionné et le score de comportement ne peut donc pas être calculé. Veuillez utiliser le menu déroulant dans la colonne «Inclure?» (cellules rouges) pour ajouter une coche (✔) à au moins l'un des en-têtes valables.</v>
      </c>
      <c r="O9" s="1" t="str" cm="1">
        <f t="array" aca="1" ref="O9"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9"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9" s="9" t="str" cm="1">
        <f t="array" aca="1" ref="Q9" ca="1">IF(
    errorMessagesTable[[#This Row],[filteredIndex]] = "",
    "",
    IF(
      errorMessagesTable[[#This Row],[index]] = 1,
      "",
      INDEX(errorMessagesTable[concatErrors], errorMessagesTable[[#This Row],[index]]-1)
      &amp; CHAR(10) &amp; CHAR(10)
    )
    &amp; INDEX(errorMessagesTable[langSpecError], errorMessagesTable[[#This Row],[index]])
  )</f>
        <v/>
      </c>
      <c r="S9" s="1" cm="1">
        <f t="array" ref="S9">ROW()-ROW(manualEntryVariablesTable[#Headers])</f>
        <v>7</v>
      </c>
      <c r="T9" s="1" t="s">
        <v>168</v>
      </c>
      <c r="U9" s="176">
        <v>9</v>
      </c>
      <c r="W9" s="177" cm="1">
        <f t="array" ref="W9">ROW()-ROW(structuredFormulaeTable[#Headers])</f>
        <v>7</v>
      </c>
      <c r="X9" s="1" t="s">
        <v>418</v>
      </c>
      <c r="Y9" s="1" t="s">
        <v>632</v>
      </c>
      <c r="AA9" s="178" t="s">
        <v>633</v>
      </c>
      <c r="AB9" s="178" t="s">
        <v>634</v>
      </c>
      <c r="AE9" s="164" t="s">
        <v>450</v>
      </c>
      <c r="AG9" s="164" t="s">
        <v>444</v>
      </c>
      <c r="AP9" s="164" t="s">
        <v>456</v>
      </c>
      <c r="AQ9" s="164" t="s">
        <v>457</v>
      </c>
      <c r="AZ9" s="164" t="s">
        <v>449</v>
      </c>
      <c r="BA9" s="164" t="s">
        <v>451</v>
      </c>
      <c r="BD9" s="164" t="s">
        <v>495</v>
      </c>
      <c r="BE9" s="164" t="s">
        <v>496</v>
      </c>
      <c r="BF9" s="164" t="s">
        <v>679</v>
      </c>
      <c r="BG9" s="164" t="s">
        <v>680</v>
      </c>
      <c r="BJ9" s="164" t="s">
        <v>681</v>
      </c>
      <c r="BK9" s="164" t="s">
        <v>455</v>
      </c>
      <c r="BW9" s="181" cm="1">
        <f t="array" ref="BW9">ROW()-ROW(cutoffTable[#Headers])</f>
        <v>7</v>
      </c>
      <c r="BX9" s="182">
        <v>0.7</v>
      </c>
      <c r="BY9" s="1" t="s">
        <v>292</v>
      </c>
      <c r="BZ9" s="177" cm="1">
        <f t="array" ref="BZ9">SUMPRODUCT(
    (behaviourScore &lt;&gt; "")
  * (behaviourScore &gt;= IF(cutoffTable[[#This Row],[index]] = 1, 0, INDEX(cutoffTable[cutoffLevel], cutoffTable[[#This Row],[index]]-1)))
  * IF(
      cutoffTable[[#This Row],[cutoffLevel]] = 1,
      behaviourScore &lt;= 1,
      behaviourScore &lt; cutoffTable[[#This Row],[cutoffLevel]]
    )
  )</f>
        <v>0</v>
      </c>
      <c r="CA9" s="177" cm="1">
        <f t="array" ref="CA9">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9" s="177" cm="1">
        <f t="array" ref="CB9">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9" s="1" cm="1">
        <f t="array" ref="CD9">ROW()-ROW(recommendedCutoffTable[#Headers])</f>
        <v>7</v>
      </c>
      <c r="CE9" s="183">
        <f>(recommendedCutoffTable[[#This Row],[index]] - 1) / 100</f>
        <v>0.06</v>
      </c>
      <c r="CF9" s="1" cm="1">
        <f t="array" ref="CF9">ABS(
    numScores
  - 2 * SUMPRODUCT((behaviourScore &lt;&gt; "") * (behaviourScore &lt; recommendedCutoffTable[[#This Row],[cutoffLevel]]))
  )</f>
        <v>0</v>
      </c>
      <c r="CM9" s="1" cm="1">
        <f t="array" ref="CM9">ROW()-ROW(factorsTable[#Headers])</f>
        <v>7</v>
      </c>
      <c r="CN9" s="1" t="str">
        <f>IFERROR(
    INDEX(
      factorsConfigTable[factorHeader],
      MATCH(factorsTable[[#This Row],[index]], factorsConfigTable[index], 0)
    ),#REF!
  ) &amp; ""</f>
        <v/>
      </c>
      <c r="CO9" s="1" t="str">
        <f>IF(
    factorsTable[[#This Row],[factorHeader]] = "",
    "",
    _xlfn.IFNA(
      MATCH(factorsTable[[#This Row],[factorHeader]], dataHeaders, 0),
      _xlfn.IFNA(
        MATCH("*/" &amp; factorsTable[[#This Row],[factorHeader]], dataHeaders, 0),
        MATCH("*-" &amp; factorsTable[[#This Row],[factorHeader]], dataHeaders, 0)
      )
    )
  )</f>
        <v/>
      </c>
      <c r="CP9" s="1" t="str">
        <f>IF(
    factorsTable[[#This Row],[factorHeader]] = "",
    "",
    IF(
      IFERROR(
        INDEX(
          factorsConfigTable[minScore],
          MATCH(factorsTable[[#This Row],[index]], factorsConfigTable[index], 0)
        ),#REF!
      ) = "",
      NA(),
      IFERROR(
        INDEX(
          factorsConfigTable[minScore],
          MATCH(factorsTable[[#This Row],[index]], factorsConfigTable[index], 0)
        ),#REF!
      )
    )
  )</f>
        <v/>
      </c>
      <c r="CQ9" s="1" t="str">
        <f>IF(
    factorsTable[[#This Row],[factorHeader]] = "",
    "",
    IF(
      IFERROR(
        INDEX(
          factorsConfigTable[maxScore],
          MATCH(factorsTable[[#This Row],[index]], factorsConfigTable[index], 0)
        ),#REF!
      ) = "",
      NA(),
      IFERROR(
        INDEX(
          factorsConfigTable[maxScore],
          MATCH(factorsTable[[#This Row],[index]], factorsConfigTable[index], 0)
        ),#REF!
      )
    )
  )</f>
        <v/>
      </c>
      <c r="CR9" s="1" t="str">
        <f>IF(
    factorsTable[[#This Row],[factorHeader]] = "",
    "",
    IF(
      ISERROR(factorsTable[[#This Row],[factorColNum]]),
      NA(),
      IF(
        ISNA(INDEX(dataRange,1,1)),
        NA(),
        MIN(INDEX(dataRange, , factorsTable[[#This Row],[factorColNum]]))
      )
    )
  )</f>
        <v/>
      </c>
      <c r="CS9" s="1" t="str">
        <f>IF(
    factorsTable[[#This Row],[factorHeader]] = "",
    "",
    IF(
      ISERROR(factorsTable[[#This Row],[factorColNum]]),
      NA(),
      IF(
        ISNA(INDEX(dataRange,1,1)),
        NA(),
        MAX(INDEX(dataRange, , factorsTable[[#This Row],[factorColNum]]))
      )
    )
  )</f>
        <v/>
      </c>
      <c r="CT9" s="1" t="b" cm="1">
        <f t="array" aca="1" ref="CT9" ca="1">AND(
    NOT(errorNoDataSheet),
    factorsTable[[#This Row],[factorHeader]] &lt;&gt; "",
    NOT(ISERROR(factorsTable[[#This Row],[factorColNum]])),
    IFERROR(factorsTable[[#This Row],[display]], FALSE),
    IFERROR(factorsTable[[#This Row],[minValue]] &lt; factorsTable[[#This Row],[minScore]], FALSE)
  )</f>
        <v>0</v>
      </c>
      <c r="CU9" s="1" t="b" cm="1">
        <f t="array" aca="1" ref="CU9" ca="1">AND(
    NOT(errorNoDataSheet),
    factorsTable[[#This Row],[factorHeader]] &lt;&gt; "",
    NOT(ISERROR(factorsTable[[#This Row],[factorColNum]])),
    IFERROR(factorsTable[[#This Row],[display]], FALSE),
    IFERROR(factorsTable[[#This Row],[maxValue]] &gt; factorsTable[[#This Row],[maxScore]], FALSE)
  )</f>
        <v>0</v>
      </c>
      <c r="CV9" s="1" t="str" cm="1">
        <f t="array" ref="CV9">IF(
    factorsTable[[#This Row],[factorHeader]] = "",
    "",
    IF(
      ISNA(INDEX(dataRange,1,1)),
      NA(),
      SUMPRODUCT(
          IF(isDoer = "", 0, NOT(isDoer))
        * (INDEX(dataRange, , factorsTable[[#This Row],[factorColNum]]) &lt;&gt; "")
      )
    )
  )</f>
        <v/>
      </c>
      <c r="CW9" s="1" t="str" cm="1">
        <f t="array" ref="CW9">IF(
    factorsTable[[#This Row],[factorHeader]] = "",
    "",
    IF(
      ISNA(INDEX(dataRange,1,1)),
      NA(),
      SUMPRODUCT(
          IF(isDoer = "", 0, isDoer)
        * (INDEX(dataRange, , factorsTable[[#This Row],[factorColNum]]) &lt;&gt; "")
      )
    )
  )</f>
        <v/>
      </c>
      <c r="CX9"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9" s="1" t="str" cm="1">
        <f t="array" ref="CY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9" s="1" t="str" cm="1">
        <f t="array" ref="CZ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9" s="1" t="str">
        <f>IF(
    factorsTable[[#This Row],[factorHeader]] = "",
    "",
    factorsTable[[#This Row],[doers]] - factorsTable[[#This Row],[nondoers]]
  )</f>
        <v/>
      </c>
      <c r="DB9" s="1" t="str">
        <f>IF(
    factorsTable[[#This Row],[factorHeader]] = "",
    "",
    IFERROR(
      INDEX(
        yesNoTable[tag],
        MATCH(
          IFERROR(
            INDEX(
              factorsConfigTable[displayConfig],
              MATCH(factorsTable[[#This Row],[index]], factorsConfigTable[index], 0)
            ),#REF!
          ),
          yesNoTable[label],
          0
        )
      ),
      ""
    )
  )</f>
        <v/>
      </c>
      <c r="DC9" s="177" t="b">
        <f>IF(
    factorsTable[[#This Row],[factorHeader]] = "",
    FALSE,
    IF(
      factorsTable[[#This Row],[displayConfig]] = "yes",
      TRUE,
      IF(
        factorsTable[[#This Row],[displayConfig]] = "no",
        FALSE,
        NA()
      )
    )
  )</f>
        <v>0</v>
      </c>
      <c r="DD9" s="177" t="str" cm="1">
        <f t="array" ref="DD9">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9" s="177" t="str">
        <f>IF(
    factorsTable[[#This Row],[filteredIndex]] = "",
    "",
    _xlfn.IFNA(
      INDEX(
        factorsTable[difference],
        MATCH(factorsTable[[#This Row],[filteredIndex]], factorsTable[index], 0)
      ),
      -99
    )
  )</f>
        <v/>
      </c>
      <c r="DF9" s="177" t="str">
        <f>IF(
    factorsTable[[#This Row],[filteredIndex]] = "",
    "",
    IF(
      factorsTable[[#This Row],[relDiff]] = -99,
      -99,
      ABS(factorsTable[[#This Row],[relDiff]])
    )
  )</f>
        <v/>
      </c>
      <c r="DG9" s="177" t="str">
        <f>IF(
    factorsTable[[#This Row],[filteredIndex]] = "",
    "",
    IFERROR(
      INDEX(
        RANASBlocksTable[index],
        MATCH(
          IFERROR(
            INDEX(
              factorsConfigTable[RANASBlock],
              MATCH(factorsTable[[#This Row],[filteredIndex]], factorsConfigTable[index], 0)
            ),#REF!
          ),
          RANASBlocksTable[label],
          0
        )
      ),
      6
    )
  )</f>
        <v/>
      </c>
      <c r="DH9" s="177" t="str">
        <f>IF(
    factorsTable[[#This Row],[filteredIndex]] = "",
    "",
    _xlfn.RANK.EQ(factorsTable[[#This Row],[relDiff]], factorsTable[relDiff], 0)
  )</f>
        <v/>
      </c>
      <c r="DI9" s="177" t="str">
        <f>IF(
    factorsTable[[#This Row],[filteredIndex]] = "",
    "",
    _xlfn.RANK.EQ(factorsTable[[#This Row],[absDiff]], factorsTable[absDiff], 0)
  )</f>
        <v/>
      </c>
      <c r="DJ9" s="177" t="str">
        <f>IF(
    factorsTable[[#This Row],[filteredIndex]] = "",
    "",
    _xlfn.RANK.EQ(factorsTable[[#This Row],[RANASIndex]], factorsTable[RANASIndex], 1)
  )</f>
        <v/>
      </c>
      <c r="DK9" s="177" t="str" cm="1">
        <f t="array" ref="DK9">IF(sortingMethodTag = "none", factorsTable[[#This Row],[filteredIndex]],
  IF(sortingMethodTag = "relDiff", factorsTable[[#This Row],[relDiffRank]],
  IF(sortingMethodTag = "absDiff", factorsTable[[#This Row],[absDiffRank]],
  IF(sortingMethodTag = "RANAS", factorsTable[[#This Row],[RANASRank]],
  factorsTable[[#This Row],[filteredIndex]]))))</f>
        <v/>
      </c>
      <c r="DL9" s="177" t="str">
        <f>IF(
    factorsTable[[#This Row],[filteredIndex]] = "",
    "",
    factorsTable[[#This Row],[selectedRank]]
      + COUNTIF(INDEX(factorsTable[selectedRank], 1):INDEX(factorsTable[selectedRank], factorsTable[[#This Row],[index]]), factorsTable[[#This Row],[selectedRank]])
      - 1
  )</f>
        <v/>
      </c>
      <c r="DM9" s="177" t="str">
        <f>IF(
    factorsTable[[#This Row],[filteredIndex]] = "",
    "",
    IFERROR(
      INDEX(
        factorsTable[filteredIndex],
        MATCH(factorsTable[[#This Row],[index]], factorsTable[uniqueRank], 0)
      ),#REF!
    )
  )</f>
        <v/>
      </c>
      <c r="DN9" s="177" t="str">
        <f>IF(
    factorsTable[[#This Row],[sortedIndex]] = "",
    "",
    INDEX(
      INDEX(
        factorsConfigTable[],
        0,
        MATCH(
          chartLanguage,
          languageHeadersList,
          0
        )
        + MATCH(factorsConfigTable[[#Headers],[lang1]], factorsConfigTable[#Headers], 0)
        - 1
      ),
      MATCH(factorsTable[[#This Row],[sortedIndex]], factorsConfigTable[index], 0)
    ) &amp; ""
  )</f>
        <v/>
      </c>
      <c r="DO9"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9" s="177" t="str">
        <f>IF(
    factorsTable[[#This Row],[sortedIndex]] = "",
    "",
    IFERROR(
      INDEX(
        RANASBlocksTable[tag],
        MATCH(
          IFERROR(
            INDEX(
              factorsConfigTable[RANASBlock],
              MATCH(factorsTable[[#This Row],[sortedIndex]], factorsConfigTable[index], 0)
            ),#REF!
          ),
          RANASBlocksTable[label],
          0
        )
      ),
      NA()
    )
  )</f>
        <v/>
      </c>
      <c r="DQ9"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9"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9" s="177" t="str">
        <f>IF(
    factorsTable[[#This Row],[sortedIndex]] = "",
    "",
    INDEX(factorsTable[numTotal], MATCH(factorsTable[[#This Row],[sortedIndex]], factorsTable[index], 0))
  )</f>
        <v/>
      </c>
      <c r="DT9" s="177" t="str">
        <f>IF(
    factorsTable[[#This Row],[sortedIndex]] = "",
    "",
    INDEX(factorsTable[nondoers], MATCH(factorsTable[[#This Row],[sortedIndex]], factorsTable[index], 0))
  )</f>
        <v/>
      </c>
      <c r="DU9" s="177" t="str">
        <f>IF(
    factorsTable[[#This Row],[sortedIndex]] = "",
    "",
    INDEX(factorsTable[doers], MATCH(factorsTable[[#This Row],[sortedIndex]], factorsTable[index], 0))
  )</f>
        <v/>
      </c>
      <c r="DV9" s="177" t="str">
        <f>IF(
    factorsTable[[#This Row],[sortedIndex]] = "",
    "",
    INDEX(factorsTable[difference], MATCH(factorsTable[[#This Row],[sortedIndex]], factorsTable[index], 0))
  )</f>
        <v/>
      </c>
    </row>
    <row r="10" spans="5:126" ht="14.4" customHeight="1" x14ac:dyDescent="0.3">
      <c r="E10" s="187" cm="1">
        <f t="array" ref="E10">ROW()-ROW(UITranslationTable[#Headers])</f>
        <v>8</v>
      </c>
      <c r="F10" s="9" t="s">
        <v>310</v>
      </c>
      <c r="G10" s="176" t="s">
        <v>306</v>
      </c>
      <c r="H10" s="176" t="s">
        <v>306</v>
      </c>
      <c r="J10" s="1" cm="1">
        <f t="array" ref="J10">ROW()-ROW(errorMessagesTable[#Headers])</f>
        <v>8</v>
      </c>
      <c r="K10" s="1" t="s">
        <v>429</v>
      </c>
      <c r="L10" s="1" t="b" cm="1">
        <f t="array" aca="1" ref="L10" ca="1">errorBehaviourMinMaxInvalid</f>
        <v>0</v>
      </c>
      <c r="M10" s="176" t="s">
        <v>250</v>
      </c>
      <c r="N10" s="176" t="s">
        <v>254</v>
      </c>
      <c r="O10" s="1" t="str" cm="1">
        <f t="array" aca="1" ref="O10"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0"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0" s="9" t="str" cm="1">
        <f t="array" aca="1" ref="Q10" ca="1">IF(
    errorMessagesTable[[#This Row],[filteredIndex]] = "",
    "",
    IF(
      errorMessagesTable[[#This Row],[index]] = 1,
      "",
      INDEX(errorMessagesTable[concatErrors], errorMessagesTable[[#This Row],[index]]-1)
      &amp; CHAR(10) &amp; CHAR(10)
    )
    &amp; INDEX(errorMessagesTable[langSpecError], errorMessagesTable[[#This Row],[index]])
  )</f>
        <v/>
      </c>
      <c r="W10" s="177" cm="1">
        <f t="array" ref="W10">ROW()-ROW(structuredFormulaeTable[#Headers])</f>
        <v>8</v>
      </c>
      <c r="X10" s="1" t="s">
        <v>418</v>
      </c>
      <c r="Y10" s="1" t="s">
        <v>415</v>
      </c>
      <c r="AA10" s="178" t="s">
        <v>419</v>
      </c>
      <c r="AB10" s="178" t="s">
        <v>454</v>
      </c>
      <c r="BA10" s="178"/>
      <c r="BW10" s="181" cm="1">
        <f t="array" ref="BW10">ROW()-ROW(cutoffTable[#Headers])</f>
        <v>8</v>
      </c>
      <c r="BX10" s="182">
        <v>0.8</v>
      </c>
      <c r="BY10" s="1" t="s">
        <v>293</v>
      </c>
      <c r="BZ10" s="177" cm="1">
        <f t="array" ref="BZ10">SUMPRODUCT(
    (behaviourScore &lt;&gt; "")
  * (behaviourScore &gt;= IF(cutoffTable[[#This Row],[index]] = 1, 0, INDEX(cutoffTable[cutoffLevel], cutoffTable[[#This Row],[index]]-1)))
  * IF(
      cutoffTable[[#This Row],[cutoffLevel]] = 1,
      behaviourScore &lt;= 1,
      behaviourScore &lt; cutoffTable[[#This Row],[cutoffLevel]]
    )
  )</f>
        <v>0</v>
      </c>
      <c r="CA10" s="177" cm="1">
        <f t="array" ref="CA10">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0" s="177" cm="1">
        <f t="array" ref="CB10">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10" s="1" cm="1">
        <f t="array" ref="CD10">ROW()-ROW(recommendedCutoffTable[#Headers])</f>
        <v>8</v>
      </c>
      <c r="CE10" s="183">
        <f>(recommendedCutoffTable[[#This Row],[index]] - 1) / 100</f>
        <v>7.0000000000000007E-2</v>
      </c>
      <c r="CF10" s="1" cm="1">
        <f t="array" ref="CF10">ABS(
    numScores
  - 2 * SUMPRODUCT((behaviourScore &lt;&gt; "") * (behaviourScore &lt; recommendedCutoffTable[[#This Row],[cutoffLevel]]))
  )</f>
        <v>0</v>
      </c>
      <c r="CM10" s="1" cm="1">
        <f t="array" ref="CM10">ROW()-ROW(factorsTable[#Headers])</f>
        <v>8</v>
      </c>
      <c r="CN10" s="1" t="str">
        <f>IFERROR(
    INDEX(
      factorsConfigTable[factorHeader],
      MATCH(factorsTable[[#This Row],[index]], factorsConfigTable[index], 0)
    ),#REF!
  ) &amp; ""</f>
        <v/>
      </c>
      <c r="CO10" s="1" t="str">
        <f>IF(
    factorsTable[[#This Row],[factorHeader]] = "",
    "",
    _xlfn.IFNA(
      MATCH(factorsTable[[#This Row],[factorHeader]], dataHeaders, 0),
      _xlfn.IFNA(
        MATCH("*/" &amp; factorsTable[[#This Row],[factorHeader]], dataHeaders, 0),
        MATCH("*-" &amp; factorsTable[[#This Row],[factorHeader]], dataHeaders, 0)
      )
    )
  )</f>
        <v/>
      </c>
      <c r="CP10" s="1" t="str">
        <f>IF(
    factorsTable[[#This Row],[factorHeader]] = "",
    "",
    IF(
      IFERROR(
        INDEX(
          factorsConfigTable[minScore],
          MATCH(factorsTable[[#This Row],[index]], factorsConfigTable[index], 0)
        ),#REF!
      ) = "",
      NA(),
      IFERROR(
        INDEX(
          factorsConfigTable[minScore],
          MATCH(factorsTable[[#This Row],[index]], factorsConfigTable[index], 0)
        ),#REF!
      )
    )
  )</f>
        <v/>
      </c>
      <c r="CQ10" s="1" t="str">
        <f>IF(
    factorsTable[[#This Row],[factorHeader]] = "",
    "",
    IF(
      IFERROR(
        INDEX(
          factorsConfigTable[maxScore],
          MATCH(factorsTable[[#This Row],[index]], factorsConfigTable[index], 0)
        ),#REF!
      ) = "",
      NA(),
      IFERROR(
        INDEX(
          factorsConfigTable[maxScore],
          MATCH(factorsTable[[#This Row],[index]], factorsConfigTable[index], 0)
        ),#REF!
      )
    )
  )</f>
        <v/>
      </c>
      <c r="CR10" s="1" t="str">
        <f>IF(
    factorsTable[[#This Row],[factorHeader]] = "",
    "",
    IF(
      ISERROR(factorsTable[[#This Row],[factorColNum]]),
      NA(),
      IF(
        ISNA(INDEX(dataRange,1,1)),
        NA(),
        MIN(INDEX(dataRange, , factorsTable[[#This Row],[factorColNum]]))
      )
    )
  )</f>
        <v/>
      </c>
      <c r="CS10" s="1" t="str">
        <f>IF(
    factorsTable[[#This Row],[factorHeader]] = "",
    "",
    IF(
      ISERROR(factorsTable[[#This Row],[factorColNum]]),
      NA(),
      IF(
        ISNA(INDEX(dataRange,1,1)),
        NA(),
        MAX(INDEX(dataRange, , factorsTable[[#This Row],[factorColNum]]))
      )
    )
  )</f>
        <v/>
      </c>
      <c r="CT10" s="1" t="b" cm="1">
        <f t="array" aca="1" ref="CT10" ca="1">AND(
    NOT(errorNoDataSheet),
    factorsTable[[#This Row],[factorHeader]] &lt;&gt; "",
    NOT(ISERROR(factorsTable[[#This Row],[factorColNum]])),
    IFERROR(factorsTable[[#This Row],[display]], FALSE),
    IFERROR(factorsTable[[#This Row],[minValue]] &lt; factorsTable[[#This Row],[minScore]], FALSE)
  )</f>
        <v>0</v>
      </c>
      <c r="CU10" s="1" t="b" cm="1">
        <f t="array" aca="1" ref="CU10" ca="1">AND(
    NOT(errorNoDataSheet),
    factorsTable[[#This Row],[factorHeader]] &lt;&gt; "",
    NOT(ISERROR(factorsTable[[#This Row],[factorColNum]])),
    IFERROR(factorsTable[[#This Row],[display]], FALSE),
    IFERROR(factorsTable[[#This Row],[maxValue]] &gt; factorsTable[[#This Row],[maxScore]], FALSE)
  )</f>
        <v>0</v>
      </c>
      <c r="CV10" s="1" t="str" cm="1">
        <f t="array" ref="CV10">IF(
    factorsTable[[#This Row],[factorHeader]] = "",
    "",
    IF(
      ISNA(INDEX(dataRange,1,1)),
      NA(),
      SUMPRODUCT(
          IF(isDoer = "", 0, NOT(isDoer))
        * (INDEX(dataRange, , factorsTable[[#This Row],[factorColNum]]) &lt;&gt; "")
      )
    )
  )</f>
        <v/>
      </c>
      <c r="CW10" s="1" t="str" cm="1">
        <f t="array" ref="CW10">IF(
    factorsTable[[#This Row],[factorHeader]] = "",
    "",
    IF(
      ISNA(INDEX(dataRange,1,1)),
      NA(),
      SUMPRODUCT(
          IF(isDoer = "", 0, isDoer)
        * (INDEX(dataRange, , factorsTable[[#This Row],[factorColNum]]) &lt;&gt; "")
      )
    )
  )</f>
        <v/>
      </c>
      <c r="CX10"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0" s="1" t="str" cm="1">
        <f t="array" ref="CY1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0" s="1" t="str" cm="1">
        <f t="array" ref="CZ1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0" s="1" t="str">
        <f>IF(
    factorsTable[[#This Row],[factorHeader]] = "",
    "",
    factorsTable[[#This Row],[doers]] - factorsTable[[#This Row],[nondoers]]
  )</f>
        <v/>
      </c>
      <c r="DB10" s="1" t="str">
        <f>IF(
    factorsTable[[#This Row],[factorHeader]] = "",
    "",
    IFERROR(
      INDEX(
        yesNoTable[tag],
        MATCH(
          IFERROR(
            INDEX(
              factorsConfigTable[displayConfig],
              MATCH(factorsTable[[#This Row],[index]], factorsConfigTable[index], 0)
            ),#REF!
          ),
          yesNoTable[label],
          0
        )
      ),
      ""
    )
  )</f>
        <v/>
      </c>
      <c r="DC10" s="177" t="b">
        <f>IF(
    factorsTable[[#This Row],[factorHeader]] = "",
    FALSE,
    IF(
      factorsTable[[#This Row],[displayConfig]] = "yes",
      TRUE,
      IF(
        factorsTable[[#This Row],[displayConfig]] = "no",
        FALSE,
        NA()
      )
    )
  )</f>
        <v>0</v>
      </c>
      <c r="DD10" s="177" t="str" cm="1">
        <f t="array" ref="DD10">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0" s="177" t="str">
        <f>IF(
    factorsTable[[#This Row],[filteredIndex]] = "",
    "",
    _xlfn.IFNA(
      INDEX(
        factorsTable[difference],
        MATCH(factorsTable[[#This Row],[filteredIndex]], factorsTable[index], 0)
      ),
      -99
    )
  )</f>
        <v/>
      </c>
      <c r="DF10" s="177" t="str">
        <f>IF(
    factorsTable[[#This Row],[filteredIndex]] = "",
    "",
    IF(
      factorsTable[[#This Row],[relDiff]] = -99,
      -99,
      ABS(factorsTable[[#This Row],[relDiff]])
    )
  )</f>
        <v/>
      </c>
      <c r="DG10" s="177" t="str">
        <f>IF(
    factorsTable[[#This Row],[filteredIndex]] = "",
    "",
    IFERROR(
      INDEX(
        RANASBlocksTable[index],
        MATCH(
          IFERROR(
            INDEX(
              factorsConfigTable[RANASBlock],
              MATCH(factorsTable[[#This Row],[filteredIndex]], factorsConfigTable[index], 0)
            ),#REF!
          ),
          RANASBlocksTable[label],
          0
        )
      ),
      6
    )
  )</f>
        <v/>
      </c>
      <c r="DH10" s="177" t="str">
        <f>IF(
    factorsTable[[#This Row],[filteredIndex]] = "",
    "",
    _xlfn.RANK.EQ(factorsTable[[#This Row],[relDiff]], factorsTable[relDiff], 0)
  )</f>
        <v/>
      </c>
      <c r="DI10" s="177" t="str">
        <f>IF(
    factorsTable[[#This Row],[filteredIndex]] = "",
    "",
    _xlfn.RANK.EQ(factorsTable[[#This Row],[absDiff]], factorsTable[absDiff], 0)
  )</f>
        <v/>
      </c>
      <c r="DJ10" s="177" t="str">
        <f>IF(
    factorsTable[[#This Row],[filteredIndex]] = "",
    "",
    _xlfn.RANK.EQ(factorsTable[[#This Row],[RANASIndex]], factorsTable[RANASIndex], 1)
  )</f>
        <v/>
      </c>
      <c r="DK10" s="177" t="str" cm="1">
        <f t="array" ref="DK10">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0" s="177" t="str">
        <f>IF(
    factorsTable[[#This Row],[filteredIndex]] = "",
    "",
    factorsTable[[#This Row],[selectedRank]]
      + COUNTIF(INDEX(factorsTable[selectedRank], 1):INDEX(factorsTable[selectedRank], factorsTable[[#This Row],[index]]), factorsTable[[#This Row],[selectedRank]])
      - 1
  )</f>
        <v/>
      </c>
      <c r="DM10" s="177" t="str">
        <f>IF(
    factorsTable[[#This Row],[filteredIndex]] = "",
    "",
    IFERROR(
      INDEX(
        factorsTable[filteredIndex],
        MATCH(factorsTable[[#This Row],[index]], factorsTable[uniqueRank], 0)
      ),#REF!
    )
  )</f>
        <v/>
      </c>
      <c r="DN10" s="177" t="str">
        <f>IF(
    factorsTable[[#This Row],[sortedIndex]] = "",
    "",
    INDEX(
      INDEX(
        factorsConfigTable[],
        0,
        MATCH(
          chartLanguage,
          languageHeadersList,
          0
        )
        + MATCH(factorsConfigTable[[#Headers],[lang1]], factorsConfigTable[#Headers], 0)
        - 1
      ),
      MATCH(factorsTable[[#This Row],[sortedIndex]], factorsConfigTable[index], 0)
    ) &amp; ""
  )</f>
        <v/>
      </c>
      <c r="DO10"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0" s="177" t="str">
        <f>IF(
    factorsTable[[#This Row],[sortedIndex]] = "",
    "",
    IFERROR(
      INDEX(
        RANASBlocksTable[tag],
        MATCH(
          IFERROR(
            INDEX(
              factorsConfigTable[RANASBlock],
              MATCH(factorsTable[[#This Row],[sortedIndex]], factorsConfigTable[index], 0)
            ),#REF!
          ),
          RANASBlocksTable[label],
          0
        )
      ),
      NA()
    )
  )</f>
        <v/>
      </c>
      <c r="DQ10"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0"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0" s="177" t="str">
        <f>IF(
    factorsTable[[#This Row],[sortedIndex]] = "",
    "",
    INDEX(factorsTable[numTotal], MATCH(factorsTable[[#This Row],[sortedIndex]], factorsTable[index], 0))
  )</f>
        <v/>
      </c>
      <c r="DT10" s="177" t="str">
        <f>IF(
    factorsTable[[#This Row],[sortedIndex]] = "",
    "",
    INDEX(factorsTable[nondoers], MATCH(factorsTable[[#This Row],[sortedIndex]], factorsTable[index], 0))
  )</f>
        <v/>
      </c>
      <c r="DU10" s="177" t="str">
        <f>IF(
    factorsTable[[#This Row],[sortedIndex]] = "",
    "",
    INDEX(factorsTable[doers], MATCH(factorsTable[[#This Row],[sortedIndex]], factorsTable[index], 0))
  )</f>
        <v/>
      </c>
      <c r="DV10" s="177" t="str">
        <f>IF(
    factorsTable[[#This Row],[sortedIndex]] = "",
    "",
    INDEX(factorsTable[difference], MATCH(factorsTable[[#This Row],[sortedIndex]], factorsTable[index], 0))
  )</f>
        <v/>
      </c>
    </row>
    <row r="11" spans="5:126" ht="14.4" customHeight="1" x14ac:dyDescent="0.3">
      <c r="E11" s="187" cm="1">
        <f t="array" ref="E11">ROW()-ROW(UITranslationTable[#Headers])</f>
        <v>9</v>
      </c>
      <c r="F11" s="9" t="s">
        <v>311</v>
      </c>
      <c r="G11" s="176" t="str">
        <f>"RANAS Analyser is a tool used to perform a doer" &amp; CHAR(160) &amp; "/" &amp; CHAR(160) &amp; "non-doer analysis of a RANAS quantitative survey. It computes the difference in behavioural factors – called RANAS factors – between ""doers"" and ""non-doers"" of a predefined behaviour."</f>
        <v>RANAS Analyser is a tool used to perform a doer / non-doer analysis of a RANAS quantitative survey. It computes the difference in behavioural factors – called RANAS factors – between "doers" and "non-doers" of a predefined behaviour.</v>
      </c>
      <c r="H11" s="176" t="str">
        <f>"RANAS Analyser est utilisé pour faire l'analyse pratiquant" &amp; CHAR(160) &amp; "/" &amp; CHAR(160) &amp; "non-pratiquant d'une enquête quantitative RANAS. Il calcule la différence des facteurs comportementaux – appelés facteurs RANAS – entre les «pratiquants» et les «non-pratiquants» d'un comportement prédéfini."</f>
        <v>RANAS Analyser est utilisé pour faire l'analyse pratiquant / non-pratiquant d'une enquête quantitative RANAS. Il calcule la différence des facteurs comportementaux – appelés facteurs RANAS – entre les «pratiquants» et les «non-pratiquants» d'un comportement prédéfini.</v>
      </c>
      <c r="J11" s="1" cm="1">
        <f t="array" ref="J11">ROW()-ROW(errorMessagesTable[#Headers])</f>
        <v>9</v>
      </c>
      <c r="K11" s="1" t="s">
        <v>430</v>
      </c>
      <c r="L11" s="1" t="b" cm="1">
        <f t="array" aca="1" ref="L11" ca="1">errorBehaviourOutOfRange</f>
        <v>0</v>
      </c>
      <c r="M11" s="176" t="str" cm="1">
        <f t="array" ref="M11">"Some values in the """ &amp; sheetNameData &amp; """ sheet for the selected ""behaviour"" questions fall outside of the corresponding ""Min. score""-""Max. score"" ranges defined in the ""Behaviour"" table." &amp; " Please check the cells highlighted in red in those ""Min. score"" / ""Max. score"" columns and/or the corresponding data columns in the """ &amp; sheetNameData &amp; """ sheet."</f>
        <v>Some values in the "data" sheet for the selected "behaviour" questions fall outside of the corresponding "Min. score"-"Max. score" ranges defined in the "Behaviour" table. Please check the cells highlighted in red in those "Min. score" / "Max. score" columns and/or the corresponding data columns in the "data" sheet.</v>
      </c>
      <c r="N11" s="188" t="str" cm="1">
        <f t="array" ref="N11">"Certaines valeurs de la feuille «" &amp; sheetNameData &amp; "» pour les questions «comportement» sélectionnées se situent en dehors des intervalles «Score min.»-«Score max.» correspondants définis dans le tableau «Comportement»." &amp; " Veuillez vérifier les cellules marquées en rouge dans ces colonnes «Score min.» / «Score max.» et/ou les colonnes de données correspondantes dans la feuille «" &amp; sheetNameData &amp; "»."</f>
        <v>Certaines valeurs de la feuille «data» pour les questions «comportement» sélectionnées se situent en dehors des intervalles «Score min.»-«Score max.» correspondants définis dans le tableau «Comportement». Veuillez vérifier les cellules marquées en rouge dans ces colonnes «Score min.» / «Score max.» et/ou les colonnes de données correspondantes dans la feuille «data».</v>
      </c>
      <c r="O11" s="1" t="str" cm="1">
        <f t="array" aca="1" ref="O11"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1"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1" s="9" t="str" cm="1">
        <f t="array" aca="1" ref="Q11" ca="1">IF(
    errorMessagesTable[[#This Row],[filteredIndex]] = "",
    "",
    IF(
      errorMessagesTable[[#This Row],[index]] = 1,
      "",
      INDEX(errorMessagesTable[concatErrors], errorMessagesTable[[#This Row],[index]]-1)
      &amp; CHAR(10) &amp; CHAR(10)
    )
    &amp; INDEX(errorMessagesTable[langSpecError], errorMessagesTable[[#This Row],[index]])
  )</f>
        <v/>
      </c>
      <c r="W11" s="177" cm="1">
        <f t="array" ref="W11">ROW()-ROW(structuredFormulaeTable[#Headers])</f>
        <v>9</v>
      </c>
      <c r="X11" s="1" t="s">
        <v>420</v>
      </c>
      <c r="Y11" s="1" t="s">
        <v>508</v>
      </c>
      <c r="Z11" s="1" t="b" cm="1">
        <f t="array" ref="Z11">behaviourInclude1</f>
        <v>0</v>
      </c>
      <c r="AA11" s="178" t="s">
        <v>509</v>
      </c>
      <c r="AB11" s="164" t="s">
        <v>644</v>
      </c>
      <c r="BW11" s="181" cm="1">
        <f t="array" ref="BW11">ROW()-ROW(cutoffTable[#Headers])</f>
        <v>9</v>
      </c>
      <c r="BX11" s="182">
        <v>0.9</v>
      </c>
      <c r="BY11" s="1" t="s">
        <v>294</v>
      </c>
      <c r="BZ11" s="177" cm="1">
        <f t="array" ref="BZ11">SUMPRODUCT(
    (behaviourScore &lt;&gt; "")
  * (behaviourScore &gt;= IF(cutoffTable[[#This Row],[index]] = 1, 0, INDEX(cutoffTable[cutoffLevel], cutoffTable[[#This Row],[index]]-1)))
  * IF(
      cutoffTable[[#This Row],[cutoffLevel]] = 1,
      behaviourScore &lt;= 1,
      behaviourScore &lt; cutoffTable[[#This Row],[cutoffLevel]]
    )
  )</f>
        <v>0</v>
      </c>
      <c r="CA11" s="177" cm="1">
        <f t="array" ref="CA1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1" s="177" cm="1">
        <f t="array" ref="CB1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11" s="1" cm="1">
        <f t="array" ref="CD11">ROW()-ROW(recommendedCutoffTable[#Headers])</f>
        <v>9</v>
      </c>
      <c r="CE11" s="183">
        <f>(recommendedCutoffTable[[#This Row],[index]] - 1) / 100</f>
        <v>0.08</v>
      </c>
      <c r="CF11" s="1" cm="1">
        <f t="array" ref="CF11">ABS(
    numScores
  - 2 * SUMPRODUCT((behaviourScore &lt;&gt; "") * (behaviourScore &lt; recommendedCutoffTable[[#This Row],[cutoffLevel]]))
  )</f>
        <v>0</v>
      </c>
      <c r="CM11" s="1" cm="1">
        <f t="array" ref="CM11">ROW()-ROW(factorsTable[#Headers])</f>
        <v>9</v>
      </c>
      <c r="CN11" s="1" t="str">
        <f>IFERROR(
    INDEX(
      factorsConfigTable[factorHeader],
      MATCH(factorsTable[[#This Row],[index]], factorsConfigTable[index], 0)
    ),#REF!
  ) &amp; ""</f>
        <v/>
      </c>
      <c r="CO11" s="1" t="str">
        <f>IF(
    factorsTable[[#This Row],[factorHeader]] = "",
    "",
    _xlfn.IFNA(
      MATCH(factorsTable[[#This Row],[factorHeader]], dataHeaders, 0),
      _xlfn.IFNA(
        MATCH("*/" &amp; factorsTable[[#This Row],[factorHeader]], dataHeaders, 0),
        MATCH("*-" &amp; factorsTable[[#This Row],[factorHeader]], dataHeaders, 0)
      )
    )
  )</f>
        <v/>
      </c>
      <c r="CP11" s="1" t="str">
        <f>IF(
    factorsTable[[#This Row],[factorHeader]] = "",
    "",
    IF(
      IFERROR(
        INDEX(
          factorsConfigTable[minScore],
          MATCH(factorsTable[[#This Row],[index]], factorsConfigTable[index], 0)
        ),#REF!
      ) = "",
      NA(),
      IFERROR(
        INDEX(
          factorsConfigTable[minScore],
          MATCH(factorsTable[[#This Row],[index]], factorsConfigTable[index], 0)
        ),#REF!
      )
    )
  )</f>
        <v/>
      </c>
      <c r="CQ11" s="1" t="str">
        <f>IF(
    factorsTable[[#This Row],[factorHeader]] = "",
    "",
    IF(
      IFERROR(
        INDEX(
          factorsConfigTable[maxScore],
          MATCH(factorsTable[[#This Row],[index]], factorsConfigTable[index], 0)
        ),#REF!
      ) = "",
      NA(),
      IFERROR(
        INDEX(
          factorsConfigTable[maxScore],
          MATCH(factorsTable[[#This Row],[index]], factorsConfigTable[index], 0)
        ),#REF!
      )
    )
  )</f>
        <v/>
      </c>
      <c r="CR11" s="1" t="str">
        <f>IF(
    factorsTable[[#This Row],[factorHeader]] = "",
    "",
    IF(
      ISERROR(factorsTable[[#This Row],[factorColNum]]),
      NA(),
      IF(
        ISNA(INDEX(dataRange,1,1)),
        NA(),
        MIN(INDEX(dataRange, , factorsTable[[#This Row],[factorColNum]]))
      )
    )
  )</f>
        <v/>
      </c>
      <c r="CS11" s="1" t="str">
        <f>IF(
    factorsTable[[#This Row],[factorHeader]] = "",
    "",
    IF(
      ISERROR(factorsTable[[#This Row],[factorColNum]]),
      NA(),
      IF(
        ISNA(INDEX(dataRange,1,1)),
        NA(),
        MAX(INDEX(dataRange, , factorsTable[[#This Row],[factorColNum]]))
      )
    )
  )</f>
        <v/>
      </c>
      <c r="CT11" s="1" t="b" cm="1">
        <f t="array" aca="1" ref="CT11" ca="1">AND(
    NOT(errorNoDataSheet),
    factorsTable[[#This Row],[factorHeader]] &lt;&gt; "",
    NOT(ISERROR(factorsTable[[#This Row],[factorColNum]])),
    IFERROR(factorsTable[[#This Row],[display]], FALSE),
    IFERROR(factorsTable[[#This Row],[minValue]] &lt; factorsTable[[#This Row],[minScore]], FALSE)
  )</f>
        <v>0</v>
      </c>
      <c r="CU11" s="1" t="b" cm="1">
        <f t="array" aca="1" ref="CU11" ca="1">AND(
    NOT(errorNoDataSheet),
    factorsTable[[#This Row],[factorHeader]] &lt;&gt; "",
    NOT(ISERROR(factorsTable[[#This Row],[factorColNum]])),
    IFERROR(factorsTable[[#This Row],[display]], FALSE),
    IFERROR(factorsTable[[#This Row],[maxValue]] &gt; factorsTable[[#This Row],[maxScore]], FALSE)
  )</f>
        <v>0</v>
      </c>
      <c r="CV11" s="1" t="str" cm="1">
        <f t="array" ref="CV11">IF(
    factorsTable[[#This Row],[factorHeader]] = "",
    "",
    IF(
      ISNA(INDEX(dataRange,1,1)),
      NA(),
      SUMPRODUCT(
          IF(isDoer = "", 0, NOT(isDoer))
        * (INDEX(dataRange, , factorsTable[[#This Row],[factorColNum]]) &lt;&gt; "")
      )
    )
  )</f>
        <v/>
      </c>
      <c r="CW11" s="1" t="str" cm="1">
        <f t="array" ref="CW11">IF(
    factorsTable[[#This Row],[factorHeader]] = "",
    "",
    IF(
      ISNA(INDEX(dataRange,1,1)),
      NA(),
      SUMPRODUCT(
          IF(isDoer = "", 0, isDoer)
        * (INDEX(dataRange, , factorsTable[[#This Row],[factorColNum]]) &lt;&gt; "")
      )
    )
  )</f>
        <v/>
      </c>
      <c r="CX11"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1" s="1" t="str" cm="1">
        <f t="array" ref="CY1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1" s="1" t="str" cm="1">
        <f t="array" ref="CZ1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1" s="1" t="str">
        <f>IF(
    factorsTable[[#This Row],[factorHeader]] = "",
    "",
    factorsTable[[#This Row],[doers]] - factorsTable[[#This Row],[nondoers]]
  )</f>
        <v/>
      </c>
      <c r="DB11" s="1" t="str">
        <f>IF(
    factorsTable[[#This Row],[factorHeader]] = "",
    "",
    IFERROR(
      INDEX(
        yesNoTable[tag],
        MATCH(
          IFERROR(
            INDEX(
              factorsConfigTable[displayConfig],
              MATCH(factorsTable[[#This Row],[index]], factorsConfigTable[index], 0)
            ),#REF!
          ),
          yesNoTable[label],
          0
        )
      ),
      ""
    )
  )</f>
        <v/>
      </c>
      <c r="DC11" s="177" t="b">
        <f>IF(
    factorsTable[[#This Row],[factorHeader]] = "",
    FALSE,
    IF(
      factorsTable[[#This Row],[displayConfig]] = "yes",
      TRUE,
      IF(
        factorsTable[[#This Row],[displayConfig]] = "no",
        FALSE,
        NA()
      )
    )
  )</f>
        <v>0</v>
      </c>
      <c r="DD11" s="177" t="str" cm="1">
        <f t="array" ref="DD1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1" s="177" t="str">
        <f>IF(
    factorsTable[[#This Row],[filteredIndex]] = "",
    "",
    _xlfn.IFNA(
      INDEX(
        factorsTable[difference],
        MATCH(factorsTable[[#This Row],[filteredIndex]], factorsTable[index], 0)
      ),
      -99
    )
  )</f>
        <v/>
      </c>
      <c r="DF11" s="177" t="str">
        <f>IF(
    factorsTable[[#This Row],[filteredIndex]] = "",
    "",
    IF(
      factorsTable[[#This Row],[relDiff]] = -99,
      -99,
      ABS(factorsTable[[#This Row],[relDiff]])
    )
  )</f>
        <v/>
      </c>
      <c r="DG11" s="177" t="str">
        <f>IF(
    factorsTable[[#This Row],[filteredIndex]] = "",
    "",
    IFERROR(
      INDEX(
        RANASBlocksTable[index],
        MATCH(
          IFERROR(
            INDEX(
              factorsConfigTable[RANASBlock],
              MATCH(factorsTable[[#This Row],[filteredIndex]], factorsConfigTable[index], 0)
            ),#REF!
          ),
          RANASBlocksTable[label],
          0
        )
      ),
      6
    )
  )</f>
        <v/>
      </c>
      <c r="DH11" s="177" t="str">
        <f>IF(
    factorsTable[[#This Row],[filteredIndex]] = "",
    "",
    _xlfn.RANK.EQ(factorsTable[[#This Row],[relDiff]], factorsTable[relDiff], 0)
  )</f>
        <v/>
      </c>
      <c r="DI11" s="177" t="str">
        <f>IF(
    factorsTable[[#This Row],[filteredIndex]] = "",
    "",
    _xlfn.RANK.EQ(factorsTable[[#This Row],[absDiff]], factorsTable[absDiff], 0)
  )</f>
        <v/>
      </c>
      <c r="DJ11" s="177" t="str">
        <f>IF(
    factorsTable[[#This Row],[filteredIndex]] = "",
    "",
    _xlfn.RANK.EQ(factorsTable[[#This Row],[RANASIndex]], factorsTable[RANASIndex], 1)
  )</f>
        <v/>
      </c>
      <c r="DK11" s="177" t="str" cm="1">
        <f t="array" ref="DK11">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1" s="177" t="str">
        <f>IF(
    factorsTable[[#This Row],[filteredIndex]] = "",
    "",
    factorsTable[[#This Row],[selectedRank]]
      + COUNTIF(INDEX(factorsTable[selectedRank], 1):INDEX(factorsTable[selectedRank], factorsTable[[#This Row],[index]]), factorsTable[[#This Row],[selectedRank]])
      - 1
  )</f>
        <v/>
      </c>
      <c r="DM11" s="177" t="str">
        <f>IF(
    factorsTable[[#This Row],[filteredIndex]] = "",
    "",
    IFERROR(
      INDEX(
        factorsTable[filteredIndex],
        MATCH(factorsTable[[#This Row],[index]], factorsTable[uniqueRank], 0)
      ),#REF!
    )
  )</f>
        <v/>
      </c>
      <c r="DN11" s="177" t="str">
        <f>IF(
    factorsTable[[#This Row],[sortedIndex]] = "",
    "",
    INDEX(
      INDEX(
        factorsConfigTable[],
        0,
        MATCH(
          chartLanguage,
          languageHeadersList,
          0
        )
        + MATCH(factorsConfigTable[[#Headers],[lang1]], factorsConfigTable[#Headers], 0)
        - 1
      ),
      MATCH(factorsTable[[#This Row],[sortedIndex]], factorsConfigTable[index], 0)
    ) &amp; ""
  )</f>
        <v/>
      </c>
      <c r="DO11"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1" s="177" t="str">
        <f>IF(
    factorsTable[[#This Row],[sortedIndex]] = "",
    "",
    IFERROR(
      INDEX(
        RANASBlocksTable[tag],
        MATCH(
          IFERROR(
            INDEX(
              factorsConfigTable[RANASBlock],
              MATCH(factorsTable[[#This Row],[sortedIndex]], factorsConfigTable[index], 0)
            ),#REF!
          ),
          RANASBlocksTable[label],
          0
        )
      ),
      NA()
    )
  )</f>
        <v/>
      </c>
      <c r="DQ11"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1"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1" s="177" t="str">
        <f>IF(
    factorsTable[[#This Row],[sortedIndex]] = "",
    "",
    INDEX(factorsTable[numTotal], MATCH(factorsTable[[#This Row],[sortedIndex]], factorsTable[index], 0))
  )</f>
        <v/>
      </c>
      <c r="DT11" s="177" t="str">
        <f>IF(
    factorsTable[[#This Row],[sortedIndex]] = "",
    "",
    INDEX(factorsTable[nondoers], MATCH(factorsTable[[#This Row],[sortedIndex]], factorsTable[index], 0))
  )</f>
        <v/>
      </c>
      <c r="DU11" s="177" t="str">
        <f>IF(
    factorsTable[[#This Row],[sortedIndex]] = "",
    "",
    INDEX(factorsTable[doers], MATCH(factorsTable[[#This Row],[sortedIndex]], factorsTable[index], 0))
  )</f>
        <v/>
      </c>
      <c r="DV11" s="177" t="str">
        <f>IF(
    factorsTable[[#This Row],[sortedIndex]] = "",
    "",
    INDEX(factorsTable[difference], MATCH(factorsTable[[#This Row],[sortedIndex]], factorsTable[index], 0))
  )</f>
        <v/>
      </c>
    </row>
    <row r="12" spans="5:126" ht="14.4" customHeight="1" x14ac:dyDescent="0.3">
      <c r="E12" s="187" cm="1">
        <f t="array" ref="E12">ROW()-ROW(UITranslationTable[#Headers])</f>
        <v>10</v>
      </c>
      <c r="F12" s="9" t="s">
        <v>312</v>
      </c>
      <c r="G12" s="176" t="str" cm="1">
        <f t="array" aca="1" ref="G12" ca="1">"1. You start in the """ &amp; sheetNameConfiguration &amp; """ sheet, where you CAREFULLY set up the RANAS Analyser by filling in the yellow areas to define which data will be analysed." &amp; CHAR(10)
&amp; "2. Then, you proceed to the """ &amp; sheetNameCutoff &amp; """ sheet to adjust the optimal cutoff level between doers and non-doers." &amp; CHAR(10)
&amp; "3. Finally, you visualise the results in the """ &amp; sheetNameAnalysis &amp; """ sheet."</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H12" s="176" t="str" cm="1">
        <f t="array" aca="1" ref="H12" ca="1">"1. Vous commencez, sur la feuille «" &amp; sheetNameConfiguration &amp; "», par paramétrer SOIGNEUSEMENT le RANAS Analyser en remplissant les zones jaunes pour définir les données à analyser." &amp; CHAR(10)
&amp; "2. Ensuite, vous passez à la feuille «" &amp; sheetNameCutoff &amp; "» pour ajuster le niveau de seuil optimal entre les pratiquants et les non-pratiquants." &amp; CHAR(10)
&amp; "3. Enfin, vous visualisez les résultats sur la feuille «" &amp; sheetNameAnalysis &amp; "»."</f>
        <v>1. Vous commencez, sur la feuille «Configuration», par paramétrer SOIGNEUSEMENT le RANAS Analyser en remplissant les zones jaunes pour définir les données à analyser.
2. Ensuite, vous passez à la feuille «Cutoff - Seuil» pour ajuster le niveau de seuil optimal entre les pratiquants et les non-pratiquants.
3. Enfin, vous visualisez les résultats sur la feuille «Analysis».</v>
      </c>
      <c r="J12" s="1" cm="1">
        <f t="array" ref="J12">ROW()-ROW(errorMessagesTable[#Headers])</f>
        <v>10</v>
      </c>
      <c r="K12" s="1" t="s">
        <v>431</v>
      </c>
      <c r="L12" s="1" t="b" cm="1">
        <f t="array" aca="1" ref="L12" ca="1">errorFactorHeader</f>
        <v>0</v>
      </c>
      <c r="M12" s="176" t="str" cm="1">
        <f t="array" ref="M12">"Some data headers selected in the ""RANAS factors"" table (red cells) cannot be found in the """ &amp; sheetNameData &amp; """ sheet. Make sure that these data headers are accurately entered in the table (no typos, no spaces) or deselect them by choosing the cross mark (" &amp; noLabel &amp; ") from the drop-down menu in the ""Display?"" column."</f>
        <v>Some data headers selected in the "RANAS factors" table (red cells) cannot be found in the "data" sheet. Make sure that these data headers are accurately entered in the table (no typos, no spaces) or deselect them by choosing the cross mark (✘) from the drop-down menu in the "Display?" column.</v>
      </c>
      <c r="N12" s="176" t="str" cm="1">
        <f t="array" ref="N12">"Certains en-têtes de données sélectionnés dans le tableau «Facteurs RANAS»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«Afficher?»."</f>
        <v>Certains en-têtes de données sélectionnés dans le tableau «Facteurs RANAS» (cellules rouges) sont introuvables sur la feuille «data». Veuillez vérifier que ces en-têtes sont saisis précisément dans le tableau (ni fautes de frappe, ni espaces) ou alors désélectionnez-les en choisissant la croix (✘) dans le menu déroulant de la colonne «Afficher?».</v>
      </c>
      <c r="O12" s="1" t="str" cm="1">
        <f t="array" aca="1" ref="O12"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2"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2" s="9" t="str" cm="1">
        <f t="array" aca="1" ref="Q12" ca="1">IF(
    errorMessagesTable[[#This Row],[filteredIndex]] = "",
    "",
    IF(
      errorMessagesTable[[#This Row],[index]] = 1,
      "",
      INDEX(errorMessagesTable[concatErrors], errorMessagesTable[[#This Row],[index]]-1)
      &amp; CHAR(10) &amp; CHAR(10)
    )
    &amp; INDEX(errorMessagesTable[langSpecError], errorMessagesTable[[#This Row],[index]])
  )</f>
        <v/>
      </c>
      <c r="W12" s="177" cm="1">
        <f t="array" ref="W12">ROW()-ROW(structuredFormulaeTable[#Headers])</f>
        <v>10</v>
      </c>
      <c r="X12" s="1" t="s">
        <v>420</v>
      </c>
      <c r="Y12" s="1" t="s">
        <v>510</v>
      </c>
      <c r="Z12" s="1" t="b" cm="1">
        <f t="array" ref="Z12">behaviourInclude2</f>
        <v>0</v>
      </c>
      <c r="AA12" s="178" t="s">
        <v>511</v>
      </c>
      <c r="AB12" s="164" t="s">
        <v>645</v>
      </c>
      <c r="AY12" s="189"/>
      <c r="BW12" s="181" cm="1">
        <f t="array" ref="BW12">ROW()-ROW(cutoffTable[#Headers])</f>
        <v>10</v>
      </c>
      <c r="BX12" s="182">
        <v>1</v>
      </c>
      <c r="BY12" s="1" t="s">
        <v>295</v>
      </c>
      <c r="BZ12" s="177" cm="1">
        <f t="array" ref="BZ12">SUMPRODUCT(
    (behaviourScore &lt;&gt; "")
  * (behaviourScore &gt;= IF(cutoffTable[[#This Row],[index]] = 1, 0, INDEX(cutoffTable[cutoffLevel], cutoffTable[[#This Row],[index]]-1)))
  * IF(
      cutoffTable[[#This Row],[cutoffLevel]] = 1,
      behaviourScore &lt;= 1,
      behaviourScore &lt; cutoffTable[[#This Row],[cutoffLevel]]
    )
  )</f>
        <v>0</v>
      </c>
      <c r="CA12" s="177" cm="1">
        <f t="array" ref="CA12">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2" s="177" cm="1">
        <f t="array" ref="CB12">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12" s="1" cm="1">
        <f t="array" ref="CD12">ROW()-ROW(recommendedCutoffTable[#Headers])</f>
        <v>10</v>
      </c>
      <c r="CE12" s="183">
        <f>(recommendedCutoffTable[[#This Row],[index]] - 1) / 100</f>
        <v>0.09</v>
      </c>
      <c r="CF12" s="1" cm="1">
        <f t="array" ref="CF12">ABS(
    numScores
  - 2 * SUMPRODUCT((behaviourScore &lt;&gt; "") * (behaviourScore &lt; recommendedCutoffTable[[#This Row],[cutoffLevel]]))
  )</f>
        <v>0</v>
      </c>
      <c r="CM12" s="1" cm="1">
        <f t="array" ref="CM12">ROW()-ROW(factorsTable[#Headers])</f>
        <v>10</v>
      </c>
      <c r="CN12" s="1" t="str">
        <f>IFERROR(
    INDEX(
      factorsConfigTable[factorHeader],
      MATCH(factorsTable[[#This Row],[index]], factorsConfigTable[index], 0)
    ),#REF!
  ) &amp; ""</f>
        <v/>
      </c>
      <c r="CO12" s="1" t="str">
        <f>IF(
    factorsTable[[#This Row],[factorHeader]] = "",
    "",
    _xlfn.IFNA(
      MATCH(factorsTable[[#This Row],[factorHeader]], dataHeaders, 0),
      _xlfn.IFNA(
        MATCH("*/" &amp; factorsTable[[#This Row],[factorHeader]], dataHeaders, 0),
        MATCH("*-" &amp; factorsTable[[#This Row],[factorHeader]], dataHeaders, 0)
      )
    )
  )</f>
        <v/>
      </c>
      <c r="CP12" s="1" t="str">
        <f>IF(
    factorsTable[[#This Row],[factorHeader]] = "",
    "",
    IF(
      IFERROR(
        INDEX(
          factorsConfigTable[minScore],
          MATCH(factorsTable[[#This Row],[index]], factorsConfigTable[index], 0)
        ),#REF!
      ) = "",
      NA(),
      IFERROR(
        INDEX(
          factorsConfigTable[minScore],
          MATCH(factorsTable[[#This Row],[index]], factorsConfigTable[index], 0)
        ),#REF!
      )
    )
  )</f>
        <v/>
      </c>
      <c r="CQ12" s="1" t="str">
        <f>IF(
    factorsTable[[#This Row],[factorHeader]] = "",
    "",
    IF(
      IFERROR(
        INDEX(
          factorsConfigTable[maxScore],
          MATCH(factorsTable[[#This Row],[index]], factorsConfigTable[index], 0)
        ),#REF!
      ) = "",
      NA(),
      IFERROR(
        INDEX(
          factorsConfigTable[maxScore],
          MATCH(factorsTable[[#This Row],[index]], factorsConfigTable[index], 0)
        ),#REF!
      )
    )
  )</f>
        <v/>
      </c>
      <c r="CR12" s="1" t="str">
        <f>IF(
    factorsTable[[#This Row],[factorHeader]] = "",
    "",
    IF(
      ISERROR(factorsTable[[#This Row],[factorColNum]]),
      NA(),
      IF(
        ISNA(INDEX(dataRange,1,1)),
        NA(),
        MIN(INDEX(dataRange, , factorsTable[[#This Row],[factorColNum]]))
      )
    )
  )</f>
        <v/>
      </c>
      <c r="CS12" s="1" t="str">
        <f>IF(
    factorsTable[[#This Row],[factorHeader]] = "",
    "",
    IF(
      ISERROR(factorsTable[[#This Row],[factorColNum]]),
      NA(),
      IF(
        ISNA(INDEX(dataRange,1,1)),
        NA(),
        MAX(INDEX(dataRange, , factorsTable[[#This Row],[factorColNum]]))
      )
    )
  )</f>
        <v/>
      </c>
      <c r="CT12" s="1" t="b" cm="1">
        <f t="array" aca="1" ref="CT12" ca="1">AND(
    NOT(errorNoDataSheet),
    factorsTable[[#This Row],[factorHeader]] &lt;&gt; "",
    NOT(ISERROR(factorsTable[[#This Row],[factorColNum]])),
    IFERROR(factorsTable[[#This Row],[display]], FALSE),
    IFERROR(factorsTable[[#This Row],[minValue]] &lt; factorsTable[[#This Row],[minScore]], FALSE)
  )</f>
        <v>0</v>
      </c>
      <c r="CU12" s="1" t="b" cm="1">
        <f t="array" aca="1" ref="CU12" ca="1">AND(
    NOT(errorNoDataSheet),
    factorsTable[[#This Row],[factorHeader]] &lt;&gt; "",
    NOT(ISERROR(factorsTable[[#This Row],[factorColNum]])),
    IFERROR(factorsTable[[#This Row],[display]], FALSE),
    IFERROR(factorsTable[[#This Row],[maxValue]] &gt; factorsTable[[#This Row],[maxScore]], FALSE)
  )</f>
        <v>0</v>
      </c>
      <c r="CV12" s="1" t="str" cm="1">
        <f t="array" ref="CV12">IF(
    factorsTable[[#This Row],[factorHeader]] = "",
    "",
    IF(
      ISNA(INDEX(dataRange,1,1)),
      NA(),
      SUMPRODUCT(
          IF(isDoer = "", 0, NOT(isDoer))
        * (INDEX(dataRange, , factorsTable[[#This Row],[factorColNum]]) &lt;&gt; "")
      )
    )
  )</f>
        <v/>
      </c>
      <c r="CW12" s="1" t="str" cm="1">
        <f t="array" ref="CW12">IF(
    factorsTable[[#This Row],[factorHeader]] = "",
    "",
    IF(
      ISNA(INDEX(dataRange,1,1)),
      NA(),
      SUMPRODUCT(
          IF(isDoer = "", 0, isDoer)
        * (INDEX(dataRange, , factorsTable[[#This Row],[factorColNum]]) &lt;&gt; "")
      )
    )
  )</f>
        <v/>
      </c>
      <c r="CX12" s="1"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2" s="1" t="str" cm="1">
        <f t="array" ref="CY1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2" s="1" t="str" cm="1">
        <f t="array" ref="CZ1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2" s="1" t="str">
        <f>IF(
    factorsTable[[#This Row],[factorHeader]] = "",
    "",
    factorsTable[[#This Row],[doers]] - factorsTable[[#This Row],[nondoers]]
  )</f>
        <v/>
      </c>
      <c r="DB12" s="1" t="str">
        <f>IF(
    factorsTable[[#This Row],[factorHeader]] = "",
    "",
    IFERROR(
      INDEX(
        yesNoTable[tag],
        MATCH(
          IFERROR(
            INDEX(
              factorsConfigTable[displayConfig],
              MATCH(factorsTable[[#This Row],[index]], factorsConfigTable[index], 0)
            ),#REF!
          ),
          yesNoTable[label],
          0
        )
      ),
      ""
    )
  )</f>
        <v/>
      </c>
      <c r="DC12" s="177" t="b">
        <f>IF(
    factorsTable[[#This Row],[factorHeader]] = "",
    FALSE,
    IF(
      factorsTable[[#This Row],[displayConfig]] = "yes",
      TRUE,
      IF(
        factorsTable[[#This Row],[displayConfig]] = "no",
        FALSE,
        NA()
      )
    )
  )</f>
        <v>0</v>
      </c>
      <c r="DD12" s="177" t="str" cm="1">
        <f t="array" ref="DD12">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2" s="177" t="str">
        <f>IF(
    factorsTable[[#This Row],[filteredIndex]] = "",
    "",
    _xlfn.IFNA(
      INDEX(
        factorsTable[difference],
        MATCH(factorsTable[[#This Row],[filteredIndex]], factorsTable[index], 0)
      ),
      -99
    )
  )</f>
        <v/>
      </c>
      <c r="DF12" s="177" t="str">
        <f>IF(
    factorsTable[[#This Row],[filteredIndex]] = "",
    "",
    IF(
      factorsTable[[#This Row],[relDiff]] = -99,
      -99,
      ABS(factorsTable[[#This Row],[relDiff]])
    )
  )</f>
        <v/>
      </c>
      <c r="DG12" s="177" t="str">
        <f>IF(
    factorsTable[[#This Row],[filteredIndex]] = "",
    "",
    IFERROR(
      INDEX(
        RANASBlocksTable[index],
        MATCH(
          IFERROR(
            INDEX(
              factorsConfigTable[RANASBlock],
              MATCH(factorsTable[[#This Row],[filteredIndex]], factorsConfigTable[index], 0)
            ),#REF!
          ),
          RANASBlocksTable[label],
          0
        )
      ),
      6
    )
  )</f>
        <v/>
      </c>
      <c r="DH12" s="177" t="str">
        <f>IF(
    factorsTable[[#This Row],[filteredIndex]] = "",
    "",
    _xlfn.RANK.EQ(factorsTable[[#This Row],[relDiff]], factorsTable[relDiff], 0)
  )</f>
        <v/>
      </c>
      <c r="DI12" s="177" t="str">
        <f>IF(
    factorsTable[[#This Row],[filteredIndex]] = "",
    "",
    _xlfn.RANK.EQ(factorsTable[[#This Row],[absDiff]], factorsTable[absDiff], 0)
  )</f>
        <v/>
      </c>
      <c r="DJ12" s="177" t="str">
        <f>IF(
    factorsTable[[#This Row],[filteredIndex]] = "",
    "",
    _xlfn.RANK.EQ(factorsTable[[#This Row],[RANASIndex]], factorsTable[RANASIndex], 1)
  )</f>
        <v/>
      </c>
      <c r="DK12" s="177" t="str" cm="1">
        <f t="array" ref="DK12">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2" s="177" t="str">
        <f>IF(
    factorsTable[[#This Row],[filteredIndex]] = "",
    "",
    factorsTable[[#This Row],[selectedRank]]
      + COUNTIF(INDEX(factorsTable[selectedRank], 1):INDEX(factorsTable[selectedRank], factorsTable[[#This Row],[index]]), factorsTable[[#This Row],[selectedRank]])
      - 1
  )</f>
        <v/>
      </c>
      <c r="DM12" s="177" t="str">
        <f>IF(
    factorsTable[[#This Row],[filteredIndex]] = "",
    "",
    IFERROR(
      INDEX(
        factorsTable[filteredIndex],
        MATCH(factorsTable[[#This Row],[index]], factorsTable[uniqueRank], 0)
      ),#REF!
    )
  )</f>
        <v/>
      </c>
      <c r="DN12" s="177" t="str">
        <f>IF(
    factorsTable[[#This Row],[sortedIndex]] = "",
    "",
    INDEX(
      INDEX(
        factorsConfigTable[],
        0,
        MATCH(
          chartLanguage,
          languageHeadersList,
          0
        )
        + MATCH(factorsConfigTable[[#Headers],[lang1]], factorsConfigTable[#Headers], 0)
        - 1
      ),
      MATCH(factorsTable[[#This Row],[sortedIndex]], factorsConfigTable[index], 0)
    ) &amp; ""
  )</f>
        <v/>
      </c>
      <c r="DO12"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2" s="177" t="str">
        <f>IF(
    factorsTable[[#This Row],[sortedIndex]] = "",
    "",
    IFERROR(
      INDEX(
        RANASBlocksTable[tag],
        MATCH(
          IFERROR(
            INDEX(
              factorsConfigTable[RANASBlock],
              MATCH(factorsTable[[#This Row],[sortedIndex]], factorsConfigTable[index], 0)
            ),#REF!
          ),
          RANASBlocksTable[label],
          0
        )
      ),
      NA()
    )
  )</f>
        <v/>
      </c>
      <c r="DQ12"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2"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2" s="177" t="str">
        <f>IF(
    factorsTable[[#This Row],[sortedIndex]] = "",
    "",
    INDEX(factorsTable[numTotal], MATCH(factorsTable[[#This Row],[sortedIndex]], factorsTable[index], 0))
  )</f>
        <v/>
      </c>
      <c r="DT12" s="177" t="str">
        <f>IF(
    factorsTable[[#This Row],[sortedIndex]] = "",
    "",
    INDEX(factorsTable[nondoers], MATCH(factorsTable[[#This Row],[sortedIndex]], factorsTable[index], 0))
  )</f>
        <v/>
      </c>
      <c r="DU12" s="177" t="str">
        <f>IF(
    factorsTable[[#This Row],[sortedIndex]] = "",
    "",
    INDEX(factorsTable[doers], MATCH(factorsTable[[#This Row],[sortedIndex]], factorsTable[index], 0))
  )</f>
        <v/>
      </c>
      <c r="DV12" s="177" t="str">
        <f>IF(
    factorsTable[[#This Row],[sortedIndex]] = "",
    "",
    INDEX(factorsTable[difference], MATCH(factorsTable[[#This Row],[sortedIndex]], factorsTable[index], 0))
  )</f>
        <v/>
      </c>
    </row>
    <row r="13" spans="5:126" ht="14.4" customHeight="1" x14ac:dyDescent="0.3">
      <c r="E13" s="187" cm="1">
        <f t="array" ref="E13">ROW()-ROW(UITranslationTable[#Headers])</f>
        <v>11</v>
      </c>
      <c r="F13" s="9" t="s">
        <v>313</v>
      </c>
      <c r="G13" s="190" t="str" cm="1">
        <f t="array" aca="1" ref="G13" ca="1">"Errors detected by the RANAS Analyser (e.g., missing or inconsistent values) are highlighted in red and explanations are displayed in the two ""Error messages"" boards of the """ &amp; sheetNameConfiguration &amp; """ sheet."</f>
        <v>Errors detected by the RANAS Analyser (e.g., missing or inconsistent values) are highlighted in red and explanations are displayed in the two "Error messages" boards of the "Configuration" sheet.</v>
      </c>
      <c r="H13" s="176" t="str" cm="1">
        <f t="array" aca="1" ref="H13" ca="1">"Les erreurs détectées par le RANAS Analyser (p. ex., valeurs manquantes ou incohérentes) sont signalées en rouge et des explications sont affichées sur les panneaux «Messages d'erreur» de la feuille «" &amp; sheetNameConfiguration &amp; "»."</f>
        <v>Les erreurs détectées par le RANAS Analyser (p. ex., valeurs manquantes ou incohérentes) sont signalées en rouge et des explications sont affichées sur les panneaux «Messages d'erreur» de la feuille «Configuration».</v>
      </c>
      <c r="J13" s="1" cm="1">
        <f t="array" ref="J13">ROW()-ROW(errorMessagesTable[#Headers])</f>
        <v>11</v>
      </c>
      <c r="K13" s="1" t="s">
        <v>432</v>
      </c>
      <c r="L13" s="1" t="b" cm="1">
        <f t="array" aca="1" ref="L13" ca="1">errorFactorDisplay</f>
        <v>0</v>
      </c>
      <c r="M13" s="176" t="s">
        <v>347</v>
      </c>
      <c r="N13" s="176" t="s">
        <v>344</v>
      </c>
      <c r="O13" s="1" t="str" cm="1">
        <f t="array" aca="1" ref="O13"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3"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3" s="9" t="str" cm="1">
        <f t="array" aca="1" ref="Q13" ca="1">IF(
    errorMessagesTable[[#This Row],[filteredIndex]] = "",
    "",
    IF(
      errorMessagesTable[[#This Row],[index]] = 1,
      "",
      INDEX(errorMessagesTable[concatErrors], errorMessagesTable[[#This Row],[index]]-1)
      &amp; CHAR(10) &amp; CHAR(10)
    )
    &amp; INDEX(errorMessagesTable[langSpecError], errorMessagesTable[[#This Row],[index]])
  )</f>
        <v/>
      </c>
      <c r="W13" s="177" cm="1">
        <f t="array" ref="W13">ROW()-ROW(structuredFormulaeTable[#Headers])</f>
        <v>11</v>
      </c>
      <c r="X13" s="1" t="s">
        <v>420</v>
      </c>
      <c r="Y13" s="1" t="s">
        <v>512</v>
      </c>
      <c r="Z13" s="1" t="b" cm="1">
        <f t="array" ref="Z13">behaviourInclude3</f>
        <v>0</v>
      </c>
      <c r="AA13" s="178" t="s">
        <v>513</v>
      </c>
      <c r="AB13" s="164" t="s">
        <v>646</v>
      </c>
      <c r="AY13" s="189"/>
      <c r="CD13" s="1" cm="1">
        <f t="array" ref="CD13">ROW()-ROW(recommendedCutoffTable[#Headers])</f>
        <v>11</v>
      </c>
      <c r="CE13" s="183">
        <f>(recommendedCutoffTable[[#This Row],[index]] - 1) / 100</f>
        <v>0.1</v>
      </c>
      <c r="CF13" s="1" cm="1">
        <f t="array" ref="CF13">ABS(
    numScores
  - 2 * SUMPRODUCT((behaviourScore &lt;&gt; "") * (behaviourScore &lt; recommendedCutoffTable[[#This Row],[cutoffLevel]]))
  )</f>
        <v>0</v>
      </c>
      <c r="CM13" s="177" cm="1">
        <f t="array" ref="CM13">ROW()-ROW(factorsTable[#Headers])</f>
        <v>11</v>
      </c>
      <c r="CN13" s="177" t="str">
        <f>IFERROR(
    INDEX(
      factorsConfigTable[factorHeader],
      MATCH(factorsTable[[#This Row],[index]], factorsConfigTable[index], 0)
    ),#REF!
  ) &amp; ""</f>
        <v/>
      </c>
      <c r="CO13" s="177" t="str">
        <f>IF(
    factorsTable[[#This Row],[factorHeader]] = "",
    "",
    _xlfn.IFNA(
      MATCH(factorsTable[[#This Row],[factorHeader]], dataHeaders, 0),
      _xlfn.IFNA(
        MATCH("*/" &amp; factorsTable[[#This Row],[factorHeader]], dataHeaders, 0),
        MATCH("*-" &amp; factorsTable[[#This Row],[factorHeader]], dataHeaders, 0)
      )
    )
  )</f>
        <v/>
      </c>
      <c r="CP13" s="177" t="str">
        <f>IF(
    factorsTable[[#This Row],[factorHeader]] = "",
    "",
    IF(
      IFERROR(
        INDEX(
          factorsConfigTable[minScore],
          MATCH(factorsTable[[#This Row],[index]], factorsConfigTable[index], 0)
        ),#REF!
      ) = "",
      NA(),
      IFERROR(
        INDEX(
          factorsConfigTable[minScore],
          MATCH(factorsTable[[#This Row],[index]], factorsConfigTable[index], 0)
        ),#REF!
      )
    )
  )</f>
        <v/>
      </c>
      <c r="CQ13" s="177" t="str">
        <f>IF(
    factorsTable[[#This Row],[factorHeader]] = "",
    "",
    IF(
      IFERROR(
        INDEX(
          factorsConfigTable[maxScore],
          MATCH(factorsTable[[#This Row],[index]], factorsConfigTable[index], 0)
        ),#REF!
      ) = "",
      NA(),
      IFERROR(
        INDEX(
          factorsConfigTable[maxScore],
          MATCH(factorsTable[[#This Row],[index]], factorsConfigTable[index], 0)
        ),#REF!
      )
    )
  )</f>
        <v/>
      </c>
      <c r="CR13" s="177" t="str">
        <f>IF(
    factorsTable[[#This Row],[factorHeader]] = "",
    "",
    IF(
      ISERROR(factorsTable[[#This Row],[factorColNum]]),
      NA(),
      IF(
        ISNA(INDEX(dataRange,1,1)),
        NA(),
        MIN(INDEX(dataRange, , factorsTable[[#This Row],[factorColNum]]))
      )
    )
  )</f>
        <v/>
      </c>
      <c r="CS13" s="177" t="str">
        <f>IF(
    factorsTable[[#This Row],[factorHeader]] = "",
    "",
    IF(
      ISERROR(factorsTable[[#This Row],[factorColNum]]),
      NA(),
      IF(
        ISNA(INDEX(dataRange,1,1)),
        NA(),
        MAX(INDEX(dataRange, , factorsTable[[#This Row],[factorColNum]]))
      )
    )
  )</f>
        <v/>
      </c>
      <c r="CT13" s="177" t="b" cm="1">
        <f t="array" aca="1" ref="CT13" ca="1">AND(
    NOT(errorNoDataSheet),
    factorsTable[[#This Row],[factorHeader]] &lt;&gt; "",
    NOT(ISERROR(factorsTable[[#This Row],[factorColNum]])),
    IFERROR(factorsTable[[#This Row],[display]], FALSE),
    IFERROR(factorsTable[[#This Row],[minValue]] &lt; factorsTable[[#This Row],[minScore]], FALSE)
  )</f>
        <v>0</v>
      </c>
      <c r="CU13" s="177" t="b" cm="1">
        <f t="array" aca="1" ref="CU13" ca="1">AND(
    NOT(errorNoDataSheet),
    factorsTable[[#This Row],[factorHeader]] &lt;&gt; "",
    NOT(ISERROR(factorsTable[[#This Row],[factorColNum]])),
    IFERROR(factorsTable[[#This Row],[display]], FALSE),
    IFERROR(factorsTable[[#This Row],[maxValue]] &gt; factorsTable[[#This Row],[maxScore]], FALSE)
  )</f>
        <v>0</v>
      </c>
      <c r="CV13" s="177" t="str" cm="1">
        <f t="array" ref="CV13">IF(
    factorsTable[[#This Row],[factorHeader]] = "",
    "",
    IF(
      ISNA(INDEX(dataRange,1,1)),
      NA(),
      SUMPRODUCT(
          IF(isDoer = "", 0, NOT(isDoer))
        * (INDEX(dataRange, , factorsTable[[#This Row],[factorColNum]]) &lt;&gt; "")
      )
    )
  )</f>
        <v/>
      </c>
      <c r="CW13" s="177" t="str" cm="1">
        <f t="array" ref="CW13">IF(
    factorsTable[[#This Row],[factorHeader]] = "",
    "",
    IF(
      ISNA(INDEX(dataRange,1,1)),
      NA(),
      SUMPRODUCT(
          IF(isDoer = "", 0, isDoer)
        * (INDEX(dataRange, , factorsTable[[#This Row],[factorColNum]]) &lt;&gt; "")
      )
    )
  )</f>
        <v/>
      </c>
      <c r="CX13"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3" s="177" t="str" cm="1">
        <f t="array" ref="CY1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3" s="177" t="str" cm="1">
        <f t="array" ref="CZ1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3" s="177" t="str">
        <f>IF(
    factorsTable[[#This Row],[factorHeader]] = "",
    "",
    factorsTable[[#This Row],[doers]] - factorsTable[[#This Row],[nondoers]]
  )</f>
        <v/>
      </c>
      <c r="DB13" s="177" t="str">
        <f>IF(
    factorsTable[[#This Row],[factorHeader]] = "",
    "",
    IFERROR(
      INDEX(
        yesNoTable[tag],
        MATCH(
          IFERROR(
            INDEX(
              factorsConfigTable[displayConfig],
              MATCH(factorsTable[[#This Row],[index]], factorsConfigTable[index], 0)
            ),#REF!
          ),
          yesNoTable[label],
          0
        )
      ),
      ""
    )
  )</f>
        <v/>
      </c>
      <c r="DC13" s="177" t="b">
        <f>IF(
    factorsTable[[#This Row],[factorHeader]] = "",
    FALSE,
    IF(
      factorsTable[[#This Row],[displayConfig]] = "yes",
      TRUE,
      IF(
        factorsTable[[#This Row],[displayConfig]] = "no",
        FALSE,
        NA()
      )
    )
  )</f>
        <v>0</v>
      </c>
      <c r="DD13" s="177" t="str" cm="1">
        <f t="array" ref="DD13">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3" s="177" t="str">
        <f>IF(
    factorsTable[[#This Row],[filteredIndex]] = "",
    "",
    _xlfn.IFNA(
      INDEX(
        factorsTable[difference],
        MATCH(factorsTable[[#This Row],[filteredIndex]], factorsTable[index], 0)
      ),
      -99
    )
  )</f>
        <v/>
      </c>
      <c r="DF13" s="177" t="str">
        <f>IF(
    factorsTable[[#This Row],[filteredIndex]] = "",
    "",
    IF(
      factorsTable[[#This Row],[relDiff]] = -99,
      -99,
      ABS(factorsTable[[#This Row],[relDiff]])
    )
  )</f>
        <v/>
      </c>
      <c r="DG13" s="177" t="str">
        <f>IF(
    factorsTable[[#This Row],[filteredIndex]] = "",
    "",
    IFERROR(
      INDEX(
        RANASBlocksTable[index],
        MATCH(
          IFERROR(
            INDEX(
              factorsConfigTable[RANASBlock],
              MATCH(factorsTable[[#This Row],[filteredIndex]], factorsConfigTable[index], 0)
            ),#REF!
          ),
          RANASBlocksTable[label],
          0
        )
      ),
      6
    )
  )</f>
        <v/>
      </c>
      <c r="DH13" s="177" t="str">
        <f>IF(
    factorsTable[[#This Row],[filteredIndex]] = "",
    "",
    _xlfn.RANK.EQ(factorsTable[[#This Row],[relDiff]], factorsTable[relDiff], 0)
  )</f>
        <v/>
      </c>
      <c r="DI13" s="177" t="str">
        <f>IF(
    factorsTable[[#This Row],[filteredIndex]] = "",
    "",
    _xlfn.RANK.EQ(factorsTable[[#This Row],[absDiff]], factorsTable[absDiff], 0)
  )</f>
        <v/>
      </c>
      <c r="DJ13" s="177" t="str">
        <f>IF(
    factorsTable[[#This Row],[filteredIndex]] = "",
    "",
    _xlfn.RANK.EQ(factorsTable[[#This Row],[RANASIndex]], factorsTable[RANASIndex], 1)
  )</f>
        <v/>
      </c>
      <c r="DK13" s="177" t="str" cm="1">
        <f t="array" ref="DK13">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3" s="177" t="str">
        <f>IF(
    factorsTable[[#This Row],[filteredIndex]] = "",
    "",
    factorsTable[[#This Row],[selectedRank]]
      + COUNTIF(INDEX(factorsTable[selectedRank], 1):INDEX(factorsTable[selectedRank], factorsTable[[#This Row],[index]]), factorsTable[[#This Row],[selectedRank]])
      - 1
  )</f>
        <v/>
      </c>
      <c r="DM13" s="177" t="str">
        <f>IF(
    factorsTable[[#This Row],[filteredIndex]] = "",
    "",
    IFERROR(
      INDEX(
        factorsTable[filteredIndex],
        MATCH(factorsTable[[#This Row],[index]], factorsTable[uniqueRank], 0)
      ),#REF!
    )
  )</f>
        <v/>
      </c>
      <c r="DN13" s="177" t="str">
        <f>IF(
    factorsTable[[#This Row],[sortedIndex]] = "",
    "",
    INDEX(
      INDEX(
        factorsConfigTable[],
        0,
        MATCH(
          chartLanguage,
          languageHeadersList,
          0
        )
        + MATCH(factorsConfigTable[[#Headers],[lang1]], factorsConfigTable[#Headers], 0)
        - 1
      ),
      MATCH(factorsTable[[#This Row],[sortedIndex]], factorsConfigTable[index], 0)
    ) &amp; ""
  )</f>
        <v/>
      </c>
      <c r="DO13"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3" s="177" t="str">
        <f>IF(
    factorsTable[[#This Row],[sortedIndex]] = "",
    "",
    IFERROR(
      INDEX(
        RANASBlocksTable[tag],
        MATCH(
          IFERROR(
            INDEX(
              factorsConfigTable[RANASBlock],
              MATCH(factorsTable[[#This Row],[sortedIndex]], factorsConfigTable[index], 0)
            ),#REF!
          ),
          RANASBlocksTable[label],
          0
        )
      ),
      NA()
    )
  )</f>
        <v/>
      </c>
      <c r="DQ13"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3"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3" s="177" t="str">
        <f>IF(
    factorsTable[[#This Row],[sortedIndex]] = "",
    "",
    INDEX(factorsTable[numTotal], MATCH(factorsTable[[#This Row],[sortedIndex]], factorsTable[index], 0))
  )</f>
        <v/>
      </c>
      <c r="DT13" s="177" t="str">
        <f>IF(
    factorsTable[[#This Row],[sortedIndex]] = "",
    "",
    INDEX(factorsTable[nondoers], MATCH(factorsTable[[#This Row],[sortedIndex]], factorsTable[index], 0))
  )</f>
        <v/>
      </c>
      <c r="DU13" s="177" t="str">
        <f>IF(
    factorsTable[[#This Row],[sortedIndex]] = "",
    "",
    INDEX(factorsTable[doers], MATCH(factorsTable[[#This Row],[sortedIndex]], factorsTable[index], 0))
  )</f>
        <v/>
      </c>
      <c r="DV13" s="177" t="str">
        <f>IF(
    factorsTable[[#This Row],[sortedIndex]] = "",
    "",
    INDEX(factorsTable[difference], MATCH(factorsTable[[#This Row],[sortedIndex]], factorsTable[index], 0))
  )</f>
        <v/>
      </c>
    </row>
    <row r="14" spans="5:126" ht="14.4" customHeight="1" x14ac:dyDescent="0.3">
      <c r="E14" s="187" cm="1">
        <f t="array" ref="E14">ROW()-ROW(UITranslationTable[#Headers])</f>
        <v>12</v>
      </c>
      <c r="F14" s="9" t="s">
        <v>330</v>
      </c>
      <c r="G14" s="190" t="s">
        <v>331</v>
      </c>
      <c r="H14" s="176" t="s">
        <v>333</v>
      </c>
      <c r="J14" s="1" cm="1">
        <f t="array" ref="J14">ROW()-ROW(errorMessagesTable[#Headers])</f>
        <v>12</v>
      </c>
      <c r="K14" s="1" t="s">
        <v>433</v>
      </c>
      <c r="L14" s="1" t="b" cm="1">
        <f t="array" aca="1" ref="L14" ca="1">errorFactorNoneSelected</f>
        <v>0</v>
      </c>
      <c r="M14" s="176" t="str" cm="1">
        <f t="array" ref="M14">"None of the valid data headers in the ""RANAS factors"" table is selected, so no doer / non-doer analysis can be done." &amp; " Please use the drop-down menus in the ""Display?"" column (red cells) to add a tick mark (" &amp; yesLabel &amp; ") to at least one of the valid data headers."</f>
        <v>None of the valid data headers in the "RANAS factors" table is selected, so no doer / non-doer analysis can be done. Please use the drop-down menus in the "Display?" column (red cells) to add a tick mark (✔) to at least one of the valid data headers.</v>
      </c>
      <c r="N14" s="176" t="str" cm="1">
        <f t="array" ref="N14">"Aucun des en-têtes de données valables du tableau «Facteurs RANAS» n'est sélectionné et aucune analyse pratiquant / non-pratiquant ne peut donc être effectuée." &amp; " Veuillez utiliser le menu déroulant dans la colonne «Afficher?» (cellules rouges) pour ajouter une coche (" &amp; yesLabel &amp; ") à au moins l'un des en-têtes valables."</f>
        <v>Aucun des en-têtes de données valables du tableau «Facteurs RANAS» n'est sélectionné et aucune analyse pratiquant / non-pratiquant ne peut donc être effectuée. Veuillez utiliser le menu déroulant dans la colonne «Afficher?» (cellules rouges) pour ajouter une coche (✔) à au moins l'un des en-têtes valables.</v>
      </c>
      <c r="O14" s="1" t="str" cm="1">
        <f t="array" aca="1" ref="O14"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4"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4" s="9" t="str" cm="1">
        <f t="array" aca="1" ref="Q14" ca="1">IF(
    errorMessagesTable[[#This Row],[filteredIndex]] = "",
    "",
    IF(
      errorMessagesTable[[#This Row],[index]] = 1,
      "",
      INDEX(errorMessagesTable[concatErrors], errorMessagesTable[[#This Row],[index]]-1)
      &amp; CHAR(10) &amp; CHAR(10)
    )
    &amp; INDEX(errorMessagesTable[langSpecError], errorMessagesTable[[#This Row],[index]])
  )</f>
        <v/>
      </c>
      <c r="W14" s="177" cm="1">
        <f t="array" ref="W14">ROW()-ROW(structuredFormulaeTable[#Headers])</f>
        <v>12</v>
      </c>
      <c r="X14" s="1" t="s">
        <v>420</v>
      </c>
      <c r="Y14" s="1" t="s">
        <v>514</v>
      </c>
      <c r="Z14" s="1" t="b" cm="1">
        <f t="array" ref="Z14">behaviourInclude4</f>
        <v>0</v>
      </c>
      <c r="AA14" s="178" t="s">
        <v>515</v>
      </c>
      <c r="AB14" s="164" t="s">
        <v>647</v>
      </c>
      <c r="CD14" s="1" cm="1">
        <f t="array" ref="CD14">ROW()-ROW(recommendedCutoffTable[#Headers])</f>
        <v>12</v>
      </c>
      <c r="CE14" s="183">
        <f>(recommendedCutoffTable[[#This Row],[index]] - 1) / 100</f>
        <v>0.11</v>
      </c>
      <c r="CF14" s="1" cm="1">
        <f t="array" ref="CF14">ABS(
    numScores
  - 2 * SUMPRODUCT((behaviourScore &lt;&gt; "") * (behaviourScore &lt; recommendedCutoffTable[[#This Row],[cutoffLevel]]))
  )</f>
        <v>0</v>
      </c>
      <c r="CM14" s="177" cm="1">
        <f t="array" ref="CM14">ROW()-ROW(factorsTable[#Headers])</f>
        <v>12</v>
      </c>
      <c r="CN14" s="177" t="str">
        <f>IFERROR(
    INDEX(
      factorsConfigTable[factorHeader],
      MATCH(factorsTable[[#This Row],[index]], factorsConfigTable[index], 0)
    ),#REF!
  ) &amp; ""</f>
        <v/>
      </c>
      <c r="CO14" s="177" t="str">
        <f>IF(
    factorsTable[[#This Row],[factorHeader]] = "",
    "",
    _xlfn.IFNA(
      MATCH(factorsTable[[#This Row],[factorHeader]], dataHeaders, 0),
      _xlfn.IFNA(
        MATCH("*/" &amp; factorsTable[[#This Row],[factorHeader]], dataHeaders, 0),
        MATCH("*-" &amp; factorsTable[[#This Row],[factorHeader]], dataHeaders, 0)
      )
    )
  )</f>
        <v/>
      </c>
      <c r="CP14" s="177" t="str">
        <f>IF(
    factorsTable[[#This Row],[factorHeader]] = "",
    "",
    IF(
      IFERROR(
        INDEX(
          factorsConfigTable[minScore],
          MATCH(factorsTable[[#This Row],[index]], factorsConfigTable[index], 0)
        ),#REF!
      ) = "",
      NA(),
      IFERROR(
        INDEX(
          factorsConfigTable[minScore],
          MATCH(factorsTable[[#This Row],[index]], factorsConfigTable[index], 0)
        ),#REF!
      )
    )
  )</f>
        <v/>
      </c>
      <c r="CQ14" s="177" t="str">
        <f>IF(
    factorsTable[[#This Row],[factorHeader]] = "",
    "",
    IF(
      IFERROR(
        INDEX(
          factorsConfigTable[maxScore],
          MATCH(factorsTable[[#This Row],[index]], factorsConfigTable[index], 0)
        ),#REF!
      ) = "",
      NA(),
      IFERROR(
        INDEX(
          factorsConfigTable[maxScore],
          MATCH(factorsTable[[#This Row],[index]], factorsConfigTable[index], 0)
        ),#REF!
      )
    )
  )</f>
        <v/>
      </c>
      <c r="CR14" s="177" t="str">
        <f>IF(
    factorsTable[[#This Row],[factorHeader]] = "",
    "",
    IF(
      ISERROR(factorsTable[[#This Row],[factorColNum]]),
      NA(),
      IF(
        ISNA(INDEX(dataRange,1,1)),
        NA(),
        MIN(INDEX(dataRange, , factorsTable[[#This Row],[factorColNum]]))
      )
    )
  )</f>
        <v/>
      </c>
      <c r="CS14" s="177" t="str">
        <f>IF(
    factorsTable[[#This Row],[factorHeader]] = "",
    "",
    IF(
      ISERROR(factorsTable[[#This Row],[factorColNum]]),
      NA(),
      IF(
        ISNA(INDEX(dataRange,1,1)),
        NA(),
        MAX(INDEX(dataRange, , factorsTable[[#This Row],[factorColNum]]))
      )
    )
  )</f>
        <v/>
      </c>
      <c r="CT14" s="177" t="b" cm="1">
        <f t="array" aca="1" ref="CT14" ca="1">AND(
    NOT(errorNoDataSheet),
    factorsTable[[#This Row],[factorHeader]] &lt;&gt; "",
    NOT(ISERROR(factorsTable[[#This Row],[factorColNum]])),
    IFERROR(factorsTable[[#This Row],[display]], FALSE),
    IFERROR(factorsTable[[#This Row],[minValue]] &lt; factorsTable[[#This Row],[minScore]], FALSE)
  )</f>
        <v>0</v>
      </c>
      <c r="CU14" s="177" t="b" cm="1">
        <f t="array" aca="1" ref="CU14" ca="1">AND(
    NOT(errorNoDataSheet),
    factorsTable[[#This Row],[factorHeader]] &lt;&gt; "",
    NOT(ISERROR(factorsTable[[#This Row],[factorColNum]])),
    IFERROR(factorsTable[[#This Row],[display]], FALSE),
    IFERROR(factorsTable[[#This Row],[maxValue]] &gt; factorsTable[[#This Row],[maxScore]], FALSE)
  )</f>
        <v>0</v>
      </c>
      <c r="CV14" s="177" t="str" cm="1">
        <f t="array" ref="CV14">IF(
    factorsTable[[#This Row],[factorHeader]] = "",
    "",
    IF(
      ISNA(INDEX(dataRange,1,1)),
      NA(),
      SUMPRODUCT(
          IF(isDoer = "", 0, NOT(isDoer))
        * (INDEX(dataRange, , factorsTable[[#This Row],[factorColNum]]) &lt;&gt; "")
      )
    )
  )</f>
        <v/>
      </c>
      <c r="CW14" s="177" t="str" cm="1">
        <f t="array" ref="CW14">IF(
    factorsTable[[#This Row],[factorHeader]] = "",
    "",
    IF(
      ISNA(INDEX(dataRange,1,1)),
      NA(),
      SUMPRODUCT(
          IF(isDoer = "", 0, isDoer)
        * (INDEX(dataRange, , factorsTable[[#This Row],[factorColNum]]) &lt;&gt; "")
      )
    )
  )</f>
        <v/>
      </c>
      <c r="CX14"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4" s="177" t="str" cm="1">
        <f t="array" ref="CY1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4" s="177" t="str" cm="1">
        <f t="array" ref="CZ1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4" s="177" t="str">
        <f>IF(
    factorsTable[[#This Row],[factorHeader]] = "",
    "",
    factorsTable[[#This Row],[doers]] - factorsTable[[#This Row],[nondoers]]
  )</f>
        <v/>
      </c>
      <c r="DB14" s="177" t="str">
        <f>IF(
    factorsTable[[#This Row],[factorHeader]] = "",
    "",
    IFERROR(
      INDEX(
        yesNoTable[tag],
        MATCH(
          IFERROR(
            INDEX(
              factorsConfigTable[displayConfig],
              MATCH(factorsTable[[#This Row],[index]], factorsConfigTable[index], 0)
            ),#REF!
          ),
          yesNoTable[label],
          0
        )
      ),
      ""
    )
  )</f>
        <v/>
      </c>
      <c r="DC14" s="177" t="b">
        <f>IF(
    factorsTable[[#This Row],[factorHeader]] = "",
    FALSE,
    IF(
      factorsTable[[#This Row],[displayConfig]] = "yes",
      TRUE,
      IF(
        factorsTable[[#This Row],[displayConfig]] = "no",
        FALSE,
        NA()
      )
    )
  )</f>
        <v>0</v>
      </c>
      <c r="DD14" s="177" t="str" cm="1">
        <f t="array" ref="DD14">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4" s="177" t="str">
        <f>IF(
    factorsTable[[#This Row],[filteredIndex]] = "",
    "",
    _xlfn.IFNA(
      INDEX(
        factorsTable[difference],
        MATCH(factorsTable[[#This Row],[filteredIndex]], factorsTable[index], 0)
      ),
      -99
    )
  )</f>
        <v/>
      </c>
      <c r="DF14" s="177" t="str">
        <f>IF(
    factorsTable[[#This Row],[filteredIndex]] = "",
    "",
    IF(
      factorsTable[[#This Row],[relDiff]] = -99,
      -99,
      ABS(factorsTable[[#This Row],[relDiff]])
    )
  )</f>
        <v/>
      </c>
      <c r="DG14" s="177" t="str">
        <f>IF(
    factorsTable[[#This Row],[filteredIndex]] = "",
    "",
    IFERROR(
      INDEX(
        RANASBlocksTable[index],
        MATCH(
          IFERROR(
            INDEX(
              factorsConfigTable[RANASBlock],
              MATCH(factorsTable[[#This Row],[filteredIndex]], factorsConfigTable[index], 0)
            ),#REF!
          ),
          RANASBlocksTable[label],
          0
        )
      ),
      6
    )
  )</f>
        <v/>
      </c>
      <c r="DH14" s="177" t="str">
        <f>IF(
    factorsTable[[#This Row],[filteredIndex]] = "",
    "",
    _xlfn.RANK.EQ(factorsTable[[#This Row],[relDiff]], factorsTable[relDiff], 0)
  )</f>
        <v/>
      </c>
      <c r="DI14" s="177" t="str">
        <f>IF(
    factorsTable[[#This Row],[filteredIndex]] = "",
    "",
    _xlfn.RANK.EQ(factorsTable[[#This Row],[absDiff]], factorsTable[absDiff], 0)
  )</f>
        <v/>
      </c>
      <c r="DJ14" s="177" t="str">
        <f>IF(
    factorsTable[[#This Row],[filteredIndex]] = "",
    "",
    _xlfn.RANK.EQ(factorsTable[[#This Row],[RANASIndex]], factorsTable[RANASIndex], 1)
  )</f>
        <v/>
      </c>
      <c r="DK14" s="177" t="str" cm="1">
        <f t="array" ref="DK14">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4" s="177" t="str">
        <f>IF(
    factorsTable[[#This Row],[filteredIndex]] = "",
    "",
    factorsTable[[#This Row],[selectedRank]]
      + COUNTIF(INDEX(factorsTable[selectedRank], 1):INDEX(factorsTable[selectedRank], factorsTable[[#This Row],[index]]), factorsTable[[#This Row],[selectedRank]])
      - 1
  )</f>
        <v/>
      </c>
      <c r="DM14" s="177" t="str">
        <f>IF(
    factorsTable[[#This Row],[filteredIndex]] = "",
    "",
    IFERROR(
      INDEX(
        factorsTable[filteredIndex],
        MATCH(factorsTable[[#This Row],[index]], factorsTable[uniqueRank], 0)
      ),#REF!
    )
  )</f>
        <v/>
      </c>
      <c r="DN14" s="177" t="str">
        <f>IF(
    factorsTable[[#This Row],[sortedIndex]] = "",
    "",
    INDEX(
      INDEX(
        factorsConfigTable[],
        0,
        MATCH(
          chartLanguage,
          languageHeadersList,
          0
        )
        + MATCH(factorsConfigTable[[#Headers],[lang1]], factorsConfigTable[#Headers], 0)
        - 1
      ),
      MATCH(factorsTable[[#This Row],[sortedIndex]], factorsConfigTable[index], 0)
    ) &amp; ""
  )</f>
        <v/>
      </c>
      <c r="DO14"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4" s="177" t="str">
        <f>IF(
    factorsTable[[#This Row],[sortedIndex]] = "",
    "",
    IFERROR(
      INDEX(
        RANASBlocksTable[tag],
        MATCH(
          IFERROR(
            INDEX(
              factorsConfigTable[RANASBlock],
              MATCH(factorsTable[[#This Row],[sortedIndex]], factorsConfigTable[index], 0)
            ),#REF!
          ),
          RANASBlocksTable[label],
          0
        )
      ),
      NA()
    )
  )</f>
        <v/>
      </c>
      <c r="DQ14"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4"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4" s="177" t="str">
        <f>IF(
    factorsTable[[#This Row],[sortedIndex]] = "",
    "",
    INDEX(factorsTable[numTotal], MATCH(factorsTable[[#This Row],[sortedIndex]], factorsTable[index], 0))
  )</f>
        <v/>
      </c>
      <c r="DT14" s="177" t="str">
        <f>IF(
    factorsTable[[#This Row],[sortedIndex]] = "",
    "",
    INDEX(factorsTable[nondoers], MATCH(factorsTable[[#This Row],[sortedIndex]], factorsTable[index], 0))
  )</f>
        <v/>
      </c>
      <c r="DU14" s="177" t="str">
        <f>IF(
    factorsTable[[#This Row],[sortedIndex]] = "",
    "",
    INDEX(factorsTable[doers], MATCH(factorsTable[[#This Row],[sortedIndex]], factorsTable[index], 0))
  )</f>
        <v/>
      </c>
      <c r="DV14" s="177" t="str">
        <f>IF(
    factorsTable[[#This Row],[sortedIndex]] = "",
    "",
    INDEX(factorsTable[difference], MATCH(factorsTable[[#This Row],[sortedIndex]], factorsTable[index], 0))
  )</f>
        <v/>
      </c>
    </row>
    <row r="15" spans="5:126" ht="14.4" customHeight="1" x14ac:dyDescent="0.3">
      <c r="E15" s="187" cm="1">
        <f t="array" ref="E15">ROW()-ROW(UITranslationTable[#Headers])</f>
        <v>13</v>
      </c>
      <c r="F15" s="9" t="s">
        <v>332</v>
      </c>
      <c r="G15" s="191" t="s">
        <v>338</v>
      </c>
      <c r="H15" s="176" t="s">
        <v>314</v>
      </c>
      <c r="J15" s="1" cm="1">
        <f t="array" ref="J15">ROW()-ROW(errorMessagesTable[#Headers])</f>
        <v>13</v>
      </c>
      <c r="K15" s="1" t="s">
        <v>434</v>
      </c>
      <c r="L15" s="1" t="b" cm="1">
        <f t="array" aca="1" ref="L15" ca="1">errorFactorMinMaxInvalid</f>
        <v>0</v>
      </c>
      <c r="M15" s="176" t="s">
        <v>348</v>
      </c>
      <c r="N15" s="176" t="s">
        <v>345</v>
      </c>
      <c r="O15" s="1" t="str" cm="1">
        <f t="array" aca="1" ref="O15"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5"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5" s="9" t="str" cm="1">
        <f t="array" aca="1" ref="Q15" ca="1">IF(
    errorMessagesTable[[#This Row],[filteredIndex]] = "",
    "",
    IF(
      errorMessagesTable[[#This Row],[index]] = 1,
      "",
      INDEX(errorMessagesTable[concatErrors], errorMessagesTable[[#This Row],[index]]-1)
      &amp; CHAR(10) &amp; CHAR(10)
    )
    &amp; INDEX(errorMessagesTable[langSpecError], errorMessagesTable[[#This Row],[index]])
  )</f>
        <v/>
      </c>
      <c r="W15" s="177" cm="1">
        <f t="array" ref="W15">ROW()-ROW(structuredFormulaeTable[#Headers])</f>
        <v>13</v>
      </c>
      <c r="X15" s="1" t="s">
        <v>420</v>
      </c>
      <c r="Y15" s="1" t="s">
        <v>516</v>
      </c>
      <c r="Z15" s="1" t="b" cm="1">
        <f t="array" ref="Z15">behaviourInclude5</f>
        <v>0</v>
      </c>
      <c r="AA15" s="178" t="s">
        <v>517</v>
      </c>
      <c r="AB15" s="164" t="s">
        <v>648</v>
      </c>
      <c r="BW15" s="192"/>
      <c r="CD15" s="1" cm="1">
        <f t="array" ref="CD15">ROW()-ROW(recommendedCutoffTable[#Headers])</f>
        <v>13</v>
      </c>
      <c r="CE15" s="183">
        <f>(recommendedCutoffTable[[#This Row],[index]] - 1) / 100</f>
        <v>0.12</v>
      </c>
      <c r="CF15" s="1" cm="1">
        <f t="array" ref="CF15">ABS(
    numScores
  - 2 * SUMPRODUCT((behaviourScore &lt;&gt; "") * (behaviourScore &lt; recommendedCutoffTable[[#This Row],[cutoffLevel]]))
  )</f>
        <v>0</v>
      </c>
      <c r="CM15" s="177" cm="1">
        <f t="array" ref="CM15">ROW()-ROW(factorsTable[#Headers])</f>
        <v>13</v>
      </c>
      <c r="CN15" s="177" t="str">
        <f>IFERROR(
    INDEX(
      factorsConfigTable[factorHeader],
      MATCH(factorsTable[[#This Row],[index]], factorsConfigTable[index], 0)
    ),#REF!
  ) &amp; ""</f>
        <v/>
      </c>
      <c r="CO15" s="177" t="str">
        <f>IF(
    factorsTable[[#This Row],[factorHeader]] = "",
    "",
    _xlfn.IFNA(
      MATCH(factorsTable[[#This Row],[factorHeader]], dataHeaders, 0),
      _xlfn.IFNA(
        MATCH("*/" &amp; factorsTable[[#This Row],[factorHeader]], dataHeaders, 0),
        MATCH("*-" &amp; factorsTable[[#This Row],[factorHeader]], dataHeaders, 0)
      )
    )
  )</f>
        <v/>
      </c>
      <c r="CP15" s="177" t="str">
        <f>IF(
    factorsTable[[#This Row],[factorHeader]] = "",
    "",
    IF(
      IFERROR(
        INDEX(
          factorsConfigTable[minScore],
          MATCH(factorsTable[[#This Row],[index]], factorsConfigTable[index], 0)
        ),#REF!
      ) = "",
      NA(),
      IFERROR(
        INDEX(
          factorsConfigTable[minScore],
          MATCH(factorsTable[[#This Row],[index]], factorsConfigTable[index], 0)
        ),#REF!
      )
    )
  )</f>
        <v/>
      </c>
      <c r="CQ15" s="177" t="str">
        <f>IF(
    factorsTable[[#This Row],[factorHeader]] = "",
    "",
    IF(
      IFERROR(
        INDEX(
          factorsConfigTable[maxScore],
          MATCH(factorsTable[[#This Row],[index]], factorsConfigTable[index], 0)
        ),#REF!
      ) = "",
      NA(),
      IFERROR(
        INDEX(
          factorsConfigTable[maxScore],
          MATCH(factorsTable[[#This Row],[index]], factorsConfigTable[index], 0)
        ),#REF!
      )
    )
  )</f>
        <v/>
      </c>
      <c r="CR15" s="177" t="str">
        <f>IF(
    factorsTable[[#This Row],[factorHeader]] = "",
    "",
    IF(
      ISERROR(factorsTable[[#This Row],[factorColNum]]),
      NA(),
      IF(
        ISNA(INDEX(dataRange,1,1)),
        NA(),
        MIN(INDEX(dataRange, , factorsTable[[#This Row],[factorColNum]]))
      )
    )
  )</f>
        <v/>
      </c>
      <c r="CS15" s="177" t="str">
        <f>IF(
    factorsTable[[#This Row],[factorHeader]] = "",
    "",
    IF(
      ISERROR(factorsTable[[#This Row],[factorColNum]]),
      NA(),
      IF(
        ISNA(INDEX(dataRange,1,1)),
        NA(),
        MAX(INDEX(dataRange, , factorsTable[[#This Row],[factorColNum]]))
      )
    )
  )</f>
        <v/>
      </c>
      <c r="CT15" s="177" t="b" cm="1">
        <f t="array" aca="1" ref="CT15" ca="1">AND(
    NOT(errorNoDataSheet),
    factorsTable[[#This Row],[factorHeader]] &lt;&gt; "",
    NOT(ISERROR(factorsTable[[#This Row],[factorColNum]])),
    IFERROR(factorsTable[[#This Row],[display]], FALSE),
    IFERROR(factorsTable[[#This Row],[minValue]] &lt; factorsTable[[#This Row],[minScore]], FALSE)
  )</f>
        <v>0</v>
      </c>
      <c r="CU15" s="177" t="b" cm="1">
        <f t="array" aca="1" ref="CU15" ca="1">AND(
    NOT(errorNoDataSheet),
    factorsTable[[#This Row],[factorHeader]] &lt;&gt; "",
    NOT(ISERROR(factorsTable[[#This Row],[factorColNum]])),
    IFERROR(factorsTable[[#This Row],[display]], FALSE),
    IFERROR(factorsTable[[#This Row],[maxValue]] &gt; factorsTable[[#This Row],[maxScore]], FALSE)
  )</f>
        <v>0</v>
      </c>
      <c r="CV15" s="177" t="str" cm="1">
        <f t="array" ref="CV15">IF(
    factorsTable[[#This Row],[factorHeader]] = "",
    "",
    IF(
      ISNA(INDEX(dataRange,1,1)),
      NA(),
      SUMPRODUCT(
          IF(isDoer = "", 0, NOT(isDoer))
        * (INDEX(dataRange, , factorsTable[[#This Row],[factorColNum]]) &lt;&gt; "")
      )
    )
  )</f>
        <v/>
      </c>
      <c r="CW15" s="177" t="str" cm="1">
        <f t="array" ref="CW15">IF(
    factorsTable[[#This Row],[factorHeader]] = "",
    "",
    IF(
      ISNA(INDEX(dataRange,1,1)),
      NA(),
      SUMPRODUCT(
          IF(isDoer = "", 0, isDoer)
        * (INDEX(dataRange, , factorsTable[[#This Row],[factorColNum]]) &lt;&gt; "")
      )
    )
  )</f>
        <v/>
      </c>
      <c r="CX15"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5" s="177" t="str" cm="1">
        <f t="array" ref="CY1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5" s="177" t="str" cm="1">
        <f t="array" ref="CZ1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5" s="177" t="str">
        <f>IF(
    factorsTable[[#This Row],[factorHeader]] = "",
    "",
    factorsTable[[#This Row],[doers]] - factorsTable[[#This Row],[nondoers]]
  )</f>
        <v/>
      </c>
      <c r="DB15" s="177" t="str">
        <f>IF(
    factorsTable[[#This Row],[factorHeader]] = "",
    "",
    IFERROR(
      INDEX(
        yesNoTable[tag],
        MATCH(
          IFERROR(
            INDEX(
              factorsConfigTable[displayConfig],
              MATCH(factorsTable[[#This Row],[index]], factorsConfigTable[index], 0)
            ),#REF!
          ),
          yesNoTable[label],
          0
        )
      ),
      ""
    )
  )</f>
        <v/>
      </c>
      <c r="DC15" s="177" t="b">
        <f>IF(
    factorsTable[[#This Row],[factorHeader]] = "",
    FALSE,
    IF(
      factorsTable[[#This Row],[displayConfig]] = "yes",
      TRUE,
      IF(
        factorsTable[[#This Row],[displayConfig]] = "no",
        FALSE,
        NA()
      )
    )
  )</f>
        <v>0</v>
      </c>
      <c r="DD15" s="177" t="str" cm="1">
        <f t="array" ref="DD15">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5" s="177" t="str">
        <f>IF(
    factorsTable[[#This Row],[filteredIndex]] = "",
    "",
    _xlfn.IFNA(
      INDEX(
        factorsTable[difference],
        MATCH(factorsTable[[#This Row],[filteredIndex]], factorsTable[index], 0)
      ),
      -99
    )
  )</f>
        <v/>
      </c>
      <c r="DF15" s="177" t="str">
        <f>IF(
    factorsTable[[#This Row],[filteredIndex]] = "",
    "",
    IF(
      factorsTable[[#This Row],[relDiff]] = -99,
      -99,
      ABS(factorsTable[[#This Row],[relDiff]])
    )
  )</f>
        <v/>
      </c>
      <c r="DG15" s="177" t="str">
        <f>IF(
    factorsTable[[#This Row],[filteredIndex]] = "",
    "",
    IFERROR(
      INDEX(
        RANASBlocksTable[index],
        MATCH(
          IFERROR(
            INDEX(
              factorsConfigTable[RANASBlock],
              MATCH(factorsTable[[#This Row],[filteredIndex]], factorsConfigTable[index], 0)
            ),#REF!
          ),
          RANASBlocksTable[label],
          0
        )
      ),
      6
    )
  )</f>
        <v/>
      </c>
      <c r="DH15" s="177" t="str">
        <f>IF(
    factorsTable[[#This Row],[filteredIndex]] = "",
    "",
    _xlfn.RANK.EQ(factorsTable[[#This Row],[relDiff]], factorsTable[relDiff], 0)
  )</f>
        <v/>
      </c>
      <c r="DI15" s="177" t="str">
        <f>IF(
    factorsTable[[#This Row],[filteredIndex]] = "",
    "",
    _xlfn.RANK.EQ(factorsTable[[#This Row],[absDiff]], factorsTable[absDiff], 0)
  )</f>
        <v/>
      </c>
      <c r="DJ15" s="177" t="str">
        <f>IF(
    factorsTable[[#This Row],[filteredIndex]] = "",
    "",
    _xlfn.RANK.EQ(factorsTable[[#This Row],[RANASIndex]], factorsTable[RANASIndex], 1)
  )</f>
        <v/>
      </c>
      <c r="DK15" s="177" t="str" cm="1">
        <f t="array" ref="DK15">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5" s="177" t="str">
        <f>IF(
    factorsTable[[#This Row],[filteredIndex]] = "",
    "",
    factorsTable[[#This Row],[selectedRank]]
      + COUNTIF(INDEX(factorsTable[selectedRank], 1):INDEX(factorsTable[selectedRank], factorsTable[[#This Row],[index]]), factorsTable[[#This Row],[selectedRank]])
      - 1
  )</f>
        <v/>
      </c>
      <c r="DM15" s="177" t="str">
        <f>IF(
    factorsTable[[#This Row],[filteredIndex]] = "",
    "",
    IFERROR(
      INDEX(
        factorsTable[filteredIndex],
        MATCH(factorsTable[[#This Row],[index]], factorsTable[uniqueRank], 0)
      ),#REF!
    )
  )</f>
        <v/>
      </c>
      <c r="DN15" s="177" t="str">
        <f>IF(
    factorsTable[[#This Row],[sortedIndex]] = "",
    "",
    INDEX(
      INDEX(
        factorsConfigTable[],
        0,
        MATCH(
          chartLanguage,
          languageHeadersList,
          0
        )
        + MATCH(factorsConfigTable[[#Headers],[lang1]], factorsConfigTable[#Headers], 0)
        - 1
      ),
      MATCH(factorsTable[[#This Row],[sortedIndex]], factorsConfigTable[index], 0)
    ) &amp; ""
  )</f>
        <v/>
      </c>
      <c r="DO15"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5" s="177" t="str">
        <f>IF(
    factorsTable[[#This Row],[sortedIndex]] = "",
    "",
    IFERROR(
      INDEX(
        RANASBlocksTable[tag],
        MATCH(
          IFERROR(
            INDEX(
              factorsConfigTable[RANASBlock],
              MATCH(factorsTable[[#This Row],[sortedIndex]], factorsConfigTable[index], 0)
            ),#REF!
          ),
          RANASBlocksTable[label],
          0
        )
      ),
      NA()
    )
  )</f>
        <v/>
      </c>
      <c r="DQ15"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5"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5" s="177" t="str">
        <f>IF(
    factorsTable[[#This Row],[sortedIndex]] = "",
    "",
    INDEX(factorsTable[numTotal], MATCH(factorsTable[[#This Row],[sortedIndex]], factorsTable[index], 0))
  )</f>
        <v/>
      </c>
      <c r="DT15" s="177" t="str">
        <f>IF(
    factorsTable[[#This Row],[sortedIndex]] = "",
    "",
    INDEX(factorsTable[nondoers], MATCH(factorsTable[[#This Row],[sortedIndex]], factorsTable[index], 0))
  )</f>
        <v/>
      </c>
      <c r="DU15" s="177" t="str">
        <f>IF(
    factorsTable[[#This Row],[sortedIndex]] = "",
    "",
    INDEX(factorsTable[doers], MATCH(factorsTable[[#This Row],[sortedIndex]], factorsTable[index], 0))
  )</f>
        <v/>
      </c>
      <c r="DV15" s="177" t="str">
        <f>IF(
    factorsTable[[#This Row],[sortedIndex]] = "",
    "",
    INDEX(factorsTable[difference], MATCH(factorsTable[[#This Row],[sortedIndex]], factorsTable[index], 0))
  )</f>
        <v/>
      </c>
    </row>
    <row r="16" spans="5:126" ht="14.4" customHeight="1" x14ac:dyDescent="0.3">
      <c r="E16" s="187" cm="1">
        <f t="array" ref="E16">ROW()-ROW(UITranslationTable[#Headers])</f>
        <v>14</v>
      </c>
      <c r="F16" s="9" t="s">
        <v>317</v>
      </c>
      <c r="G16" s="191" t="s">
        <v>318</v>
      </c>
      <c r="H16" s="176" t="s">
        <v>319</v>
      </c>
      <c r="J16" s="1" cm="1">
        <f t="array" ref="J16">ROW()-ROW(errorMessagesTable[#Headers])</f>
        <v>14</v>
      </c>
      <c r="K16" s="1" t="s">
        <v>435</v>
      </c>
      <c r="L16" s="1" t="b" cm="1">
        <f t="array" aca="1" ref="L16" ca="1">errorFactorOutOfRange</f>
        <v>0</v>
      </c>
      <c r="M16" s="176" t="str" cm="1">
        <f t="array" ref="M16">"Some values in the """ &amp; sheetNameData &amp; """ sheet for the selected factors fall outside of the corresponding ""Min. score""-""Max. score"" ranges defined in the ""RANAS factors"" table." &amp; " Please check the cells highlighted in red in those ""Min. score"" / ""Max. score"" columns and/or the corresponding data columns in the """ &amp; sheetNameData &amp; """ sheet."</f>
        <v>Some values in the "data" sheet for the selected factors fall outside of the corresponding "Min. score"-"Max. score" ranges defined in the "RANAS factors" table. Please check the cells highlighted in red in those "Min. score" / "Max. score" columns and/or the corresponding data columns in the "data" sheet.</v>
      </c>
      <c r="N16" s="176" t="str" cm="1">
        <f t="array" ref="N16">"Certaines valeurs de la feuille «" &amp; sheetNameData &amp; "» pour les facteurs sélectionnés se situent en dehors des intervalles «Score min.»-«Score max.» correspondants définis dans le tableau «Facteurs RANAS»." &amp; " Veuillez vérifier les cellules marquées en rouge dans ces colonnes «Score min.» / «Score max.» et/ou les colonnes de données correspondantes dans la feuille «" &amp; sheetNameData &amp; "»."</f>
        <v>Certaines valeurs de la feuille «data» pour les facteurs sélectionnés se situent en dehors des intervalles «Score min.»-«Score max.» correspondants définis dans le tableau «Facteurs RANAS». Veuillez vérifier les cellules marquées en rouge dans ces colonnes «Score min.» / «Score max.» et/ou les colonnes de données correspondantes dans la feuille «data».</v>
      </c>
      <c r="O16" s="1" t="str" cm="1">
        <f t="array" aca="1" ref="O16"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6"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6" s="9" t="str" cm="1">
        <f t="array" aca="1" ref="Q16" ca="1">IF(
    errorMessagesTable[[#This Row],[filteredIndex]] = "",
    "",
    IF(
      errorMessagesTable[[#This Row],[index]] = 1,
      "",
      INDEX(errorMessagesTable[concatErrors], errorMessagesTable[[#This Row],[index]]-1)
      &amp; CHAR(10) &amp; CHAR(10)
    )
    &amp; INDEX(errorMessagesTable[langSpecError], errorMessagesTable[[#This Row],[index]])
  )</f>
        <v/>
      </c>
      <c r="W16" s="177" cm="1">
        <f t="array" ref="W16">ROW()-ROW(structuredFormulaeTable[#Headers])</f>
        <v>14</v>
      </c>
      <c r="X16" s="1" t="s">
        <v>420</v>
      </c>
      <c r="Y16" s="1" t="s">
        <v>518</v>
      </c>
      <c r="Z16" s="1" t="str" cm="1">
        <f t="array" ref="Z16">behaviourMaxScore1</f>
        <v/>
      </c>
      <c r="AA16" s="178" t="s">
        <v>519</v>
      </c>
      <c r="AB16" s="164" t="s">
        <v>649</v>
      </c>
      <c r="CD16" s="1" cm="1">
        <f t="array" ref="CD16">ROW()-ROW(recommendedCutoffTable[#Headers])</f>
        <v>14</v>
      </c>
      <c r="CE16" s="183">
        <f>(recommendedCutoffTable[[#This Row],[index]] - 1) / 100</f>
        <v>0.13</v>
      </c>
      <c r="CF16" s="1" cm="1">
        <f t="array" ref="CF16">ABS(
    numScores
  - 2 * SUMPRODUCT((behaviourScore &lt;&gt; "") * (behaviourScore &lt; recommendedCutoffTable[[#This Row],[cutoffLevel]]))
  )</f>
        <v>0</v>
      </c>
      <c r="CM16" s="177" cm="1">
        <f t="array" ref="CM16">ROW()-ROW(factorsTable[#Headers])</f>
        <v>14</v>
      </c>
      <c r="CN16" s="177" t="str">
        <f>IFERROR(
    INDEX(
      factorsConfigTable[factorHeader],
      MATCH(factorsTable[[#This Row],[index]], factorsConfigTable[index], 0)
    ),#REF!
  ) &amp; ""</f>
        <v/>
      </c>
      <c r="CO16" s="177" t="str">
        <f>IF(
    factorsTable[[#This Row],[factorHeader]] = "",
    "",
    _xlfn.IFNA(
      MATCH(factorsTable[[#This Row],[factorHeader]], dataHeaders, 0),
      _xlfn.IFNA(
        MATCH("*/" &amp; factorsTable[[#This Row],[factorHeader]], dataHeaders, 0),
        MATCH("*-" &amp; factorsTable[[#This Row],[factorHeader]], dataHeaders, 0)
      )
    )
  )</f>
        <v/>
      </c>
      <c r="CP16" s="177" t="str">
        <f>IF(
    factorsTable[[#This Row],[factorHeader]] = "",
    "",
    IF(
      IFERROR(
        INDEX(
          factorsConfigTable[minScore],
          MATCH(factorsTable[[#This Row],[index]], factorsConfigTable[index], 0)
        ),#REF!
      ) = "",
      NA(),
      IFERROR(
        INDEX(
          factorsConfigTable[minScore],
          MATCH(factorsTable[[#This Row],[index]], factorsConfigTable[index], 0)
        ),#REF!
      )
    )
  )</f>
        <v/>
      </c>
      <c r="CQ16" s="177" t="str">
        <f>IF(
    factorsTable[[#This Row],[factorHeader]] = "",
    "",
    IF(
      IFERROR(
        INDEX(
          factorsConfigTable[maxScore],
          MATCH(factorsTable[[#This Row],[index]], factorsConfigTable[index], 0)
        ),#REF!
      ) = "",
      NA(),
      IFERROR(
        INDEX(
          factorsConfigTable[maxScore],
          MATCH(factorsTable[[#This Row],[index]], factorsConfigTable[index], 0)
        ),#REF!
      )
    )
  )</f>
        <v/>
      </c>
      <c r="CR16" s="177" t="str">
        <f>IF(
    factorsTable[[#This Row],[factorHeader]] = "",
    "",
    IF(
      ISERROR(factorsTable[[#This Row],[factorColNum]]),
      NA(),
      IF(
        ISNA(INDEX(dataRange,1,1)),
        NA(),
        MIN(INDEX(dataRange, , factorsTable[[#This Row],[factorColNum]]))
      )
    )
  )</f>
        <v/>
      </c>
      <c r="CS16" s="177" t="str">
        <f>IF(
    factorsTable[[#This Row],[factorHeader]] = "",
    "",
    IF(
      ISERROR(factorsTable[[#This Row],[factorColNum]]),
      NA(),
      IF(
        ISNA(INDEX(dataRange,1,1)),
        NA(),
        MAX(INDEX(dataRange, , factorsTable[[#This Row],[factorColNum]]))
      )
    )
  )</f>
        <v/>
      </c>
      <c r="CT16" s="177" t="b" cm="1">
        <f t="array" aca="1" ref="CT16" ca="1">AND(
    NOT(errorNoDataSheet),
    factorsTable[[#This Row],[factorHeader]] &lt;&gt; "",
    NOT(ISERROR(factorsTable[[#This Row],[factorColNum]])),
    IFERROR(factorsTable[[#This Row],[display]], FALSE),
    IFERROR(factorsTable[[#This Row],[minValue]] &lt; factorsTable[[#This Row],[minScore]], FALSE)
  )</f>
        <v>0</v>
      </c>
      <c r="CU16" s="177" t="b" cm="1">
        <f t="array" aca="1" ref="CU16" ca="1">AND(
    NOT(errorNoDataSheet),
    factorsTable[[#This Row],[factorHeader]] &lt;&gt; "",
    NOT(ISERROR(factorsTable[[#This Row],[factorColNum]])),
    IFERROR(factorsTable[[#This Row],[display]], FALSE),
    IFERROR(factorsTable[[#This Row],[maxValue]] &gt; factorsTable[[#This Row],[maxScore]], FALSE)
  )</f>
        <v>0</v>
      </c>
      <c r="CV16" s="177" t="str" cm="1">
        <f t="array" ref="CV16">IF(
    factorsTable[[#This Row],[factorHeader]] = "",
    "",
    IF(
      ISNA(INDEX(dataRange,1,1)),
      NA(),
      SUMPRODUCT(
          IF(isDoer = "", 0, NOT(isDoer))
        * (INDEX(dataRange, , factorsTable[[#This Row],[factorColNum]]) &lt;&gt; "")
      )
    )
  )</f>
        <v/>
      </c>
      <c r="CW16" s="177" t="str" cm="1">
        <f t="array" ref="CW16">IF(
    factorsTable[[#This Row],[factorHeader]] = "",
    "",
    IF(
      ISNA(INDEX(dataRange,1,1)),
      NA(),
      SUMPRODUCT(
          IF(isDoer = "", 0, isDoer)
        * (INDEX(dataRange, , factorsTable[[#This Row],[factorColNum]]) &lt;&gt; "")
      )
    )
  )</f>
        <v/>
      </c>
      <c r="CX16"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6" s="177" t="str" cm="1">
        <f t="array" ref="CY1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6" s="177" t="str" cm="1">
        <f t="array" ref="CZ1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6" s="177" t="str">
        <f>IF(
    factorsTable[[#This Row],[factorHeader]] = "",
    "",
    factorsTable[[#This Row],[doers]] - factorsTable[[#This Row],[nondoers]]
  )</f>
        <v/>
      </c>
      <c r="DB16" s="177" t="str">
        <f>IF(
    factorsTable[[#This Row],[factorHeader]] = "",
    "",
    IFERROR(
      INDEX(
        yesNoTable[tag],
        MATCH(
          IFERROR(
            INDEX(
              factorsConfigTable[displayConfig],
              MATCH(factorsTable[[#This Row],[index]], factorsConfigTable[index], 0)
            ),#REF!
          ),
          yesNoTable[label],
          0
        )
      ),
      ""
    )
  )</f>
        <v/>
      </c>
      <c r="DC16" s="177" t="b">
        <f>IF(
    factorsTable[[#This Row],[factorHeader]] = "",
    FALSE,
    IF(
      factorsTable[[#This Row],[displayConfig]] = "yes",
      TRUE,
      IF(
        factorsTable[[#This Row],[displayConfig]] = "no",
        FALSE,
        NA()
      )
    )
  )</f>
        <v>0</v>
      </c>
      <c r="DD16" s="177" t="str" cm="1">
        <f t="array" ref="DD16">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6" s="177" t="str">
        <f>IF(
    factorsTable[[#This Row],[filteredIndex]] = "",
    "",
    _xlfn.IFNA(
      INDEX(
        factorsTable[difference],
        MATCH(factorsTable[[#This Row],[filteredIndex]], factorsTable[index], 0)
      ),
      -99
    )
  )</f>
        <v/>
      </c>
      <c r="DF16" s="177" t="str">
        <f>IF(
    factorsTable[[#This Row],[filteredIndex]] = "",
    "",
    IF(
      factorsTable[[#This Row],[relDiff]] = -99,
      -99,
      ABS(factorsTable[[#This Row],[relDiff]])
    )
  )</f>
        <v/>
      </c>
      <c r="DG16" s="177" t="str">
        <f>IF(
    factorsTable[[#This Row],[filteredIndex]] = "",
    "",
    IFERROR(
      INDEX(
        RANASBlocksTable[index],
        MATCH(
          IFERROR(
            INDEX(
              factorsConfigTable[RANASBlock],
              MATCH(factorsTable[[#This Row],[filteredIndex]], factorsConfigTable[index], 0)
            ),#REF!
          ),
          RANASBlocksTable[label],
          0
        )
      ),
      6
    )
  )</f>
        <v/>
      </c>
      <c r="DH16" s="177" t="str">
        <f>IF(
    factorsTable[[#This Row],[filteredIndex]] = "",
    "",
    _xlfn.RANK.EQ(factorsTable[[#This Row],[relDiff]], factorsTable[relDiff], 0)
  )</f>
        <v/>
      </c>
      <c r="DI16" s="177" t="str">
        <f>IF(
    factorsTable[[#This Row],[filteredIndex]] = "",
    "",
    _xlfn.RANK.EQ(factorsTable[[#This Row],[absDiff]], factorsTable[absDiff], 0)
  )</f>
        <v/>
      </c>
      <c r="DJ16" s="177" t="str">
        <f>IF(
    factorsTable[[#This Row],[filteredIndex]] = "",
    "",
    _xlfn.RANK.EQ(factorsTable[[#This Row],[RANASIndex]], factorsTable[RANASIndex], 1)
  )</f>
        <v/>
      </c>
      <c r="DK16" s="177" t="str" cm="1">
        <f t="array" ref="DK16">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6" s="177" t="str">
        <f>IF(
    factorsTable[[#This Row],[filteredIndex]] = "",
    "",
    factorsTable[[#This Row],[selectedRank]]
      + COUNTIF(INDEX(factorsTable[selectedRank], 1):INDEX(factorsTable[selectedRank], factorsTable[[#This Row],[index]]), factorsTable[[#This Row],[selectedRank]])
      - 1
  )</f>
        <v/>
      </c>
      <c r="DM16" s="177" t="str">
        <f>IF(
    factorsTable[[#This Row],[filteredIndex]] = "",
    "",
    IFERROR(
      INDEX(
        factorsTable[filteredIndex],
        MATCH(factorsTable[[#This Row],[index]], factorsTable[uniqueRank], 0)
      ),#REF!
    )
  )</f>
        <v/>
      </c>
      <c r="DN16" s="177" t="str">
        <f>IF(
    factorsTable[[#This Row],[sortedIndex]] = "",
    "",
    INDEX(
      INDEX(
        factorsConfigTable[],
        0,
        MATCH(
          chartLanguage,
          languageHeadersList,
          0
        )
        + MATCH(factorsConfigTable[[#Headers],[lang1]], factorsConfigTable[#Headers], 0)
        - 1
      ),
      MATCH(factorsTable[[#This Row],[sortedIndex]], factorsConfigTable[index], 0)
    ) &amp; ""
  )</f>
        <v/>
      </c>
      <c r="DO16"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6" s="177" t="str">
        <f>IF(
    factorsTable[[#This Row],[sortedIndex]] = "",
    "",
    IFERROR(
      INDEX(
        RANASBlocksTable[tag],
        MATCH(
          IFERROR(
            INDEX(
              factorsConfigTable[RANASBlock],
              MATCH(factorsTable[[#This Row],[sortedIndex]], factorsConfigTable[index], 0)
            ),#REF!
          ),
          RANASBlocksTable[label],
          0
        )
      ),
      NA()
    )
  )</f>
        <v/>
      </c>
      <c r="DQ16"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6"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6" s="177" t="str">
        <f>IF(
    factorsTable[[#This Row],[sortedIndex]] = "",
    "",
    INDEX(factorsTable[numTotal], MATCH(factorsTable[[#This Row],[sortedIndex]], factorsTable[index], 0))
  )</f>
        <v/>
      </c>
      <c r="DT16" s="177" t="str">
        <f>IF(
    factorsTable[[#This Row],[sortedIndex]] = "",
    "",
    INDEX(factorsTable[nondoers], MATCH(factorsTable[[#This Row],[sortedIndex]], factorsTable[index], 0))
  )</f>
        <v/>
      </c>
      <c r="DU16" s="177" t="str">
        <f>IF(
    factorsTable[[#This Row],[sortedIndex]] = "",
    "",
    INDEX(factorsTable[doers], MATCH(factorsTable[[#This Row],[sortedIndex]], factorsTable[index], 0))
  )</f>
        <v/>
      </c>
      <c r="DV16" s="177" t="str">
        <f>IF(
    factorsTable[[#This Row],[sortedIndex]] = "",
    "",
    INDEX(factorsTable[difference], MATCH(factorsTable[[#This Row],[sortedIndex]], factorsTable[index], 0))
  )</f>
        <v/>
      </c>
    </row>
    <row r="17" spans="5:126" ht="14.4" customHeight="1" x14ac:dyDescent="0.3">
      <c r="E17" s="187" cm="1">
        <f t="array" ref="E17">ROW()-ROW(UITranslationTable[#Headers])</f>
        <v>15</v>
      </c>
      <c r="F17" s="9" t="s">
        <v>320</v>
      </c>
      <c r="G17" s="191" t="s">
        <v>334</v>
      </c>
      <c r="H17" s="176" t="s">
        <v>335</v>
      </c>
      <c r="J17" s="1" cm="1">
        <f t="array" ref="J17">ROW()-ROW(errorMessagesTable[#Headers])</f>
        <v>15</v>
      </c>
      <c r="K17" s="1" t="s">
        <v>436</v>
      </c>
      <c r="L17" s="1" t="b" cm="1">
        <f t="array" ref="L17">errorChartLanguage</f>
        <v>0</v>
      </c>
      <c r="M17" s="176" t="str" cm="1">
        <f t="array" aca="1" ref="M17" ca="1">"The value of the ""Chart language"" parameter in the """ &amp; sheetNameIntroduction &amp; """ sheet is invalid (red cell). Please select a value from the drop-down menu for this cell."</f>
        <v>The value of the "Chart language" parameter in the "Introduction" sheet is invalid (red cell). Please select a value from the drop-down menu for this cell.</v>
      </c>
      <c r="N17" s="176" t="str" cm="1">
        <f t="array" aca="1" ref="N17" ca="1">"La valeur du paramètre «Langue des graphiques» sur la feuille «" &amp; sheetNameIntroduction &amp; "» n'est pas valable (cellule rouge). Veuillez sélectionner une valeur dans le menu déroulant pour cette cellule."</f>
        <v>La valeur du paramètre «Langue des graphiques» sur la feuille «Introduction» n'est pas valable (cellule rouge). Veuillez sélectionner une valeur dans le menu déroulant pour cette cellule.</v>
      </c>
      <c r="O17" s="1" t="str" cm="1">
        <f t="array" aca="1" ref="O17"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7"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7" s="9" t="str" cm="1">
        <f t="array" aca="1" ref="Q17" ca="1">IF(
    errorMessagesTable[[#This Row],[filteredIndex]] = "",
    "",
    IF(
      errorMessagesTable[[#This Row],[index]] = 1,
      "",
      INDEX(errorMessagesTable[concatErrors], errorMessagesTable[[#This Row],[index]]-1)
      &amp; CHAR(10) &amp; CHAR(10)
    )
    &amp; INDEX(errorMessagesTable[langSpecError], errorMessagesTable[[#This Row],[index]])
  )</f>
        <v/>
      </c>
      <c r="W17" s="177" cm="1">
        <f t="array" ref="W17">ROW()-ROW(structuredFormulaeTable[#Headers])</f>
        <v>15</v>
      </c>
      <c r="X17" s="1" t="s">
        <v>420</v>
      </c>
      <c r="Y17" s="1" t="s">
        <v>520</v>
      </c>
      <c r="Z17" s="1" t="str" cm="1">
        <f t="array" ref="Z17">behaviourMaxScore2</f>
        <v/>
      </c>
      <c r="AA17" s="178" t="s">
        <v>521</v>
      </c>
      <c r="AB17" s="164" t="s">
        <v>650</v>
      </c>
      <c r="AY17" s="189"/>
      <c r="CD17" s="1" cm="1">
        <f t="array" ref="CD17">ROW()-ROW(recommendedCutoffTable[#Headers])</f>
        <v>15</v>
      </c>
      <c r="CE17" s="183">
        <f>(recommendedCutoffTable[[#This Row],[index]] - 1) / 100</f>
        <v>0.14000000000000001</v>
      </c>
      <c r="CF17" s="1" cm="1">
        <f t="array" ref="CF17">ABS(
    numScores
  - 2 * SUMPRODUCT((behaviourScore &lt;&gt; "") * (behaviourScore &lt; recommendedCutoffTable[[#This Row],[cutoffLevel]]))
  )</f>
        <v>0</v>
      </c>
      <c r="CM17" s="177" cm="1">
        <f t="array" ref="CM17">ROW()-ROW(factorsTable[#Headers])</f>
        <v>15</v>
      </c>
      <c r="CN17" s="177" t="str">
        <f>IFERROR(
    INDEX(
      factorsConfigTable[factorHeader],
      MATCH(factorsTable[[#This Row],[index]], factorsConfigTable[index], 0)
    ),#REF!
  ) &amp; ""</f>
        <v/>
      </c>
      <c r="CO17" s="177" t="str">
        <f>IF(
    factorsTable[[#This Row],[factorHeader]] = "",
    "",
    _xlfn.IFNA(
      MATCH(factorsTable[[#This Row],[factorHeader]], dataHeaders, 0),
      _xlfn.IFNA(
        MATCH("*/" &amp; factorsTable[[#This Row],[factorHeader]], dataHeaders, 0),
        MATCH("*-" &amp; factorsTable[[#This Row],[factorHeader]], dataHeaders, 0)
      )
    )
  )</f>
        <v/>
      </c>
      <c r="CP17" s="177" t="str">
        <f>IF(
    factorsTable[[#This Row],[factorHeader]] = "",
    "",
    IF(
      IFERROR(
        INDEX(
          factorsConfigTable[minScore],
          MATCH(factorsTable[[#This Row],[index]], factorsConfigTable[index], 0)
        ),#REF!
      ) = "",
      NA(),
      IFERROR(
        INDEX(
          factorsConfigTable[minScore],
          MATCH(factorsTable[[#This Row],[index]], factorsConfigTable[index], 0)
        ),#REF!
      )
    )
  )</f>
        <v/>
      </c>
      <c r="CQ17" s="177" t="str">
        <f>IF(
    factorsTable[[#This Row],[factorHeader]] = "",
    "",
    IF(
      IFERROR(
        INDEX(
          factorsConfigTable[maxScore],
          MATCH(factorsTable[[#This Row],[index]], factorsConfigTable[index], 0)
        ),#REF!
      ) = "",
      NA(),
      IFERROR(
        INDEX(
          factorsConfigTable[maxScore],
          MATCH(factorsTable[[#This Row],[index]], factorsConfigTable[index], 0)
        ),#REF!
      )
    )
  )</f>
        <v/>
      </c>
      <c r="CR17" s="177" t="str">
        <f>IF(
    factorsTable[[#This Row],[factorHeader]] = "",
    "",
    IF(
      ISERROR(factorsTable[[#This Row],[factorColNum]]),
      NA(),
      IF(
        ISNA(INDEX(dataRange,1,1)),
        NA(),
        MIN(INDEX(dataRange, , factorsTable[[#This Row],[factorColNum]]))
      )
    )
  )</f>
        <v/>
      </c>
      <c r="CS17" s="177" t="str">
        <f>IF(
    factorsTable[[#This Row],[factorHeader]] = "",
    "",
    IF(
      ISERROR(factorsTable[[#This Row],[factorColNum]]),
      NA(),
      IF(
        ISNA(INDEX(dataRange,1,1)),
        NA(),
        MAX(INDEX(dataRange, , factorsTable[[#This Row],[factorColNum]]))
      )
    )
  )</f>
        <v/>
      </c>
      <c r="CT17" s="177" t="b" cm="1">
        <f t="array" aca="1" ref="CT17" ca="1">AND(
    NOT(errorNoDataSheet),
    factorsTable[[#This Row],[factorHeader]] &lt;&gt; "",
    NOT(ISERROR(factorsTable[[#This Row],[factorColNum]])),
    IFERROR(factorsTable[[#This Row],[display]], FALSE),
    IFERROR(factorsTable[[#This Row],[minValue]] &lt; factorsTable[[#This Row],[minScore]], FALSE)
  )</f>
        <v>0</v>
      </c>
      <c r="CU17" s="177" t="b" cm="1">
        <f t="array" aca="1" ref="CU17" ca="1">AND(
    NOT(errorNoDataSheet),
    factorsTable[[#This Row],[factorHeader]] &lt;&gt; "",
    NOT(ISERROR(factorsTable[[#This Row],[factorColNum]])),
    IFERROR(factorsTable[[#This Row],[display]], FALSE),
    IFERROR(factorsTable[[#This Row],[maxValue]] &gt; factorsTable[[#This Row],[maxScore]], FALSE)
  )</f>
        <v>0</v>
      </c>
      <c r="CV17" s="177" t="str" cm="1">
        <f t="array" ref="CV17">IF(
    factorsTable[[#This Row],[factorHeader]] = "",
    "",
    IF(
      ISNA(INDEX(dataRange,1,1)),
      NA(),
      SUMPRODUCT(
          IF(isDoer = "", 0, NOT(isDoer))
        * (INDEX(dataRange, , factorsTable[[#This Row],[factorColNum]]) &lt;&gt; "")
      )
    )
  )</f>
        <v/>
      </c>
      <c r="CW17" s="177" t="str" cm="1">
        <f t="array" ref="CW17">IF(
    factorsTable[[#This Row],[factorHeader]] = "",
    "",
    IF(
      ISNA(INDEX(dataRange,1,1)),
      NA(),
      SUMPRODUCT(
          IF(isDoer = "", 0, isDoer)
        * (INDEX(dataRange, , factorsTable[[#This Row],[factorColNum]]) &lt;&gt; "")
      )
    )
  )</f>
        <v/>
      </c>
      <c r="CX17"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7" s="177" t="str" cm="1">
        <f t="array" ref="CY1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7" s="177" t="str" cm="1">
        <f t="array" ref="CZ1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7" s="177" t="str">
        <f>IF(
    factorsTable[[#This Row],[factorHeader]] = "",
    "",
    factorsTable[[#This Row],[doers]] - factorsTable[[#This Row],[nondoers]]
  )</f>
        <v/>
      </c>
      <c r="DB17" s="177" t="str">
        <f>IF(
    factorsTable[[#This Row],[factorHeader]] = "",
    "",
    IFERROR(
      INDEX(
        yesNoTable[tag],
        MATCH(
          IFERROR(
            INDEX(
              factorsConfigTable[displayConfig],
              MATCH(factorsTable[[#This Row],[index]], factorsConfigTable[index], 0)
            ),#REF!
          ),
          yesNoTable[label],
          0
        )
      ),
      ""
    )
  )</f>
        <v/>
      </c>
      <c r="DC17" s="177" t="b">
        <f>IF(
    factorsTable[[#This Row],[factorHeader]] = "",
    FALSE,
    IF(
      factorsTable[[#This Row],[displayConfig]] = "yes",
      TRUE,
      IF(
        factorsTable[[#This Row],[displayConfig]] = "no",
        FALSE,
        NA()
      )
    )
  )</f>
        <v>0</v>
      </c>
      <c r="DD17" s="177" t="str" cm="1">
        <f t="array" ref="DD17">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7" s="177" t="str">
        <f>IF(
    factorsTable[[#This Row],[filteredIndex]] = "",
    "",
    _xlfn.IFNA(
      INDEX(
        factorsTable[difference],
        MATCH(factorsTable[[#This Row],[filteredIndex]], factorsTable[index], 0)
      ),
      -99
    )
  )</f>
        <v/>
      </c>
      <c r="DF17" s="177" t="str">
        <f>IF(
    factorsTable[[#This Row],[filteredIndex]] = "",
    "",
    IF(
      factorsTable[[#This Row],[relDiff]] = -99,
      -99,
      ABS(factorsTable[[#This Row],[relDiff]])
    )
  )</f>
        <v/>
      </c>
      <c r="DG17" s="177" t="str">
        <f>IF(
    factorsTable[[#This Row],[filteredIndex]] = "",
    "",
    IFERROR(
      INDEX(
        RANASBlocksTable[index],
        MATCH(
          IFERROR(
            INDEX(
              factorsConfigTable[RANASBlock],
              MATCH(factorsTable[[#This Row],[filteredIndex]], factorsConfigTable[index], 0)
            ),#REF!
          ),
          RANASBlocksTable[label],
          0
        )
      ),
      6
    )
  )</f>
        <v/>
      </c>
      <c r="DH17" s="177" t="str">
        <f>IF(
    factorsTable[[#This Row],[filteredIndex]] = "",
    "",
    _xlfn.RANK.EQ(factorsTable[[#This Row],[relDiff]], factorsTable[relDiff], 0)
  )</f>
        <v/>
      </c>
      <c r="DI17" s="177" t="str">
        <f>IF(
    factorsTable[[#This Row],[filteredIndex]] = "",
    "",
    _xlfn.RANK.EQ(factorsTable[[#This Row],[absDiff]], factorsTable[absDiff], 0)
  )</f>
        <v/>
      </c>
      <c r="DJ17" s="177" t="str">
        <f>IF(
    factorsTable[[#This Row],[filteredIndex]] = "",
    "",
    _xlfn.RANK.EQ(factorsTable[[#This Row],[RANASIndex]], factorsTable[RANASIndex], 1)
  )</f>
        <v/>
      </c>
      <c r="DK17" s="177" t="str" cm="1">
        <f t="array" ref="DK17">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7" s="177" t="str">
        <f>IF(
    factorsTable[[#This Row],[filteredIndex]] = "",
    "",
    factorsTable[[#This Row],[selectedRank]]
      + COUNTIF(INDEX(factorsTable[selectedRank], 1):INDEX(factorsTable[selectedRank], factorsTable[[#This Row],[index]]), factorsTable[[#This Row],[selectedRank]])
      - 1
  )</f>
        <v/>
      </c>
      <c r="DM17" s="177" t="str">
        <f>IF(
    factorsTable[[#This Row],[filteredIndex]] = "",
    "",
    IFERROR(
      INDEX(
        factorsTable[filteredIndex],
        MATCH(factorsTable[[#This Row],[index]], factorsTable[uniqueRank], 0)
      ),#REF!
    )
  )</f>
        <v/>
      </c>
      <c r="DN17" s="177" t="str">
        <f>IF(
    factorsTable[[#This Row],[sortedIndex]] = "",
    "",
    INDEX(
      INDEX(
        factorsConfigTable[],
        0,
        MATCH(
          chartLanguage,
          languageHeadersList,
          0
        )
        + MATCH(factorsConfigTable[[#Headers],[lang1]], factorsConfigTable[#Headers], 0)
        - 1
      ),
      MATCH(factorsTable[[#This Row],[sortedIndex]], factorsConfigTable[index], 0)
    ) &amp; ""
  )</f>
        <v/>
      </c>
      <c r="DO17"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7" s="177" t="str">
        <f>IF(
    factorsTable[[#This Row],[sortedIndex]] = "",
    "",
    IFERROR(
      INDEX(
        RANASBlocksTable[tag],
        MATCH(
          IFERROR(
            INDEX(
              factorsConfigTable[RANASBlock],
              MATCH(factorsTable[[#This Row],[sortedIndex]], factorsConfigTable[index], 0)
            ),#REF!
          ),
          RANASBlocksTable[label],
          0
        )
      ),
      NA()
    )
  )</f>
        <v/>
      </c>
      <c r="DQ17"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7"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7" s="177" t="str">
        <f>IF(
    factorsTable[[#This Row],[sortedIndex]] = "",
    "",
    INDEX(factorsTable[numTotal], MATCH(factorsTable[[#This Row],[sortedIndex]], factorsTable[index], 0))
  )</f>
        <v/>
      </c>
      <c r="DT17" s="177" t="str">
        <f>IF(
    factorsTable[[#This Row],[sortedIndex]] = "",
    "",
    INDEX(factorsTable[nondoers], MATCH(factorsTable[[#This Row],[sortedIndex]], factorsTable[index], 0))
  )</f>
        <v/>
      </c>
      <c r="DU17" s="177" t="str">
        <f>IF(
    factorsTable[[#This Row],[sortedIndex]] = "",
    "",
    INDEX(factorsTable[doers], MATCH(factorsTable[[#This Row],[sortedIndex]], factorsTable[index], 0))
  )</f>
        <v/>
      </c>
      <c r="DV17" s="177" t="str">
        <f>IF(
    factorsTable[[#This Row],[sortedIndex]] = "",
    "",
    INDEX(factorsTable[difference], MATCH(factorsTable[[#This Row],[sortedIndex]], factorsTable[index], 0))
  )</f>
        <v/>
      </c>
    </row>
    <row r="18" spans="5:126" ht="14.4" customHeight="1" x14ac:dyDescent="0.3">
      <c r="E18" s="187" cm="1">
        <f t="array" ref="E18">ROW()-ROW(UITranslationTable[#Headers])</f>
        <v>16</v>
      </c>
      <c r="F18" s="9" t="s">
        <v>321</v>
      </c>
      <c r="G18" s="191" t="s">
        <v>326</v>
      </c>
      <c r="H18" s="176" t="s">
        <v>327</v>
      </c>
      <c r="J18" s="1" cm="1">
        <f t="array" ref="J18">ROW()-ROW(errorMessagesTable[#Headers])</f>
        <v>16</v>
      </c>
      <c r="K18" s="1" t="s">
        <v>437</v>
      </c>
      <c r="L18" s="178" t="b" cm="1">
        <f t="array" aca="1" ref="L18" ca="1">errorRANASBlockMissing</f>
        <v>0</v>
      </c>
      <c r="M18" s="176" t="s">
        <v>349</v>
      </c>
      <c r="N18" s="176" t="s">
        <v>346</v>
      </c>
      <c r="O18" s="1" t="str" cm="1">
        <f t="array" aca="1" ref="O18"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8"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8" s="9" t="str" cm="1">
        <f t="array" aca="1" ref="Q18" ca="1">IF(
    errorMessagesTable[[#This Row],[filteredIndex]] = "",
    "",
    IF(
      errorMessagesTable[[#This Row],[index]] = 1,
      "",
      INDEX(errorMessagesTable[concatErrors], errorMessagesTable[[#This Row],[index]]-1)
      &amp; CHAR(10) &amp; CHAR(10)
    )
    &amp; INDEX(errorMessagesTable[langSpecError], errorMessagesTable[[#This Row],[index]])
  )</f>
        <v/>
      </c>
      <c r="W18" s="177" cm="1">
        <f t="array" ref="W18">ROW()-ROW(structuredFormulaeTable[#Headers])</f>
        <v>16</v>
      </c>
      <c r="X18" s="1" t="s">
        <v>420</v>
      </c>
      <c r="Y18" s="1" t="s">
        <v>522</v>
      </c>
      <c r="Z18" s="1" t="str" cm="1">
        <f t="array" ref="Z18">behaviourMaxScore3</f>
        <v/>
      </c>
      <c r="AA18" s="178" t="s">
        <v>523</v>
      </c>
      <c r="AB18" s="164" t="s">
        <v>651</v>
      </c>
      <c r="CD18" s="1" cm="1">
        <f t="array" ref="CD18">ROW()-ROW(recommendedCutoffTable[#Headers])</f>
        <v>16</v>
      </c>
      <c r="CE18" s="183">
        <f>(recommendedCutoffTable[[#This Row],[index]] - 1) / 100</f>
        <v>0.15</v>
      </c>
      <c r="CF18" s="1" cm="1">
        <f t="array" ref="CF18">ABS(
    numScores
  - 2 * SUMPRODUCT((behaviourScore &lt;&gt; "") * (behaviourScore &lt; recommendedCutoffTable[[#This Row],[cutoffLevel]]))
  )</f>
        <v>0</v>
      </c>
      <c r="CM18" s="177" cm="1">
        <f t="array" ref="CM18">ROW()-ROW(factorsTable[#Headers])</f>
        <v>16</v>
      </c>
      <c r="CN18" s="177" t="str">
        <f>IFERROR(
    INDEX(
      factorsConfigTable[factorHeader],
      MATCH(factorsTable[[#This Row],[index]], factorsConfigTable[index], 0)
    ),#REF!
  ) &amp; ""</f>
        <v/>
      </c>
      <c r="CO18" s="177" t="str">
        <f>IF(
    factorsTable[[#This Row],[factorHeader]] = "",
    "",
    _xlfn.IFNA(
      MATCH(factorsTable[[#This Row],[factorHeader]], dataHeaders, 0),
      _xlfn.IFNA(
        MATCH("*/" &amp; factorsTable[[#This Row],[factorHeader]], dataHeaders, 0),
        MATCH("*-" &amp; factorsTable[[#This Row],[factorHeader]], dataHeaders, 0)
      )
    )
  )</f>
        <v/>
      </c>
      <c r="CP18" s="177" t="str">
        <f>IF(
    factorsTable[[#This Row],[factorHeader]] = "",
    "",
    IF(
      IFERROR(
        INDEX(
          factorsConfigTable[minScore],
          MATCH(factorsTable[[#This Row],[index]], factorsConfigTable[index], 0)
        ),#REF!
      ) = "",
      NA(),
      IFERROR(
        INDEX(
          factorsConfigTable[minScore],
          MATCH(factorsTable[[#This Row],[index]], factorsConfigTable[index], 0)
        ),#REF!
      )
    )
  )</f>
        <v/>
      </c>
      <c r="CQ18" s="177" t="str">
        <f>IF(
    factorsTable[[#This Row],[factorHeader]] = "",
    "",
    IF(
      IFERROR(
        INDEX(
          factorsConfigTable[maxScore],
          MATCH(factorsTable[[#This Row],[index]], factorsConfigTable[index], 0)
        ),#REF!
      ) = "",
      NA(),
      IFERROR(
        INDEX(
          factorsConfigTable[maxScore],
          MATCH(factorsTable[[#This Row],[index]], factorsConfigTable[index], 0)
        ),#REF!
      )
    )
  )</f>
        <v/>
      </c>
      <c r="CR18" s="177" t="str">
        <f>IF(
    factorsTable[[#This Row],[factorHeader]] = "",
    "",
    IF(
      ISERROR(factorsTable[[#This Row],[factorColNum]]),
      NA(),
      IF(
        ISNA(INDEX(dataRange,1,1)),
        NA(),
        MIN(INDEX(dataRange, , factorsTable[[#This Row],[factorColNum]]))
      )
    )
  )</f>
        <v/>
      </c>
      <c r="CS18" s="177" t="str">
        <f>IF(
    factorsTable[[#This Row],[factorHeader]] = "",
    "",
    IF(
      ISERROR(factorsTable[[#This Row],[factorColNum]]),
      NA(),
      IF(
        ISNA(INDEX(dataRange,1,1)),
        NA(),
        MAX(INDEX(dataRange, , factorsTable[[#This Row],[factorColNum]]))
      )
    )
  )</f>
        <v/>
      </c>
      <c r="CT18" s="177" t="b" cm="1">
        <f t="array" aca="1" ref="CT18" ca="1">AND(
    NOT(errorNoDataSheet),
    factorsTable[[#This Row],[factorHeader]] &lt;&gt; "",
    NOT(ISERROR(factorsTable[[#This Row],[factorColNum]])),
    IFERROR(factorsTable[[#This Row],[display]], FALSE),
    IFERROR(factorsTable[[#This Row],[minValue]] &lt; factorsTable[[#This Row],[minScore]], FALSE)
  )</f>
        <v>0</v>
      </c>
      <c r="CU18" s="177" t="b" cm="1">
        <f t="array" aca="1" ref="CU18" ca="1">AND(
    NOT(errorNoDataSheet),
    factorsTable[[#This Row],[factorHeader]] &lt;&gt; "",
    NOT(ISERROR(factorsTable[[#This Row],[factorColNum]])),
    IFERROR(factorsTable[[#This Row],[display]], FALSE),
    IFERROR(factorsTable[[#This Row],[maxValue]] &gt; factorsTable[[#This Row],[maxScore]], FALSE)
  )</f>
        <v>0</v>
      </c>
      <c r="CV18" s="177" t="str" cm="1">
        <f t="array" ref="CV18">IF(
    factorsTable[[#This Row],[factorHeader]] = "",
    "",
    IF(
      ISNA(INDEX(dataRange,1,1)),
      NA(),
      SUMPRODUCT(
          IF(isDoer = "", 0, NOT(isDoer))
        * (INDEX(dataRange, , factorsTable[[#This Row],[factorColNum]]) &lt;&gt; "")
      )
    )
  )</f>
        <v/>
      </c>
      <c r="CW18" s="177" t="str" cm="1">
        <f t="array" ref="CW18">IF(
    factorsTable[[#This Row],[factorHeader]] = "",
    "",
    IF(
      ISNA(INDEX(dataRange,1,1)),
      NA(),
      SUMPRODUCT(
          IF(isDoer = "", 0, isDoer)
        * (INDEX(dataRange, , factorsTable[[#This Row],[factorColNum]]) &lt;&gt; "")
      )
    )
  )</f>
        <v/>
      </c>
      <c r="CX18"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8" s="177" t="str" cm="1">
        <f t="array" ref="CY1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8" s="177" t="str" cm="1">
        <f t="array" ref="CZ1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8" s="177" t="str">
        <f>IF(
    factorsTable[[#This Row],[factorHeader]] = "",
    "",
    factorsTable[[#This Row],[doers]] - factorsTable[[#This Row],[nondoers]]
  )</f>
        <v/>
      </c>
      <c r="DB18" s="177" t="str">
        <f>IF(
    factorsTable[[#This Row],[factorHeader]] = "",
    "",
    IFERROR(
      INDEX(
        yesNoTable[tag],
        MATCH(
          IFERROR(
            INDEX(
              factorsConfigTable[displayConfig],
              MATCH(factorsTable[[#This Row],[index]], factorsConfigTable[index], 0)
            ),#REF!
          ),
          yesNoTable[label],
          0
        )
      ),
      ""
    )
  )</f>
        <v/>
      </c>
      <c r="DC18" s="177" t="b">
        <f>IF(
    factorsTable[[#This Row],[factorHeader]] = "",
    FALSE,
    IF(
      factorsTable[[#This Row],[displayConfig]] = "yes",
      TRUE,
      IF(
        factorsTable[[#This Row],[displayConfig]] = "no",
        FALSE,
        NA()
      )
    )
  )</f>
        <v>0</v>
      </c>
      <c r="DD18" s="177" t="str" cm="1">
        <f t="array" ref="DD18">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8" s="177" t="str">
        <f>IF(
    factorsTable[[#This Row],[filteredIndex]] = "",
    "",
    _xlfn.IFNA(
      INDEX(
        factorsTable[difference],
        MATCH(factorsTable[[#This Row],[filteredIndex]], factorsTable[index], 0)
      ),
      -99
    )
  )</f>
        <v/>
      </c>
      <c r="DF18" s="177" t="str">
        <f>IF(
    factorsTable[[#This Row],[filteredIndex]] = "",
    "",
    IF(
      factorsTable[[#This Row],[relDiff]] = -99,
      -99,
      ABS(factorsTable[[#This Row],[relDiff]])
    )
  )</f>
        <v/>
      </c>
      <c r="DG18" s="177" t="str">
        <f>IF(
    factorsTable[[#This Row],[filteredIndex]] = "",
    "",
    IFERROR(
      INDEX(
        RANASBlocksTable[index],
        MATCH(
          IFERROR(
            INDEX(
              factorsConfigTable[RANASBlock],
              MATCH(factorsTable[[#This Row],[filteredIndex]], factorsConfigTable[index], 0)
            ),#REF!
          ),
          RANASBlocksTable[label],
          0
        )
      ),
      6
    )
  )</f>
        <v/>
      </c>
      <c r="DH18" s="177" t="str">
        <f>IF(
    factorsTable[[#This Row],[filteredIndex]] = "",
    "",
    _xlfn.RANK.EQ(factorsTable[[#This Row],[relDiff]], factorsTable[relDiff], 0)
  )</f>
        <v/>
      </c>
      <c r="DI18" s="177" t="str">
        <f>IF(
    factorsTable[[#This Row],[filteredIndex]] = "",
    "",
    _xlfn.RANK.EQ(factorsTable[[#This Row],[absDiff]], factorsTable[absDiff], 0)
  )</f>
        <v/>
      </c>
      <c r="DJ18" s="177" t="str">
        <f>IF(
    factorsTable[[#This Row],[filteredIndex]] = "",
    "",
    _xlfn.RANK.EQ(factorsTable[[#This Row],[RANASIndex]], factorsTable[RANASIndex], 1)
  )</f>
        <v/>
      </c>
      <c r="DK18" s="177" t="str" cm="1">
        <f t="array" ref="DK18">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8" s="177" t="str">
        <f>IF(
    factorsTable[[#This Row],[filteredIndex]] = "",
    "",
    factorsTable[[#This Row],[selectedRank]]
      + COUNTIF(INDEX(factorsTable[selectedRank], 1):INDEX(factorsTable[selectedRank], factorsTable[[#This Row],[index]]), factorsTable[[#This Row],[selectedRank]])
      - 1
  )</f>
        <v/>
      </c>
      <c r="DM18" s="177" t="str">
        <f>IF(
    factorsTable[[#This Row],[filteredIndex]] = "",
    "",
    IFERROR(
      INDEX(
        factorsTable[filteredIndex],
        MATCH(factorsTable[[#This Row],[index]], factorsTable[uniqueRank], 0)
      ),#REF!
    )
  )</f>
        <v/>
      </c>
      <c r="DN18" s="177" t="str">
        <f>IF(
    factorsTable[[#This Row],[sortedIndex]] = "",
    "",
    INDEX(
      INDEX(
        factorsConfigTable[],
        0,
        MATCH(
          chartLanguage,
          languageHeadersList,
          0
        )
        + MATCH(factorsConfigTable[[#Headers],[lang1]], factorsConfigTable[#Headers], 0)
        - 1
      ),
      MATCH(factorsTable[[#This Row],[sortedIndex]], factorsConfigTable[index], 0)
    ) &amp; ""
  )</f>
        <v/>
      </c>
      <c r="DO18"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8" s="177" t="str">
        <f>IF(
    factorsTable[[#This Row],[sortedIndex]] = "",
    "",
    IFERROR(
      INDEX(
        RANASBlocksTable[tag],
        MATCH(
          IFERROR(
            INDEX(
              factorsConfigTable[RANASBlock],
              MATCH(factorsTable[[#This Row],[sortedIndex]], factorsConfigTable[index], 0)
            ),#REF!
          ),
          RANASBlocksTable[label],
          0
        )
      ),
      NA()
    )
  )</f>
        <v/>
      </c>
      <c r="DQ18"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8"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8" s="177" t="str">
        <f>IF(
    factorsTable[[#This Row],[sortedIndex]] = "",
    "",
    INDEX(factorsTable[numTotal], MATCH(factorsTable[[#This Row],[sortedIndex]], factorsTable[index], 0))
  )</f>
        <v/>
      </c>
      <c r="DT18" s="177" t="str">
        <f>IF(
    factorsTable[[#This Row],[sortedIndex]] = "",
    "",
    INDEX(factorsTable[nondoers], MATCH(factorsTable[[#This Row],[sortedIndex]], factorsTable[index], 0))
  )</f>
        <v/>
      </c>
      <c r="DU18" s="177" t="str">
        <f>IF(
    factorsTable[[#This Row],[sortedIndex]] = "",
    "",
    INDEX(factorsTable[doers], MATCH(factorsTable[[#This Row],[sortedIndex]], factorsTable[index], 0))
  )</f>
        <v/>
      </c>
      <c r="DV18" s="177" t="str">
        <f>IF(
    factorsTable[[#This Row],[sortedIndex]] = "",
    "",
    INDEX(factorsTable[difference], MATCH(factorsTable[[#This Row],[sortedIndex]], factorsTable[index], 0))
  )</f>
        <v/>
      </c>
    </row>
    <row r="19" spans="5:126" ht="14.4" customHeight="1" x14ac:dyDescent="0.3">
      <c r="E19" s="187" cm="1">
        <f t="array" ref="E19">ROW()-ROW(UITranslationTable[#Headers])</f>
        <v>17</v>
      </c>
      <c r="F19" s="9" t="s">
        <v>324</v>
      </c>
      <c r="G19" s="191" t="s">
        <v>323</v>
      </c>
      <c r="H19" s="176" t="s">
        <v>336</v>
      </c>
      <c r="J19" s="1" cm="1">
        <f t="array" ref="J19">ROW()-ROW(errorMessagesTable[#Headers])</f>
        <v>17</v>
      </c>
      <c r="K19" s="1" t="s">
        <v>440</v>
      </c>
      <c r="L19" s="1" t="b" cm="1">
        <f t="array" aca="1" ref="L19" ca="1">errorFactorTranslationMissing</f>
        <v>0</v>
      </c>
      <c r="M19" s="176" t="s">
        <v>546</v>
      </c>
      <c r="N19" s="176" t="s">
        <v>547</v>
      </c>
      <c r="O19" s="1" t="str" cm="1">
        <f t="array" aca="1" ref="O19"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9"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9" s="9" t="str" cm="1">
        <f t="array" aca="1" ref="Q19" ca="1">IF(
    errorMessagesTable[[#This Row],[filteredIndex]] = "",
    "",
    IF(
      errorMessagesTable[[#This Row],[index]] = 1,
      "",
      INDEX(errorMessagesTable[concatErrors], errorMessagesTable[[#This Row],[index]]-1)
      &amp; CHAR(10) &amp; CHAR(10)
    )
    &amp; INDEX(errorMessagesTable[langSpecError], errorMessagesTable[[#This Row],[index]])
  )</f>
        <v/>
      </c>
      <c r="W19" s="177" cm="1">
        <f t="array" ref="W19">ROW()-ROW(structuredFormulaeTable[#Headers])</f>
        <v>17</v>
      </c>
      <c r="X19" s="1" t="s">
        <v>420</v>
      </c>
      <c r="Y19" s="1" t="s">
        <v>524</v>
      </c>
      <c r="Z19" s="1" t="str" cm="1">
        <f t="array" ref="Z19">behaviourMaxScore4</f>
        <v/>
      </c>
      <c r="AA19" s="178" t="s">
        <v>525</v>
      </c>
      <c r="AB19" s="164" t="s">
        <v>652</v>
      </c>
      <c r="CD19" s="1" cm="1">
        <f t="array" ref="CD19">ROW()-ROW(recommendedCutoffTable[#Headers])</f>
        <v>17</v>
      </c>
      <c r="CE19" s="183">
        <f>(recommendedCutoffTable[[#This Row],[index]] - 1) / 100</f>
        <v>0.16</v>
      </c>
      <c r="CF19" s="1" cm="1">
        <f t="array" ref="CF19">ABS(
    numScores
  - 2 * SUMPRODUCT((behaviourScore &lt;&gt; "") * (behaviourScore &lt; recommendedCutoffTable[[#This Row],[cutoffLevel]]))
  )</f>
        <v>0</v>
      </c>
      <c r="CM19" s="177" cm="1">
        <f t="array" ref="CM19">ROW()-ROW(factorsTable[#Headers])</f>
        <v>17</v>
      </c>
      <c r="CN19" s="177" t="str">
        <f>IFERROR(
    INDEX(
      factorsConfigTable[factorHeader],
      MATCH(factorsTable[[#This Row],[index]], factorsConfigTable[index], 0)
    ),#REF!
  ) &amp; ""</f>
        <v/>
      </c>
      <c r="CO19" s="177" t="str">
        <f>IF(
    factorsTable[[#This Row],[factorHeader]] = "",
    "",
    _xlfn.IFNA(
      MATCH(factorsTable[[#This Row],[factorHeader]], dataHeaders, 0),
      _xlfn.IFNA(
        MATCH("*/" &amp; factorsTable[[#This Row],[factorHeader]], dataHeaders, 0),
        MATCH("*-" &amp; factorsTable[[#This Row],[factorHeader]], dataHeaders, 0)
      )
    )
  )</f>
        <v/>
      </c>
      <c r="CP19" s="177" t="str">
        <f>IF(
    factorsTable[[#This Row],[factorHeader]] = "",
    "",
    IF(
      IFERROR(
        INDEX(
          factorsConfigTable[minScore],
          MATCH(factorsTable[[#This Row],[index]], factorsConfigTable[index], 0)
        ),#REF!
      ) = "",
      NA(),
      IFERROR(
        INDEX(
          factorsConfigTable[minScore],
          MATCH(factorsTable[[#This Row],[index]], factorsConfigTable[index], 0)
        ),#REF!
      )
    )
  )</f>
        <v/>
      </c>
      <c r="CQ19" s="177" t="str">
        <f>IF(
    factorsTable[[#This Row],[factorHeader]] = "",
    "",
    IF(
      IFERROR(
        INDEX(
          factorsConfigTable[maxScore],
          MATCH(factorsTable[[#This Row],[index]], factorsConfigTable[index], 0)
        ),#REF!
      ) = "",
      NA(),
      IFERROR(
        INDEX(
          factorsConfigTable[maxScore],
          MATCH(factorsTable[[#This Row],[index]], factorsConfigTable[index], 0)
        ),#REF!
      )
    )
  )</f>
        <v/>
      </c>
      <c r="CR19" s="177" t="str">
        <f>IF(
    factorsTable[[#This Row],[factorHeader]] = "",
    "",
    IF(
      ISERROR(factorsTable[[#This Row],[factorColNum]]),
      NA(),
      IF(
        ISNA(INDEX(dataRange,1,1)),
        NA(),
        MIN(INDEX(dataRange, , factorsTable[[#This Row],[factorColNum]]))
      )
    )
  )</f>
        <v/>
      </c>
      <c r="CS19" s="177" t="str">
        <f>IF(
    factorsTable[[#This Row],[factorHeader]] = "",
    "",
    IF(
      ISERROR(factorsTable[[#This Row],[factorColNum]]),
      NA(),
      IF(
        ISNA(INDEX(dataRange,1,1)),
        NA(),
        MAX(INDEX(dataRange, , factorsTable[[#This Row],[factorColNum]]))
      )
    )
  )</f>
        <v/>
      </c>
      <c r="CT19" s="177" t="b" cm="1">
        <f t="array" aca="1" ref="CT19" ca="1">AND(
    NOT(errorNoDataSheet),
    factorsTable[[#This Row],[factorHeader]] &lt;&gt; "",
    NOT(ISERROR(factorsTable[[#This Row],[factorColNum]])),
    IFERROR(factorsTable[[#This Row],[display]], FALSE),
    IFERROR(factorsTable[[#This Row],[minValue]] &lt; factorsTable[[#This Row],[minScore]], FALSE)
  )</f>
        <v>0</v>
      </c>
      <c r="CU19" s="177" t="b" cm="1">
        <f t="array" aca="1" ref="CU19" ca="1">AND(
    NOT(errorNoDataSheet),
    factorsTable[[#This Row],[factorHeader]] &lt;&gt; "",
    NOT(ISERROR(factorsTable[[#This Row],[factorColNum]])),
    IFERROR(factorsTable[[#This Row],[display]], FALSE),
    IFERROR(factorsTable[[#This Row],[maxValue]] &gt; factorsTable[[#This Row],[maxScore]], FALSE)
  )</f>
        <v>0</v>
      </c>
      <c r="CV19" s="177" t="str" cm="1">
        <f t="array" ref="CV19">IF(
    factorsTable[[#This Row],[factorHeader]] = "",
    "",
    IF(
      ISNA(INDEX(dataRange,1,1)),
      NA(),
      SUMPRODUCT(
          IF(isDoer = "", 0, NOT(isDoer))
        * (INDEX(dataRange, , factorsTable[[#This Row],[factorColNum]]) &lt;&gt; "")
      )
    )
  )</f>
        <v/>
      </c>
      <c r="CW19" s="177" t="str" cm="1">
        <f t="array" ref="CW19">IF(
    factorsTable[[#This Row],[factorHeader]] = "",
    "",
    IF(
      ISNA(INDEX(dataRange,1,1)),
      NA(),
      SUMPRODUCT(
          IF(isDoer = "", 0, isDoer)
        * (INDEX(dataRange, , factorsTable[[#This Row],[factorColNum]]) &lt;&gt; "")
      )
    )
  )</f>
        <v/>
      </c>
      <c r="CX19"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19" s="177" t="str" cm="1">
        <f t="array" ref="CY1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19" s="177" t="str" cm="1">
        <f t="array" ref="CZ1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19" s="177" t="str">
        <f>IF(
    factorsTable[[#This Row],[factorHeader]] = "",
    "",
    factorsTable[[#This Row],[doers]] - factorsTable[[#This Row],[nondoers]]
  )</f>
        <v/>
      </c>
      <c r="DB19" s="177" t="str">
        <f>IF(
    factorsTable[[#This Row],[factorHeader]] = "",
    "",
    IFERROR(
      INDEX(
        yesNoTable[tag],
        MATCH(
          IFERROR(
            INDEX(
              factorsConfigTable[displayConfig],
              MATCH(factorsTable[[#This Row],[index]], factorsConfigTable[index], 0)
            ),#REF!
          ),
          yesNoTable[label],
          0
        )
      ),
      ""
    )
  )</f>
        <v/>
      </c>
      <c r="DC19" s="177" t="b">
        <f>IF(
    factorsTable[[#This Row],[factorHeader]] = "",
    FALSE,
    IF(
      factorsTable[[#This Row],[displayConfig]] = "yes",
      TRUE,
      IF(
        factorsTable[[#This Row],[displayConfig]] = "no",
        FALSE,
        NA()
      )
    )
  )</f>
        <v>0</v>
      </c>
      <c r="DD19" s="177" t="str" cm="1">
        <f t="array" ref="DD19">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19" s="177" t="str">
        <f>IF(
    factorsTable[[#This Row],[filteredIndex]] = "",
    "",
    _xlfn.IFNA(
      INDEX(
        factorsTable[difference],
        MATCH(factorsTable[[#This Row],[filteredIndex]], factorsTable[index], 0)
      ),
      -99
    )
  )</f>
        <v/>
      </c>
      <c r="DF19" s="177" t="str">
        <f>IF(
    factorsTable[[#This Row],[filteredIndex]] = "",
    "",
    IF(
      factorsTable[[#This Row],[relDiff]] = -99,
      -99,
      ABS(factorsTable[[#This Row],[relDiff]])
    )
  )</f>
        <v/>
      </c>
      <c r="DG19" s="177" t="str">
        <f>IF(
    factorsTable[[#This Row],[filteredIndex]] = "",
    "",
    IFERROR(
      INDEX(
        RANASBlocksTable[index],
        MATCH(
          IFERROR(
            INDEX(
              factorsConfigTable[RANASBlock],
              MATCH(factorsTable[[#This Row],[filteredIndex]], factorsConfigTable[index], 0)
            ),#REF!
          ),
          RANASBlocksTable[label],
          0
        )
      ),
      6
    )
  )</f>
        <v/>
      </c>
      <c r="DH19" s="177" t="str">
        <f>IF(
    factorsTable[[#This Row],[filteredIndex]] = "",
    "",
    _xlfn.RANK.EQ(factorsTable[[#This Row],[relDiff]], factorsTable[relDiff], 0)
  )</f>
        <v/>
      </c>
      <c r="DI19" s="177" t="str">
        <f>IF(
    factorsTable[[#This Row],[filteredIndex]] = "",
    "",
    _xlfn.RANK.EQ(factorsTable[[#This Row],[absDiff]], factorsTable[absDiff], 0)
  )</f>
        <v/>
      </c>
      <c r="DJ19" s="177" t="str">
        <f>IF(
    factorsTable[[#This Row],[filteredIndex]] = "",
    "",
    _xlfn.RANK.EQ(factorsTable[[#This Row],[RANASIndex]], factorsTable[RANASIndex], 1)
  )</f>
        <v/>
      </c>
      <c r="DK19" s="177" t="str" cm="1">
        <f t="array" ref="DK19">IF(sortingMethodTag = "none", factorsTable[[#This Row],[filteredIndex]],
  IF(sortingMethodTag = "relDiff", factorsTable[[#This Row],[relDiffRank]],
  IF(sortingMethodTag = "absDiff", factorsTable[[#This Row],[absDiffRank]],
  IF(sortingMethodTag = "RANAS", factorsTable[[#This Row],[RANASRank]],
  factorsTable[[#This Row],[filteredIndex]]))))</f>
        <v/>
      </c>
      <c r="DL19" s="177" t="str">
        <f>IF(
    factorsTable[[#This Row],[filteredIndex]] = "",
    "",
    factorsTable[[#This Row],[selectedRank]]
      + COUNTIF(INDEX(factorsTable[selectedRank], 1):INDEX(factorsTable[selectedRank], factorsTable[[#This Row],[index]]), factorsTable[[#This Row],[selectedRank]])
      - 1
  )</f>
        <v/>
      </c>
      <c r="DM19" s="177" t="str">
        <f>IF(
    factorsTable[[#This Row],[filteredIndex]] = "",
    "",
    IFERROR(
      INDEX(
        factorsTable[filteredIndex],
        MATCH(factorsTable[[#This Row],[index]], factorsTable[uniqueRank], 0)
      ),#REF!
    )
  )</f>
        <v/>
      </c>
      <c r="DN19" s="177" t="str">
        <f>IF(
    factorsTable[[#This Row],[sortedIndex]] = "",
    "",
    INDEX(
      INDEX(
        factorsConfigTable[],
        0,
        MATCH(
          chartLanguage,
          languageHeadersList,
          0
        )
        + MATCH(factorsConfigTable[[#Headers],[lang1]], factorsConfigTable[#Headers], 0)
        - 1
      ),
      MATCH(factorsTable[[#This Row],[sortedIndex]], factorsConfigTable[index], 0)
    ) &amp; ""
  )</f>
        <v/>
      </c>
      <c r="DO19"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19" s="177" t="str">
        <f>IF(
    factorsTable[[#This Row],[sortedIndex]] = "",
    "",
    IFERROR(
      INDEX(
        RANASBlocksTable[tag],
        MATCH(
          IFERROR(
            INDEX(
              factorsConfigTable[RANASBlock],
              MATCH(factorsTable[[#This Row],[sortedIndex]], factorsConfigTable[index], 0)
            ),#REF!
          ),
          RANASBlocksTable[label],
          0
        )
      ),
      NA()
    )
  )</f>
        <v/>
      </c>
      <c r="DQ19"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19"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19" s="177" t="str">
        <f>IF(
    factorsTable[[#This Row],[sortedIndex]] = "",
    "",
    INDEX(factorsTable[numTotal], MATCH(factorsTable[[#This Row],[sortedIndex]], factorsTable[index], 0))
  )</f>
        <v/>
      </c>
      <c r="DT19" s="177" t="str">
        <f>IF(
    factorsTable[[#This Row],[sortedIndex]] = "",
    "",
    INDEX(factorsTable[nondoers], MATCH(factorsTable[[#This Row],[sortedIndex]], factorsTable[index], 0))
  )</f>
        <v/>
      </c>
      <c r="DU19" s="177" t="str">
        <f>IF(
    factorsTable[[#This Row],[sortedIndex]] = "",
    "",
    INDEX(factorsTable[doers], MATCH(factorsTable[[#This Row],[sortedIndex]], factorsTable[index], 0))
  )</f>
        <v/>
      </c>
      <c r="DV19" s="177" t="str">
        <f>IF(
    factorsTable[[#This Row],[sortedIndex]] = "",
    "",
    INDEX(factorsTable[difference], MATCH(factorsTable[[#This Row],[sortedIndex]], factorsTable[index], 0))
  )</f>
        <v/>
      </c>
    </row>
    <row r="20" spans="5:126" ht="14.4" customHeight="1" x14ac:dyDescent="0.3">
      <c r="E20" s="187" cm="1">
        <f t="array" ref="E20">ROW()-ROW(UITranslationTable[#Headers])</f>
        <v>18</v>
      </c>
      <c r="F20" s="9" t="s">
        <v>325</v>
      </c>
      <c r="G20" s="191" t="str">
        <f>"This work is licensed under Creative Commons Attribution-NonCommercial-NoDerivatives 4.0 International (CC" &amp; CHAR(160) &amp; "BY" &amp; CHAR(173) &amp; "NC" &amp; CHAR(173) &amp; "ND" &amp; CHAR(160) &amp; "4.0)." &amp; CHAR(10) &amp; CHAR(10)
&amp; "To view a copy of this license, visit:"</f>
        <v>This work is licensed under Creative Commons Attribution-NonCommercial-NoDerivatives 4.0 International (CC BY­NC­ND 4.0).
To view a copy of this license, visit:</v>
      </c>
      <c r="H20" s="176" t="str">
        <f>"Ce document est mis à disposition selon les termes de la licence Creative Commons Attribution - Utilisation non commerciale - Pas d’Œuvre dérivée 4.0 International (CC" &amp; CHAR(160) &amp; "BY" &amp; CHAR(173) &amp; "NC" &amp; CHAR(173) &amp; "ND" &amp; CHAR(160) &amp; "4.0)." &amp; CHAR(10) &amp; CHAR(10)
&amp; "Pour voir une copie de cette licence, rendez-vous sur le site:"</f>
        <v>Ce document est mis à disposition selon les termes de la licence Creative Commons Attribution - Utilisation non commerciale - Pas d’Œuvre dérivée 4.0 International (CC BY­NC­ND 4.0).
Pour voir une copie de cette licence, rendez-vous sur le site:</v>
      </c>
      <c r="J20" s="1" cm="1">
        <f t="array" ref="J20">ROW()-ROW(errorMessagesTable[#Headers])</f>
        <v>18</v>
      </c>
      <c r="K20" s="1" t="s">
        <v>441</v>
      </c>
      <c r="L20" s="1" t="b" cm="1">
        <f t="array" aca="1" ref="L20" ca="1">errorChartTranslationMissing</f>
        <v>0</v>
      </c>
      <c r="M20" s="176" t="s">
        <v>251</v>
      </c>
      <c r="N20" s="176" t="s">
        <v>252</v>
      </c>
      <c r="O20" s="1" t="str" cm="1">
        <f t="array" aca="1" ref="O20"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20"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20" s="9" t="str" cm="1">
        <f t="array" aca="1" ref="Q20" ca="1">IF(
    errorMessagesTable[[#This Row],[filteredIndex]] = "",
    "",
    IF(
      errorMessagesTable[[#This Row],[index]] = 1,
      "",
      INDEX(errorMessagesTable[concatErrors], errorMessagesTable[[#This Row],[index]]-1)
      &amp; CHAR(10) &amp; CHAR(10)
    )
    &amp; INDEX(errorMessagesTable[langSpecError], errorMessagesTable[[#This Row],[index]])
  )</f>
        <v/>
      </c>
      <c r="W20" s="177" cm="1">
        <f t="array" ref="W20">ROW()-ROW(structuredFormulaeTable[#Headers])</f>
        <v>18</v>
      </c>
      <c r="X20" s="1" t="s">
        <v>420</v>
      </c>
      <c r="Y20" s="1" t="s">
        <v>526</v>
      </c>
      <c r="Z20" s="1" t="str" cm="1">
        <f t="array" ref="Z20">behaviourMaxScore5</f>
        <v/>
      </c>
      <c r="AA20" s="178" t="s">
        <v>527</v>
      </c>
      <c r="AB20" s="164" t="s">
        <v>653</v>
      </c>
      <c r="CD20" s="1" cm="1">
        <f t="array" ref="CD20">ROW()-ROW(recommendedCutoffTable[#Headers])</f>
        <v>18</v>
      </c>
      <c r="CE20" s="183">
        <f>(recommendedCutoffTable[[#This Row],[index]] - 1) / 100</f>
        <v>0.17</v>
      </c>
      <c r="CF20" s="1" cm="1">
        <f t="array" ref="CF20">ABS(
    numScores
  - 2 * SUMPRODUCT((behaviourScore &lt;&gt; "") * (behaviourScore &lt; recommendedCutoffTable[[#This Row],[cutoffLevel]]))
  )</f>
        <v>0</v>
      </c>
      <c r="CM20" s="177" cm="1">
        <f t="array" ref="CM20">ROW()-ROW(factorsTable[#Headers])</f>
        <v>18</v>
      </c>
      <c r="CN20" s="177" t="str">
        <f>IFERROR(
    INDEX(
      factorsConfigTable[factorHeader],
      MATCH(factorsTable[[#This Row],[index]], factorsConfigTable[index], 0)
    ),#REF!
  ) &amp; ""</f>
        <v/>
      </c>
      <c r="CO20" s="177" t="str">
        <f>IF(
    factorsTable[[#This Row],[factorHeader]] = "",
    "",
    _xlfn.IFNA(
      MATCH(factorsTable[[#This Row],[factorHeader]], dataHeaders, 0),
      _xlfn.IFNA(
        MATCH("*/" &amp; factorsTable[[#This Row],[factorHeader]], dataHeaders, 0),
        MATCH("*-" &amp; factorsTable[[#This Row],[factorHeader]], dataHeaders, 0)
      )
    )
  )</f>
        <v/>
      </c>
      <c r="CP20" s="177" t="str">
        <f>IF(
    factorsTable[[#This Row],[factorHeader]] = "",
    "",
    IF(
      IFERROR(
        INDEX(
          factorsConfigTable[minScore],
          MATCH(factorsTable[[#This Row],[index]], factorsConfigTable[index], 0)
        ),#REF!
      ) = "",
      NA(),
      IFERROR(
        INDEX(
          factorsConfigTable[minScore],
          MATCH(factorsTable[[#This Row],[index]], factorsConfigTable[index], 0)
        ),#REF!
      )
    )
  )</f>
        <v/>
      </c>
      <c r="CQ20" s="177" t="str">
        <f>IF(
    factorsTable[[#This Row],[factorHeader]] = "",
    "",
    IF(
      IFERROR(
        INDEX(
          factorsConfigTable[maxScore],
          MATCH(factorsTable[[#This Row],[index]], factorsConfigTable[index], 0)
        ),#REF!
      ) = "",
      NA(),
      IFERROR(
        INDEX(
          factorsConfigTable[maxScore],
          MATCH(factorsTable[[#This Row],[index]], factorsConfigTable[index], 0)
        ),#REF!
      )
    )
  )</f>
        <v/>
      </c>
      <c r="CR20" s="177" t="str">
        <f>IF(
    factorsTable[[#This Row],[factorHeader]] = "",
    "",
    IF(
      ISERROR(factorsTable[[#This Row],[factorColNum]]),
      NA(),
      IF(
        ISNA(INDEX(dataRange,1,1)),
        NA(),
        MIN(INDEX(dataRange, , factorsTable[[#This Row],[factorColNum]]))
      )
    )
  )</f>
        <v/>
      </c>
      <c r="CS20" s="177" t="str">
        <f>IF(
    factorsTable[[#This Row],[factorHeader]] = "",
    "",
    IF(
      ISERROR(factorsTable[[#This Row],[factorColNum]]),
      NA(),
      IF(
        ISNA(INDEX(dataRange,1,1)),
        NA(),
        MAX(INDEX(dataRange, , factorsTable[[#This Row],[factorColNum]]))
      )
    )
  )</f>
        <v/>
      </c>
      <c r="CT20" s="177" t="b" cm="1">
        <f t="array" aca="1" ref="CT20" ca="1">AND(
    NOT(errorNoDataSheet),
    factorsTable[[#This Row],[factorHeader]] &lt;&gt; "",
    NOT(ISERROR(factorsTable[[#This Row],[factorColNum]])),
    IFERROR(factorsTable[[#This Row],[display]], FALSE),
    IFERROR(factorsTable[[#This Row],[minValue]] &lt; factorsTable[[#This Row],[minScore]], FALSE)
  )</f>
        <v>0</v>
      </c>
      <c r="CU20" s="177" t="b" cm="1">
        <f t="array" aca="1" ref="CU20" ca="1">AND(
    NOT(errorNoDataSheet),
    factorsTable[[#This Row],[factorHeader]] &lt;&gt; "",
    NOT(ISERROR(factorsTable[[#This Row],[factorColNum]])),
    IFERROR(factorsTable[[#This Row],[display]], FALSE),
    IFERROR(factorsTable[[#This Row],[maxValue]] &gt; factorsTable[[#This Row],[maxScore]], FALSE)
  )</f>
        <v>0</v>
      </c>
      <c r="CV20" s="177" t="str" cm="1">
        <f t="array" ref="CV20">IF(
    factorsTable[[#This Row],[factorHeader]] = "",
    "",
    IF(
      ISNA(INDEX(dataRange,1,1)),
      NA(),
      SUMPRODUCT(
          IF(isDoer = "", 0, NOT(isDoer))
        * (INDEX(dataRange, , factorsTable[[#This Row],[factorColNum]]) &lt;&gt; "")
      )
    )
  )</f>
        <v/>
      </c>
      <c r="CW20" s="177" t="str" cm="1">
        <f t="array" ref="CW20">IF(
    factorsTable[[#This Row],[factorHeader]] = "",
    "",
    IF(
      ISNA(INDEX(dataRange,1,1)),
      NA(),
      SUMPRODUCT(
          IF(isDoer = "", 0, isDoer)
        * (INDEX(dataRange, , factorsTable[[#This Row],[factorColNum]]) &lt;&gt; "")
      )
    )
  )</f>
        <v/>
      </c>
      <c r="CX20"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0" s="177" t="str" cm="1">
        <f t="array" ref="CY2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0" s="177" t="str" cm="1">
        <f t="array" ref="CZ2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0" s="177" t="str">
        <f>IF(
    factorsTable[[#This Row],[factorHeader]] = "",
    "",
    factorsTable[[#This Row],[doers]] - factorsTable[[#This Row],[nondoers]]
  )</f>
        <v/>
      </c>
      <c r="DB20" s="177" t="str">
        <f>IF(
    factorsTable[[#This Row],[factorHeader]] = "",
    "",
    IFERROR(
      INDEX(
        yesNoTable[tag],
        MATCH(
          IFERROR(
            INDEX(
              factorsConfigTable[displayConfig],
              MATCH(factorsTable[[#This Row],[index]], factorsConfigTable[index], 0)
            ),#REF!
          ),
          yesNoTable[label],
          0
        )
      ),
      ""
    )
  )</f>
        <v/>
      </c>
      <c r="DC20" s="177" t="b">
        <f>IF(
    factorsTable[[#This Row],[factorHeader]] = "",
    FALSE,
    IF(
      factorsTable[[#This Row],[displayConfig]] = "yes",
      TRUE,
      IF(
        factorsTable[[#This Row],[displayConfig]] = "no",
        FALSE,
        NA()
      )
    )
  )</f>
        <v>0</v>
      </c>
      <c r="DD20" s="177" t="str" cm="1">
        <f t="array" ref="DD20">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0" s="177" t="str">
        <f>IF(
    factorsTable[[#This Row],[filteredIndex]] = "",
    "",
    _xlfn.IFNA(
      INDEX(
        factorsTable[difference],
        MATCH(factorsTable[[#This Row],[filteredIndex]], factorsTable[index], 0)
      ),
      -99
    )
  )</f>
        <v/>
      </c>
      <c r="DF20" s="177" t="str">
        <f>IF(
    factorsTable[[#This Row],[filteredIndex]] = "",
    "",
    IF(
      factorsTable[[#This Row],[relDiff]] = -99,
      -99,
      ABS(factorsTable[[#This Row],[relDiff]])
    )
  )</f>
        <v/>
      </c>
      <c r="DG20" s="177" t="str">
        <f>IF(
    factorsTable[[#This Row],[filteredIndex]] = "",
    "",
    IFERROR(
      INDEX(
        RANASBlocksTable[index],
        MATCH(
          IFERROR(
            INDEX(
              factorsConfigTable[RANASBlock],
              MATCH(factorsTable[[#This Row],[filteredIndex]], factorsConfigTable[index], 0)
            ),#REF!
          ),
          RANASBlocksTable[label],
          0
        )
      ),
      6
    )
  )</f>
        <v/>
      </c>
      <c r="DH20" s="177" t="str">
        <f>IF(
    factorsTable[[#This Row],[filteredIndex]] = "",
    "",
    _xlfn.RANK.EQ(factorsTable[[#This Row],[relDiff]], factorsTable[relDiff], 0)
  )</f>
        <v/>
      </c>
      <c r="DI20" s="177" t="str">
        <f>IF(
    factorsTable[[#This Row],[filteredIndex]] = "",
    "",
    _xlfn.RANK.EQ(factorsTable[[#This Row],[absDiff]], factorsTable[absDiff], 0)
  )</f>
        <v/>
      </c>
      <c r="DJ20" s="177" t="str">
        <f>IF(
    factorsTable[[#This Row],[filteredIndex]] = "",
    "",
    _xlfn.RANK.EQ(factorsTable[[#This Row],[RANASIndex]], factorsTable[RANASIndex], 1)
  )</f>
        <v/>
      </c>
      <c r="DK20" s="177" t="str" cm="1">
        <f t="array" ref="DK20">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0" s="177" t="str">
        <f>IF(
    factorsTable[[#This Row],[filteredIndex]] = "",
    "",
    factorsTable[[#This Row],[selectedRank]]
      + COUNTIF(INDEX(factorsTable[selectedRank], 1):INDEX(factorsTable[selectedRank], factorsTable[[#This Row],[index]]), factorsTable[[#This Row],[selectedRank]])
      - 1
  )</f>
        <v/>
      </c>
      <c r="DM20" s="177" t="str">
        <f>IF(
    factorsTable[[#This Row],[filteredIndex]] = "",
    "",
    IFERROR(
      INDEX(
        factorsTable[filteredIndex],
        MATCH(factorsTable[[#This Row],[index]], factorsTable[uniqueRank], 0)
      ),#REF!
    )
  )</f>
        <v/>
      </c>
      <c r="DN20" s="177" t="str">
        <f>IF(
    factorsTable[[#This Row],[sortedIndex]] = "",
    "",
    INDEX(
      INDEX(
        factorsConfigTable[],
        0,
        MATCH(
          chartLanguage,
          languageHeadersList,
          0
        )
        + MATCH(factorsConfigTable[[#Headers],[lang1]], factorsConfigTable[#Headers], 0)
        - 1
      ),
      MATCH(factorsTable[[#This Row],[sortedIndex]], factorsConfigTable[index], 0)
    ) &amp; ""
  )</f>
        <v/>
      </c>
      <c r="DO20"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0" s="177" t="str">
        <f>IF(
    factorsTable[[#This Row],[sortedIndex]] = "",
    "",
    IFERROR(
      INDEX(
        RANASBlocksTable[tag],
        MATCH(
          IFERROR(
            INDEX(
              factorsConfigTable[RANASBlock],
              MATCH(factorsTable[[#This Row],[sortedIndex]], factorsConfigTable[index], 0)
            ),#REF!
          ),
          RANASBlocksTable[label],
          0
        )
      ),
      NA()
    )
  )</f>
        <v/>
      </c>
      <c r="DQ20"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0"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0" s="177" t="str">
        <f>IF(
    factorsTable[[#This Row],[sortedIndex]] = "",
    "",
    INDEX(factorsTable[numTotal], MATCH(factorsTable[[#This Row],[sortedIndex]], factorsTable[index], 0))
  )</f>
        <v/>
      </c>
      <c r="DT20" s="177" t="str">
        <f>IF(
    factorsTable[[#This Row],[sortedIndex]] = "",
    "",
    INDEX(factorsTable[nondoers], MATCH(factorsTable[[#This Row],[sortedIndex]], factorsTable[index], 0))
  )</f>
        <v/>
      </c>
      <c r="DU20" s="177" t="str">
        <f>IF(
    factorsTable[[#This Row],[sortedIndex]] = "",
    "",
    INDEX(factorsTable[doers], MATCH(factorsTable[[#This Row],[sortedIndex]], factorsTable[index], 0))
  )</f>
        <v/>
      </c>
      <c r="DV20" s="177" t="str">
        <f>IF(
    factorsTable[[#This Row],[sortedIndex]] = "",
    "",
    INDEX(factorsTable[difference], MATCH(factorsTable[[#This Row],[sortedIndex]], factorsTable[index], 0))
  )</f>
        <v/>
      </c>
    </row>
    <row r="21" spans="5:126" ht="14.4" customHeight="1" x14ac:dyDescent="0.3">
      <c r="E21" s="187" cm="1">
        <f t="array" ref="E21">ROW()-ROW(UITranslationTable[#Headers])</f>
        <v>19</v>
      </c>
      <c r="F21" s="9" t="s">
        <v>337</v>
      </c>
      <c r="G21" s="191" t="s">
        <v>315</v>
      </c>
      <c r="H21" s="176" t="s">
        <v>316</v>
      </c>
      <c r="J21" s="1" cm="1">
        <f t="array" ref="J21">ROW()-ROW(errorMessagesTable[#Headers])</f>
        <v>19</v>
      </c>
      <c r="K21" s="1" t="s">
        <v>438</v>
      </c>
      <c r="L21" s="1" t="b" cm="1">
        <f t="array" aca="1" ref="L21" ca="1">errorCutoffLevel</f>
        <v>0</v>
      </c>
      <c r="M21" s="178" t="str" cm="1">
        <f t="array" aca="1" ref="M21" ca="1">"The value of the ""Cutoff level"" parameter in the """ &amp; sheetNameCutoff &amp; """ sheet is invalid (red cell). Please enter a integer value in % between 0 and 100 or use the arrows to change the value."</f>
        <v>The value of the "Cutoff level" parameter in the "Cutoff - Seuil" sheet is invalid (red cell). Please enter a integer value in % between 0 and 100 or use the arrows to change the value.</v>
      </c>
      <c r="N21" s="9" t="str" cm="1">
        <f t="array" aca="1" ref="N21" ca="1">"La valeur du paramètre «Niveau de seuil» sur la feuille «" &amp; sheetNameCutoff &amp; "» n'est pas valable (cellule rouge). Veuillez saisir une valeur entière en % entre 0 et 100 ou utilisez les flèches pour changer la valeur."</f>
        <v>La valeur du paramètre «Niveau de seuil» sur la feuille «Cutoff - Seuil» n'est pas valable (cellule rouge). Veuillez saisir une valeur entière en % entre 0 et 100 ou utilisez les flèches pour changer la valeur.</v>
      </c>
      <c r="O21" s="1" t="str" cm="1">
        <f t="array" aca="1" ref="O21"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21"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21" s="9" t="str" cm="1">
        <f t="array" aca="1" ref="Q21" ca="1">IF(
    errorMessagesTable[[#This Row],[filteredIndex]] = "",
    "",
    IF(
      errorMessagesTable[[#This Row],[index]] = 1,
      "",
      INDEX(errorMessagesTable[concatErrors], errorMessagesTable[[#This Row],[index]]-1)
      &amp; CHAR(10) &amp; CHAR(10)
    )
    &amp; INDEX(errorMessagesTable[langSpecError], errorMessagesTable[[#This Row],[index]])
  )</f>
        <v/>
      </c>
      <c r="W21" s="177" cm="1">
        <f t="array" ref="W21">ROW()-ROW(structuredFormulaeTable[#Headers])</f>
        <v>19</v>
      </c>
      <c r="X21" s="1" t="s">
        <v>420</v>
      </c>
      <c r="Y21" s="1" t="s">
        <v>528</v>
      </c>
      <c r="Z21" s="1" t="str" cm="1">
        <f t="array" ref="Z21">behaviourMinScore1</f>
        <v/>
      </c>
      <c r="AA21" s="178" t="s">
        <v>529</v>
      </c>
      <c r="AB21" s="164" t="s">
        <v>654</v>
      </c>
      <c r="CD21" s="1" cm="1">
        <f t="array" ref="CD21">ROW()-ROW(recommendedCutoffTable[#Headers])</f>
        <v>19</v>
      </c>
      <c r="CE21" s="183">
        <f>(recommendedCutoffTable[[#This Row],[index]] - 1) / 100</f>
        <v>0.18</v>
      </c>
      <c r="CF21" s="1" cm="1">
        <f t="array" ref="CF21">ABS(
    numScores
  - 2 * SUMPRODUCT((behaviourScore &lt;&gt; "") * (behaviourScore &lt; recommendedCutoffTable[[#This Row],[cutoffLevel]]))
  )</f>
        <v>0</v>
      </c>
      <c r="CM21" s="177" cm="1">
        <f t="array" ref="CM21">ROW()-ROW(factorsTable[#Headers])</f>
        <v>19</v>
      </c>
      <c r="CN21" s="177" t="str">
        <f>IFERROR(
    INDEX(
      factorsConfigTable[factorHeader],
      MATCH(factorsTable[[#This Row],[index]], factorsConfigTable[index], 0)
    ),#REF!
  ) &amp; ""</f>
        <v/>
      </c>
      <c r="CO21" s="177" t="str">
        <f>IF(
    factorsTable[[#This Row],[factorHeader]] = "",
    "",
    _xlfn.IFNA(
      MATCH(factorsTable[[#This Row],[factorHeader]], dataHeaders, 0),
      _xlfn.IFNA(
        MATCH("*/" &amp; factorsTable[[#This Row],[factorHeader]], dataHeaders, 0),
        MATCH("*-" &amp; factorsTable[[#This Row],[factorHeader]], dataHeaders, 0)
      )
    )
  )</f>
        <v/>
      </c>
      <c r="CP21" s="177" t="str">
        <f>IF(
    factorsTable[[#This Row],[factorHeader]] = "",
    "",
    IF(
      IFERROR(
        INDEX(
          factorsConfigTable[minScore],
          MATCH(factorsTable[[#This Row],[index]], factorsConfigTable[index], 0)
        ),#REF!
      ) = "",
      NA(),
      IFERROR(
        INDEX(
          factorsConfigTable[minScore],
          MATCH(factorsTable[[#This Row],[index]], factorsConfigTable[index], 0)
        ),#REF!
      )
    )
  )</f>
        <v/>
      </c>
      <c r="CQ21" s="177" t="str">
        <f>IF(
    factorsTable[[#This Row],[factorHeader]] = "",
    "",
    IF(
      IFERROR(
        INDEX(
          factorsConfigTable[maxScore],
          MATCH(factorsTable[[#This Row],[index]], factorsConfigTable[index], 0)
        ),#REF!
      ) = "",
      NA(),
      IFERROR(
        INDEX(
          factorsConfigTable[maxScore],
          MATCH(factorsTable[[#This Row],[index]], factorsConfigTable[index], 0)
        ),#REF!
      )
    )
  )</f>
        <v/>
      </c>
      <c r="CR21" s="177" t="str">
        <f>IF(
    factorsTable[[#This Row],[factorHeader]] = "",
    "",
    IF(
      ISERROR(factorsTable[[#This Row],[factorColNum]]),
      NA(),
      IF(
        ISNA(INDEX(dataRange,1,1)),
        NA(),
        MIN(INDEX(dataRange, , factorsTable[[#This Row],[factorColNum]]))
      )
    )
  )</f>
        <v/>
      </c>
      <c r="CS21" s="177" t="str">
        <f>IF(
    factorsTable[[#This Row],[factorHeader]] = "",
    "",
    IF(
      ISERROR(factorsTable[[#This Row],[factorColNum]]),
      NA(),
      IF(
        ISNA(INDEX(dataRange,1,1)),
        NA(),
        MAX(INDEX(dataRange, , factorsTable[[#This Row],[factorColNum]]))
      )
    )
  )</f>
        <v/>
      </c>
      <c r="CT21" s="177" t="b" cm="1">
        <f t="array" aca="1" ref="CT21" ca="1">AND(
    NOT(errorNoDataSheet),
    factorsTable[[#This Row],[factorHeader]] &lt;&gt; "",
    NOT(ISERROR(factorsTable[[#This Row],[factorColNum]])),
    IFERROR(factorsTable[[#This Row],[display]], FALSE),
    IFERROR(factorsTable[[#This Row],[minValue]] &lt; factorsTable[[#This Row],[minScore]], FALSE)
  )</f>
        <v>0</v>
      </c>
      <c r="CU21" s="177" t="b" cm="1">
        <f t="array" aca="1" ref="CU21" ca="1">AND(
    NOT(errorNoDataSheet),
    factorsTable[[#This Row],[factorHeader]] &lt;&gt; "",
    NOT(ISERROR(factorsTable[[#This Row],[factorColNum]])),
    IFERROR(factorsTable[[#This Row],[display]], FALSE),
    IFERROR(factorsTable[[#This Row],[maxValue]] &gt; factorsTable[[#This Row],[maxScore]], FALSE)
  )</f>
        <v>0</v>
      </c>
      <c r="CV21" s="177" t="str" cm="1">
        <f t="array" ref="CV21">IF(
    factorsTable[[#This Row],[factorHeader]] = "",
    "",
    IF(
      ISNA(INDEX(dataRange,1,1)),
      NA(),
      SUMPRODUCT(
          IF(isDoer = "", 0, NOT(isDoer))
        * (INDEX(dataRange, , factorsTable[[#This Row],[factorColNum]]) &lt;&gt; "")
      )
    )
  )</f>
        <v/>
      </c>
      <c r="CW21" s="177" t="str" cm="1">
        <f t="array" ref="CW21">IF(
    factorsTable[[#This Row],[factorHeader]] = "",
    "",
    IF(
      ISNA(INDEX(dataRange,1,1)),
      NA(),
      SUMPRODUCT(
          IF(isDoer = "", 0, isDoer)
        * (INDEX(dataRange, , factorsTable[[#This Row],[factorColNum]]) &lt;&gt; "")
      )
    )
  )</f>
        <v/>
      </c>
      <c r="CX21"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1" s="177" t="str" cm="1">
        <f t="array" ref="CY2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1" s="177" t="str" cm="1">
        <f t="array" ref="CZ2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1" s="177" t="str">
        <f>IF(
    factorsTable[[#This Row],[factorHeader]] = "",
    "",
    factorsTable[[#This Row],[doers]] - factorsTable[[#This Row],[nondoers]]
  )</f>
        <v/>
      </c>
      <c r="DB21" s="177" t="str">
        <f>IF(
    factorsTable[[#This Row],[factorHeader]] = "",
    "",
    IFERROR(
      INDEX(
        yesNoTable[tag],
        MATCH(
          IFERROR(
            INDEX(
              factorsConfigTable[displayConfig],
              MATCH(factorsTable[[#This Row],[index]], factorsConfigTable[index], 0)
            ),#REF!
          ),
          yesNoTable[label],
          0
        )
      ),
      ""
    )
  )</f>
        <v/>
      </c>
      <c r="DC21" s="177" t="b">
        <f>IF(
    factorsTable[[#This Row],[factorHeader]] = "",
    FALSE,
    IF(
      factorsTable[[#This Row],[displayConfig]] = "yes",
      TRUE,
      IF(
        factorsTable[[#This Row],[displayConfig]] = "no",
        FALSE,
        NA()
      )
    )
  )</f>
        <v>0</v>
      </c>
      <c r="DD21" s="177" t="str" cm="1">
        <f t="array" ref="DD2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1" s="177" t="str">
        <f>IF(
    factorsTable[[#This Row],[filteredIndex]] = "",
    "",
    _xlfn.IFNA(
      INDEX(
        factorsTable[difference],
        MATCH(factorsTable[[#This Row],[filteredIndex]], factorsTable[index], 0)
      ),
      -99
    )
  )</f>
        <v/>
      </c>
      <c r="DF21" s="177" t="str">
        <f>IF(
    factorsTable[[#This Row],[filteredIndex]] = "",
    "",
    IF(
      factorsTable[[#This Row],[relDiff]] = -99,
      -99,
      ABS(factorsTable[[#This Row],[relDiff]])
    )
  )</f>
        <v/>
      </c>
      <c r="DG21" s="177" t="str">
        <f>IF(
    factorsTable[[#This Row],[filteredIndex]] = "",
    "",
    IFERROR(
      INDEX(
        RANASBlocksTable[index],
        MATCH(
          IFERROR(
            INDEX(
              factorsConfigTable[RANASBlock],
              MATCH(factorsTable[[#This Row],[filteredIndex]], factorsConfigTable[index], 0)
            ),#REF!
          ),
          RANASBlocksTable[label],
          0
        )
      ),
      6
    )
  )</f>
        <v/>
      </c>
      <c r="DH21" s="177" t="str">
        <f>IF(
    factorsTable[[#This Row],[filteredIndex]] = "",
    "",
    _xlfn.RANK.EQ(factorsTable[[#This Row],[relDiff]], factorsTable[relDiff], 0)
  )</f>
        <v/>
      </c>
      <c r="DI21" s="177" t="str">
        <f>IF(
    factorsTable[[#This Row],[filteredIndex]] = "",
    "",
    _xlfn.RANK.EQ(factorsTable[[#This Row],[absDiff]], factorsTable[absDiff], 0)
  )</f>
        <v/>
      </c>
      <c r="DJ21" s="177" t="str">
        <f>IF(
    factorsTable[[#This Row],[filteredIndex]] = "",
    "",
    _xlfn.RANK.EQ(factorsTable[[#This Row],[RANASIndex]], factorsTable[RANASIndex], 1)
  )</f>
        <v/>
      </c>
      <c r="DK21" s="177" t="str" cm="1">
        <f t="array" ref="DK21">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1" s="177" t="str">
        <f>IF(
    factorsTable[[#This Row],[filteredIndex]] = "",
    "",
    factorsTable[[#This Row],[selectedRank]]
      + COUNTIF(INDEX(factorsTable[selectedRank], 1):INDEX(factorsTable[selectedRank], factorsTable[[#This Row],[index]]), factorsTable[[#This Row],[selectedRank]])
      - 1
  )</f>
        <v/>
      </c>
      <c r="DM21" s="177" t="str">
        <f>IF(
    factorsTable[[#This Row],[filteredIndex]] = "",
    "",
    IFERROR(
      INDEX(
        factorsTable[filteredIndex],
        MATCH(factorsTable[[#This Row],[index]], factorsTable[uniqueRank], 0)
      ),#REF!
    )
  )</f>
        <v/>
      </c>
      <c r="DN21" s="177" t="str">
        <f>IF(
    factorsTable[[#This Row],[sortedIndex]] = "",
    "",
    INDEX(
      INDEX(
        factorsConfigTable[],
        0,
        MATCH(
          chartLanguage,
          languageHeadersList,
          0
        )
        + MATCH(factorsConfigTable[[#Headers],[lang1]], factorsConfigTable[#Headers], 0)
        - 1
      ),
      MATCH(factorsTable[[#This Row],[sortedIndex]], factorsConfigTable[index], 0)
    ) &amp; ""
  )</f>
        <v/>
      </c>
      <c r="DO21"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1" s="177" t="str">
        <f>IF(
    factorsTable[[#This Row],[sortedIndex]] = "",
    "",
    IFERROR(
      INDEX(
        RANASBlocksTable[tag],
        MATCH(
          IFERROR(
            INDEX(
              factorsConfigTable[RANASBlock],
              MATCH(factorsTable[[#This Row],[sortedIndex]], factorsConfigTable[index], 0)
            ),#REF!
          ),
          RANASBlocksTable[label],
          0
        )
      ),
      NA()
    )
  )</f>
        <v/>
      </c>
      <c r="DQ21"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1"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1" s="177" t="str">
        <f>IF(
    factorsTable[[#This Row],[sortedIndex]] = "",
    "",
    INDEX(factorsTable[numTotal], MATCH(factorsTable[[#This Row],[sortedIndex]], factorsTable[index], 0))
  )</f>
        <v/>
      </c>
      <c r="DT21" s="177" t="str">
        <f>IF(
    factorsTable[[#This Row],[sortedIndex]] = "",
    "",
    INDEX(factorsTable[nondoers], MATCH(factorsTable[[#This Row],[sortedIndex]], factorsTable[index], 0))
  )</f>
        <v/>
      </c>
      <c r="DU21" s="177" t="str">
        <f>IF(
    factorsTable[[#This Row],[sortedIndex]] = "",
    "",
    INDEX(factorsTable[doers], MATCH(factorsTable[[#This Row],[sortedIndex]], factorsTable[index], 0))
  )</f>
        <v/>
      </c>
      <c r="DV21" s="177" t="str">
        <f>IF(
    factorsTable[[#This Row],[sortedIndex]] = "",
    "",
    INDEX(factorsTable[difference], MATCH(factorsTable[[#This Row],[sortedIndex]], factorsTable[index], 0))
  )</f>
        <v/>
      </c>
    </row>
    <row r="22" spans="5:126" ht="14.4" customHeight="1" x14ac:dyDescent="0.3">
      <c r="E22" s="187" cm="1">
        <f t="array" ref="E22">ROW()-ROW(UITranslationTable[#Headers])</f>
        <v>20</v>
      </c>
      <c r="F22" s="9"/>
      <c r="G22" s="190"/>
      <c r="H22" s="176"/>
      <c r="J22" s="1" cm="1">
        <f t="array" ref="J22">ROW()-ROW(errorMessagesTable[#Headers])</f>
        <v>20</v>
      </c>
      <c r="K22" s="1" t="s">
        <v>439</v>
      </c>
      <c r="L22" s="1" t="b" cm="1">
        <f t="array" aca="1" ref="L22" ca="1">errorDataSorting</f>
        <v>0</v>
      </c>
      <c r="M22" s="9" t="str" cm="1">
        <f t="array" aca="1" ref="M22" ca="1">"The value of the ""Data sorting"" parameter in the """ &amp; sheetNameAnalysis &amp; """ sheet is invalid (red cell). Please select a value from the drop-down menu for this cell."</f>
        <v>The value of the "Data sorting" parameter in the "Analysis" sheet is invalid (red cell). Please select a value from the drop-down menu for this cell.</v>
      </c>
      <c r="N22" s="9" t="str" cm="1">
        <f t="array" aca="1" ref="N22" ca="1">"La valeur du paramètre «Tri des données» sur la feuille «" &amp; sheetNameAnalysis &amp; "» n'est pas valable (cellule rouge). Veuillez sélectionner une valeur dans le menu déroulant pour cette cellule."</f>
        <v>La valeur du paramètre «Tri des données» sur la feuille «Analysis» n'est pas valable (cellule rouge). Veuillez sélectionner une valeur dans le menu déroulant pour cette cellule.</v>
      </c>
      <c r="O22" s="1" t="str" cm="1">
        <f t="array" aca="1" ref="O22"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22" s="9"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22" s="9" t="str" cm="1">
        <f t="array" aca="1" ref="Q22" ca="1">IF(
    errorMessagesTable[[#This Row],[filteredIndex]] = "",
    "",
    IF(
      errorMessagesTable[[#This Row],[index]] = 1,
      "",
      INDEX(errorMessagesTable[concatErrors], errorMessagesTable[[#This Row],[index]]-1)
      &amp; CHAR(10) &amp; CHAR(10)
    )
    &amp; INDEX(errorMessagesTable[langSpecError], errorMessagesTable[[#This Row],[index]])
  )</f>
        <v/>
      </c>
      <c r="W22" s="177" cm="1">
        <f t="array" ref="W22">ROW()-ROW(structuredFormulaeTable[#Headers])</f>
        <v>20</v>
      </c>
      <c r="X22" s="1" t="s">
        <v>420</v>
      </c>
      <c r="Y22" s="1" t="s">
        <v>530</v>
      </c>
      <c r="Z22" s="1" t="str" cm="1">
        <f t="array" ref="Z22">behaviourMinScore2</f>
        <v/>
      </c>
      <c r="AA22" s="178" t="s">
        <v>531</v>
      </c>
      <c r="AB22" s="164" t="s">
        <v>655</v>
      </c>
      <c r="CD22" s="1" cm="1">
        <f t="array" ref="CD22">ROW()-ROW(recommendedCutoffTable[#Headers])</f>
        <v>20</v>
      </c>
      <c r="CE22" s="183">
        <f>(recommendedCutoffTable[[#This Row],[index]] - 1) / 100</f>
        <v>0.19</v>
      </c>
      <c r="CF22" s="1" cm="1">
        <f t="array" ref="CF22">ABS(
    numScores
  - 2 * SUMPRODUCT((behaviourScore &lt;&gt; "") * (behaviourScore &lt; recommendedCutoffTable[[#This Row],[cutoffLevel]]))
  )</f>
        <v>0</v>
      </c>
      <c r="CM22" s="177" cm="1">
        <f t="array" ref="CM22">ROW()-ROW(factorsTable[#Headers])</f>
        <v>20</v>
      </c>
      <c r="CN22" s="177" t="str">
        <f>IFERROR(
    INDEX(
      factorsConfigTable[factorHeader],
      MATCH(factorsTable[[#This Row],[index]], factorsConfigTable[index], 0)
    ),#REF!
  ) &amp; ""</f>
        <v/>
      </c>
      <c r="CO22" s="177" t="str">
        <f>IF(
    factorsTable[[#This Row],[factorHeader]] = "",
    "",
    _xlfn.IFNA(
      MATCH(factorsTable[[#This Row],[factorHeader]], dataHeaders, 0),
      _xlfn.IFNA(
        MATCH("*/" &amp; factorsTable[[#This Row],[factorHeader]], dataHeaders, 0),
        MATCH("*-" &amp; factorsTable[[#This Row],[factorHeader]], dataHeaders, 0)
      )
    )
  )</f>
        <v/>
      </c>
      <c r="CP22" s="177" t="str">
        <f>IF(
    factorsTable[[#This Row],[factorHeader]] = "",
    "",
    IF(
      IFERROR(
        INDEX(
          factorsConfigTable[minScore],
          MATCH(factorsTable[[#This Row],[index]], factorsConfigTable[index], 0)
        ),#REF!
      ) = "",
      NA(),
      IFERROR(
        INDEX(
          factorsConfigTable[minScore],
          MATCH(factorsTable[[#This Row],[index]], factorsConfigTable[index], 0)
        ),#REF!
      )
    )
  )</f>
        <v/>
      </c>
      <c r="CQ22" s="177" t="str">
        <f>IF(
    factorsTable[[#This Row],[factorHeader]] = "",
    "",
    IF(
      IFERROR(
        INDEX(
          factorsConfigTable[maxScore],
          MATCH(factorsTable[[#This Row],[index]], factorsConfigTable[index], 0)
        ),#REF!
      ) = "",
      NA(),
      IFERROR(
        INDEX(
          factorsConfigTable[maxScore],
          MATCH(factorsTable[[#This Row],[index]], factorsConfigTable[index], 0)
        ),#REF!
      )
    )
  )</f>
        <v/>
      </c>
      <c r="CR22" s="177" t="str">
        <f>IF(
    factorsTable[[#This Row],[factorHeader]] = "",
    "",
    IF(
      ISERROR(factorsTable[[#This Row],[factorColNum]]),
      NA(),
      IF(
        ISNA(INDEX(dataRange,1,1)),
        NA(),
        MIN(INDEX(dataRange, , factorsTable[[#This Row],[factorColNum]]))
      )
    )
  )</f>
        <v/>
      </c>
      <c r="CS22" s="177" t="str">
        <f>IF(
    factorsTable[[#This Row],[factorHeader]] = "",
    "",
    IF(
      ISERROR(factorsTable[[#This Row],[factorColNum]]),
      NA(),
      IF(
        ISNA(INDEX(dataRange,1,1)),
        NA(),
        MAX(INDEX(dataRange, , factorsTable[[#This Row],[factorColNum]]))
      )
    )
  )</f>
        <v/>
      </c>
      <c r="CT22" s="177" t="b" cm="1">
        <f t="array" aca="1" ref="CT22" ca="1">AND(
    NOT(errorNoDataSheet),
    factorsTable[[#This Row],[factorHeader]] &lt;&gt; "",
    NOT(ISERROR(factorsTable[[#This Row],[factorColNum]])),
    IFERROR(factorsTable[[#This Row],[display]], FALSE),
    IFERROR(factorsTable[[#This Row],[minValue]] &lt; factorsTable[[#This Row],[minScore]], FALSE)
  )</f>
        <v>0</v>
      </c>
      <c r="CU22" s="177" t="b" cm="1">
        <f t="array" aca="1" ref="CU22" ca="1">AND(
    NOT(errorNoDataSheet),
    factorsTable[[#This Row],[factorHeader]] &lt;&gt; "",
    NOT(ISERROR(factorsTable[[#This Row],[factorColNum]])),
    IFERROR(factorsTable[[#This Row],[display]], FALSE),
    IFERROR(factorsTable[[#This Row],[maxValue]] &gt; factorsTable[[#This Row],[maxScore]], FALSE)
  )</f>
        <v>0</v>
      </c>
      <c r="CV22" s="177" t="str" cm="1">
        <f t="array" ref="CV22">IF(
    factorsTable[[#This Row],[factorHeader]] = "",
    "",
    IF(
      ISNA(INDEX(dataRange,1,1)),
      NA(),
      SUMPRODUCT(
          IF(isDoer = "", 0, NOT(isDoer))
        * (INDEX(dataRange, , factorsTable[[#This Row],[factorColNum]]) &lt;&gt; "")
      )
    )
  )</f>
        <v/>
      </c>
      <c r="CW22" s="177" t="str" cm="1">
        <f t="array" ref="CW22">IF(
    factorsTable[[#This Row],[factorHeader]] = "",
    "",
    IF(
      ISNA(INDEX(dataRange,1,1)),
      NA(),
      SUMPRODUCT(
          IF(isDoer = "", 0, isDoer)
        * (INDEX(dataRange, , factorsTable[[#This Row],[factorColNum]]) &lt;&gt; "")
      )
    )
  )</f>
        <v/>
      </c>
      <c r="CX22"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2" s="177" t="str" cm="1">
        <f t="array" ref="CY2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2" s="177" t="str" cm="1">
        <f t="array" ref="CZ2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2" s="177" t="str">
        <f>IF(
    factorsTable[[#This Row],[factorHeader]] = "",
    "",
    factorsTable[[#This Row],[doers]] - factorsTable[[#This Row],[nondoers]]
  )</f>
        <v/>
      </c>
      <c r="DB22" s="177" t="str">
        <f>IF(
    factorsTable[[#This Row],[factorHeader]] = "",
    "",
    IFERROR(
      INDEX(
        yesNoTable[tag],
        MATCH(
          IFERROR(
            INDEX(
              factorsConfigTable[displayConfig],
              MATCH(factorsTable[[#This Row],[index]], factorsConfigTable[index], 0)
            ),#REF!
          ),
          yesNoTable[label],
          0
        )
      ),
      ""
    )
  )</f>
        <v/>
      </c>
      <c r="DC22" s="177" t="b">
        <f>IF(
    factorsTable[[#This Row],[factorHeader]] = "",
    FALSE,
    IF(
      factorsTable[[#This Row],[displayConfig]] = "yes",
      TRUE,
      IF(
        factorsTable[[#This Row],[displayConfig]] = "no",
        FALSE,
        NA()
      )
    )
  )</f>
        <v>0</v>
      </c>
      <c r="DD22" s="177" t="str" cm="1">
        <f t="array" ref="DD22">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2" s="177" t="str">
        <f>IF(
    factorsTable[[#This Row],[filteredIndex]] = "",
    "",
    _xlfn.IFNA(
      INDEX(
        factorsTable[difference],
        MATCH(factorsTable[[#This Row],[filteredIndex]], factorsTable[index], 0)
      ),
      -99
    )
  )</f>
        <v/>
      </c>
      <c r="DF22" s="177" t="str">
        <f>IF(
    factorsTable[[#This Row],[filteredIndex]] = "",
    "",
    IF(
      factorsTable[[#This Row],[relDiff]] = -99,
      -99,
      ABS(factorsTable[[#This Row],[relDiff]])
    )
  )</f>
        <v/>
      </c>
      <c r="DG22" s="177" t="str">
        <f>IF(
    factorsTable[[#This Row],[filteredIndex]] = "",
    "",
    IFERROR(
      INDEX(
        RANASBlocksTable[index],
        MATCH(
          IFERROR(
            INDEX(
              factorsConfigTable[RANASBlock],
              MATCH(factorsTable[[#This Row],[filteredIndex]], factorsConfigTable[index], 0)
            ),#REF!
          ),
          RANASBlocksTable[label],
          0
        )
      ),
      6
    )
  )</f>
        <v/>
      </c>
      <c r="DH22" s="177" t="str">
        <f>IF(
    factorsTable[[#This Row],[filteredIndex]] = "",
    "",
    _xlfn.RANK.EQ(factorsTable[[#This Row],[relDiff]], factorsTable[relDiff], 0)
  )</f>
        <v/>
      </c>
      <c r="DI22" s="177" t="str">
        <f>IF(
    factorsTable[[#This Row],[filteredIndex]] = "",
    "",
    _xlfn.RANK.EQ(factorsTable[[#This Row],[absDiff]], factorsTable[absDiff], 0)
  )</f>
        <v/>
      </c>
      <c r="DJ22" s="177" t="str">
        <f>IF(
    factorsTable[[#This Row],[filteredIndex]] = "",
    "",
    _xlfn.RANK.EQ(factorsTable[[#This Row],[RANASIndex]], factorsTable[RANASIndex], 1)
  )</f>
        <v/>
      </c>
      <c r="DK22" s="177" t="str" cm="1">
        <f t="array" ref="DK22">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2" s="177" t="str">
        <f>IF(
    factorsTable[[#This Row],[filteredIndex]] = "",
    "",
    factorsTable[[#This Row],[selectedRank]]
      + COUNTIF(INDEX(factorsTable[selectedRank], 1):INDEX(factorsTable[selectedRank], factorsTable[[#This Row],[index]]), factorsTable[[#This Row],[selectedRank]])
      - 1
  )</f>
        <v/>
      </c>
      <c r="DM22" s="177" t="str">
        <f>IF(
    factorsTable[[#This Row],[filteredIndex]] = "",
    "",
    IFERROR(
      INDEX(
        factorsTable[filteredIndex],
        MATCH(factorsTable[[#This Row],[index]], factorsTable[uniqueRank], 0)
      ),#REF!
    )
  )</f>
        <v/>
      </c>
      <c r="DN22" s="177" t="str">
        <f>IF(
    factorsTable[[#This Row],[sortedIndex]] = "",
    "",
    INDEX(
      INDEX(
        factorsConfigTable[],
        0,
        MATCH(
          chartLanguage,
          languageHeadersList,
          0
        )
        + MATCH(factorsConfigTable[[#Headers],[lang1]], factorsConfigTable[#Headers], 0)
        - 1
      ),
      MATCH(factorsTable[[#This Row],[sortedIndex]], factorsConfigTable[index], 0)
    ) &amp; ""
  )</f>
        <v/>
      </c>
      <c r="DO22"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2" s="177" t="str">
        <f>IF(
    factorsTable[[#This Row],[sortedIndex]] = "",
    "",
    IFERROR(
      INDEX(
        RANASBlocksTable[tag],
        MATCH(
          IFERROR(
            INDEX(
              factorsConfigTable[RANASBlock],
              MATCH(factorsTable[[#This Row],[sortedIndex]], factorsConfigTable[index], 0)
            ),#REF!
          ),
          RANASBlocksTable[label],
          0
        )
      ),
      NA()
    )
  )</f>
        <v/>
      </c>
      <c r="DQ22"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2"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2" s="177" t="str">
        <f>IF(
    factorsTable[[#This Row],[sortedIndex]] = "",
    "",
    INDEX(factorsTable[numTotal], MATCH(factorsTable[[#This Row],[sortedIndex]], factorsTable[index], 0))
  )</f>
        <v/>
      </c>
      <c r="DT22" s="177" t="str">
        <f>IF(
    factorsTable[[#This Row],[sortedIndex]] = "",
    "",
    INDEX(factorsTable[nondoers], MATCH(factorsTable[[#This Row],[sortedIndex]], factorsTable[index], 0))
  )</f>
        <v/>
      </c>
      <c r="DU22" s="177" t="str">
        <f>IF(
    factorsTable[[#This Row],[sortedIndex]] = "",
    "",
    INDEX(factorsTable[doers], MATCH(factorsTable[[#This Row],[sortedIndex]], factorsTable[index], 0))
  )</f>
        <v/>
      </c>
      <c r="DV22" s="177" t="str">
        <f>IF(
    factorsTable[[#This Row],[sortedIndex]] = "",
    "",
    INDEX(factorsTable[difference], MATCH(factorsTable[[#This Row],[sortedIndex]], factorsTable[index], 0))
  )</f>
        <v/>
      </c>
    </row>
    <row r="23" spans="5:126" ht="14.4" customHeight="1" x14ac:dyDescent="0.3">
      <c r="E23" s="187" cm="1">
        <f t="array" ref="E23">ROW()-ROW(UITranslationTable[#Headers])</f>
        <v>21</v>
      </c>
      <c r="F23" s="9" t="s">
        <v>205</v>
      </c>
      <c r="G23" s="176" t="str">
        <f>"1." &amp; CHAR(160) &amp; "Data import"</f>
        <v>1. Data import</v>
      </c>
      <c r="H23" s="176" t="str">
        <f>"1." &amp; CHAR(160) &amp; "Importation des données"</f>
        <v>1. Importation des données</v>
      </c>
      <c r="W23" s="177" cm="1">
        <f t="array" ref="W23">ROW()-ROW(structuredFormulaeTable[#Headers])</f>
        <v>21</v>
      </c>
      <c r="X23" s="1" t="s">
        <v>420</v>
      </c>
      <c r="Y23" s="1" t="s">
        <v>532</v>
      </c>
      <c r="Z23" s="1" t="str" cm="1">
        <f t="array" ref="Z23">behaviourMinScore3</f>
        <v/>
      </c>
      <c r="AA23" s="178" t="s">
        <v>533</v>
      </c>
      <c r="AB23" s="164" t="s">
        <v>656</v>
      </c>
      <c r="CD23" s="1" cm="1">
        <f t="array" ref="CD23">ROW()-ROW(recommendedCutoffTable[#Headers])</f>
        <v>21</v>
      </c>
      <c r="CE23" s="183">
        <f>(recommendedCutoffTable[[#This Row],[index]] - 1) / 100</f>
        <v>0.2</v>
      </c>
      <c r="CF23" s="1" cm="1">
        <f t="array" ref="CF23">ABS(
    numScores
  - 2 * SUMPRODUCT((behaviourScore &lt;&gt; "") * (behaviourScore &lt; recommendedCutoffTable[[#This Row],[cutoffLevel]]))
  )</f>
        <v>0</v>
      </c>
      <c r="CM23" s="177" cm="1">
        <f t="array" ref="CM23">ROW()-ROW(factorsTable[#Headers])</f>
        <v>21</v>
      </c>
      <c r="CN23" s="177" t="str">
        <f>IFERROR(
    INDEX(
      factorsConfigTable[factorHeader],
      MATCH(factorsTable[[#This Row],[index]], factorsConfigTable[index], 0)
    ),#REF!
  ) &amp; ""</f>
        <v/>
      </c>
      <c r="CO23" s="177" t="str">
        <f>IF(
    factorsTable[[#This Row],[factorHeader]] = "",
    "",
    _xlfn.IFNA(
      MATCH(factorsTable[[#This Row],[factorHeader]], dataHeaders, 0),
      _xlfn.IFNA(
        MATCH("*/" &amp; factorsTable[[#This Row],[factorHeader]], dataHeaders, 0),
        MATCH("*-" &amp; factorsTable[[#This Row],[factorHeader]], dataHeaders, 0)
      )
    )
  )</f>
        <v/>
      </c>
      <c r="CP23" s="177" t="str">
        <f>IF(
    factorsTable[[#This Row],[factorHeader]] = "",
    "",
    IF(
      IFERROR(
        INDEX(
          factorsConfigTable[minScore],
          MATCH(factorsTable[[#This Row],[index]], factorsConfigTable[index], 0)
        ),#REF!
      ) = "",
      NA(),
      IFERROR(
        INDEX(
          factorsConfigTable[minScore],
          MATCH(factorsTable[[#This Row],[index]], factorsConfigTable[index], 0)
        ),#REF!
      )
    )
  )</f>
        <v/>
      </c>
      <c r="CQ23" s="177" t="str">
        <f>IF(
    factorsTable[[#This Row],[factorHeader]] = "",
    "",
    IF(
      IFERROR(
        INDEX(
          factorsConfigTable[maxScore],
          MATCH(factorsTable[[#This Row],[index]], factorsConfigTable[index], 0)
        ),#REF!
      ) = "",
      NA(),
      IFERROR(
        INDEX(
          factorsConfigTable[maxScore],
          MATCH(factorsTable[[#This Row],[index]], factorsConfigTable[index], 0)
        ),#REF!
      )
    )
  )</f>
        <v/>
      </c>
      <c r="CR23" s="177" t="str">
        <f>IF(
    factorsTable[[#This Row],[factorHeader]] = "",
    "",
    IF(
      ISERROR(factorsTable[[#This Row],[factorColNum]]),
      NA(),
      IF(
        ISNA(INDEX(dataRange,1,1)),
        NA(),
        MIN(INDEX(dataRange, , factorsTable[[#This Row],[factorColNum]]))
      )
    )
  )</f>
        <v/>
      </c>
      <c r="CS23" s="177" t="str">
        <f>IF(
    factorsTable[[#This Row],[factorHeader]] = "",
    "",
    IF(
      ISERROR(factorsTable[[#This Row],[factorColNum]]),
      NA(),
      IF(
        ISNA(INDEX(dataRange,1,1)),
        NA(),
        MAX(INDEX(dataRange, , factorsTable[[#This Row],[factorColNum]]))
      )
    )
  )</f>
        <v/>
      </c>
      <c r="CT23" s="177" t="b" cm="1">
        <f t="array" aca="1" ref="CT23" ca="1">AND(
    NOT(errorNoDataSheet),
    factorsTable[[#This Row],[factorHeader]] &lt;&gt; "",
    NOT(ISERROR(factorsTable[[#This Row],[factorColNum]])),
    IFERROR(factorsTable[[#This Row],[display]], FALSE),
    IFERROR(factorsTable[[#This Row],[minValue]] &lt; factorsTable[[#This Row],[minScore]], FALSE)
  )</f>
        <v>0</v>
      </c>
      <c r="CU23" s="177" t="b" cm="1">
        <f t="array" aca="1" ref="CU23" ca="1">AND(
    NOT(errorNoDataSheet),
    factorsTable[[#This Row],[factorHeader]] &lt;&gt; "",
    NOT(ISERROR(factorsTable[[#This Row],[factorColNum]])),
    IFERROR(factorsTable[[#This Row],[display]], FALSE),
    IFERROR(factorsTable[[#This Row],[maxValue]] &gt; factorsTable[[#This Row],[maxScore]], FALSE)
  )</f>
        <v>0</v>
      </c>
      <c r="CV23" s="177" t="str" cm="1">
        <f t="array" ref="CV23">IF(
    factorsTable[[#This Row],[factorHeader]] = "",
    "",
    IF(
      ISNA(INDEX(dataRange,1,1)),
      NA(),
      SUMPRODUCT(
          IF(isDoer = "", 0, NOT(isDoer))
        * (INDEX(dataRange, , factorsTable[[#This Row],[factorColNum]]) &lt;&gt; "")
      )
    )
  )</f>
        <v/>
      </c>
      <c r="CW23" s="177" t="str" cm="1">
        <f t="array" ref="CW23">IF(
    factorsTable[[#This Row],[factorHeader]] = "",
    "",
    IF(
      ISNA(INDEX(dataRange,1,1)),
      NA(),
      SUMPRODUCT(
          IF(isDoer = "", 0, isDoer)
        * (INDEX(dataRange, , factorsTable[[#This Row],[factorColNum]]) &lt;&gt; "")
      )
    )
  )</f>
        <v/>
      </c>
      <c r="CX23"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3" s="177" t="str" cm="1">
        <f t="array" ref="CY2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3" s="177" t="str" cm="1">
        <f t="array" ref="CZ2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3" s="177" t="str">
        <f>IF(
    factorsTable[[#This Row],[factorHeader]] = "",
    "",
    factorsTable[[#This Row],[doers]] - factorsTable[[#This Row],[nondoers]]
  )</f>
        <v/>
      </c>
      <c r="DB23" s="177" t="str">
        <f>IF(
    factorsTable[[#This Row],[factorHeader]] = "",
    "",
    IFERROR(
      INDEX(
        yesNoTable[tag],
        MATCH(
          IFERROR(
            INDEX(
              factorsConfigTable[displayConfig],
              MATCH(factorsTable[[#This Row],[index]], factorsConfigTable[index], 0)
            ),#REF!
          ),
          yesNoTable[label],
          0
        )
      ),
      ""
    )
  )</f>
        <v/>
      </c>
      <c r="DC23" s="177" t="b">
        <f>IF(
    factorsTable[[#This Row],[factorHeader]] = "",
    FALSE,
    IF(
      factorsTable[[#This Row],[displayConfig]] = "yes",
      TRUE,
      IF(
        factorsTable[[#This Row],[displayConfig]] = "no",
        FALSE,
        NA()
      )
    )
  )</f>
        <v>0</v>
      </c>
      <c r="DD23" s="177" t="str" cm="1">
        <f t="array" ref="DD23">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3" s="177" t="str">
        <f>IF(
    factorsTable[[#This Row],[filteredIndex]] = "",
    "",
    _xlfn.IFNA(
      INDEX(
        factorsTable[difference],
        MATCH(factorsTable[[#This Row],[filteredIndex]], factorsTable[index], 0)
      ),
      -99
    )
  )</f>
        <v/>
      </c>
      <c r="DF23" s="177" t="str">
        <f>IF(
    factorsTable[[#This Row],[filteredIndex]] = "",
    "",
    IF(
      factorsTable[[#This Row],[relDiff]] = -99,
      -99,
      ABS(factorsTable[[#This Row],[relDiff]])
    )
  )</f>
        <v/>
      </c>
      <c r="DG23" s="177" t="str">
        <f>IF(
    factorsTable[[#This Row],[filteredIndex]] = "",
    "",
    IFERROR(
      INDEX(
        RANASBlocksTable[index],
        MATCH(
          IFERROR(
            INDEX(
              factorsConfigTable[RANASBlock],
              MATCH(factorsTable[[#This Row],[filteredIndex]], factorsConfigTable[index], 0)
            ),#REF!
          ),
          RANASBlocksTable[label],
          0
        )
      ),
      6
    )
  )</f>
        <v/>
      </c>
      <c r="DH23" s="177" t="str">
        <f>IF(
    factorsTable[[#This Row],[filteredIndex]] = "",
    "",
    _xlfn.RANK.EQ(factorsTable[[#This Row],[relDiff]], factorsTable[relDiff], 0)
  )</f>
        <v/>
      </c>
      <c r="DI23" s="177" t="str">
        <f>IF(
    factorsTable[[#This Row],[filteredIndex]] = "",
    "",
    _xlfn.RANK.EQ(factorsTable[[#This Row],[absDiff]], factorsTable[absDiff], 0)
  )</f>
        <v/>
      </c>
      <c r="DJ23" s="177" t="str">
        <f>IF(
    factorsTable[[#This Row],[filteredIndex]] = "",
    "",
    _xlfn.RANK.EQ(factorsTable[[#This Row],[RANASIndex]], factorsTable[RANASIndex], 1)
  )</f>
        <v/>
      </c>
      <c r="DK23" s="177" t="str" cm="1">
        <f t="array" ref="DK23">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3" s="177" t="str">
        <f>IF(
    factorsTable[[#This Row],[filteredIndex]] = "",
    "",
    factorsTable[[#This Row],[selectedRank]]
      + COUNTIF(INDEX(factorsTable[selectedRank], 1):INDEX(factorsTable[selectedRank], factorsTable[[#This Row],[index]]), factorsTable[[#This Row],[selectedRank]])
      - 1
  )</f>
        <v/>
      </c>
      <c r="DM23" s="177" t="str">
        <f>IF(
    factorsTable[[#This Row],[filteredIndex]] = "",
    "",
    IFERROR(
      INDEX(
        factorsTable[filteredIndex],
        MATCH(factorsTable[[#This Row],[index]], factorsTable[uniqueRank], 0)
      ),#REF!
    )
  )</f>
        <v/>
      </c>
      <c r="DN23" s="177" t="str">
        <f>IF(
    factorsTable[[#This Row],[sortedIndex]] = "",
    "",
    INDEX(
      INDEX(
        factorsConfigTable[],
        0,
        MATCH(
          chartLanguage,
          languageHeadersList,
          0
        )
        + MATCH(factorsConfigTable[[#Headers],[lang1]], factorsConfigTable[#Headers], 0)
        - 1
      ),
      MATCH(factorsTable[[#This Row],[sortedIndex]], factorsConfigTable[index], 0)
    ) &amp; ""
  )</f>
        <v/>
      </c>
      <c r="DO23"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3" s="177" t="str">
        <f>IF(
    factorsTable[[#This Row],[sortedIndex]] = "",
    "",
    IFERROR(
      INDEX(
        RANASBlocksTable[tag],
        MATCH(
          IFERROR(
            INDEX(
              factorsConfigTable[RANASBlock],
              MATCH(factorsTable[[#This Row],[sortedIndex]], factorsConfigTable[index], 0)
            ),#REF!
          ),
          RANASBlocksTable[label],
          0
        )
      ),
      NA()
    )
  )</f>
        <v/>
      </c>
      <c r="DQ23"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3"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3" s="177" t="str">
        <f>IF(
    factorsTable[[#This Row],[sortedIndex]] = "",
    "",
    INDEX(factorsTable[numTotal], MATCH(factorsTable[[#This Row],[sortedIndex]], factorsTable[index], 0))
  )</f>
        <v/>
      </c>
      <c r="DT23" s="177" t="str">
        <f>IF(
    factorsTable[[#This Row],[sortedIndex]] = "",
    "",
    INDEX(factorsTable[nondoers], MATCH(factorsTable[[#This Row],[sortedIndex]], factorsTable[index], 0))
  )</f>
        <v/>
      </c>
      <c r="DU23" s="177" t="str">
        <f>IF(
    factorsTable[[#This Row],[sortedIndex]] = "",
    "",
    INDEX(factorsTable[doers], MATCH(factorsTable[[#This Row],[sortedIndex]], factorsTable[index], 0))
  )</f>
        <v/>
      </c>
      <c r="DV23" s="177" t="str">
        <f>IF(
    factorsTable[[#This Row],[sortedIndex]] = "",
    "",
    INDEX(factorsTable[difference], MATCH(factorsTable[[#This Row],[sortedIndex]], factorsTable[index], 0))
  )</f>
        <v/>
      </c>
    </row>
    <row r="24" spans="5:126" ht="14.4" customHeight="1" x14ac:dyDescent="0.3">
      <c r="E24" s="187" cm="1">
        <f t="array" ref="E24">ROW()-ROW(UITranslationTable[#Headers])</f>
        <v>22</v>
      </c>
      <c r="F24" s="9" t="s">
        <v>206</v>
      </c>
      <c r="G24" s="176" t="str">
        <f>"First, you must export your survey data as an XLS or CSV file from your survey management platform, making sure before exporting that:" &amp; CHAR(10) &amp; CHAR(10)
&amp; "- On KoboToolbox, you SELECT the format ""XML values and headers"" and you DESELECT ""Include groups in headers"" under ""Advanced options""." &amp; CHAR(10)
&amp; "- On ODK Central, you SELECT ""Remove group names""."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H24" s="176" t="str">
        <f>"D'abord, vous devez exporter les données de votre enquête comme fichier XLS ou CSV depuis votre plateforme de gestion d'enquêtes, en vous assurant avant d'exporter que:" &amp; CHAR(10) &amp; CHAR(10)
&amp; "- Sur KoboToolbox, vous SÉLECTIONNEZ le format  «Valeurs et en-têtes XML» et vous DÉSÉLECTIONNEZ  «Inclure les groupes dans les en-têtes» sous «Advanced options»." &amp; CHAR(10)
&amp; "- Sur ODK Central, vous SÉLECTIONNEZ  «Supprimer les noms de groupe»."</f>
        <v>D'abord, vous devez exporter les données de votre enquête comme fichier XLS ou CSV depuis votre plateforme de gestion d'enquêtes, en vous assurant avant d'exporter que:
- Sur KoboToolbox, vous SÉLECTIONNEZ le format  «Valeurs et en-têtes XML» et vous DÉSÉLECTIONNEZ  «Inclure les groupes dans les en-têtes» sous «Advanced options».
- Sur ODK Central, vous SÉLECTIONNEZ  «Supprimer les noms de groupe».</v>
      </c>
      <c r="W24" s="177" cm="1">
        <f t="array" ref="W24">ROW()-ROW(structuredFormulaeTable[#Headers])</f>
        <v>22</v>
      </c>
      <c r="X24" s="1" t="s">
        <v>420</v>
      </c>
      <c r="Y24" s="1" t="s">
        <v>534</v>
      </c>
      <c r="Z24" s="1" t="str" cm="1">
        <f t="array" ref="Z24">behaviourMinScore4</f>
        <v/>
      </c>
      <c r="AA24" s="178" t="s">
        <v>535</v>
      </c>
      <c r="AB24" s="164" t="s">
        <v>657</v>
      </c>
      <c r="CD24" s="1" cm="1">
        <f t="array" ref="CD24">ROW()-ROW(recommendedCutoffTable[#Headers])</f>
        <v>22</v>
      </c>
      <c r="CE24" s="183">
        <f>(recommendedCutoffTable[[#This Row],[index]] - 1) / 100</f>
        <v>0.21</v>
      </c>
      <c r="CF24" s="1" cm="1">
        <f t="array" ref="CF24">ABS(
    numScores
  - 2 * SUMPRODUCT((behaviourScore &lt;&gt; "") * (behaviourScore &lt; recommendedCutoffTable[[#This Row],[cutoffLevel]]))
  )</f>
        <v>0</v>
      </c>
      <c r="CM24" s="177" cm="1">
        <f t="array" ref="CM24">ROW()-ROW(factorsTable[#Headers])</f>
        <v>22</v>
      </c>
      <c r="CN24" s="177" t="str">
        <f>IFERROR(
    INDEX(
      factorsConfigTable[factorHeader],
      MATCH(factorsTable[[#This Row],[index]], factorsConfigTable[index], 0)
    ),#REF!
  ) &amp; ""</f>
        <v/>
      </c>
      <c r="CO24" s="177" t="str">
        <f>IF(
    factorsTable[[#This Row],[factorHeader]] = "",
    "",
    _xlfn.IFNA(
      MATCH(factorsTable[[#This Row],[factorHeader]], dataHeaders, 0),
      _xlfn.IFNA(
        MATCH("*/" &amp; factorsTable[[#This Row],[factorHeader]], dataHeaders, 0),
        MATCH("*-" &amp; factorsTable[[#This Row],[factorHeader]], dataHeaders, 0)
      )
    )
  )</f>
        <v/>
      </c>
      <c r="CP24" s="177" t="str">
        <f>IF(
    factorsTable[[#This Row],[factorHeader]] = "",
    "",
    IF(
      IFERROR(
        INDEX(
          factorsConfigTable[minScore],
          MATCH(factorsTable[[#This Row],[index]], factorsConfigTable[index], 0)
        ),#REF!
      ) = "",
      NA(),
      IFERROR(
        INDEX(
          factorsConfigTable[minScore],
          MATCH(factorsTable[[#This Row],[index]], factorsConfigTable[index], 0)
        ),#REF!
      )
    )
  )</f>
        <v/>
      </c>
      <c r="CQ24" s="177" t="str">
        <f>IF(
    factorsTable[[#This Row],[factorHeader]] = "",
    "",
    IF(
      IFERROR(
        INDEX(
          factorsConfigTable[maxScore],
          MATCH(factorsTable[[#This Row],[index]], factorsConfigTable[index], 0)
        ),#REF!
      ) = "",
      NA(),
      IFERROR(
        INDEX(
          factorsConfigTable[maxScore],
          MATCH(factorsTable[[#This Row],[index]], factorsConfigTable[index], 0)
        ),#REF!
      )
    )
  )</f>
        <v/>
      </c>
      <c r="CR24" s="177" t="str">
        <f>IF(
    factorsTable[[#This Row],[factorHeader]] = "",
    "",
    IF(
      ISERROR(factorsTable[[#This Row],[factorColNum]]),
      NA(),
      IF(
        ISNA(INDEX(dataRange,1,1)),
        NA(),
        MIN(INDEX(dataRange, , factorsTable[[#This Row],[factorColNum]]))
      )
    )
  )</f>
        <v/>
      </c>
      <c r="CS24" s="177" t="str">
        <f>IF(
    factorsTable[[#This Row],[factorHeader]] = "",
    "",
    IF(
      ISERROR(factorsTable[[#This Row],[factorColNum]]),
      NA(),
      IF(
        ISNA(INDEX(dataRange,1,1)),
        NA(),
        MAX(INDEX(dataRange, , factorsTable[[#This Row],[factorColNum]]))
      )
    )
  )</f>
        <v/>
      </c>
      <c r="CT24" s="177" t="b" cm="1">
        <f t="array" aca="1" ref="CT24" ca="1">AND(
    NOT(errorNoDataSheet),
    factorsTable[[#This Row],[factorHeader]] &lt;&gt; "",
    NOT(ISERROR(factorsTable[[#This Row],[factorColNum]])),
    IFERROR(factorsTable[[#This Row],[display]], FALSE),
    IFERROR(factorsTable[[#This Row],[minValue]] &lt; factorsTable[[#This Row],[minScore]], FALSE)
  )</f>
        <v>0</v>
      </c>
      <c r="CU24" s="177" t="b" cm="1">
        <f t="array" aca="1" ref="CU24" ca="1">AND(
    NOT(errorNoDataSheet),
    factorsTable[[#This Row],[factorHeader]] &lt;&gt; "",
    NOT(ISERROR(factorsTable[[#This Row],[factorColNum]])),
    IFERROR(factorsTable[[#This Row],[display]], FALSE),
    IFERROR(factorsTable[[#This Row],[maxValue]] &gt; factorsTable[[#This Row],[maxScore]], FALSE)
  )</f>
        <v>0</v>
      </c>
      <c r="CV24" s="177" t="str" cm="1">
        <f t="array" ref="CV24">IF(
    factorsTable[[#This Row],[factorHeader]] = "",
    "",
    IF(
      ISNA(INDEX(dataRange,1,1)),
      NA(),
      SUMPRODUCT(
          IF(isDoer = "", 0, NOT(isDoer))
        * (INDEX(dataRange, , factorsTable[[#This Row],[factorColNum]]) &lt;&gt; "")
      )
    )
  )</f>
        <v/>
      </c>
      <c r="CW24" s="177" t="str" cm="1">
        <f t="array" ref="CW24">IF(
    factorsTable[[#This Row],[factorHeader]] = "",
    "",
    IF(
      ISNA(INDEX(dataRange,1,1)),
      NA(),
      SUMPRODUCT(
          IF(isDoer = "", 0, isDoer)
        * (INDEX(dataRange, , factorsTable[[#This Row],[factorColNum]]) &lt;&gt; "")
      )
    )
  )</f>
        <v/>
      </c>
      <c r="CX24"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4" s="177" t="str" cm="1">
        <f t="array" ref="CY2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4" s="177" t="str" cm="1">
        <f t="array" ref="CZ2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4" s="177" t="str">
        <f>IF(
    factorsTable[[#This Row],[factorHeader]] = "",
    "",
    factorsTable[[#This Row],[doers]] - factorsTable[[#This Row],[nondoers]]
  )</f>
        <v/>
      </c>
      <c r="DB24" s="177" t="str">
        <f>IF(
    factorsTable[[#This Row],[factorHeader]] = "",
    "",
    IFERROR(
      INDEX(
        yesNoTable[tag],
        MATCH(
          IFERROR(
            INDEX(
              factorsConfigTable[displayConfig],
              MATCH(factorsTable[[#This Row],[index]], factorsConfigTable[index], 0)
            ),#REF!
          ),
          yesNoTable[label],
          0
        )
      ),
      ""
    )
  )</f>
        <v/>
      </c>
      <c r="DC24" s="177" t="b">
        <f>IF(
    factorsTable[[#This Row],[factorHeader]] = "",
    FALSE,
    IF(
      factorsTable[[#This Row],[displayConfig]] = "yes",
      TRUE,
      IF(
        factorsTable[[#This Row],[displayConfig]] = "no",
        FALSE,
        NA()
      )
    )
  )</f>
        <v>0</v>
      </c>
      <c r="DD24" s="177" t="str" cm="1">
        <f t="array" ref="DD24">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4" s="177" t="str">
        <f>IF(
    factorsTable[[#This Row],[filteredIndex]] = "",
    "",
    _xlfn.IFNA(
      INDEX(
        factorsTable[difference],
        MATCH(factorsTable[[#This Row],[filteredIndex]], factorsTable[index], 0)
      ),
      -99
    )
  )</f>
        <v/>
      </c>
      <c r="DF24" s="177" t="str">
        <f>IF(
    factorsTable[[#This Row],[filteredIndex]] = "",
    "",
    IF(
      factorsTable[[#This Row],[relDiff]] = -99,
      -99,
      ABS(factorsTable[[#This Row],[relDiff]])
    )
  )</f>
        <v/>
      </c>
      <c r="DG24" s="177" t="str">
        <f>IF(
    factorsTable[[#This Row],[filteredIndex]] = "",
    "",
    IFERROR(
      INDEX(
        RANASBlocksTable[index],
        MATCH(
          IFERROR(
            INDEX(
              factorsConfigTable[RANASBlock],
              MATCH(factorsTable[[#This Row],[filteredIndex]], factorsConfigTable[index], 0)
            ),#REF!
          ),
          RANASBlocksTable[label],
          0
        )
      ),
      6
    )
  )</f>
        <v/>
      </c>
      <c r="DH24" s="177" t="str">
        <f>IF(
    factorsTable[[#This Row],[filteredIndex]] = "",
    "",
    _xlfn.RANK.EQ(factorsTable[[#This Row],[relDiff]], factorsTable[relDiff], 0)
  )</f>
        <v/>
      </c>
      <c r="DI24" s="177" t="str">
        <f>IF(
    factorsTable[[#This Row],[filteredIndex]] = "",
    "",
    _xlfn.RANK.EQ(factorsTable[[#This Row],[absDiff]], factorsTable[absDiff], 0)
  )</f>
        <v/>
      </c>
      <c r="DJ24" s="177" t="str">
        <f>IF(
    factorsTable[[#This Row],[filteredIndex]] = "",
    "",
    _xlfn.RANK.EQ(factorsTable[[#This Row],[RANASIndex]], factorsTable[RANASIndex], 1)
  )</f>
        <v/>
      </c>
      <c r="DK24" s="177" t="str" cm="1">
        <f t="array" ref="DK24">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4" s="177" t="str">
        <f>IF(
    factorsTable[[#This Row],[filteredIndex]] = "",
    "",
    factorsTable[[#This Row],[selectedRank]]
      + COUNTIF(INDEX(factorsTable[selectedRank], 1):INDEX(factorsTable[selectedRank], factorsTable[[#This Row],[index]]), factorsTable[[#This Row],[selectedRank]])
      - 1
  )</f>
        <v/>
      </c>
      <c r="DM24" s="177" t="str">
        <f>IF(
    factorsTable[[#This Row],[filteredIndex]] = "",
    "",
    IFERROR(
      INDEX(
        factorsTable[filteredIndex],
        MATCH(factorsTable[[#This Row],[index]], factorsTable[uniqueRank], 0)
      ),#REF!
    )
  )</f>
        <v/>
      </c>
      <c r="DN24" s="177" t="str">
        <f>IF(
    factorsTable[[#This Row],[sortedIndex]] = "",
    "",
    INDEX(
      INDEX(
        factorsConfigTable[],
        0,
        MATCH(
          chartLanguage,
          languageHeadersList,
          0
        )
        + MATCH(factorsConfigTable[[#Headers],[lang1]], factorsConfigTable[#Headers], 0)
        - 1
      ),
      MATCH(factorsTable[[#This Row],[sortedIndex]], factorsConfigTable[index], 0)
    ) &amp; ""
  )</f>
        <v/>
      </c>
      <c r="DO24"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4" s="177" t="str">
        <f>IF(
    factorsTable[[#This Row],[sortedIndex]] = "",
    "",
    IFERROR(
      INDEX(
        RANASBlocksTable[tag],
        MATCH(
          IFERROR(
            INDEX(
              factorsConfigTable[RANASBlock],
              MATCH(factorsTable[[#This Row],[sortedIndex]], factorsConfigTable[index], 0)
            ),#REF!
          ),
          RANASBlocksTable[label],
          0
        )
      ),
      NA()
    )
  )</f>
        <v/>
      </c>
      <c r="DQ24"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4"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4" s="177" t="str">
        <f>IF(
    factorsTable[[#This Row],[sortedIndex]] = "",
    "",
    INDEX(factorsTable[numTotal], MATCH(factorsTable[[#This Row],[sortedIndex]], factorsTable[index], 0))
  )</f>
        <v/>
      </c>
      <c r="DT24" s="177" t="str">
        <f>IF(
    factorsTable[[#This Row],[sortedIndex]] = "",
    "",
    INDEX(factorsTable[nondoers], MATCH(factorsTable[[#This Row],[sortedIndex]], factorsTable[index], 0))
  )</f>
        <v/>
      </c>
      <c r="DU24" s="177" t="str">
        <f>IF(
    factorsTable[[#This Row],[sortedIndex]] = "",
    "",
    INDEX(factorsTable[doers], MATCH(factorsTable[[#This Row],[sortedIndex]], factorsTable[index], 0))
  )</f>
        <v/>
      </c>
      <c r="DV24" s="177" t="str">
        <f>IF(
    factorsTable[[#This Row],[sortedIndex]] = "",
    "",
    INDEX(factorsTable[difference], MATCH(factorsTable[[#This Row],[sortedIndex]], factorsTable[index], 0))
  )</f>
        <v/>
      </c>
    </row>
    <row r="25" spans="5:126" ht="14.4" customHeight="1" x14ac:dyDescent="0.3">
      <c r="E25" s="187" cm="1">
        <f t="array" ref="E25">ROW()-ROW(UITranslationTable[#Headers])</f>
        <v>23</v>
      </c>
      <c r="F25" s="9" t="s">
        <v>207</v>
      </c>
      <c r="G25" s="188" t="str" cm="1">
        <f t="array" ref="G25">"Then, you must copy this data file as a new spreadsheet in this Excel workbook and rename this new sheet """ &amp; sheetNameData &amp; """ (without the quotes)."</f>
        <v>Then, you must copy this data file as a new spreadsheet in this Excel workbook and rename this new sheet "data" (without the quotes).</v>
      </c>
      <c r="H25" s="188" t="str" cm="1">
        <f t="array" ref="H25">"Ensuite, copiez ce fichier de données comme nouvelle feuille dans ce classeur Excel et renommez cette nouvelle feuille «" &amp; sheetNameData &amp; "» (sans les guillemets)."</f>
        <v>Ensuite, copiez ce fichier de données comme nouvelle feuille dans ce classeur Excel et renommez cette nouvelle feuille «data» (sans les guillemets).</v>
      </c>
      <c r="W25" s="177" cm="1">
        <f t="array" ref="W25">ROW()-ROW(structuredFormulaeTable[#Headers])</f>
        <v>23</v>
      </c>
      <c r="X25" s="1" t="s">
        <v>420</v>
      </c>
      <c r="Y25" s="1" t="s">
        <v>536</v>
      </c>
      <c r="Z25" s="1" t="str" cm="1">
        <f t="array" ref="Z25">behaviourMinScore5</f>
        <v/>
      </c>
      <c r="AA25" s="178" t="s">
        <v>537</v>
      </c>
      <c r="AB25" s="164" t="s">
        <v>658</v>
      </c>
      <c r="CD25" s="1" cm="1">
        <f t="array" ref="CD25">ROW()-ROW(recommendedCutoffTable[#Headers])</f>
        <v>23</v>
      </c>
      <c r="CE25" s="183">
        <f>(recommendedCutoffTable[[#This Row],[index]] - 1) / 100</f>
        <v>0.22</v>
      </c>
      <c r="CF25" s="1" cm="1">
        <f t="array" ref="CF25">ABS(
    numScores
  - 2 * SUMPRODUCT((behaviourScore &lt;&gt; "") * (behaviourScore &lt; recommendedCutoffTable[[#This Row],[cutoffLevel]]))
  )</f>
        <v>0</v>
      </c>
      <c r="CM25" s="177" cm="1">
        <f t="array" ref="CM25">ROW()-ROW(factorsTable[#Headers])</f>
        <v>23</v>
      </c>
      <c r="CN25" s="177" t="str">
        <f>IFERROR(
    INDEX(
      factorsConfigTable[factorHeader],
      MATCH(factorsTable[[#This Row],[index]], factorsConfigTable[index], 0)
    ),#REF!
  ) &amp; ""</f>
        <v/>
      </c>
      <c r="CO25" s="177" t="str">
        <f>IF(
    factorsTable[[#This Row],[factorHeader]] = "",
    "",
    _xlfn.IFNA(
      MATCH(factorsTable[[#This Row],[factorHeader]], dataHeaders, 0),
      _xlfn.IFNA(
        MATCH("*/" &amp; factorsTable[[#This Row],[factorHeader]], dataHeaders, 0),
        MATCH("*-" &amp; factorsTable[[#This Row],[factorHeader]], dataHeaders, 0)
      )
    )
  )</f>
        <v/>
      </c>
      <c r="CP25" s="177" t="str">
        <f>IF(
    factorsTable[[#This Row],[factorHeader]] = "",
    "",
    IF(
      IFERROR(
        INDEX(
          factorsConfigTable[minScore],
          MATCH(factorsTable[[#This Row],[index]], factorsConfigTable[index], 0)
        ),#REF!
      ) = "",
      NA(),
      IFERROR(
        INDEX(
          factorsConfigTable[minScore],
          MATCH(factorsTable[[#This Row],[index]], factorsConfigTable[index], 0)
        ),#REF!
      )
    )
  )</f>
        <v/>
      </c>
      <c r="CQ25" s="177" t="str">
        <f>IF(
    factorsTable[[#This Row],[factorHeader]] = "",
    "",
    IF(
      IFERROR(
        INDEX(
          factorsConfigTable[maxScore],
          MATCH(factorsTable[[#This Row],[index]], factorsConfigTable[index], 0)
        ),#REF!
      ) = "",
      NA(),
      IFERROR(
        INDEX(
          factorsConfigTable[maxScore],
          MATCH(factorsTable[[#This Row],[index]], factorsConfigTable[index], 0)
        ),#REF!
      )
    )
  )</f>
        <v/>
      </c>
      <c r="CR25" s="177" t="str">
        <f>IF(
    factorsTable[[#This Row],[factorHeader]] = "",
    "",
    IF(
      ISERROR(factorsTable[[#This Row],[factorColNum]]),
      NA(),
      IF(
        ISNA(INDEX(dataRange,1,1)),
        NA(),
        MIN(INDEX(dataRange, , factorsTable[[#This Row],[factorColNum]]))
      )
    )
  )</f>
        <v/>
      </c>
      <c r="CS25" s="177" t="str">
        <f>IF(
    factorsTable[[#This Row],[factorHeader]] = "",
    "",
    IF(
      ISERROR(factorsTable[[#This Row],[factorColNum]]),
      NA(),
      IF(
        ISNA(INDEX(dataRange,1,1)),
        NA(),
        MAX(INDEX(dataRange, , factorsTable[[#This Row],[factorColNum]]))
      )
    )
  )</f>
        <v/>
      </c>
      <c r="CT25" s="177" t="b" cm="1">
        <f t="array" aca="1" ref="CT25" ca="1">AND(
    NOT(errorNoDataSheet),
    factorsTable[[#This Row],[factorHeader]] &lt;&gt; "",
    NOT(ISERROR(factorsTable[[#This Row],[factorColNum]])),
    IFERROR(factorsTable[[#This Row],[display]], FALSE),
    IFERROR(factorsTable[[#This Row],[minValue]] &lt; factorsTable[[#This Row],[minScore]], FALSE)
  )</f>
        <v>0</v>
      </c>
      <c r="CU25" s="177" t="b" cm="1">
        <f t="array" aca="1" ref="CU25" ca="1">AND(
    NOT(errorNoDataSheet),
    factorsTable[[#This Row],[factorHeader]] &lt;&gt; "",
    NOT(ISERROR(factorsTable[[#This Row],[factorColNum]])),
    IFERROR(factorsTable[[#This Row],[display]], FALSE),
    IFERROR(factorsTable[[#This Row],[maxValue]] &gt; factorsTable[[#This Row],[maxScore]], FALSE)
  )</f>
        <v>0</v>
      </c>
      <c r="CV25" s="177" t="str" cm="1">
        <f t="array" ref="CV25">IF(
    factorsTable[[#This Row],[factorHeader]] = "",
    "",
    IF(
      ISNA(INDEX(dataRange,1,1)),
      NA(),
      SUMPRODUCT(
          IF(isDoer = "", 0, NOT(isDoer))
        * (INDEX(dataRange, , factorsTable[[#This Row],[factorColNum]]) &lt;&gt; "")
      )
    )
  )</f>
        <v/>
      </c>
      <c r="CW25" s="177" t="str" cm="1">
        <f t="array" ref="CW25">IF(
    factorsTable[[#This Row],[factorHeader]] = "",
    "",
    IF(
      ISNA(INDEX(dataRange,1,1)),
      NA(),
      SUMPRODUCT(
          IF(isDoer = "", 0, isDoer)
        * (INDEX(dataRange, , factorsTable[[#This Row],[factorColNum]]) &lt;&gt; "")
      )
    )
  )</f>
        <v/>
      </c>
      <c r="CX25"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5" s="177" t="str" cm="1">
        <f t="array" ref="CY2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5" s="177" t="str" cm="1">
        <f t="array" ref="CZ2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5" s="177" t="str">
        <f>IF(
    factorsTable[[#This Row],[factorHeader]] = "",
    "",
    factorsTable[[#This Row],[doers]] - factorsTable[[#This Row],[nondoers]]
  )</f>
        <v/>
      </c>
      <c r="DB25" s="177" t="str">
        <f>IF(
    factorsTable[[#This Row],[factorHeader]] = "",
    "",
    IFERROR(
      INDEX(
        yesNoTable[tag],
        MATCH(
          IFERROR(
            INDEX(
              factorsConfigTable[displayConfig],
              MATCH(factorsTable[[#This Row],[index]], factorsConfigTable[index], 0)
            ),#REF!
          ),
          yesNoTable[label],
          0
        )
      ),
      ""
    )
  )</f>
        <v/>
      </c>
      <c r="DC25" s="177" t="b">
        <f>IF(
    factorsTable[[#This Row],[factorHeader]] = "",
    FALSE,
    IF(
      factorsTable[[#This Row],[displayConfig]] = "yes",
      TRUE,
      IF(
        factorsTable[[#This Row],[displayConfig]] = "no",
        FALSE,
        NA()
      )
    )
  )</f>
        <v>0</v>
      </c>
      <c r="DD25" s="177" t="str" cm="1">
        <f t="array" ref="DD25">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5" s="177" t="str">
        <f>IF(
    factorsTable[[#This Row],[filteredIndex]] = "",
    "",
    _xlfn.IFNA(
      INDEX(
        factorsTable[difference],
        MATCH(factorsTable[[#This Row],[filteredIndex]], factorsTable[index], 0)
      ),
      -99
    )
  )</f>
        <v/>
      </c>
      <c r="DF25" s="177" t="str">
        <f>IF(
    factorsTable[[#This Row],[filteredIndex]] = "",
    "",
    IF(
      factorsTable[[#This Row],[relDiff]] = -99,
      -99,
      ABS(factorsTable[[#This Row],[relDiff]])
    )
  )</f>
        <v/>
      </c>
      <c r="DG25" s="177" t="str">
        <f>IF(
    factorsTable[[#This Row],[filteredIndex]] = "",
    "",
    IFERROR(
      INDEX(
        RANASBlocksTable[index],
        MATCH(
          IFERROR(
            INDEX(
              factorsConfigTable[RANASBlock],
              MATCH(factorsTable[[#This Row],[filteredIndex]], factorsConfigTable[index], 0)
            ),#REF!
          ),
          RANASBlocksTable[label],
          0
        )
      ),
      6
    )
  )</f>
        <v/>
      </c>
      <c r="DH25" s="177" t="str">
        <f>IF(
    factorsTable[[#This Row],[filteredIndex]] = "",
    "",
    _xlfn.RANK.EQ(factorsTable[[#This Row],[relDiff]], factorsTable[relDiff], 0)
  )</f>
        <v/>
      </c>
      <c r="DI25" s="177" t="str">
        <f>IF(
    factorsTable[[#This Row],[filteredIndex]] = "",
    "",
    _xlfn.RANK.EQ(factorsTable[[#This Row],[absDiff]], factorsTable[absDiff], 0)
  )</f>
        <v/>
      </c>
      <c r="DJ25" s="177" t="str">
        <f>IF(
    factorsTable[[#This Row],[filteredIndex]] = "",
    "",
    _xlfn.RANK.EQ(factorsTable[[#This Row],[RANASIndex]], factorsTable[RANASIndex], 1)
  )</f>
        <v/>
      </c>
      <c r="DK25" s="177" t="str" cm="1">
        <f t="array" ref="DK25">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5" s="177" t="str">
        <f>IF(
    factorsTable[[#This Row],[filteredIndex]] = "",
    "",
    factorsTable[[#This Row],[selectedRank]]
      + COUNTIF(INDEX(factorsTable[selectedRank], 1):INDEX(factorsTable[selectedRank], factorsTable[[#This Row],[index]]), factorsTable[[#This Row],[selectedRank]])
      - 1
  )</f>
        <v/>
      </c>
      <c r="DM25" s="177" t="str">
        <f>IF(
    factorsTable[[#This Row],[filteredIndex]] = "",
    "",
    IFERROR(
      INDEX(
        factorsTable[filteredIndex],
        MATCH(factorsTable[[#This Row],[index]], factorsTable[uniqueRank], 0)
      ),#REF!
    )
  )</f>
        <v/>
      </c>
      <c r="DN25" s="177" t="str">
        <f>IF(
    factorsTable[[#This Row],[sortedIndex]] = "",
    "",
    INDEX(
      INDEX(
        factorsConfigTable[],
        0,
        MATCH(
          chartLanguage,
          languageHeadersList,
          0
        )
        + MATCH(factorsConfigTable[[#Headers],[lang1]], factorsConfigTable[#Headers], 0)
        - 1
      ),
      MATCH(factorsTable[[#This Row],[sortedIndex]], factorsConfigTable[index], 0)
    ) &amp; ""
  )</f>
        <v/>
      </c>
      <c r="DO25"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5" s="177" t="str">
        <f>IF(
    factorsTable[[#This Row],[sortedIndex]] = "",
    "",
    IFERROR(
      INDEX(
        RANASBlocksTable[tag],
        MATCH(
          IFERROR(
            INDEX(
              factorsConfigTable[RANASBlock],
              MATCH(factorsTable[[#This Row],[sortedIndex]], factorsConfigTable[index], 0)
            ),#REF!
          ),
          RANASBlocksTable[label],
          0
        )
      ),
      NA()
    )
  )</f>
        <v/>
      </c>
      <c r="DQ25"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5"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5" s="177" t="str">
        <f>IF(
    factorsTable[[#This Row],[sortedIndex]] = "",
    "",
    INDEX(factorsTable[numTotal], MATCH(factorsTable[[#This Row],[sortedIndex]], factorsTable[index], 0))
  )</f>
        <v/>
      </c>
      <c r="DT25" s="177" t="str">
        <f>IF(
    factorsTable[[#This Row],[sortedIndex]] = "",
    "",
    INDEX(factorsTable[nondoers], MATCH(factorsTable[[#This Row],[sortedIndex]], factorsTable[index], 0))
  )</f>
        <v/>
      </c>
      <c r="DU25" s="177" t="str">
        <f>IF(
    factorsTable[[#This Row],[sortedIndex]] = "",
    "",
    INDEX(factorsTable[doers], MATCH(factorsTable[[#This Row],[sortedIndex]], factorsTable[index], 0))
  )</f>
        <v/>
      </c>
      <c r="DV25" s="177" t="str">
        <f>IF(
    factorsTable[[#This Row],[sortedIndex]] = "",
    "",
    INDEX(factorsTable[difference], MATCH(factorsTable[[#This Row],[sortedIndex]], factorsTable[index], 0))
  )</f>
        <v/>
      </c>
    </row>
    <row r="26" spans="5:126" ht="14.4" customHeight="1" x14ac:dyDescent="0.3">
      <c r="E26" s="187" cm="1">
        <f t="array" ref="E26">ROW()-ROW(UITranslationTable[#Headers])</f>
        <v>24</v>
      </c>
      <c r="F26" s="9" t="s">
        <v>208</v>
      </c>
      <c r="G26" s="176" t="str" cm="1">
        <f t="array" ref="G26">"CAUTION: You should ALWAYS import your data as a new spreadsheet, because simply pasting new data in an existing """ &amp; sheetNameData &amp; """ sheet could produce unexpected and undesirable results."</f>
        <v>CAUTION: You should ALWAYS import your data as a new spreadsheet, because simply pasting new data in an existing "data" sheet could produce unexpected and undesirable results.</v>
      </c>
      <c r="H26" s="176" t="str" cm="1">
        <f t="array" ref="H26">"ATTENTION: Vous devriez TOUJOURS importer vos données dans une nouvelle feuille, car coller simplement de nouvelles données dans une feuille «" &amp; sheetNameData &amp; "» existante pourrait produire des résultats inattendus et fâcheux."</f>
        <v>ATTENTION: Vous devriez TOUJOURS importer vos données dans une nouvelle feuille, car coller simplement de nouvelles données dans une feuille «data» existante pourrait produire des résultats inattendus et fâcheux.</v>
      </c>
      <c r="W26" s="177" cm="1">
        <f t="array" ref="W26">ROW()-ROW(structuredFormulaeTable[#Headers])</f>
        <v>24</v>
      </c>
      <c r="X26" s="1" t="s">
        <v>420</v>
      </c>
      <c r="Y26" s="1" t="s">
        <v>351</v>
      </c>
      <c r="AA26" s="178" t="s">
        <v>635</v>
      </c>
      <c r="AB26" s="178"/>
      <c r="CD26" s="1" cm="1">
        <f t="array" ref="CD26">ROW()-ROW(recommendedCutoffTable[#Headers])</f>
        <v>24</v>
      </c>
      <c r="CE26" s="183">
        <f>(recommendedCutoffTable[[#This Row],[index]] - 1) / 100</f>
        <v>0.23</v>
      </c>
      <c r="CF26" s="1" cm="1">
        <f t="array" ref="CF26">ABS(
    numScores
  - 2 * SUMPRODUCT((behaviourScore &lt;&gt; "") * (behaviourScore &lt; recommendedCutoffTable[[#This Row],[cutoffLevel]]))
  )</f>
        <v>0</v>
      </c>
      <c r="CM26" s="177" cm="1">
        <f t="array" ref="CM26">ROW()-ROW(factorsTable[#Headers])</f>
        <v>24</v>
      </c>
      <c r="CN26" s="177" t="str">
        <f>IFERROR(
    INDEX(
      factorsConfigTable[factorHeader],
      MATCH(factorsTable[[#This Row],[index]], factorsConfigTable[index], 0)
    ),#REF!
  ) &amp; ""</f>
        <v/>
      </c>
      <c r="CO26" s="177" t="str">
        <f>IF(
    factorsTable[[#This Row],[factorHeader]] = "",
    "",
    _xlfn.IFNA(
      MATCH(factorsTable[[#This Row],[factorHeader]], dataHeaders, 0),
      _xlfn.IFNA(
        MATCH("*/" &amp; factorsTable[[#This Row],[factorHeader]], dataHeaders, 0),
        MATCH("*-" &amp; factorsTable[[#This Row],[factorHeader]], dataHeaders, 0)
      )
    )
  )</f>
        <v/>
      </c>
      <c r="CP26" s="177" t="str">
        <f>IF(
    factorsTable[[#This Row],[factorHeader]] = "",
    "",
    IF(
      IFERROR(
        INDEX(
          factorsConfigTable[minScore],
          MATCH(factorsTable[[#This Row],[index]], factorsConfigTable[index], 0)
        ),#REF!
      ) = "",
      NA(),
      IFERROR(
        INDEX(
          factorsConfigTable[minScore],
          MATCH(factorsTable[[#This Row],[index]], factorsConfigTable[index], 0)
        ),#REF!
      )
    )
  )</f>
        <v/>
      </c>
      <c r="CQ26" s="177" t="str">
        <f>IF(
    factorsTable[[#This Row],[factorHeader]] = "",
    "",
    IF(
      IFERROR(
        INDEX(
          factorsConfigTable[maxScore],
          MATCH(factorsTable[[#This Row],[index]], factorsConfigTable[index], 0)
        ),#REF!
      ) = "",
      NA(),
      IFERROR(
        INDEX(
          factorsConfigTable[maxScore],
          MATCH(factorsTable[[#This Row],[index]], factorsConfigTable[index], 0)
        ),#REF!
      )
    )
  )</f>
        <v/>
      </c>
      <c r="CR26" s="177" t="str">
        <f>IF(
    factorsTable[[#This Row],[factorHeader]] = "",
    "",
    IF(
      ISERROR(factorsTable[[#This Row],[factorColNum]]),
      NA(),
      IF(
        ISNA(INDEX(dataRange,1,1)),
        NA(),
        MIN(INDEX(dataRange, , factorsTable[[#This Row],[factorColNum]]))
      )
    )
  )</f>
        <v/>
      </c>
      <c r="CS26" s="177" t="str">
        <f>IF(
    factorsTable[[#This Row],[factorHeader]] = "",
    "",
    IF(
      ISERROR(factorsTable[[#This Row],[factorColNum]]),
      NA(),
      IF(
        ISNA(INDEX(dataRange,1,1)),
        NA(),
        MAX(INDEX(dataRange, , factorsTable[[#This Row],[factorColNum]]))
      )
    )
  )</f>
        <v/>
      </c>
      <c r="CT26" s="177" t="b" cm="1">
        <f t="array" aca="1" ref="CT26" ca="1">AND(
    NOT(errorNoDataSheet),
    factorsTable[[#This Row],[factorHeader]] &lt;&gt; "",
    NOT(ISERROR(factorsTable[[#This Row],[factorColNum]])),
    IFERROR(factorsTable[[#This Row],[display]], FALSE),
    IFERROR(factorsTable[[#This Row],[minValue]] &lt; factorsTable[[#This Row],[minScore]], FALSE)
  )</f>
        <v>0</v>
      </c>
      <c r="CU26" s="177" t="b" cm="1">
        <f t="array" aca="1" ref="CU26" ca="1">AND(
    NOT(errorNoDataSheet),
    factorsTable[[#This Row],[factorHeader]] &lt;&gt; "",
    NOT(ISERROR(factorsTable[[#This Row],[factorColNum]])),
    IFERROR(factorsTable[[#This Row],[display]], FALSE),
    IFERROR(factorsTable[[#This Row],[maxValue]] &gt; factorsTable[[#This Row],[maxScore]], FALSE)
  )</f>
        <v>0</v>
      </c>
      <c r="CV26" s="177" t="str" cm="1">
        <f t="array" ref="CV26">IF(
    factorsTable[[#This Row],[factorHeader]] = "",
    "",
    IF(
      ISNA(INDEX(dataRange,1,1)),
      NA(),
      SUMPRODUCT(
          IF(isDoer = "", 0, NOT(isDoer))
        * (INDEX(dataRange, , factorsTable[[#This Row],[factorColNum]]) &lt;&gt; "")
      )
    )
  )</f>
        <v/>
      </c>
      <c r="CW26" s="177" t="str" cm="1">
        <f t="array" ref="CW26">IF(
    factorsTable[[#This Row],[factorHeader]] = "",
    "",
    IF(
      ISNA(INDEX(dataRange,1,1)),
      NA(),
      SUMPRODUCT(
          IF(isDoer = "", 0, isDoer)
        * (INDEX(dataRange, , factorsTable[[#This Row],[factorColNum]]) &lt;&gt; "")
      )
    )
  )</f>
        <v/>
      </c>
      <c r="CX26"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6" s="177" t="str" cm="1">
        <f t="array" ref="CY2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6" s="177" t="str" cm="1">
        <f t="array" ref="CZ2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6" s="177" t="str">
        <f>IF(
    factorsTable[[#This Row],[factorHeader]] = "",
    "",
    factorsTable[[#This Row],[doers]] - factorsTable[[#This Row],[nondoers]]
  )</f>
        <v/>
      </c>
      <c r="DB26" s="177" t="str">
        <f>IF(
    factorsTable[[#This Row],[factorHeader]] = "",
    "",
    IFERROR(
      INDEX(
        yesNoTable[tag],
        MATCH(
          IFERROR(
            INDEX(
              factorsConfigTable[displayConfig],
              MATCH(factorsTable[[#This Row],[index]], factorsConfigTable[index], 0)
            ),#REF!
          ),
          yesNoTable[label],
          0
        )
      ),
      ""
    )
  )</f>
        <v/>
      </c>
      <c r="DC26" s="177" t="b">
        <f>IF(
    factorsTable[[#This Row],[factorHeader]] = "",
    FALSE,
    IF(
      factorsTable[[#This Row],[displayConfig]] = "yes",
      TRUE,
      IF(
        factorsTable[[#This Row],[displayConfig]] = "no",
        FALSE,
        NA()
      )
    )
  )</f>
        <v>0</v>
      </c>
      <c r="DD26" s="177" t="str" cm="1">
        <f t="array" ref="DD26">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6" s="177" t="str">
        <f>IF(
    factorsTable[[#This Row],[filteredIndex]] = "",
    "",
    _xlfn.IFNA(
      INDEX(
        factorsTable[difference],
        MATCH(factorsTable[[#This Row],[filteredIndex]], factorsTable[index], 0)
      ),
      -99
    )
  )</f>
        <v/>
      </c>
      <c r="DF26" s="177" t="str">
        <f>IF(
    factorsTable[[#This Row],[filteredIndex]] = "",
    "",
    IF(
      factorsTable[[#This Row],[relDiff]] = -99,
      -99,
      ABS(factorsTable[[#This Row],[relDiff]])
    )
  )</f>
        <v/>
      </c>
      <c r="DG26" s="177" t="str">
        <f>IF(
    factorsTable[[#This Row],[filteredIndex]] = "",
    "",
    IFERROR(
      INDEX(
        RANASBlocksTable[index],
        MATCH(
          IFERROR(
            INDEX(
              factorsConfigTable[RANASBlock],
              MATCH(factorsTable[[#This Row],[filteredIndex]], factorsConfigTable[index], 0)
            ),#REF!
          ),
          RANASBlocksTable[label],
          0
        )
      ),
      6
    )
  )</f>
        <v/>
      </c>
      <c r="DH26" s="177" t="str">
        <f>IF(
    factorsTable[[#This Row],[filteredIndex]] = "",
    "",
    _xlfn.RANK.EQ(factorsTable[[#This Row],[relDiff]], factorsTable[relDiff], 0)
  )</f>
        <v/>
      </c>
      <c r="DI26" s="177" t="str">
        <f>IF(
    factorsTable[[#This Row],[filteredIndex]] = "",
    "",
    _xlfn.RANK.EQ(factorsTable[[#This Row],[absDiff]], factorsTable[absDiff], 0)
  )</f>
        <v/>
      </c>
      <c r="DJ26" s="177" t="str">
        <f>IF(
    factorsTable[[#This Row],[filteredIndex]] = "",
    "",
    _xlfn.RANK.EQ(factorsTable[[#This Row],[RANASIndex]], factorsTable[RANASIndex], 1)
  )</f>
        <v/>
      </c>
      <c r="DK26" s="177" t="str" cm="1">
        <f t="array" ref="DK26">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6" s="177" t="str">
        <f>IF(
    factorsTable[[#This Row],[filteredIndex]] = "",
    "",
    factorsTable[[#This Row],[selectedRank]]
      + COUNTIF(INDEX(factorsTable[selectedRank], 1):INDEX(factorsTable[selectedRank], factorsTable[[#This Row],[index]]), factorsTable[[#This Row],[selectedRank]])
      - 1
  )</f>
        <v/>
      </c>
      <c r="DM26" s="177" t="str">
        <f>IF(
    factorsTable[[#This Row],[filteredIndex]] = "",
    "",
    IFERROR(
      INDEX(
        factorsTable[filteredIndex],
        MATCH(factorsTable[[#This Row],[index]], factorsTable[uniqueRank], 0)
      ),#REF!
    )
  )</f>
        <v/>
      </c>
      <c r="DN26" s="177" t="str">
        <f>IF(
    factorsTable[[#This Row],[sortedIndex]] = "",
    "",
    INDEX(
      INDEX(
        factorsConfigTable[],
        0,
        MATCH(
          chartLanguage,
          languageHeadersList,
          0
        )
        + MATCH(factorsConfigTable[[#Headers],[lang1]], factorsConfigTable[#Headers], 0)
        - 1
      ),
      MATCH(factorsTable[[#This Row],[sortedIndex]], factorsConfigTable[index], 0)
    ) &amp; ""
  )</f>
        <v/>
      </c>
      <c r="DO26"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6" s="177" t="str">
        <f>IF(
    factorsTable[[#This Row],[sortedIndex]] = "",
    "",
    IFERROR(
      INDEX(
        RANASBlocksTable[tag],
        MATCH(
          IFERROR(
            INDEX(
              factorsConfigTable[RANASBlock],
              MATCH(factorsTable[[#This Row],[sortedIndex]], factorsConfigTable[index], 0)
            ),#REF!
          ),
          RANASBlocksTable[label],
          0
        )
      ),
      NA()
    )
  )</f>
        <v/>
      </c>
      <c r="DQ26"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6"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6" s="177" t="str">
        <f>IF(
    factorsTable[[#This Row],[sortedIndex]] = "",
    "",
    INDEX(factorsTable[numTotal], MATCH(factorsTable[[#This Row],[sortedIndex]], factorsTable[index], 0))
  )</f>
        <v/>
      </c>
      <c r="DT26" s="177" t="str">
        <f>IF(
    factorsTable[[#This Row],[sortedIndex]] = "",
    "",
    INDEX(factorsTable[nondoers], MATCH(factorsTable[[#This Row],[sortedIndex]], factorsTable[index], 0))
  )</f>
        <v/>
      </c>
      <c r="DU26" s="177" t="str">
        <f>IF(
    factorsTable[[#This Row],[sortedIndex]] = "",
    "",
    INDEX(factorsTable[doers], MATCH(factorsTable[[#This Row],[sortedIndex]], factorsTable[index], 0))
  )</f>
        <v/>
      </c>
      <c r="DV26" s="177" t="str">
        <f>IF(
    factorsTable[[#This Row],[sortedIndex]] = "",
    "",
    INDEX(factorsTable[difference], MATCH(factorsTable[[#This Row],[sortedIndex]], factorsTable[index], 0))
  )</f>
        <v/>
      </c>
    </row>
    <row r="27" spans="5:126" ht="14.4" customHeight="1" x14ac:dyDescent="0.3">
      <c r="E27" s="187" cm="1">
        <f t="array" ref="E27">ROW()-ROW(UITranslationTable[#Headers])</f>
        <v>25</v>
      </c>
      <c r="F27" s="9" t="s">
        <v>69</v>
      </c>
      <c r="G27" s="176" t="str">
        <f>"2." &amp; CHAR(160) &amp; "Behaviour"</f>
        <v>2. Behaviour</v>
      </c>
      <c r="H27" s="176" t="str">
        <f>"2." &amp; CHAR(160) &amp; "Comportement"</f>
        <v>2. Comportement</v>
      </c>
      <c r="W27" s="177" cm="1">
        <f t="array" ref="W27">ROW()-ROW(structuredFormulaeTable[#Headers])</f>
        <v>25</v>
      </c>
      <c r="X27" s="1" t="s">
        <v>420</v>
      </c>
      <c r="Y27" s="1" t="s">
        <v>352</v>
      </c>
      <c r="AA27" s="178" t="s">
        <v>636</v>
      </c>
      <c r="AB27" s="178"/>
      <c r="CD27" s="1" cm="1">
        <f t="array" ref="CD27">ROW()-ROW(recommendedCutoffTable[#Headers])</f>
        <v>25</v>
      </c>
      <c r="CE27" s="183">
        <f>(recommendedCutoffTable[[#This Row],[index]] - 1) / 100</f>
        <v>0.24</v>
      </c>
      <c r="CF27" s="1" cm="1">
        <f t="array" ref="CF27">ABS(
    numScores
  - 2 * SUMPRODUCT((behaviourScore &lt;&gt; "") * (behaviourScore &lt; recommendedCutoffTable[[#This Row],[cutoffLevel]]))
  )</f>
        <v>0</v>
      </c>
      <c r="CM27" s="177" cm="1">
        <f t="array" ref="CM27">ROW()-ROW(factorsTable[#Headers])</f>
        <v>25</v>
      </c>
      <c r="CN27" s="177" t="str">
        <f>IFERROR(
    INDEX(
      factorsConfigTable[factorHeader],
      MATCH(factorsTable[[#This Row],[index]], factorsConfigTable[index], 0)
    ),#REF!
  ) &amp; ""</f>
        <v/>
      </c>
      <c r="CO27" s="177" t="str">
        <f>IF(
    factorsTable[[#This Row],[factorHeader]] = "",
    "",
    _xlfn.IFNA(
      MATCH(factorsTable[[#This Row],[factorHeader]], dataHeaders, 0),
      _xlfn.IFNA(
        MATCH("*/" &amp; factorsTable[[#This Row],[factorHeader]], dataHeaders, 0),
        MATCH("*-" &amp; factorsTable[[#This Row],[factorHeader]], dataHeaders, 0)
      )
    )
  )</f>
        <v/>
      </c>
      <c r="CP27" s="177" t="str">
        <f>IF(
    factorsTable[[#This Row],[factorHeader]] = "",
    "",
    IF(
      IFERROR(
        INDEX(
          factorsConfigTable[minScore],
          MATCH(factorsTable[[#This Row],[index]], factorsConfigTable[index], 0)
        ),#REF!
      ) = "",
      NA(),
      IFERROR(
        INDEX(
          factorsConfigTable[minScore],
          MATCH(factorsTable[[#This Row],[index]], factorsConfigTable[index], 0)
        ),#REF!
      )
    )
  )</f>
        <v/>
      </c>
      <c r="CQ27" s="177" t="str">
        <f>IF(
    factorsTable[[#This Row],[factorHeader]] = "",
    "",
    IF(
      IFERROR(
        INDEX(
          factorsConfigTable[maxScore],
          MATCH(factorsTable[[#This Row],[index]], factorsConfigTable[index], 0)
        ),#REF!
      ) = "",
      NA(),
      IFERROR(
        INDEX(
          factorsConfigTable[maxScore],
          MATCH(factorsTable[[#This Row],[index]], factorsConfigTable[index], 0)
        ),#REF!
      )
    )
  )</f>
        <v/>
      </c>
      <c r="CR27" s="177" t="str">
        <f>IF(
    factorsTable[[#This Row],[factorHeader]] = "",
    "",
    IF(
      ISERROR(factorsTable[[#This Row],[factorColNum]]),
      NA(),
      IF(
        ISNA(INDEX(dataRange,1,1)),
        NA(),
        MIN(INDEX(dataRange, , factorsTable[[#This Row],[factorColNum]]))
      )
    )
  )</f>
        <v/>
      </c>
      <c r="CS27" s="177" t="str">
        <f>IF(
    factorsTable[[#This Row],[factorHeader]] = "",
    "",
    IF(
      ISERROR(factorsTable[[#This Row],[factorColNum]]),
      NA(),
      IF(
        ISNA(INDEX(dataRange,1,1)),
        NA(),
        MAX(INDEX(dataRange, , factorsTable[[#This Row],[factorColNum]]))
      )
    )
  )</f>
        <v/>
      </c>
      <c r="CT27" s="177" t="b" cm="1">
        <f t="array" aca="1" ref="CT27" ca="1">AND(
    NOT(errorNoDataSheet),
    factorsTable[[#This Row],[factorHeader]] &lt;&gt; "",
    NOT(ISERROR(factorsTable[[#This Row],[factorColNum]])),
    IFERROR(factorsTable[[#This Row],[display]], FALSE),
    IFERROR(factorsTable[[#This Row],[minValue]] &lt; factorsTable[[#This Row],[minScore]], FALSE)
  )</f>
        <v>0</v>
      </c>
      <c r="CU27" s="177" t="b" cm="1">
        <f t="array" aca="1" ref="CU27" ca="1">AND(
    NOT(errorNoDataSheet),
    factorsTable[[#This Row],[factorHeader]] &lt;&gt; "",
    NOT(ISERROR(factorsTable[[#This Row],[factorColNum]])),
    IFERROR(factorsTable[[#This Row],[display]], FALSE),
    IFERROR(factorsTable[[#This Row],[maxValue]] &gt; factorsTable[[#This Row],[maxScore]], FALSE)
  )</f>
        <v>0</v>
      </c>
      <c r="CV27" s="177" t="str" cm="1">
        <f t="array" ref="CV27">IF(
    factorsTable[[#This Row],[factorHeader]] = "",
    "",
    IF(
      ISNA(INDEX(dataRange,1,1)),
      NA(),
      SUMPRODUCT(
          IF(isDoer = "", 0, NOT(isDoer))
        * (INDEX(dataRange, , factorsTable[[#This Row],[factorColNum]]) &lt;&gt; "")
      )
    )
  )</f>
        <v/>
      </c>
      <c r="CW27" s="177" t="str" cm="1">
        <f t="array" ref="CW27">IF(
    factorsTable[[#This Row],[factorHeader]] = "",
    "",
    IF(
      ISNA(INDEX(dataRange,1,1)),
      NA(),
      SUMPRODUCT(
          IF(isDoer = "", 0, isDoer)
        * (INDEX(dataRange, , factorsTable[[#This Row],[factorColNum]]) &lt;&gt; "")
      )
    )
  )</f>
        <v/>
      </c>
      <c r="CX27"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7" s="177" t="str" cm="1">
        <f t="array" ref="CY2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7" s="177" t="str" cm="1">
        <f t="array" ref="CZ2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7" s="177" t="str">
        <f>IF(
    factorsTable[[#This Row],[factorHeader]] = "",
    "",
    factorsTable[[#This Row],[doers]] - factorsTable[[#This Row],[nondoers]]
  )</f>
        <v/>
      </c>
      <c r="DB27" s="177" t="str">
        <f>IF(
    factorsTable[[#This Row],[factorHeader]] = "",
    "",
    IFERROR(
      INDEX(
        yesNoTable[tag],
        MATCH(
          IFERROR(
            INDEX(
              factorsConfigTable[displayConfig],
              MATCH(factorsTable[[#This Row],[index]], factorsConfigTable[index], 0)
            ),#REF!
          ),
          yesNoTable[label],
          0
        )
      ),
      ""
    )
  )</f>
        <v/>
      </c>
      <c r="DC27" s="177" t="b">
        <f>IF(
    factorsTable[[#This Row],[factorHeader]] = "",
    FALSE,
    IF(
      factorsTable[[#This Row],[displayConfig]] = "yes",
      TRUE,
      IF(
        factorsTable[[#This Row],[displayConfig]] = "no",
        FALSE,
        NA()
      )
    )
  )</f>
        <v>0</v>
      </c>
      <c r="DD27" s="177" t="str" cm="1">
        <f t="array" ref="DD27">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7" s="177" t="str">
        <f>IF(
    factorsTable[[#This Row],[filteredIndex]] = "",
    "",
    _xlfn.IFNA(
      INDEX(
        factorsTable[difference],
        MATCH(factorsTable[[#This Row],[filteredIndex]], factorsTable[index], 0)
      ),
      -99
    )
  )</f>
        <v/>
      </c>
      <c r="DF27" s="177" t="str">
        <f>IF(
    factorsTable[[#This Row],[filteredIndex]] = "",
    "",
    IF(
      factorsTable[[#This Row],[relDiff]] = -99,
      -99,
      ABS(factorsTable[[#This Row],[relDiff]])
    )
  )</f>
        <v/>
      </c>
      <c r="DG27" s="177" t="str">
        <f>IF(
    factorsTable[[#This Row],[filteredIndex]] = "",
    "",
    IFERROR(
      INDEX(
        RANASBlocksTable[index],
        MATCH(
          IFERROR(
            INDEX(
              factorsConfigTable[RANASBlock],
              MATCH(factorsTable[[#This Row],[filteredIndex]], factorsConfigTable[index], 0)
            ),#REF!
          ),
          RANASBlocksTable[label],
          0
        )
      ),
      6
    )
  )</f>
        <v/>
      </c>
      <c r="DH27" s="177" t="str">
        <f>IF(
    factorsTable[[#This Row],[filteredIndex]] = "",
    "",
    _xlfn.RANK.EQ(factorsTable[[#This Row],[relDiff]], factorsTable[relDiff], 0)
  )</f>
        <v/>
      </c>
      <c r="DI27" s="177" t="str">
        <f>IF(
    factorsTable[[#This Row],[filteredIndex]] = "",
    "",
    _xlfn.RANK.EQ(factorsTable[[#This Row],[absDiff]], factorsTable[absDiff], 0)
  )</f>
        <v/>
      </c>
      <c r="DJ27" s="177" t="str">
        <f>IF(
    factorsTable[[#This Row],[filteredIndex]] = "",
    "",
    _xlfn.RANK.EQ(factorsTable[[#This Row],[RANASIndex]], factorsTable[RANASIndex], 1)
  )</f>
        <v/>
      </c>
      <c r="DK27" s="177" t="str" cm="1">
        <f t="array" ref="DK27">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7" s="177" t="str">
        <f>IF(
    factorsTable[[#This Row],[filteredIndex]] = "",
    "",
    factorsTable[[#This Row],[selectedRank]]
      + COUNTIF(INDEX(factorsTable[selectedRank], 1):INDEX(factorsTable[selectedRank], factorsTable[[#This Row],[index]]), factorsTable[[#This Row],[selectedRank]])
      - 1
  )</f>
        <v/>
      </c>
      <c r="DM27" s="177" t="str">
        <f>IF(
    factorsTable[[#This Row],[filteredIndex]] = "",
    "",
    IFERROR(
      INDEX(
        factorsTable[filteredIndex],
        MATCH(factorsTable[[#This Row],[index]], factorsTable[uniqueRank], 0)
      ),#REF!
    )
  )</f>
        <v/>
      </c>
      <c r="DN27" s="177" t="str">
        <f>IF(
    factorsTable[[#This Row],[sortedIndex]] = "",
    "",
    INDEX(
      INDEX(
        factorsConfigTable[],
        0,
        MATCH(
          chartLanguage,
          languageHeadersList,
          0
        )
        + MATCH(factorsConfigTable[[#Headers],[lang1]], factorsConfigTable[#Headers], 0)
        - 1
      ),
      MATCH(factorsTable[[#This Row],[sortedIndex]], factorsConfigTable[index], 0)
    ) &amp; ""
  )</f>
        <v/>
      </c>
      <c r="DO27"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7" s="177" t="str">
        <f>IF(
    factorsTable[[#This Row],[sortedIndex]] = "",
    "",
    IFERROR(
      INDEX(
        RANASBlocksTable[tag],
        MATCH(
          IFERROR(
            INDEX(
              factorsConfigTable[RANASBlock],
              MATCH(factorsTable[[#This Row],[sortedIndex]], factorsConfigTable[index], 0)
            ),#REF!
          ),
          RANASBlocksTable[label],
          0
        )
      ),
      NA()
    )
  )</f>
        <v/>
      </c>
      <c r="DQ27"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7"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7" s="177" t="str">
        <f>IF(
    factorsTable[[#This Row],[sortedIndex]] = "",
    "",
    INDEX(factorsTable[numTotal], MATCH(factorsTable[[#This Row],[sortedIndex]], factorsTable[index], 0))
  )</f>
        <v/>
      </c>
      <c r="DT27" s="177" t="str">
        <f>IF(
    factorsTable[[#This Row],[sortedIndex]] = "",
    "",
    INDEX(factorsTable[nondoers], MATCH(factorsTable[[#This Row],[sortedIndex]], factorsTable[index], 0))
  )</f>
        <v/>
      </c>
      <c r="DU27" s="177" t="str">
        <f>IF(
    factorsTable[[#This Row],[sortedIndex]] = "",
    "",
    INDEX(factorsTable[doers], MATCH(factorsTable[[#This Row],[sortedIndex]], factorsTable[index], 0))
  )</f>
        <v/>
      </c>
      <c r="DV27" s="177" t="str">
        <f>IF(
    factorsTable[[#This Row],[sortedIndex]] = "",
    "",
    INDEX(factorsTable[difference], MATCH(factorsTable[[#This Row],[sortedIndex]], factorsTable[index], 0))
  )</f>
        <v/>
      </c>
    </row>
    <row r="28" spans="5:126" ht="14.4" customHeight="1" x14ac:dyDescent="0.3">
      <c r="E28" s="187" cm="1">
        <f t="array" ref="E28">ROW()-ROW(UITranslationTable[#Headers])</f>
        <v>26</v>
      </c>
      <c r="F28" s="9" t="s">
        <v>209</v>
      </c>
      <c r="G28" s="176" t="s">
        <v>198</v>
      </c>
      <c r="H28" s="176" t="s">
        <v>199</v>
      </c>
      <c r="W28" s="177" cm="1">
        <f t="array" ref="W28">ROW()-ROW(structuredFormulaeTable[#Headers])</f>
        <v>26</v>
      </c>
      <c r="X28" s="1" t="s">
        <v>420</v>
      </c>
      <c r="Y28" s="1" t="s">
        <v>353</v>
      </c>
      <c r="AA28" s="178" t="s">
        <v>637</v>
      </c>
      <c r="AB28" s="178"/>
      <c r="CD28" s="1" cm="1">
        <f t="array" ref="CD28">ROW()-ROW(recommendedCutoffTable[#Headers])</f>
        <v>26</v>
      </c>
      <c r="CE28" s="183">
        <f>(recommendedCutoffTable[[#This Row],[index]] - 1) / 100</f>
        <v>0.25</v>
      </c>
      <c r="CF28" s="1" cm="1">
        <f t="array" ref="CF28">ABS(
    numScores
  - 2 * SUMPRODUCT((behaviourScore &lt;&gt; "") * (behaviourScore &lt; recommendedCutoffTable[[#This Row],[cutoffLevel]]))
  )</f>
        <v>0</v>
      </c>
      <c r="CM28" s="177" cm="1">
        <f t="array" ref="CM28">ROW()-ROW(factorsTable[#Headers])</f>
        <v>26</v>
      </c>
      <c r="CN28" s="177" t="str">
        <f>IFERROR(
    INDEX(
      factorsConfigTable[factorHeader],
      MATCH(factorsTable[[#This Row],[index]], factorsConfigTable[index], 0)
    ),#REF!
  ) &amp; ""</f>
        <v/>
      </c>
      <c r="CO28" s="177" t="str">
        <f>IF(
    factorsTable[[#This Row],[factorHeader]] = "",
    "",
    _xlfn.IFNA(
      MATCH(factorsTable[[#This Row],[factorHeader]], dataHeaders, 0),
      _xlfn.IFNA(
        MATCH("*/" &amp; factorsTable[[#This Row],[factorHeader]], dataHeaders, 0),
        MATCH("*-" &amp; factorsTable[[#This Row],[factorHeader]], dataHeaders, 0)
      )
    )
  )</f>
        <v/>
      </c>
      <c r="CP28" s="177" t="str">
        <f>IF(
    factorsTable[[#This Row],[factorHeader]] = "",
    "",
    IF(
      IFERROR(
        INDEX(
          factorsConfigTable[minScore],
          MATCH(factorsTable[[#This Row],[index]], factorsConfigTable[index], 0)
        ),#REF!
      ) = "",
      NA(),
      IFERROR(
        INDEX(
          factorsConfigTable[minScore],
          MATCH(factorsTable[[#This Row],[index]], factorsConfigTable[index], 0)
        ),#REF!
      )
    )
  )</f>
        <v/>
      </c>
      <c r="CQ28" s="177" t="str">
        <f>IF(
    factorsTable[[#This Row],[factorHeader]] = "",
    "",
    IF(
      IFERROR(
        INDEX(
          factorsConfigTable[maxScore],
          MATCH(factorsTable[[#This Row],[index]], factorsConfigTable[index], 0)
        ),#REF!
      ) = "",
      NA(),
      IFERROR(
        INDEX(
          factorsConfigTable[maxScore],
          MATCH(factorsTable[[#This Row],[index]], factorsConfigTable[index], 0)
        ),#REF!
      )
    )
  )</f>
        <v/>
      </c>
      <c r="CR28" s="177" t="str">
        <f>IF(
    factorsTable[[#This Row],[factorHeader]] = "",
    "",
    IF(
      ISERROR(factorsTable[[#This Row],[factorColNum]]),
      NA(),
      IF(
        ISNA(INDEX(dataRange,1,1)),
        NA(),
        MIN(INDEX(dataRange, , factorsTable[[#This Row],[factorColNum]]))
      )
    )
  )</f>
        <v/>
      </c>
      <c r="CS28" s="177" t="str">
        <f>IF(
    factorsTable[[#This Row],[factorHeader]] = "",
    "",
    IF(
      ISERROR(factorsTable[[#This Row],[factorColNum]]),
      NA(),
      IF(
        ISNA(INDEX(dataRange,1,1)),
        NA(),
        MAX(INDEX(dataRange, , factorsTable[[#This Row],[factorColNum]]))
      )
    )
  )</f>
        <v/>
      </c>
      <c r="CT28" s="177" t="b" cm="1">
        <f t="array" aca="1" ref="CT28" ca="1">AND(
    NOT(errorNoDataSheet),
    factorsTable[[#This Row],[factorHeader]] &lt;&gt; "",
    NOT(ISERROR(factorsTable[[#This Row],[factorColNum]])),
    IFERROR(factorsTable[[#This Row],[display]], FALSE),
    IFERROR(factorsTable[[#This Row],[minValue]] &lt; factorsTable[[#This Row],[minScore]], FALSE)
  )</f>
        <v>0</v>
      </c>
      <c r="CU28" s="177" t="b" cm="1">
        <f t="array" aca="1" ref="CU28" ca="1">AND(
    NOT(errorNoDataSheet),
    factorsTable[[#This Row],[factorHeader]] &lt;&gt; "",
    NOT(ISERROR(factorsTable[[#This Row],[factorColNum]])),
    IFERROR(factorsTable[[#This Row],[display]], FALSE),
    IFERROR(factorsTable[[#This Row],[maxValue]] &gt; factorsTable[[#This Row],[maxScore]], FALSE)
  )</f>
        <v>0</v>
      </c>
      <c r="CV28" s="177" t="str" cm="1">
        <f t="array" ref="CV28">IF(
    factorsTable[[#This Row],[factorHeader]] = "",
    "",
    IF(
      ISNA(INDEX(dataRange,1,1)),
      NA(),
      SUMPRODUCT(
          IF(isDoer = "", 0, NOT(isDoer))
        * (INDEX(dataRange, , factorsTable[[#This Row],[factorColNum]]) &lt;&gt; "")
      )
    )
  )</f>
        <v/>
      </c>
      <c r="CW28" s="177" t="str" cm="1">
        <f t="array" ref="CW28">IF(
    factorsTable[[#This Row],[factorHeader]] = "",
    "",
    IF(
      ISNA(INDEX(dataRange,1,1)),
      NA(),
      SUMPRODUCT(
          IF(isDoer = "", 0, isDoer)
        * (INDEX(dataRange, , factorsTable[[#This Row],[factorColNum]]) &lt;&gt; "")
      )
    )
  )</f>
        <v/>
      </c>
      <c r="CX28"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8" s="177" t="str" cm="1">
        <f t="array" ref="CY2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8" s="177" t="str" cm="1">
        <f t="array" ref="CZ2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8" s="177" t="str">
        <f>IF(
    factorsTable[[#This Row],[factorHeader]] = "",
    "",
    factorsTable[[#This Row],[doers]] - factorsTable[[#This Row],[nondoers]]
  )</f>
        <v/>
      </c>
      <c r="DB28" s="177" t="str">
        <f>IF(
    factorsTable[[#This Row],[factorHeader]] = "",
    "",
    IFERROR(
      INDEX(
        yesNoTable[tag],
        MATCH(
          IFERROR(
            INDEX(
              factorsConfigTable[displayConfig],
              MATCH(factorsTable[[#This Row],[index]], factorsConfigTable[index], 0)
            ),#REF!
          ),
          yesNoTable[label],
          0
        )
      ),
      ""
    )
  )</f>
        <v/>
      </c>
      <c r="DC28" s="177" t="b">
        <f>IF(
    factorsTable[[#This Row],[factorHeader]] = "",
    FALSE,
    IF(
      factorsTable[[#This Row],[displayConfig]] = "yes",
      TRUE,
      IF(
        factorsTable[[#This Row],[displayConfig]] = "no",
        FALSE,
        NA()
      )
    )
  )</f>
        <v>0</v>
      </c>
      <c r="DD28" s="177" t="str" cm="1">
        <f t="array" ref="DD28">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8" s="177" t="str">
        <f>IF(
    factorsTable[[#This Row],[filteredIndex]] = "",
    "",
    _xlfn.IFNA(
      INDEX(
        factorsTable[difference],
        MATCH(factorsTable[[#This Row],[filteredIndex]], factorsTable[index], 0)
      ),
      -99
    )
  )</f>
        <v/>
      </c>
      <c r="DF28" s="177" t="str">
        <f>IF(
    factorsTable[[#This Row],[filteredIndex]] = "",
    "",
    IF(
      factorsTable[[#This Row],[relDiff]] = -99,
      -99,
      ABS(factorsTable[[#This Row],[relDiff]])
    )
  )</f>
        <v/>
      </c>
      <c r="DG28" s="177" t="str">
        <f>IF(
    factorsTable[[#This Row],[filteredIndex]] = "",
    "",
    IFERROR(
      INDEX(
        RANASBlocksTable[index],
        MATCH(
          IFERROR(
            INDEX(
              factorsConfigTable[RANASBlock],
              MATCH(factorsTable[[#This Row],[filteredIndex]], factorsConfigTable[index], 0)
            ),#REF!
          ),
          RANASBlocksTable[label],
          0
        )
      ),
      6
    )
  )</f>
        <v/>
      </c>
      <c r="DH28" s="177" t="str">
        <f>IF(
    factorsTable[[#This Row],[filteredIndex]] = "",
    "",
    _xlfn.RANK.EQ(factorsTable[[#This Row],[relDiff]], factorsTable[relDiff], 0)
  )</f>
        <v/>
      </c>
      <c r="DI28" s="177" t="str">
        <f>IF(
    factorsTable[[#This Row],[filteredIndex]] = "",
    "",
    _xlfn.RANK.EQ(factorsTable[[#This Row],[absDiff]], factorsTable[absDiff], 0)
  )</f>
        <v/>
      </c>
      <c r="DJ28" s="177" t="str">
        <f>IF(
    factorsTable[[#This Row],[filteredIndex]] = "",
    "",
    _xlfn.RANK.EQ(factorsTable[[#This Row],[RANASIndex]], factorsTable[RANASIndex], 1)
  )</f>
        <v/>
      </c>
      <c r="DK28" s="177" t="str" cm="1">
        <f t="array" ref="DK28">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8" s="177" t="str">
        <f>IF(
    factorsTable[[#This Row],[filteredIndex]] = "",
    "",
    factorsTable[[#This Row],[selectedRank]]
      + COUNTIF(INDEX(factorsTable[selectedRank], 1):INDEX(factorsTable[selectedRank], factorsTable[[#This Row],[index]]), factorsTable[[#This Row],[selectedRank]])
      - 1
  )</f>
        <v/>
      </c>
      <c r="DM28" s="177" t="str">
        <f>IF(
    factorsTable[[#This Row],[filteredIndex]] = "",
    "",
    IFERROR(
      INDEX(
        factorsTable[filteredIndex],
        MATCH(factorsTable[[#This Row],[index]], factorsTable[uniqueRank], 0)
      ),#REF!
    )
  )</f>
        <v/>
      </c>
      <c r="DN28" s="177" t="str">
        <f>IF(
    factorsTable[[#This Row],[sortedIndex]] = "",
    "",
    INDEX(
      INDEX(
        factorsConfigTable[],
        0,
        MATCH(
          chartLanguage,
          languageHeadersList,
          0
        )
        + MATCH(factorsConfigTable[[#Headers],[lang1]], factorsConfigTable[#Headers], 0)
        - 1
      ),
      MATCH(factorsTable[[#This Row],[sortedIndex]], factorsConfigTable[index], 0)
    ) &amp; ""
  )</f>
        <v/>
      </c>
      <c r="DO28"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8" s="177" t="str">
        <f>IF(
    factorsTable[[#This Row],[sortedIndex]] = "",
    "",
    IFERROR(
      INDEX(
        RANASBlocksTable[tag],
        MATCH(
          IFERROR(
            INDEX(
              factorsConfigTable[RANASBlock],
              MATCH(factorsTable[[#This Row],[sortedIndex]], factorsConfigTable[index], 0)
            ),#REF!
          ),
          RANASBlocksTable[label],
          0
        )
      ),
      NA()
    )
  )</f>
        <v/>
      </c>
      <c r="DQ28"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8"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8" s="177" t="str">
        <f>IF(
    factorsTable[[#This Row],[sortedIndex]] = "",
    "",
    INDEX(factorsTable[numTotal], MATCH(factorsTable[[#This Row],[sortedIndex]], factorsTable[index], 0))
  )</f>
        <v/>
      </c>
      <c r="DT28" s="177" t="str">
        <f>IF(
    factorsTable[[#This Row],[sortedIndex]] = "",
    "",
    INDEX(factorsTable[nondoers], MATCH(factorsTable[[#This Row],[sortedIndex]], factorsTable[index], 0))
  )</f>
        <v/>
      </c>
      <c r="DU28" s="177" t="str">
        <f>IF(
    factorsTable[[#This Row],[sortedIndex]] = "",
    "",
    INDEX(factorsTable[doers], MATCH(factorsTable[[#This Row],[sortedIndex]], factorsTable[index], 0))
  )</f>
        <v/>
      </c>
      <c r="DV28" s="177" t="str">
        <f>IF(
    factorsTable[[#This Row],[sortedIndex]] = "",
    "",
    INDEX(factorsTable[difference], MATCH(factorsTable[[#This Row],[sortedIndex]], factorsTable[index], 0))
  )</f>
        <v/>
      </c>
    </row>
    <row r="29" spans="5:126" ht="14.4" customHeight="1" x14ac:dyDescent="0.3">
      <c r="E29" s="187" cm="1">
        <f t="array" ref="E29">ROW()-ROW(UITranslationTable[#Headers])</f>
        <v>27</v>
      </c>
      <c r="F29" s="9" t="s">
        <v>210</v>
      </c>
      <c r="G29" s="176" t="str">
        <f>"The target behaviour is measured by a behaviour score for each respondent, based on their answers to ""behaviour"" questions in the survey. Up to 5 questions can be defined in the table below to calculate the behaviour score" &amp; " (or groups of questions that have been precomputed within the questionnaire by averaging several questions). The RANAS Analyser will compute the behaviour score of each respondent by normalising their score for every question on a 0" &amp; CHAR(173) &amp; "100% scale and averaging them."</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H29" s="176" t="s">
        <v>211</v>
      </c>
      <c r="W29" s="177" cm="1">
        <f t="array" ref="W29">ROW()-ROW(structuredFormulaeTable[#Headers])</f>
        <v>27</v>
      </c>
      <c r="X29" s="1" t="s">
        <v>420</v>
      </c>
      <c r="Y29" s="1" t="s">
        <v>354</v>
      </c>
      <c r="AA29" s="178" t="s">
        <v>638</v>
      </c>
      <c r="AB29" s="178"/>
      <c r="CD29" s="1" cm="1">
        <f t="array" ref="CD29">ROW()-ROW(recommendedCutoffTable[#Headers])</f>
        <v>27</v>
      </c>
      <c r="CE29" s="183">
        <f>(recommendedCutoffTable[[#This Row],[index]] - 1) / 100</f>
        <v>0.26</v>
      </c>
      <c r="CF29" s="1" cm="1">
        <f t="array" ref="CF29">ABS(
    numScores
  - 2 * SUMPRODUCT((behaviourScore &lt;&gt; "") * (behaviourScore &lt; recommendedCutoffTable[[#This Row],[cutoffLevel]]))
  )</f>
        <v>0</v>
      </c>
      <c r="CM29" s="177" cm="1">
        <f t="array" ref="CM29">ROW()-ROW(factorsTable[#Headers])</f>
        <v>27</v>
      </c>
      <c r="CN29" s="177" t="str">
        <f>IFERROR(
    INDEX(
      factorsConfigTable[factorHeader],
      MATCH(factorsTable[[#This Row],[index]], factorsConfigTable[index], 0)
    ),#REF!
  ) &amp; ""</f>
        <v/>
      </c>
      <c r="CO29" s="177" t="str">
        <f>IF(
    factorsTable[[#This Row],[factorHeader]] = "",
    "",
    _xlfn.IFNA(
      MATCH(factorsTable[[#This Row],[factorHeader]], dataHeaders, 0),
      _xlfn.IFNA(
        MATCH("*/" &amp; factorsTable[[#This Row],[factorHeader]], dataHeaders, 0),
        MATCH("*-" &amp; factorsTable[[#This Row],[factorHeader]], dataHeaders, 0)
      )
    )
  )</f>
        <v/>
      </c>
      <c r="CP29" s="177" t="str">
        <f>IF(
    factorsTable[[#This Row],[factorHeader]] = "",
    "",
    IF(
      IFERROR(
        INDEX(
          factorsConfigTable[minScore],
          MATCH(factorsTable[[#This Row],[index]], factorsConfigTable[index], 0)
        ),#REF!
      ) = "",
      NA(),
      IFERROR(
        INDEX(
          factorsConfigTable[minScore],
          MATCH(factorsTable[[#This Row],[index]], factorsConfigTable[index], 0)
        ),#REF!
      )
    )
  )</f>
        <v/>
      </c>
      <c r="CQ29" s="177" t="str">
        <f>IF(
    factorsTable[[#This Row],[factorHeader]] = "",
    "",
    IF(
      IFERROR(
        INDEX(
          factorsConfigTable[maxScore],
          MATCH(factorsTable[[#This Row],[index]], factorsConfigTable[index], 0)
        ),#REF!
      ) = "",
      NA(),
      IFERROR(
        INDEX(
          factorsConfigTable[maxScore],
          MATCH(factorsTable[[#This Row],[index]], factorsConfigTable[index], 0)
        ),#REF!
      )
    )
  )</f>
        <v/>
      </c>
      <c r="CR29" s="177" t="str">
        <f>IF(
    factorsTable[[#This Row],[factorHeader]] = "",
    "",
    IF(
      ISERROR(factorsTable[[#This Row],[factorColNum]]),
      NA(),
      IF(
        ISNA(INDEX(dataRange,1,1)),
        NA(),
        MIN(INDEX(dataRange, , factorsTable[[#This Row],[factorColNum]]))
      )
    )
  )</f>
        <v/>
      </c>
      <c r="CS29" s="177" t="str">
        <f>IF(
    factorsTable[[#This Row],[factorHeader]] = "",
    "",
    IF(
      ISERROR(factorsTable[[#This Row],[factorColNum]]),
      NA(),
      IF(
        ISNA(INDEX(dataRange,1,1)),
        NA(),
        MAX(INDEX(dataRange, , factorsTable[[#This Row],[factorColNum]]))
      )
    )
  )</f>
        <v/>
      </c>
      <c r="CT29" s="177" t="b" cm="1">
        <f t="array" aca="1" ref="CT29" ca="1">AND(
    NOT(errorNoDataSheet),
    factorsTable[[#This Row],[factorHeader]] &lt;&gt; "",
    NOT(ISERROR(factorsTable[[#This Row],[factorColNum]])),
    IFERROR(factorsTable[[#This Row],[display]], FALSE),
    IFERROR(factorsTable[[#This Row],[minValue]] &lt; factorsTable[[#This Row],[minScore]], FALSE)
  )</f>
        <v>0</v>
      </c>
      <c r="CU29" s="177" t="b" cm="1">
        <f t="array" aca="1" ref="CU29" ca="1">AND(
    NOT(errorNoDataSheet),
    factorsTable[[#This Row],[factorHeader]] &lt;&gt; "",
    NOT(ISERROR(factorsTable[[#This Row],[factorColNum]])),
    IFERROR(factorsTable[[#This Row],[display]], FALSE),
    IFERROR(factorsTable[[#This Row],[maxValue]] &gt; factorsTable[[#This Row],[maxScore]], FALSE)
  )</f>
        <v>0</v>
      </c>
      <c r="CV29" s="177" t="str" cm="1">
        <f t="array" ref="CV29">IF(
    factorsTable[[#This Row],[factorHeader]] = "",
    "",
    IF(
      ISNA(INDEX(dataRange,1,1)),
      NA(),
      SUMPRODUCT(
          IF(isDoer = "", 0, NOT(isDoer))
        * (INDEX(dataRange, , factorsTable[[#This Row],[factorColNum]]) &lt;&gt; "")
      )
    )
  )</f>
        <v/>
      </c>
      <c r="CW29" s="177" t="str" cm="1">
        <f t="array" ref="CW29">IF(
    factorsTable[[#This Row],[factorHeader]] = "",
    "",
    IF(
      ISNA(INDEX(dataRange,1,1)),
      NA(),
      SUMPRODUCT(
          IF(isDoer = "", 0, isDoer)
        * (INDEX(dataRange, , factorsTable[[#This Row],[factorColNum]]) &lt;&gt; "")
      )
    )
  )</f>
        <v/>
      </c>
      <c r="CX29"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9" s="177" t="str" cm="1">
        <f t="array" ref="CY2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9" s="177" t="str" cm="1">
        <f t="array" ref="CZ2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9" s="177" t="str">
        <f>IF(
    factorsTable[[#This Row],[factorHeader]] = "",
    "",
    factorsTable[[#This Row],[doers]] - factorsTable[[#This Row],[nondoers]]
  )</f>
        <v/>
      </c>
      <c r="DB29" s="177" t="str">
        <f>IF(
    factorsTable[[#This Row],[factorHeader]] = "",
    "",
    IFERROR(
      INDEX(
        yesNoTable[tag],
        MATCH(
          IFERROR(
            INDEX(
              factorsConfigTable[displayConfig],
              MATCH(factorsTable[[#This Row],[index]], factorsConfigTable[index], 0)
            ),#REF!
          ),
          yesNoTable[label],
          0
        )
      ),
      ""
    )
  )</f>
        <v/>
      </c>
      <c r="DC29" s="177" t="b">
        <f>IF(
    factorsTable[[#This Row],[factorHeader]] = "",
    FALSE,
    IF(
      factorsTable[[#This Row],[displayConfig]] = "yes",
      TRUE,
      IF(
        factorsTable[[#This Row],[displayConfig]] = "no",
        FALSE,
        NA()
      )
    )
  )</f>
        <v>0</v>
      </c>
      <c r="DD29" s="177" t="str" cm="1">
        <f t="array" ref="DD29">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9" s="177" t="str">
        <f>IF(
    factorsTable[[#This Row],[filteredIndex]] = "",
    "",
    _xlfn.IFNA(
      INDEX(
        factorsTable[difference],
        MATCH(factorsTable[[#This Row],[filteredIndex]], factorsTable[index], 0)
      ),
      -99
    )
  )</f>
        <v/>
      </c>
      <c r="DF29" s="177" t="str">
        <f>IF(
    factorsTable[[#This Row],[filteredIndex]] = "",
    "",
    IF(
      factorsTable[[#This Row],[relDiff]] = -99,
      -99,
      ABS(factorsTable[[#This Row],[relDiff]])
    )
  )</f>
        <v/>
      </c>
      <c r="DG29" s="177" t="str">
        <f>IF(
    factorsTable[[#This Row],[filteredIndex]] = "",
    "",
    IFERROR(
      INDEX(
        RANASBlocksTable[index],
        MATCH(
          IFERROR(
            INDEX(
              factorsConfigTable[RANASBlock],
              MATCH(factorsTable[[#This Row],[filteredIndex]], factorsConfigTable[index], 0)
            ),#REF!
          ),
          RANASBlocksTable[label],
          0
        )
      ),
      6
    )
  )</f>
        <v/>
      </c>
      <c r="DH29" s="177" t="str">
        <f>IF(
    factorsTable[[#This Row],[filteredIndex]] = "",
    "",
    _xlfn.RANK.EQ(factorsTable[[#This Row],[relDiff]], factorsTable[relDiff], 0)
  )</f>
        <v/>
      </c>
      <c r="DI29" s="177" t="str">
        <f>IF(
    factorsTable[[#This Row],[filteredIndex]] = "",
    "",
    _xlfn.RANK.EQ(factorsTable[[#This Row],[absDiff]], factorsTable[absDiff], 0)
  )</f>
        <v/>
      </c>
      <c r="DJ29" s="177" t="str">
        <f>IF(
    factorsTable[[#This Row],[filteredIndex]] = "",
    "",
    _xlfn.RANK.EQ(factorsTable[[#This Row],[RANASIndex]], factorsTable[RANASIndex], 1)
  )</f>
        <v/>
      </c>
      <c r="DK29" s="177" t="str" cm="1">
        <f t="array" ref="DK29">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9" s="177" t="str">
        <f>IF(
    factorsTable[[#This Row],[filteredIndex]] = "",
    "",
    factorsTable[[#This Row],[selectedRank]]
      + COUNTIF(INDEX(factorsTable[selectedRank], 1):INDEX(factorsTable[selectedRank], factorsTable[[#This Row],[index]]), factorsTable[[#This Row],[selectedRank]])
      - 1
  )</f>
        <v/>
      </c>
      <c r="DM29" s="177" t="str">
        <f>IF(
    factorsTable[[#This Row],[filteredIndex]] = "",
    "",
    IFERROR(
      INDEX(
        factorsTable[filteredIndex],
        MATCH(factorsTable[[#This Row],[index]], factorsTable[uniqueRank], 0)
      ),#REF!
    )
  )</f>
        <v/>
      </c>
      <c r="DN29" s="177" t="str">
        <f>IF(
    factorsTable[[#This Row],[sortedIndex]] = "",
    "",
    INDEX(
      INDEX(
        factorsConfigTable[],
        0,
        MATCH(
          chartLanguage,
          languageHeadersList,
          0
        )
        + MATCH(factorsConfigTable[[#Headers],[lang1]], factorsConfigTable[#Headers], 0)
        - 1
      ),
      MATCH(factorsTable[[#This Row],[sortedIndex]], factorsConfigTable[index], 0)
    ) &amp; ""
  )</f>
        <v/>
      </c>
      <c r="DO29"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9" s="177" t="str">
        <f>IF(
    factorsTable[[#This Row],[sortedIndex]] = "",
    "",
    IFERROR(
      INDEX(
        RANASBlocksTable[tag],
        MATCH(
          IFERROR(
            INDEX(
              factorsConfigTable[RANASBlock],
              MATCH(factorsTable[[#This Row],[sortedIndex]], factorsConfigTable[index], 0)
            ),#REF!
          ),
          RANASBlocksTable[label],
          0
        )
      ),
      NA()
    )
  )</f>
        <v/>
      </c>
      <c r="DQ29"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9"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9" s="177" t="str">
        <f>IF(
    factorsTable[[#This Row],[sortedIndex]] = "",
    "",
    INDEX(factorsTable[numTotal], MATCH(factorsTable[[#This Row],[sortedIndex]], factorsTable[index], 0))
  )</f>
        <v/>
      </c>
      <c r="DT29" s="177" t="str">
        <f>IF(
    factorsTable[[#This Row],[sortedIndex]] = "",
    "",
    INDEX(factorsTable[nondoers], MATCH(factorsTable[[#This Row],[sortedIndex]], factorsTable[index], 0))
  )</f>
        <v/>
      </c>
      <c r="DU29" s="177" t="str">
        <f>IF(
    factorsTable[[#This Row],[sortedIndex]] = "",
    "",
    INDEX(factorsTable[doers], MATCH(factorsTable[[#This Row],[sortedIndex]], factorsTable[index], 0))
  )</f>
        <v/>
      </c>
      <c r="DV29" s="177" t="str">
        <f>IF(
    factorsTable[[#This Row],[sortedIndex]] = "",
    "",
    INDEX(factorsTable[difference], MATCH(factorsTable[[#This Row],[sortedIndex]], factorsTable[index], 0))
  )</f>
        <v/>
      </c>
    </row>
    <row r="30" spans="5:126" ht="14.4" customHeight="1" x14ac:dyDescent="0.3">
      <c r="E30" s="187" cm="1">
        <f t="array" ref="E30">ROW()-ROW(UITranslationTable[#Headers])</f>
        <v>28</v>
      </c>
      <c r="F30" s="9" t="s">
        <v>246</v>
      </c>
      <c r="G30" s="176" t="s">
        <v>48</v>
      </c>
      <c r="H30" s="176" t="s">
        <v>59</v>
      </c>
      <c r="W30" s="177" cm="1">
        <f t="array" ref="W30">ROW()-ROW(structuredFormulaeTable[#Headers])</f>
        <v>28</v>
      </c>
      <c r="X30" s="1" t="s">
        <v>420</v>
      </c>
      <c r="Y30" s="1" t="s">
        <v>355</v>
      </c>
      <c r="AA30" s="178" t="s">
        <v>639</v>
      </c>
      <c r="AB30" s="178"/>
      <c r="CD30" s="1" cm="1">
        <f t="array" ref="CD30">ROW()-ROW(recommendedCutoffTable[#Headers])</f>
        <v>28</v>
      </c>
      <c r="CE30" s="183">
        <f>(recommendedCutoffTable[[#This Row],[index]] - 1) / 100</f>
        <v>0.27</v>
      </c>
      <c r="CF30" s="1" cm="1">
        <f t="array" ref="CF30">ABS(
    numScores
  - 2 * SUMPRODUCT((behaviourScore &lt;&gt; "") * (behaviourScore &lt; recommendedCutoffTable[[#This Row],[cutoffLevel]]))
  )</f>
        <v>0</v>
      </c>
      <c r="CM30" s="177" cm="1">
        <f t="array" ref="CM30">ROW()-ROW(factorsTable[#Headers])</f>
        <v>28</v>
      </c>
      <c r="CN30" s="177" t="str">
        <f>IFERROR(
    INDEX(
      factorsConfigTable[factorHeader],
      MATCH(factorsTable[[#This Row],[index]], factorsConfigTable[index], 0)
    ),#REF!
  ) &amp; ""</f>
        <v/>
      </c>
      <c r="CO30" s="177" t="str">
        <f>IF(
    factorsTable[[#This Row],[factorHeader]] = "",
    "",
    _xlfn.IFNA(
      MATCH(factorsTable[[#This Row],[factorHeader]], dataHeaders, 0),
      _xlfn.IFNA(
        MATCH("*/" &amp; factorsTable[[#This Row],[factorHeader]], dataHeaders, 0),
        MATCH("*-" &amp; factorsTable[[#This Row],[factorHeader]], dataHeaders, 0)
      )
    )
  )</f>
        <v/>
      </c>
      <c r="CP30" s="177" t="str">
        <f>IF(
    factorsTable[[#This Row],[factorHeader]] = "",
    "",
    IF(
      IFERROR(
        INDEX(
          factorsConfigTable[minScore],
          MATCH(factorsTable[[#This Row],[index]], factorsConfigTable[index], 0)
        ),#REF!
      ) = "",
      NA(),
      IFERROR(
        INDEX(
          factorsConfigTable[minScore],
          MATCH(factorsTable[[#This Row],[index]], factorsConfigTable[index], 0)
        ),#REF!
      )
    )
  )</f>
        <v/>
      </c>
      <c r="CQ30" s="177" t="str">
        <f>IF(
    factorsTable[[#This Row],[factorHeader]] = "",
    "",
    IF(
      IFERROR(
        INDEX(
          factorsConfigTable[maxScore],
          MATCH(factorsTable[[#This Row],[index]], factorsConfigTable[index], 0)
        ),#REF!
      ) = "",
      NA(),
      IFERROR(
        INDEX(
          factorsConfigTable[maxScore],
          MATCH(factorsTable[[#This Row],[index]], factorsConfigTable[index], 0)
        ),#REF!
      )
    )
  )</f>
        <v/>
      </c>
      <c r="CR30" s="177" t="str">
        <f>IF(
    factorsTable[[#This Row],[factorHeader]] = "",
    "",
    IF(
      ISERROR(factorsTable[[#This Row],[factorColNum]]),
      NA(),
      IF(
        ISNA(INDEX(dataRange,1,1)),
        NA(),
        MIN(INDEX(dataRange, , factorsTable[[#This Row],[factorColNum]]))
      )
    )
  )</f>
        <v/>
      </c>
      <c r="CS30" s="177" t="str">
        <f>IF(
    factorsTable[[#This Row],[factorHeader]] = "",
    "",
    IF(
      ISERROR(factorsTable[[#This Row],[factorColNum]]),
      NA(),
      IF(
        ISNA(INDEX(dataRange,1,1)),
        NA(),
        MAX(INDEX(dataRange, , factorsTable[[#This Row],[factorColNum]]))
      )
    )
  )</f>
        <v/>
      </c>
      <c r="CT30" s="177" t="b" cm="1">
        <f t="array" aca="1" ref="CT30" ca="1">AND(
    NOT(errorNoDataSheet),
    factorsTable[[#This Row],[factorHeader]] &lt;&gt; "",
    NOT(ISERROR(factorsTable[[#This Row],[factorColNum]])),
    IFERROR(factorsTable[[#This Row],[display]], FALSE),
    IFERROR(factorsTable[[#This Row],[minValue]] &lt; factorsTable[[#This Row],[minScore]], FALSE)
  )</f>
        <v>0</v>
      </c>
      <c r="CU30" s="177" t="b" cm="1">
        <f t="array" aca="1" ref="CU30" ca="1">AND(
    NOT(errorNoDataSheet),
    factorsTable[[#This Row],[factorHeader]] &lt;&gt; "",
    NOT(ISERROR(factorsTable[[#This Row],[factorColNum]])),
    IFERROR(factorsTable[[#This Row],[display]], FALSE),
    IFERROR(factorsTable[[#This Row],[maxValue]] &gt; factorsTable[[#This Row],[maxScore]], FALSE)
  )</f>
        <v>0</v>
      </c>
      <c r="CV30" s="177" t="str" cm="1">
        <f t="array" ref="CV30">IF(
    factorsTable[[#This Row],[factorHeader]] = "",
    "",
    IF(
      ISNA(INDEX(dataRange,1,1)),
      NA(),
      SUMPRODUCT(
          IF(isDoer = "", 0, NOT(isDoer))
        * (INDEX(dataRange, , factorsTable[[#This Row],[factorColNum]]) &lt;&gt; "")
      )
    )
  )</f>
        <v/>
      </c>
      <c r="CW30" s="177" t="str" cm="1">
        <f t="array" ref="CW30">IF(
    factorsTable[[#This Row],[factorHeader]] = "",
    "",
    IF(
      ISNA(INDEX(dataRange,1,1)),
      NA(),
      SUMPRODUCT(
          IF(isDoer = "", 0, isDoer)
        * (INDEX(dataRange, , factorsTable[[#This Row],[factorColNum]]) &lt;&gt; "")
      )
    )
  )</f>
        <v/>
      </c>
      <c r="CX30"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0" s="177" t="str" cm="1">
        <f t="array" ref="CY3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0" s="177" t="str" cm="1">
        <f t="array" ref="CZ3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0" s="177" t="str">
        <f>IF(
    factorsTable[[#This Row],[factorHeader]] = "",
    "",
    factorsTable[[#This Row],[doers]] - factorsTable[[#This Row],[nondoers]]
  )</f>
        <v/>
      </c>
      <c r="DB30" s="177" t="str">
        <f>IF(
    factorsTable[[#This Row],[factorHeader]] = "",
    "",
    IFERROR(
      INDEX(
        yesNoTable[tag],
        MATCH(
          IFERROR(
            INDEX(
              factorsConfigTable[displayConfig],
              MATCH(factorsTable[[#This Row],[index]], factorsConfigTable[index], 0)
            ),#REF!
          ),
          yesNoTable[label],
          0
        )
      ),
      ""
    )
  )</f>
        <v/>
      </c>
      <c r="DC30" s="177" t="b">
        <f>IF(
    factorsTable[[#This Row],[factorHeader]] = "",
    FALSE,
    IF(
      factorsTable[[#This Row],[displayConfig]] = "yes",
      TRUE,
      IF(
        factorsTable[[#This Row],[displayConfig]] = "no",
        FALSE,
        NA()
      )
    )
  )</f>
        <v>0</v>
      </c>
      <c r="DD30" s="177" t="str" cm="1">
        <f t="array" ref="DD30">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0" s="177" t="str">
        <f>IF(
    factorsTable[[#This Row],[filteredIndex]] = "",
    "",
    _xlfn.IFNA(
      INDEX(
        factorsTable[difference],
        MATCH(factorsTable[[#This Row],[filteredIndex]], factorsTable[index], 0)
      ),
      -99
    )
  )</f>
        <v/>
      </c>
      <c r="DF30" s="177" t="str">
        <f>IF(
    factorsTable[[#This Row],[filteredIndex]] = "",
    "",
    IF(
      factorsTable[[#This Row],[relDiff]] = -99,
      -99,
      ABS(factorsTable[[#This Row],[relDiff]])
    )
  )</f>
        <v/>
      </c>
      <c r="DG30" s="177" t="str">
        <f>IF(
    factorsTable[[#This Row],[filteredIndex]] = "",
    "",
    IFERROR(
      INDEX(
        RANASBlocksTable[index],
        MATCH(
          IFERROR(
            INDEX(
              factorsConfigTable[RANASBlock],
              MATCH(factorsTable[[#This Row],[filteredIndex]], factorsConfigTable[index], 0)
            ),#REF!
          ),
          RANASBlocksTable[label],
          0
        )
      ),
      6
    )
  )</f>
        <v/>
      </c>
      <c r="DH30" s="177" t="str">
        <f>IF(
    factorsTable[[#This Row],[filteredIndex]] = "",
    "",
    _xlfn.RANK.EQ(factorsTable[[#This Row],[relDiff]], factorsTable[relDiff], 0)
  )</f>
        <v/>
      </c>
      <c r="DI30" s="177" t="str">
        <f>IF(
    factorsTable[[#This Row],[filteredIndex]] = "",
    "",
    _xlfn.RANK.EQ(factorsTable[[#This Row],[absDiff]], factorsTable[absDiff], 0)
  )</f>
        <v/>
      </c>
      <c r="DJ30" s="177" t="str">
        <f>IF(
    factorsTable[[#This Row],[filteredIndex]] = "",
    "",
    _xlfn.RANK.EQ(factorsTable[[#This Row],[RANASIndex]], factorsTable[RANASIndex], 1)
  )</f>
        <v/>
      </c>
      <c r="DK30" s="177" t="str" cm="1">
        <f t="array" ref="DK30">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0" s="177" t="str">
        <f>IF(
    factorsTable[[#This Row],[filteredIndex]] = "",
    "",
    factorsTable[[#This Row],[selectedRank]]
      + COUNTIF(INDEX(factorsTable[selectedRank], 1):INDEX(factorsTable[selectedRank], factorsTable[[#This Row],[index]]), factorsTable[[#This Row],[selectedRank]])
      - 1
  )</f>
        <v/>
      </c>
      <c r="DM30" s="177" t="str">
        <f>IF(
    factorsTable[[#This Row],[filteredIndex]] = "",
    "",
    IFERROR(
      INDEX(
        factorsTable[filteredIndex],
        MATCH(factorsTable[[#This Row],[index]], factorsTable[uniqueRank], 0)
      ),#REF!
    )
  )</f>
        <v/>
      </c>
      <c r="DN30" s="177" t="str">
        <f>IF(
    factorsTable[[#This Row],[sortedIndex]] = "",
    "",
    INDEX(
      INDEX(
        factorsConfigTable[],
        0,
        MATCH(
          chartLanguage,
          languageHeadersList,
          0
        )
        + MATCH(factorsConfigTable[[#Headers],[lang1]], factorsConfigTable[#Headers], 0)
        - 1
      ),
      MATCH(factorsTable[[#This Row],[sortedIndex]], factorsConfigTable[index], 0)
    ) &amp; ""
  )</f>
        <v/>
      </c>
      <c r="DO30"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0" s="177" t="str">
        <f>IF(
    factorsTable[[#This Row],[sortedIndex]] = "",
    "",
    IFERROR(
      INDEX(
        RANASBlocksTable[tag],
        MATCH(
          IFERROR(
            INDEX(
              factorsConfigTable[RANASBlock],
              MATCH(factorsTable[[#This Row],[sortedIndex]], factorsConfigTable[index], 0)
            ),#REF!
          ),
          RANASBlocksTable[label],
          0
        )
      ),
      NA()
    )
  )</f>
        <v/>
      </c>
      <c r="DQ30"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0"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0" s="177" t="str">
        <f>IF(
    factorsTable[[#This Row],[sortedIndex]] = "",
    "",
    INDEX(factorsTable[numTotal], MATCH(factorsTable[[#This Row],[sortedIndex]], factorsTable[index], 0))
  )</f>
        <v/>
      </c>
      <c r="DT30" s="177" t="str">
        <f>IF(
    factorsTable[[#This Row],[sortedIndex]] = "",
    "",
    INDEX(factorsTable[nondoers], MATCH(factorsTable[[#This Row],[sortedIndex]], factorsTable[index], 0))
  )</f>
        <v/>
      </c>
      <c r="DU30" s="177" t="str">
        <f>IF(
    factorsTable[[#This Row],[sortedIndex]] = "",
    "",
    INDEX(factorsTable[doers], MATCH(factorsTable[[#This Row],[sortedIndex]], factorsTable[index], 0))
  )</f>
        <v/>
      </c>
      <c r="DV30" s="177" t="str">
        <f>IF(
    factorsTable[[#This Row],[sortedIndex]] = "",
    "",
    INDEX(factorsTable[difference], MATCH(factorsTable[[#This Row],[sortedIndex]], factorsTable[index], 0))
  )</f>
        <v/>
      </c>
    </row>
    <row r="31" spans="5:126" ht="14.4" customHeight="1" x14ac:dyDescent="0.3">
      <c r="E31" s="187" cm="1">
        <f t="array" ref="E31">ROW()-ROW(UITranslationTable[#Headers])</f>
        <v>29</v>
      </c>
      <c r="F31" s="9" t="s">
        <v>212</v>
      </c>
      <c r="G31" s="176" t="str" cm="1">
        <f t="array" ref="G31">"a. You MUST enter the data headers for the (groups of) questions that you want to include in the behaviour score, EXACTLY as they appear in your """ &amp; sheetNameData &amp; """ sheet."</f>
        <v>a. You MUST enter the data headers for the (groups of) questions that you want to include in the behaviour score, EXACTLY as they appear in your "data" sheet.</v>
      </c>
      <c r="H31" s="176" t="str" cm="1">
        <f t="array" ref="H31">"a. Vous DEVEZ saisir les en-têtes de données pour les (groupes de) questions que vous souhaitez inclure dans le score de comportement, EXACTEMENT comme ils apparaissent dans votre feuille «" &amp; sheetNameData &amp; "»."</f>
        <v>a. Vous DEVEZ saisir les en-têtes de données pour les (groupes de) questions que vous souhaitez inclure dans le score de comportement, EXACTEMENT comme ils apparaissent dans votre feuille «data».</v>
      </c>
      <c r="W31" s="177" cm="1">
        <f t="array" ref="W31">ROW()-ROW(structuredFormulaeTable[#Headers])</f>
        <v>29</v>
      </c>
      <c r="X31" s="1" t="s">
        <v>420</v>
      </c>
      <c r="Y31" s="1" t="s">
        <v>356</v>
      </c>
      <c r="AA31" s="178" t="s">
        <v>640</v>
      </c>
      <c r="AB31" s="178"/>
      <c r="CD31" s="1" cm="1">
        <f t="array" ref="CD31">ROW()-ROW(recommendedCutoffTable[#Headers])</f>
        <v>29</v>
      </c>
      <c r="CE31" s="183">
        <f>(recommendedCutoffTable[[#This Row],[index]] - 1) / 100</f>
        <v>0.28000000000000003</v>
      </c>
      <c r="CF31" s="1" cm="1">
        <f t="array" ref="CF31">ABS(
    numScores
  - 2 * SUMPRODUCT((behaviourScore &lt;&gt; "") * (behaviourScore &lt; recommendedCutoffTable[[#This Row],[cutoffLevel]]))
  )</f>
        <v>0</v>
      </c>
      <c r="CM31" s="177" cm="1">
        <f t="array" ref="CM31">ROW()-ROW(factorsTable[#Headers])</f>
        <v>29</v>
      </c>
      <c r="CN31" s="177" t="str">
        <f>IFERROR(
    INDEX(
      factorsConfigTable[factorHeader],
      MATCH(factorsTable[[#This Row],[index]], factorsConfigTable[index], 0)
    ),#REF!
  ) &amp; ""</f>
        <v/>
      </c>
      <c r="CO31" s="177" t="str">
        <f>IF(
    factorsTable[[#This Row],[factorHeader]] = "",
    "",
    _xlfn.IFNA(
      MATCH(factorsTable[[#This Row],[factorHeader]], dataHeaders, 0),
      _xlfn.IFNA(
        MATCH("*/" &amp; factorsTable[[#This Row],[factorHeader]], dataHeaders, 0),
        MATCH("*-" &amp; factorsTable[[#This Row],[factorHeader]], dataHeaders, 0)
      )
    )
  )</f>
        <v/>
      </c>
      <c r="CP31" s="177" t="str">
        <f>IF(
    factorsTable[[#This Row],[factorHeader]] = "",
    "",
    IF(
      IFERROR(
        INDEX(
          factorsConfigTable[minScore],
          MATCH(factorsTable[[#This Row],[index]], factorsConfigTable[index], 0)
        ),#REF!
      ) = "",
      NA(),
      IFERROR(
        INDEX(
          factorsConfigTable[minScore],
          MATCH(factorsTable[[#This Row],[index]], factorsConfigTable[index], 0)
        ),#REF!
      )
    )
  )</f>
        <v/>
      </c>
      <c r="CQ31" s="177" t="str">
        <f>IF(
    factorsTable[[#This Row],[factorHeader]] = "",
    "",
    IF(
      IFERROR(
        INDEX(
          factorsConfigTable[maxScore],
          MATCH(factorsTable[[#This Row],[index]], factorsConfigTable[index], 0)
        ),#REF!
      ) = "",
      NA(),
      IFERROR(
        INDEX(
          factorsConfigTable[maxScore],
          MATCH(factorsTable[[#This Row],[index]], factorsConfigTable[index], 0)
        ),#REF!
      )
    )
  )</f>
        <v/>
      </c>
      <c r="CR31" s="177" t="str">
        <f>IF(
    factorsTable[[#This Row],[factorHeader]] = "",
    "",
    IF(
      ISERROR(factorsTable[[#This Row],[factorColNum]]),
      NA(),
      IF(
        ISNA(INDEX(dataRange,1,1)),
        NA(),
        MIN(INDEX(dataRange, , factorsTable[[#This Row],[factorColNum]]))
      )
    )
  )</f>
        <v/>
      </c>
      <c r="CS31" s="177" t="str">
        <f>IF(
    factorsTable[[#This Row],[factorHeader]] = "",
    "",
    IF(
      ISERROR(factorsTable[[#This Row],[factorColNum]]),
      NA(),
      IF(
        ISNA(INDEX(dataRange,1,1)),
        NA(),
        MAX(INDEX(dataRange, , factorsTable[[#This Row],[factorColNum]]))
      )
    )
  )</f>
        <v/>
      </c>
      <c r="CT31" s="177" t="b" cm="1">
        <f t="array" aca="1" ref="CT31" ca="1">AND(
    NOT(errorNoDataSheet),
    factorsTable[[#This Row],[factorHeader]] &lt;&gt; "",
    NOT(ISERROR(factorsTable[[#This Row],[factorColNum]])),
    IFERROR(factorsTable[[#This Row],[display]], FALSE),
    IFERROR(factorsTable[[#This Row],[minValue]] &lt; factorsTable[[#This Row],[minScore]], FALSE)
  )</f>
        <v>0</v>
      </c>
      <c r="CU31" s="177" t="b" cm="1">
        <f t="array" aca="1" ref="CU31" ca="1">AND(
    NOT(errorNoDataSheet),
    factorsTable[[#This Row],[factorHeader]] &lt;&gt; "",
    NOT(ISERROR(factorsTable[[#This Row],[factorColNum]])),
    IFERROR(factorsTable[[#This Row],[display]], FALSE),
    IFERROR(factorsTable[[#This Row],[maxValue]] &gt; factorsTable[[#This Row],[maxScore]], FALSE)
  )</f>
        <v>0</v>
      </c>
      <c r="CV31" s="177" t="str" cm="1">
        <f t="array" ref="CV31">IF(
    factorsTable[[#This Row],[factorHeader]] = "",
    "",
    IF(
      ISNA(INDEX(dataRange,1,1)),
      NA(),
      SUMPRODUCT(
          IF(isDoer = "", 0, NOT(isDoer))
        * (INDEX(dataRange, , factorsTable[[#This Row],[factorColNum]]) &lt;&gt; "")
      )
    )
  )</f>
        <v/>
      </c>
      <c r="CW31" s="177" t="str" cm="1">
        <f t="array" ref="CW31">IF(
    factorsTable[[#This Row],[factorHeader]] = "",
    "",
    IF(
      ISNA(INDEX(dataRange,1,1)),
      NA(),
      SUMPRODUCT(
          IF(isDoer = "", 0, isDoer)
        * (INDEX(dataRange, , factorsTable[[#This Row],[factorColNum]]) &lt;&gt; "")
      )
    )
  )</f>
        <v/>
      </c>
      <c r="CX31"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1" s="177" t="str" cm="1">
        <f t="array" ref="CY3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1" s="177" t="str" cm="1">
        <f t="array" ref="CZ3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1" s="177" t="str">
        <f>IF(
    factorsTable[[#This Row],[factorHeader]] = "",
    "",
    factorsTable[[#This Row],[doers]] - factorsTable[[#This Row],[nondoers]]
  )</f>
        <v/>
      </c>
      <c r="DB31" s="177" t="str">
        <f>IF(
    factorsTable[[#This Row],[factorHeader]] = "",
    "",
    IFERROR(
      INDEX(
        yesNoTable[tag],
        MATCH(
          IFERROR(
            INDEX(
              factorsConfigTable[displayConfig],
              MATCH(factorsTable[[#This Row],[index]], factorsConfigTable[index], 0)
            ),#REF!
          ),
          yesNoTable[label],
          0
        )
      ),
      ""
    )
  )</f>
        <v/>
      </c>
      <c r="DC31" s="177" t="b">
        <f>IF(
    factorsTable[[#This Row],[factorHeader]] = "",
    FALSE,
    IF(
      factorsTable[[#This Row],[displayConfig]] = "yes",
      TRUE,
      IF(
        factorsTable[[#This Row],[displayConfig]] = "no",
        FALSE,
        NA()
      )
    )
  )</f>
        <v>0</v>
      </c>
      <c r="DD31" s="177" t="str" cm="1">
        <f t="array" ref="DD3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1" s="177" t="str">
        <f>IF(
    factorsTable[[#This Row],[filteredIndex]] = "",
    "",
    _xlfn.IFNA(
      INDEX(
        factorsTable[difference],
        MATCH(factorsTable[[#This Row],[filteredIndex]], factorsTable[index], 0)
      ),
      -99
    )
  )</f>
        <v/>
      </c>
      <c r="DF31" s="177" t="str">
        <f>IF(
    factorsTable[[#This Row],[filteredIndex]] = "",
    "",
    IF(
      factorsTable[[#This Row],[relDiff]] = -99,
      -99,
      ABS(factorsTable[[#This Row],[relDiff]])
    )
  )</f>
        <v/>
      </c>
      <c r="DG31" s="177" t="str">
        <f>IF(
    factorsTable[[#This Row],[filteredIndex]] = "",
    "",
    IFERROR(
      INDEX(
        RANASBlocksTable[index],
        MATCH(
          IFERROR(
            INDEX(
              factorsConfigTable[RANASBlock],
              MATCH(factorsTable[[#This Row],[filteredIndex]], factorsConfigTable[index], 0)
            ),#REF!
          ),
          RANASBlocksTable[label],
          0
        )
      ),
      6
    )
  )</f>
        <v/>
      </c>
      <c r="DH31" s="177" t="str">
        <f>IF(
    factorsTable[[#This Row],[filteredIndex]] = "",
    "",
    _xlfn.RANK.EQ(factorsTable[[#This Row],[relDiff]], factorsTable[relDiff], 0)
  )</f>
        <v/>
      </c>
      <c r="DI31" s="177" t="str">
        <f>IF(
    factorsTable[[#This Row],[filteredIndex]] = "",
    "",
    _xlfn.RANK.EQ(factorsTable[[#This Row],[absDiff]], factorsTable[absDiff], 0)
  )</f>
        <v/>
      </c>
      <c r="DJ31" s="177" t="str">
        <f>IF(
    factorsTable[[#This Row],[filteredIndex]] = "",
    "",
    _xlfn.RANK.EQ(factorsTable[[#This Row],[RANASIndex]], factorsTable[RANASIndex], 1)
  )</f>
        <v/>
      </c>
      <c r="DK31" s="177" t="str" cm="1">
        <f t="array" ref="DK31">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1" s="177" t="str">
        <f>IF(
    factorsTable[[#This Row],[filteredIndex]] = "",
    "",
    factorsTable[[#This Row],[selectedRank]]
      + COUNTIF(INDEX(factorsTable[selectedRank], 1):INDEX(factorsTable[selectedRank], factorsTable[[#This Row],[index]]), factorsTable[[#This Row],[selectedRank]])
      - 1
  )</f>
        <v/>
      </c>
      <c r="DM31" s="177" t="str">
        <f>IF(
    factorsTable[[#This Row],[filteredIndex]] = "",
    "",
    IFERROR(
      INDEX(
        factorsTable[filteredIndex],
        MATCH(factorsTable[[#This Row],[index]], factorsTable[uniqueRank], 0)
      ),#REF!
    )
  )</f>
        <v/>
      </c>
      <c r="DN31" s="177" t="str">
        <f>IF(
    factorsTable[[#This Row],[sortedIndex]] = "",
    "",
    INDEX(
      INDEX(
        factorsConfigTable[],
        0,
        MATCH(
          chartLanguage,
          languageHeadersList,
          0
        )
        + MATCH(factorsConfigTable[[#Headers],[lang1]], factorsConfigTable[#Headers], 0)
        - 1
      ),
      MATCH(factorsTable[[#This Row],[sortedIndex]], factorsConfigTable[index], 0)
    ) &amp; ""
  )</f>
        <v/>
      </c>
      <c r="DO31"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1" s="177" t="str">
        <f>IF(
    factorsTable[[#This Row],[sortedIndex]] = "",
    "",
    IFERROR(
      INDEX(
        RANASBlocksTable[tag],
        MATCH(
          IFERROR(
            INDEX(
              factorsConfigTable[RANASBlock],
              MATCH(factorsTable[[#This Row],[sortedIndex]], factorsConfigTable[index], 0)
            ),#REF!
          ),
          RANASBlocksTable[label],
          0
        )
      ),
      NA()
    )
  )</f>
        <v/>
      </c>
      <c r="DQ31"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1"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1" s="177" t="str">
        <f>IF(
    factorsTable[[#This Row],[sortedIndex]] = "",
    "",
    INDEX(factorsTable[numTotal], MATCH(factorsTable[[#This Row],[sortedIndex]], factorsTable[index], 0))
  )</f>
        <v/>
      </c>
      <c r="DT31" s="177" t="str">
        <f>IF(
    factorsTable[[#This Row],[sortedIndex]] = "",
    "",
    INDEX(factorsTable[nondoers], MATCH(factorsTable[[#This Row],[sortedIndex]], factorsTable[index], 0))
  )</f>
        <v/>
      </c>
      <c r="DU31" s="177" t="str">
        <f>IF(
    factorsTable[[#This Row],[sortedIndex]] = "",
    "",
    INDEX(factorsTable[doers], MATCH(factorsTable[[#This Row],[sortedIndex]], factorsTable[index], 0))
  )</f>
        <v/>
      </c>
      <c r="DV31" s="177" t="str">
        <f>IF(
    factorsTable[[#This Row],[sortedIndex]] = "",
    "",
    INDEX(factorsTable[difference], MATCH(factorsTable[[#This Row],[sortedIndex]], factorsTable[index], 0))
  )</f>
        <v/>
      </c>
    </row>
    <row r="32" spans="5:126" ht="14.4" customHeight="1" x14ac:dyDescent="0.3">
      <c r="E32" s="187" cm="1">
        <f t="array" ref="E32">ROW()-ROW(UITranslationTable[#Headers])</f>
        <v>30</v>
      </c>
      <c r="F32" s="9" t="s">
        <v>213</v>
      </c>
      <c r="G32" s="176" t="str">
        <f>"b. You MUST enter, for each one, the minimum and maximum possible scores. Be careful! A single question on a 1" &amp; CHAR(173) &amp; "5 scale would have: Min." &amp; CHAR(160) &amp; "=" &amp; CHAR(160) &amp; "1 and Max." &amp; CHAR(160) &amp; "=" &amp; CHAR(160) &amp; "5. A group summing 4 questions on a 1" &amp; CHAR(173) &amp; "5 scale would have: Min." &amp; CHAR(160) &amp; "=" &amp; CHAR(160) &amp; "4 and Max." &amp; CHAR(160) &amp; "=" &amp; CHAR(160) &amp; "20. A group of questions already pre-normalised in the questionnaire on a 0" &amp; CHAR(173) &amp; "1 scale would have: Min." &amp; CHAR(160) &amp; "=" &amp; CHAR(160) &amp; "0 and Max." &amp; CHAR(160) &amp; "=" &amp; CHAR(160) &amp; "1."</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H32" s="176" t="str">
        <f>"b. Vous DEVEZ saisir, pour chacun d'eux, les scores minimum et maximum possibles. Soyez rigoureux! Une question sur une échelle de 1 à 5 aurait: min." &amp; CHAR(160) &amp; "=" &amp; CHAR(160) &amp; "1 et max." &amp; CHAR(160) &amp; "=" &amp; CHAR(160) &amp; "5. Un groupe additionnant 4 questions sur une échelle de 1 à 5 aurait: min." &amp; CHAR(160) &amp; "=" &amp; CHAR(160) &amp; "4 et max." &amp; CHAR(160) &amp; "=" &amp; CHAR(160) &amp; "20. Un groupe de questions déjà prénormalisé dans le questionnaire sur une échelle de 0 à 1 aurait: min." &amp; CHAR(160) &amp; "=" &amp; CHAR(160) &amp; "0 et max." &amp; CHAR(160) &amp; "=" &amp; CHAR(160) &amp; "1."</f>
        <v>b. Vous DEVEZ saisir, pour chacun d'eux, les scores minimum et maximum possibles. Soyez rigoureux! Une question sur une échelle de 1 à 5 aurait: min. = 1 et max. = 5. Un groupe additionnant 4 questions sur une échelle de 1 à 5 aurait: min. = 4 et max. = 20. Un groupe de questions déjà prénormalisé dans le questionnaire sur une échelle de 0 à 1 aurait: min. = 0 et max. = 1.</v>
      </c>
      <c r="W32" s="177" cm="1">
        <f t="array" ref="W32">ROW()-ROW(structuredFormulaeTable[#Headers])</f>
        <v>30</v>
      </c>
      <c r="X32" s="1" t="s">
        <v>420</v>
      </c>
      <c r="Y32" s="1" t="s">
        <v>357</v>
      </c>
      <c r="AA32" s="178" t="s">
        <v>641</v>
      </c>
      <c r="AB32" s="178"/>
      <c r="CD32" s="1" cm="1">
        <f t="array" ref="CD32">ROW()-ROW(recommendedCutoffTable[#Headers])</f>
        <v>30</v>
      </c>
      <c r="CE32" s="183">
        <f>(recommendedCutoffTable[[#This Row],[index]] - 1) / 100</f>
        <v>0.28999999999999998</v>
      </c>
      <c r="CF32" s="1" cm="1">
        <f t="array" ref="CF32">ABS(
    numScores
  - 2 * SUMPRODUCT((behaviourScore &lt;&gt; "") * (behaviourScore &lt; recommendedCutoffTable[[#This Row],[cutoffLevel]]))
  )</f>
        <v>0</v>
      </c>
      <c r="CM32" s="177" cm="1">
        <f t="array" ref="CM32">ROW()-ROW(factorsTable[#Headers])</f>
        <v>30</v>
      </c>
      <c r="CN32" s="177" t="str">
        <f>IFERROR(
    INDEX(
      factorsConfigTable[factorHeader],
      MATCH(factorsTable[[#This Row],[index]], factorsConfigTable[index], 0)
    ),#REF!
  ) &amp; ""</f>
        <v/>
      </c>
      <c r="CO32" s="177" t="str">
        <f>IF(
    factorsTable[[#This Row],[factorHeader]] = "",
    "",
    _xlfn.IFNA(
      MATCH(factorsTable[[#This Row],[factorHeader]], dataHeaders, 0),
      _xlfn.IFNA(
        MATCH("*/" &amp; factorsTable[[#This Row],[factorHeader]], dataHeaders, 0),
        MATCH("*-" &amp; factorsTable[[#This Row],[factorHeader]], dataHeaders, 0)
      )
    )
  )</f>
        <v/>
      </c>
      <c r="CP32" s="177" t="str">
        <f>IF(
    factorsTable[[#This Row],[factorHeader]] = "",
    "",
    IF(
      IFERROR(
        INDEX(
          factorsConfigTable[minScore],
          MATCH(factorsTable[[#This Row],[index]], factorsConfigTable[index], 0)
        ),#REF!
      ) = "",
      NA(),
      IFERROR(
        INDEX(
          factorsConfigTable[minScore],
          MATCH(factorsTable[[#This Row],[index]], factorsConfigTable[index], 0)
        ),#REF!
      )
    )
  )</f>
        <v/>
      </c>
      <c r="CQ32" s="177" t="str">
        <f>IF(
    factorsTable[[#This Row],[factorHeader]] = "",
    "",
    IF(
      IFERROR(
        INDEX(
          factorsConfigTable[maxScore],
          MATCH(factorsTable[[#This Row],[index]], factorsConfigTable[index], 0)
        ),#REF!
      ) = "",
      NA(),
      IFERROR(
        INDEX(
          factorsConfigTable[maxScore],
          MATCH(factorsTable[[#This Row],[index]], factorsConfigTable[index], 0)
        ),#REF!
      )
    )
  )</f>
        <v/>
      </c>
      <c r="CR32" s="177" t="str">
        <f>IF(
    factorsTable[[#This Row],[factorHeader]] = "",
    "",
    IF(
      ISERROR(factorsTable[[#This Row],[factorColNum]]),
      NA(),
      IF(
        ISNA(INDEX(dataRange,1,1)),
        NA(),
        MIN(INDEX(dataRange, , factorsTable[[#This Row],[factorColNum]]))
      )
    )
  )</f>
        <v/>
      </c>
      <c r="CS32" s="177" t="str">
        <f>IF(
    factorsTable[[#This Row],[factorHeader]] = "",
    "",
    IF(
      ISERROR(factorsTable[[#This Row],[factorColNum]]),
      NA(),
      IF(
        ISNA(INDEX(dataRange,1,1)),
        NA(),
        MAX(INDEX(dataRange, , factorsTable[[#This Row],[factorColNum]]))
      )
    )
  )</f>
        <v/>
      </c>
      <c r="CT32" s="177" t="b" cm="1">
        <f t="array" aca="1" ref="CT32" ca="1">AND(
    NOT(errorNoDataSheet),
    factorsTable[[#This Row],[factorHeader]] &lt;&gt; "",
    NOT(ISERROR(factorsTable[[#This Row],[factorColNum]])),
    IFERROR(factorsTable[[#This Row],[display]], FALSE),
    IFERROR(factorsTable[[#This Row],[minValue]] &lt; factorsTable[[#This Row],[minScore]], FALSE)
  )</f>
        <v>0</v>
      </c>
      <c r="CU32" s="177" t="b" cm="1">
        <f t="array" aca="1" ref="CU32" ca="1">AND(
    NOT(errorNoDataSheet),
    factorsTable[[#This Row],[factorHeader]] &lt;&gt; "",
    NOT(ISERROR(factorsTable[[#This Row],[factorColNum]])),
    IFERROR(factorsTable[[#This Row],[display]], FALSE),
    IFERROR(factorsTable[[#This Row],[maxValue]] &gt; factorsTable[[#This Row],[maxScore]], FALSE)
  )</f>
        <v>0</v>
      </c>
      <c r="CV32" s="177" t="str" cm="1">
        <f t="array" ref="CV32">IF(
    factorsTable[[#This Row],[factorHeader]] = "",
    "",
    IF(
      ISNA(INDEX(dataRange,1,1)),
      NA(),
      SUMPRODUCT(
          IF(isDoer = "", 0, NOT(isDoer))
        * (INDEX(dataRange, , factorsTable[[#This Row],[factorColNum]]) &lt;&gt; "")
      )
    )
  )</f>
        <v/>
      </c>
      <c r="CW32" s="177" t="str" cm="1">
        <f t="array" ref="CW32">IF(
    factorsTable[[#This Row],[factorHeader]] = "",
    "",
    IF(
      ISNA(INDEX(dataRange,1,1)),
      NA(),
      SUMPRODUCT(
          IF(isDoer = "", 0, isDoer)
        * (INDEX(dataRange, , factorsTable[[#This Row],[factorColNum]]) &lt;&gt; "")
      )
    )
  )</f>
        <v/>
      </c>
      <c r="CX32" s="177"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2" s="177" t="str" cm="1">
        <f t="array" ref="CY3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2" s="177" t="str" cm="1">
        <f t="array" ref="CZ3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2" s="177" t="str">
        <f>IF(
    factorsTable[[#This Row],[factorHeader]] = "",
    "",
    factorsTable[[#This Row],[doers]] - factorsTable[[#This Row],[nondoers]]
  )</f>
        <v/>
      </c>
      <c r="DB32" s="177" t="str">
        <f>IF(
    factorsTable[[#This Row],[factorHeader]] = "",
    "",
    IFERROR(
      INDEX(
        yesNoTable[tag],
        MATCH(
          IFERROR(
            INDEX(
              factorsConfigTable[displayConfig],
              MATCH(factorsTable[[#This Row],[index]], factorsConfigTable[index], 0)
            ),#REF!
          ),
          yesNoTable[label],
          0
        )
      ),
      ""
    )
  )</f>
        <v/>
      </c>
      <c r="DC32" s="177" t="b">
        <f>IF(
    factorsTable[[#This Row],[factorHeader]] = "",
    FALSE,
    IF(
      factorsTable[[#This Row],[displayConfig]] = "yes",
      TRUE,
      IF(
        factorsTable[[#This Row],[displayConfig]] = "no",
        FALSE,
        NA()
      )
    )
  )</f>
        <v>0</v>
      </c>
      <c r="DD32" s="177" t="str" cm="1">
        <f t="array" ref="DD32">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2" s="177" t="str">
        <f>IF(
    factorsTable[[#This Row],[filteredIndex]] = "",
    "",
    _xlfn.IFNA(
      INDEX(
        factorsTable[difference],
        MATCH(factorsTable[[#This Row],[filteredIndex]], factorsTable[index], 0)
      ),
      -99
    )
  )</f>
        <v/>
      </c>
      <c r="DF32" s="177" t="str">
        <f>IF(
    factorsTable[[#This Row],[filteredIndex]] = "",
    "",
    IF(
      factorsTable[[#This Row],[relDiff]] = -99,
      -99,
      ABS(factorsTable[[#This Row],[relDiff]])
    )
  )</f>
        <v/>
      </c>
      <c r="DG32" s="177" t="str">
        <f>IF(
    factorsTable[[#This Row],[filteredIndex]] = "",
    "",
    IFERROR(
      INDEX(
        RANASBlocksTable[index],
        MATCH(
          IFERROR(
            INDEX(
              factorsConfigTable[RANASBlock],
              MATCH(factorsTable[[#This Row],[filteredIndex]], factorsConfigTable[index], 0)
            ),#REF!
          ),
          RANASBlocksTable[label],
          0
        )
      ),
      6
    )
  )</f>
        <v/>
      </c>
      <c r="DH32" s="177" t="str">
        <f>IF(
    factorsTable[[#This Row],[filteredIndex]] = "",
    "",
    _xlfn.RANK.EQ(factorsTable[[#This Row],[relDiff]], factorsTable[relDiff], 0)
  )</f>
        <v/>
      </c>
      <c r="DI32" s="177" t="str">
        <f>IF(
    factorsTable[[#This Row],[filteredIndex]] = "",
    "",
    _xlfn.RANK.EQ(factorsTable[[#This Row],[absDiff]], factorsTable[absDiff], 0)
  )</f>
        <v/>
      </c>
      <c r="DJ32" s="177" t="str">
        <f>IF(
    factorsTable[[#This Row],[filteredIndex]] = "",
    "",
    _xlfn.RANK.EQ(factorsTable[[#This Row],[RANASIndex]], factorsTable[RANASIndex], 1)
  )</f>
        <v/>
      </c>
      <c r="DK32" s="177" t="str" cm="1">
        <f t="array" ref="DK32">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2" s="177" t="str">
        <f>IF(
    factorsTable[[#This Row],[filteredIndex]] = "",
    "",
    factorsTable[[#This Row],[selectedRank]]
      + COUNTIF(INDEX(factorsTable[selectedRank], 1):INDEX(factorsTable[selectedRank], factorsTable[[#This Row],[index]]), factorsTable[[#This Row],[selectedRank]])
      - 1
  )</f>
        <v/>
      </c>
      <c r="DM32" s="177" t="str">
        <f>IF(
    factorsTable[[#This Row],[filteredIndex]] = "",
    "",
    IFERROR(
      INDEX(
        factorsTable[filteredIndex],
        MATCH(factorsTable[[#This Row],[index]], factorsTable[uniqueRank], 0)
      ),#REF!
    )
  )</f>
        <v/>
      </c>
      <c r="DN32" s="177" t="str">
        <f>IF(
    factorsTable[[#This Row],[sortedIndex]] = "",
    "",
    INDEX(
      INDEX(
        factorsConfigTable[],
        0,
        MATCH(
          chartLanguage,
          languageHeadersList,
          0
        )
        + MATCH(factorsConfigTable[[#Headers],[lang1]], factorsConfigTable[#Headers], 0)
        - 1
      ),
      MATCH(factorsTable[[#This Row],[sortedIndex]], factorsConfigTable[index], 0)
    ) &amp; ""
  )</f>
        <v/>
      </c>
      <c r="DO32" s="177"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2" s="177" t="str">
        <f>IF(
    factorsTable[[#This Row],[sortedIndex]] = "",
    "",
    IFERROR(
      INDEX(
        RANASBlocksTable[tag],
        MATCH(
          IFERROR(
            INDEX(
              factorsConfigTable[RANASBlock],
              MATCH(factorsTable[[#This Row],[sortedIndex]], factorsConfigTable[index], 0)
            ),#REF!
          ),
          RANASBlocksTable[label],
          0
        )
      ),
      NA()
    )
  )</f>
        <v/>
      </c>
      <c r="DQ32" s="177"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2" s="177"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2" s="177" t="str">
        <f>IF(
    factorsTable[[#This Row],[sortedIndex]] = "",
    "",
    INDEX(factorsTable[numTotal], MATCH(factorsTable[[#This Row],[sortedIndex]], factorsTable[index], 0))
  )</f>
        <v/>
      </c>
      <c r="DT32" s="177" t="str">
        <f>IF(
    factorsTable[[#This Row],[sortedIndex]] = "",
    "",
    INDEX(factorsTable[nondoers], MATCH(factorsTable[[#This Row],[sortedIndex]], factorsTable[index], 0))
  )</f>
        <v/>
      </c>
      <c r="DU32" s="177" t="str">
        <f>IF(
    factorsTable[[#This Row],[sortedIndex]] = "",
    "",
    INDEX(factorsTable[doers], MATCH(factorsTable[[#This Row],[sortedIndex]], factorsTable[index], 0))
  )</f>
        <v/>
      </c>
      <c r="DV32" s="177" t="str">
        <f>IF(
    factorsTable[[#This Row],[sortedIndex]] = "",
    "",
    INDEX(factorsTable[difference], MATCH(factorsTable[[#This Row],[sortedIndex]], factorsTable[index], 0))
  )</f>
        <v/>
      </c>
    </row>
    <row r="33" spans="5:126" ht="14.4" customHeight="1" x14ac:dyDescent="0.3">
      <c r="E33" s="187" cm="1">
        <f t="array" ref="E33">ROW()-ROW(UITranslationTable[#Headers])</f>
        <v>31</v>
      </c>
      <c r="F33" s="9" t="s">
        <v>214</v>
      </c>
      <c r="G33" s="176" t="str" cm="1">
        <f t="array" ref="G33">"c. You MUST use the drop-down menu in the ""Include?"" column to select (" &amp; yesLabel &amp; ") or deselect (" &amp; noLabel &amp; ") each entry in the table. Only the selected entries will be used to compute the behaviour score. This allows you to test different combinations of questions."</f>
        <v>c. You MUST use the drop-down menu in the "Include?" column to select (✔) or deselect (✘) each entry in the table. Only the selected entries will be used to compute the behaviour score. This allows you to test different combinations of questions.</v>
      </c>
      <c r="H33" s="176" t="str" cm="1">
        <f t="array" ref="H33">"c. Vous DEVEZ utiliser le menu déroulant de la colonne «Inclure?» pour sélectionner (" &amp; yesLabel &amp; ") ou désélectionner (" &amp; noLabel &amp; ") chaque entrée du tableau. Seules les entrées sélectionnées seront utilisées pour calculer le score de comportement. Cela vous permet de tester différentes combinaisons de questions."</f>
        <v>c. Vous DEVEZ utiliser le menu déroulant de la colonne «Inclure?» pour sélectionner (✔) ou désélectionner (✘) chaque entrée du tableau. Seules les entrées sélectionnées seront utilisées pour calculer le score de comportement. Cela vous permet de tester différentes combinaisons de questions.</v>
      </c>
      <c r="W33" s="177" cm="1">
        <f t="array" ref="W33">ROW()-ROW(structuredFormulaeTable[#Headers])</f>
        <v>31</v>
      </c>
      <c r="X33" s="1" t="s">
        <v>420</v>
      </c>
      <c r="Y33" s="1" t="s">
        <v>358</v>
      </c>
      <c r="AA33" s="178" t="s">
        <v>642</v>
      </c>
      <c r="AB33" s="178"/>
      <c r="CD33" s="1" cm="1">
        <f t="array" ref="CD33">ROW()-ROW(recommendedCutoffTable[#Headers])</f>
        <v>31</v>
      </c>
      <c r="CE33" s="183">
        <f>(recommendedCutoffTable[[#This Row],[index]] - 1) / 100</f>
        <v>0.3</v>
      </c>
      <c r="CF33" s="1" cm="1">
        <f t="array" ref="CF33">ABS(
    numScores
  - 2 * SUMPRODUCT((behaviourScore &lt;&gt; "") * (behaviourScore &lt; recommendedCutoffTable[[#This Row],[cutoffLevel]]))
  )</f>
        <v>0</v>
      </c>
    </row>
    <row r="34" spans="5:126" ht="14.4" customHeight="1" x14ac:dyDescent="0.3">
      <c r="E34" s="9" cm="1">
        <f t="array" ref="E34">ROW()-ROW(UITranslationTable[#Headers])</f>
        <v>32</v>
      </c>
      <c r="F34" s="9" t="s">
        <v>185</v>
      </c>
      <c r="G34" s="176" t="s">
        <v>145</v>
      </c>
      <c r="H34" s="176" t="s">
        <v>186</v>
      </c>
      <c r="W34" s="177" cm="1">
        <f t="array" ref="W34">ROW()-ROW(structuredFormulaeTable[#Headers])</f>
        <v>32</v>
      </c>
      <c r="X34" s="1" t="s">
        <v>420</v>
      </c>
      <c r="Y34" s="1" t="s">
        <v>359</v>
      </c>
      <c r="AA34" s="178" t="s">
        <v>643</v>
      </c>
      <c r="AB34" s="178"/>
      <c r="CD34" s="1" cm="1">
        <f t="array" ref="CD34">ROW()-ROW(recommendedCutoffTable[#Headers])</f>
        <v>32</v>
      </c>
      <c r="CE34" s="183">
        <f>(recommendedCutoffTable[[#This Row],[index]] - 1) / 100</f>
        <v>0.31</v>
      </c>
      <c r="CF34" s="1" cm="1">
        <f t="array" ref="CF34">ABS(
    numScores
  - 2 * SUMPRODUCT((behaviourScore &lt;&gt; "") * (behaviourScore &lt; recommendedCutoffTable[[#This Row],[cutoffLevel]]))
  )</f>
        <v>0</v>
      </c>
      <c r="CN34" s="164" t="s">
        <v>460</v>
      </c>
      <c r="CP34" s="164" t="s">
        <v>493</v>
      </c>
      <c r="CQ34" s="164" t="s">
        <v>494</v>
      </c>
      <c r="CX34" s="164" t="s">
        <v>487</v>
      </c>
      <c r="DB34" s="164" t="s">
        <v>488</v>
      </c>
      <c r="DD34" s="164" t="s">
        <v>445</v>
      </c>
      <c r="DE34" s="164" t="s">
        <v>489</v>
      </c>
      <c r="DG34" s="164" t="s">
        <v>490</v>
      </c>
      <c r="DK34" s="164" t="s">
        <v>458</v>
      </c>
      <c r="DM34" s="164" t="s">
        <v>492</v>
      </c>
      <c r="DN34" s="164" t="s">
        <v>659</v>
      </c>
      <c r="DO34" s="164" t="s">
        <v>491</v>
      </c>
      <c r="DP34" s="164" t="s">
        <v>497</v>
      </c>
      <c r="DQ34" s="164" t="s">
        <v>498</v>
      </c>
      <c r="DR34" s="164" t="s">
        <v>500</v>
      </c>
      <c r="DS34" s="164" t="s">
        <v>501</v>
      </c>
      <c r="DT34" s="164" t="s">
        <v>502</v>
      </c>
      <c r="DU34" s="164" t="s">
        <v>503</v>
      </c>
      <c r="DV34" s="164" t="s">
        <v>504</v>
      </c>
    </row>
    <row r="35" spans="5:126" ht="14.4" customHeight="1" x14ac:dyDescent="0.3">
      <c r="E35" s="9" cm="1">
        <f t="array" ref="E35">ROW()-ROW(UITranslationTable[#Headers])</f>
        <v>33</v>
      </c>
      <c r="F35" s="9" t="s">
        <v>70</v>
      </c>
      <c r="G35" s="176" t="s">
        <v>71</v>
      </c>
      <c r="H35" s="176" t="s">
        <v>202</v>
      </c>
      <c r="W35" s="177" cm="1">
        <f t="array" ref="W35">ROW()-ROW(structuredFormulaeTable[#Headers])</f>
        <v>33</v>
      </c>
      <c r="X35" s="1" t="s">
        <v>420</v>
      </c>
      <c r="Y35" s="1" t="s">
        <v>100</v>
      </c>
      <c r="Z35" s="1" cm="1">
        <f t="array" ref="Z35">cutoffLevelRecommended</f>
        <v>0.5</v>
      </c>
      <c r="AA35" s="178" t="s">
        <v>486</v>
      </c>
      <c r="AB35" s="164" t="s">
        <v>485</v>
      </c>
      <c r="CD35" s="1" cm="1">
        <f t="array" ref="CD35">ROW()-ROW(recommendedCutoffTable[#Headers])</f>
        <v>33</v>
      </c>
      <c r="CE35" s="183">
        <f>(recommendedCutoffTable[[#This Row],[index]] - 1) / 100</f>
        <v>0.32</v>
      </c>
      <c r="CF35" s="1" cm="1">
        <f t="array" ref="CF35">ABS(
    numScores
  - 2 * SUMPRODUCT((behaviourScore &lt;&gt; "") * (behaviourScore &lt; recommendedCutoffTable[[#This Row],[cutoffLevel]]))
  )</f>
        <v>0</v>
      </c>
    </row>
    <row r="36" spans="5:126" ht="14.4" customHeight="1" x14ac:dyDescent="0.3">
      <c r="E36" s="9" cm="1">
        <f t="array" ref="E36">ROW()-ROW(UITranslationTable[#Headers])</f>
        <v>34</v>
      </c>
      <c r="F36" s="9" t="s">
        <v>49</v>
      </c>
      <c r="G36" s="176" t="s">
        <v>11</v>
      </c>
      <c r="H36" s="176" t="s">
        <v>64</v>
      </c>
      <c r="W36" s="177" cm="1">
        <f t="array" ref="W36">ROW()-ROW(structuredFormulaeTable[#Headers])</f>
        <v>34</v>
      </c>
      <c r="X36" s="1" t="s">
        <v>420</v>
      </c>
      <c r="Y36" s="1" t="s">
        <v>550</v>
      </c>
      <c r="Z36" s="1" t="e" cm="1">
        <f t="array" aca="1" ref="Z36" ca="1">dataLastColNum</f>
        <v>#N/A</v>
      </c>
      <c r="AA36" s="178" t="s">
        <v>667</v>
      </c>
      <c r="CD36" s="1" cm="1">
        <f t="array" ref="CD36">ROW()-ROW(recommendedCutoffTable[#Headers])</f>
        <v>34</v>
      </c>
      <c r="CE36" s="183">
        <f>(recommendedCutoffTable[[#This Row],[index]] - 1) / 100</f>
        <v>0.33</v>
      </c>
      <c r="CF36" s="1" cm="1">
        <f t="array" ref="CF36">ABS(
    numScores
  - 2 * SUMPRODUCT((behaviourScore &lt;&gt; "") * (behaviourScore &lt; recommendedCutoffTable[[#This Row],[cutoffLevel]]))
  )</f>
        <v>0</v>
      </c>
    </row>
    <row r="37" spans="5:126" ht="14.4" customHeight="1" x14ac:dyDescent="0.3">
      <c r="E37" s="9" cm="1">
        <f t="array" ref="E37">ROW()-ROW(UITranslationTable[#Headers])</f>
        <v>35</v>
      </c>
      <c r="F37" s="9" t="s">
        <v>72</v>
      </c>
      <c r="G37" s="176" t="s">
        <v>76</v>
      </c>
      <c r="H37" s="176" t="s">
        <v>75</v>
      </c>
      <c r="W37" s="177" cm="1">
        <f t="array" ref="W37">ROW()-ROW(structuredFormulaeTable[#Headers])</f>
        <v>35</v>
      </c>
      <c r="X37" s="1" t="s">
        <v>420</v>
      </c>
      <c r="Y37" s="1" t="s">
        <v>91</v>
      </c>
      <c r="Z37" s="1" t="e" cm="1">
        <f t="array" aca="1" ref="Z37" ca="1">dataRefColNum</f>
        <v>#N/A</v>
      </c>
      <c r="AA37" s="178" t="s">
        <v>665</v>
      </c>
      <c r="AB37" s="178"/>
      <c r="CD37" s="1" cm="1">
        <f t="array" ref="CD37">ROW()-ROW(recommendedCutoffTable[#Headers])</f>
        <v>35</v>
      </c>
      <c r="CE37" s="183">
        <f>(recommendedCutoffTable[[#This Row],[index]] - 1) / 100</f>
        <v>0.34</v>
      </c>
      <c r="CF37" s="1" cm="1">
        <f t="array" ref="CF37">ABS(
    numScores
  - 2 * SUMPRODUCT((behaviourScore &lt;&gt; "") * (behaviourScore &lt; recommendedCutoffTable[[#This Row],[cutoffLevel]]))
  )</f>
        <v>0</v>
      </c>
    </row>
    <row r="38" spans="5:126" ht="14.4" customHeight="1" x14ac:dyDescent="0.3">
      <c r="E38" s="9" cm="1">
        <f t="array" ref="E38">ROW()-ROW(UITranslationTable[#Headers])</f>
        <v>36</v>
      </c>
      <c r="F38" s="9" t="s">
        <v>73</v>
      </c>
      <c r="G38" s="176" t="s">
        <v>77</v>
      </c>
      <c r="H38" s="176" t="s">
        <v>78</v>
      </c>
      <c r="W38" s="177" cm="1">
        <f t="array" ref="W38">ROW()-ROW(structuredFormulaeTable[#Headers])</f>
        <v>36</v>
      </c>
      <c r="X38" s="1" t="s">
        <v>420</v>
      </c>
      <c r="Y38" s="1" t="s">
        <v>360</v>
      </c>
      <c r="AA38" s="178" t="s">
        <v>361</v>
      </c>
      <c r="AB38" s="178"/>
      <c r="CD38" s="1" cm="1">
        <f t="array" ref="CD38">ROW()-ROW(recommendedCutoffTable[#Headers])</f>
        <v>36</v>
      </c>
      <c r="CE38" s="183">
        <f>(recommendedCutoffTable[[#This Row],[index]] - 1) / 100</f>
        <v>0.35</v>
      </c>
      <c r="CF38" s="1" cm="1">
        <f t="array" ref="CF38">ABS(
    numScores
  - 2 * SUMPRODUCT((behaviourScore &lt;&gt; "") * (behaviourScore &lt; recommendedCutoffTable[[#This Row],[cutoffLevel]]))
  )</f>
        <v>0</v>
      </c>
    </row>
    <row r="39" spans="5:126" ht="14.4" customHeight="1" x14ac:dyDescent="0.3">
      <c r="E39" s="9" cm="1">
        <f t="array" ref="E39">ROW()-ROW(UITranslationTable[#Headers])</f>
        <v>37</v>
      </c>
      <c r="F39" s="9" t="s">
        <v>74</v>
      </c>
      <c r="G39" s="176" t="s">
        <v>36</v>
      </c>
      <c r="H39" s="176" t="s">
        <v>10</v>
      </c>
      <c r="W39" s="177" cm="1">
        <f t="array" ref="W39">ROW()-ROW(structuredFormulaeTable[#Headers])</f>
        <v>37</v>
      </c>
      <c r="X39" s="1" t="s">
        <v>420</v>
      </c>
      <c r="Y39" s="1" t="s">
        <v>426</v>
      </c>
      <c r="Z39" s="1" t="b" cm="1">
        <f t="array" aca="1" ref="Z39" ca="1">errorBehaviourHeader</f>
        <v>0</v>
      </c>
      <c r="AA39" s="178" t="s">
        <v>480</v>
      </c>
      <c r="AB39" s="178"/>
      <c r="CD39" s="1" cm="1">
        <f t="array" ref="CD39">ROW()-ROW(recommendedCutoffTable[#Headers])</f>
        <v>37</v>
      </c>
      <c r="CE39" s="183">
        <f>(recommendedCutoffTable[[#This Row],[index]] - 1) / 100</f>
        <v>0.36</v>
      </c>
      <c r="CF39" s="1" cm="1">
        <f t="array" ref="CF39">ABS(
    numScores
  - 2 * SUMPRODUCT((behaviourScore &lt;&gt; "") * (behaviourScore &lt; recommendedCutoffTable[[#This Row],[cutoffLevel]]))
  )</f>
        <v>0</v>
      </c>
    </row>
    <row r="40" spans="5:126" ht="14.4" customHeight="1" x14ac:dyDescent="0.3">
      <c r="E40" s="9" cm="1">
        <f t="array" ref="E40">ROW()-ROW(UITranslationTable[#Headers])</f>
        <v>38</v>
      </c>
      <c r="F40" s="9" t="s">
        <v>82</v>
      </c>
      <c r="G40" s="176" t="s">
        <v>83</v>
      </c>
      <c r="H40" s="176" t="s">
        <v>84</v>
      </c>
      <c r="W40" s="177" cm="1">
        <f t="array" ref="W40">ROW()-ROW(structuredFormulaeTable[#Headers])</f>
        <v>38</v>
      </c>
      <c r="X40" s="1" t="s">
        <v>420</v>
      </c>
      <c r="Y40" s="1" t="s">
        <v>427</v>
      </c>
      <c r="Z40" s="1" t="b" cm="1">
        <f t="array" aca="1" ref="Z40" ca="1">errorBehaviourInclude</f>
        <v>0</v>
      </c>
      <c r="AA40" s="178" t="s">
        <v>481</v>
      </c>
      <c r="AB40" s="178"/>
      <c r="CD40" s="1" cm="1">
        <f t="array" ref="CD40">ROW()-ROW(recommendedCutoffTable[#Headers])</f>
        <v>38</v>
      </c>
      <c r="CE40" s="183">
        <f>(recommendedCutoffTable[[#This Row],[index]] - 1) / 100</f>
        <v>0.37</v>
      </c>
      <c r="CF40" s="1" cm="1">
        <f t="array" ref="CF40">ABS(
    numScores
  - 2 * SUMPRODUCT((behaviourScore &lt;&gt; "") * (behaviourScore &lt; recommendedCutoffTable[[#This Row],[cutoffLevel]]))
  )</f>
        <v>0</v>
      </c>
    </row>
    <row r="41" spans="5:126" ht="14.4" customHeight="1" x14ac:dyDescent="0.3">
      <c r="E41" s="9" cm="1">
        <f t="array" ref="E41">ROW()-ROW(UITranslationTable[#Headers])</f>
        <v>39</v>
      </c>
      <c r="F41" s="9" t="s">
        <v>188</v>
      </c>
      <c r="G41" s="176" t="s">
        <v>93</v>
      </c>
      <c r="H41" s="176" t="s">
        <v>189</v>
      </c>
      <c r="W41" s="177" cm="1">
        <f t="array" ref="W41">ROW()-ROW(structuredFormulaeTable[#Headers])</f>
        <v>39</v>
      </c>
      <c r="X41" s="1" t="s">
        <v>420</v>
      </c>
      <c r="Y41" s="1" t="s">
        <v>429</v>
      </c>
      <c r="Z41" s="1" t="b" cm="1">
        <f t="array" aca="1" ref="Z41" ca="1">errorBehaviourMinMaxInvalid</f>
        <v>0</v>
      </c>
      <c r="AA41" s="178" t="s">
        <v>541</v>
      </c>
      <c r="AB41" s="178"/>
      <c r="CD41" s="1" cm="1">
        <f t="array" ref="CD41">ROW()-ROW(recommendedCutoffTable[#Headers])</f>
        <v>39</v>
      </c>
      <c r="CE41" s="183">
        <f>(recommendedCutoffTable[[#This Row],[index]] - 1) / 100</f>
        <v>0.38</v>
      </c>
      <c r="CF41" s="1" cm="1">
        <f t="array" ref="CF41">ABS(
    numScores
  - 2 * SUMPRODUCT((behaviourScore &lt;&gt; "") * (behaviourScore &lt; recommendedCutoffTable[[#This Row],[cutoffLevel]]))
  )</f>
        <v>0</v>
      </c>
    </row>
    <row r="42" spans="5:126" ht="14.4" customHeight="1" x14ac:dyDescent="0.3">
      <c r="E42" s="9" cm="1">
        <f t="array" ref="E42">ROW()-ROW(UITranslationTable[#Headers])</f>
        <v>40</v>
      </c>
      <c r="F42" s="9" t="s">
        <v>85</v>
      </c>
      <c r="G42" s="176" t="s">
        <v>87</v>
      </c>
      <c r="H42" s="176" t="s">
        <v>88</v>
      </c>
      <c r="W42" s="177" cm="1">
        <f t="array" ref="W42">ROW()-ROW(structuredFormulaeTable[#Headers])</f>
        <v>40</v>
      </c>
      <c r="X42" s="1" t="s">
        <v>420</v>
      </c>
      <c r="Y42" s="1" t="s">
        <v>428</v>
      </c>
      <c r="Z42" s="1" t="b" cm="1">
        <f t="array" aca="1" ref="Z42" ca="1">errorBehaviourNoneSelected</f>
        <v>0</v>
      </c>
      <c r="AA42" s="178" t="s">
        <v>482</v>
      </c>
      <c r="AB42" s="178"/>
      <c r="CD42" s="1" cm="1">
        <f t="array" ref="CD42">ROW()-ROW(recommendedCutoffTable[#Headers])</f>
        <v>40</v>
      </c>
      <c r="CE42" s="183">
        <f>(recommendedCutoffTable[[#This Row],[index]] - 1) / 100</f>
        <v>0.39</v>
      </c>
      <c r="CF42" s="1" cm="1">
        <f t="array" ref="CF42">ABS(
    numScores
  - 2 * SUMPRODUCT((behaviourScore &lt;&gt; "") * (behaviourScore &lt; recommendedCutoffTable[[#This Row],[cutoffLevel]]))
  )</f>
        <v>0</v>
      </c>
    </row>
    <row r="43" spans="5:126" ht="14.4" customHeight="1" x14ac:dyDescent="0.3">
      <c r="E43" s="9" cm="1">
        <f t="array" ref="E43">ROW()-ROW(UITranslationTable[#Headers])</f>
        <v>41</v>
      </c>
      <c r="F43" s="9" t="s">
        <v>86</v>
      </c>
      <c r="G43" s="176" t="s">
        <v>89</v>
      </c>
      <c r="H43" s="176" t="s">
        <v>90</v>
      </c>
      <c r="W43" s="177" cm="1">
        <f t="array" ref="W43">ROW()-ROW(structuredFormulaeTable[#Headers])</f>
        <v>41</v>
      </c>
      <c r="X43" s="1" t="s">
        <v>420</v>
      </c>
      <c r="Y43" s="1" t="s">
        <v>430</v>
      </c>
      <c r="Z43" s="1" t="b" cm="1">
        <f t="array" aca="1" ref="Z43" ca="1">errorBehaviourOutOfRange</f>
        <v>0</v>
      </c>
      <c r="AA43" s="178" t="s">
        <v>459</v>
      </c>
      <c r="AB43" s="178"/>
      <c r="CD43" s="1" cm="1">
        <f t="array" ref="CD43">ROW()-ROW(recommendedCutoffTable[#Headers])</f>
        <v>41</v>
      </c>
      <c r="CE43" s="183">
        <f>(recommendedCutoffTable[[#This Row],[index]] - 1) / 100</f>
        <v>0.4</v>
      </c>
      <c r="CF43" s="1" cm="1">
        <f t="array" ref="CF43">ABS(
    numScores
  - 2 * SUMPRODUCT((behaviourScore &lt;&gt; "") * (behaviourScore &lt; recommendedCutoffTable[[#This Row],[cutoffLevel]]))
  )</f>
        <v>0</v>
      </c>
    </row>
    <row r="44" spans="5:126" ht="14.4" customHeight="1" x14ac:dyDescent="0.3">
      <c r="E44" s="9" cm="1">
        <f t="array" ref="E44">ROW()-ROW(UITranslationTable[#Headers])</f>
        <v>42</v>
      </c>
      <c r="F44" s="9" t="s">
        <v>190</v>
      </c>
      <c r="G44" s="176" t="s">
        <v>272</v>
      </c>
      <c r="H44" s="176" t="s">
        <v>273</v>
      </c>
      <c r="W44" s="177" cm="1">
        <f t="array" ref="W44">ROW()-ROW(structuredFormulaeTable[#Headers])</f>
        <v>42</v>
      </c>
      <c r="X44" s="1" t="s">
        <v>420</v>
      </c>
      <c r="Y44" s="1" t="s">
        <v>436</v>
      </c>
      <c r="Z44" s="1" t="b" cm="1">
        <f t="array" ref="Z44">errorChartLanguage</f>
        <v>0</v>
      </c>
      <c r="AA44" s="178" t="s">
        <v>543</v>
      </c>
      <c r="AB44" s="178"/>
      <c r="CD44" s="1" cm="1">
        <f t="array" ref="CD44">ROW()-ROW(recommendedCutoffTable[#Headers])</f>
        <v>42</v>
      </c>
      <c r="CE44" s="183">
        <f>(recommendedCutoffTable[[#This Row],[index]] - 1) / 100</f>
        <v>0.41</v>
      </c>
      <c r="CF44" s="1" cm="1">
        <f t="array" ref="CF44">ABS(
    numScores
  - 2 * SUMPRODUCT((behaviourScore &lt;&gt; "") * (behaviourScore &lt; recommendedCutoffTable[[#This Row],[cutoffLevel]]))
  )</f>
        <v>0</v>
      </c>
    </row>
    <row r="45" spans="5:126" ht="14.4" customHeight="1" x14ac:dyDescent="0.3">
      <c r="E45" s="9" cm="1">
        <f t="array" ref="E45">ROW()-ROW(UITranslationTable[#Headers])</f>
        <v>43</v>
      </c>
      <c r="F45" s="9" t="s">
        <v>195</v>
      </c>
      <c r="G45" s="176" t="s">
        <v>196</v>
      </c>
      <c r="H45" s="176" t="s">
        <v>197</v>
      </c>
      <c r="W45" s="177" cm="1">
        <f t="array" ref="W45">ROW()-ROW(structuredFormulaeTable[#Headers])</f>
        <v>43</v>
      </c>
      <c r="X45" s="1" t="s">
        <v>420</v>
      </c>
      <c r="Y45" s="1" t="s">
        <v>441</v>
      </c>
      <c r="Z45" s="1" t="b" cm="1">
        <f t="array" aca="1" ref="Z45" ca="1">errorChartTranslationMissing</f>
        <v>0</v>
      </c>
      <c r="AA45" s="178" t="s">
        <v>548</v>
      </c>
      <c r="AB45" s="178"/>
      <c r="CD45" s="1" cm="1">
        <f t="array" ref="CD45">ROW()-ROW(recommendedCutoffTable[#Headers])</f>
        <v>43</v>
      </c>
      <c r="CE45" s="183">
        <f>(recommendedCutoffTable[[#This Row],[index]] - 1) / 100</f>
        <v>0.42</v>
      </c>
      <c r="CF45" s="1" cm="1">
        <f t="array" ref="CF45">ABS(
    numScores
  - 2 * SUMPRODUCT((behaviourScore &lt;&gt; "") * (behaviourScore &lt; recommendedCutoffTable[[#This Row],[cutoffLevel]]))
  )</f>
        <v>0</v>
      </c>
    </row>
    <row r="46" spans="5:126" ht="14.4" customHeight="1" x14ac:dyDescent="0.3">
      <c r="E46" s="187" cm="1">
        <f t="array" ref="E46">ROW()-ROW(UITranslationTable[#Headers])</f>
        <v>44</v>
      </c>
      <c r="F46" s="9" t="s">
        <v>215</v>
      </c>
      <c r="G46" s="176" t="str">
        <f>"3." &amp; CHAR(160) &amp; "RANAS factors"</f>
        <v>3. RANAS factors</v>
      </c>
      <c r="H46" s="176" t="str">
        <f>"3." &amp; CHAR(160) &amp; "Facteurs RANAS"</f>
        <v>3. Facteurs RANAS</v>
      </c>
      <c r="W46" s="177" cm="1">
        <f t="array" ref="W46">ROW()-ROW(structuredFormulaeTable[#Headers])</f>
        <v>44</v>
      </c>
      <c r="X46" s="1" t="s">
        <v>420</v>
      </c>
      <c r="Y46" s="1" t="s">
        <v>438</v>
      </c>
      <c r="Z46" s="1" t="b" cm="1">
        <f t="array" aca="1" ref="Z46" ca="1">errorCutoffLevel</f>
        <v>0</v>
      </c>
      <c r="AA46" s="178" t="s">
        <v>626</v>
      </c>
      <c r="AB46" s="178"/>
      <c r="CD46" s="1" cm="1">
        <f t="array" ref="CD46">ROW()-ROW(recommendedCutoffTable[#Headers])</f>
        <v>44</v>
      </c>
      <c r="CE46" s="183">
        <f>(recommendedCutoffTable[[#This Row],[index]] - 1) / 100</f>
        <v>0.43</v>
      </c>
      <c r="CF46" s="1" cm="1">
        <f t="array" ref="CF46">ABS(
    numScores
  - 2 * SUMPRODUCT((behaviourScore &lt;&gt; "") * (behaviourScore &lt; recommendedCutoffTable[[#This Row],[cutoffLevel]]))
  )</f>
        <v>0</v>
      </c>
    </row>
    <row r="47" spans="5:126" ht="14.4" customHeight="1" x14ac:dyDescent="0.3">
      <c r="E47" s="187" cm="1">
        <f t="array" ref="E47">ROW()-ROW(UITranslationTable[#Headers])</f>
        <v>45</v>
      </c>
      <c r="F47" s="9" t="s">
        <v>216</v>
      </c>
      <c r="G47" s="176" t="s">
        <v>339</v>
      </c>
      <c r="H47" s="176" t="s">
        <v>340</v>
      </c>
      <c r="W47" s="177" cm="1">
        <f t="array" ref="W47">ROW()-ROW(structuredFormulaeTable[#Headers])</f>
        <v>45</v>
      </c>
      <c r="X47" s="1" t="s">
        <v>420</v>
      </c>
      <c r="Y47" s="1" t="s">
        <v>425</v>
      </c>
      <c r="Z47" s="1" t="b" cm="1">
        <f t="array" aca="1" ref="Z47" ca="1">errorDataHeaderSpace</f>
        <v>0</v>
      </c>
      <c r="AA47" s="178" t="s">
        <v>552</v>
      </c>
      <c r="AB47" s="178"/>
      <c r="CD47" s="1" cm="1">
        <f t="array" ref="CD47">ROW()-ROW(recommendedCutoffTable[#Headers])</f>
        <v>45</v>
      </c>
      <c r="CE47" s="183">
        <f>(recommendedCutoffTable[[#This Row],[index]] - 1) / 100</f>
        <v>0.44</v>
      </c>
      <c r="CF47" s="1" cm="1">
        <f t="array" ref="CF47">ABS(
    numScores
  - 2 * SUMPRODUCT((behaviourScore &lt;&gt; "") * (behaviourScore &lt; recommendedCutoffTable[[#This Row],[cutoffLevel]]))
  )</f>
        <v>0</v>
      </c>
    </row>
    <row r="48" spans="5:126" ht="14.4" customHeight="1" x14ac:dyDescent="0.3">
      <c r="E48" s="187" cm="1">
        <f t="array" ref="E48">ROW()-ROW(UITranslationTable[#Headers])</f>
        <v>46</v>
      </c>
      <c r="F48" s="9" t="s">
        <v>217</v>
      </c>
      <c r="G48" s="176" t="str" cm="1">
        <f t="array" ref="G48">"a. You MUST enter the data headers for the factors that you want to analyse, EXACTLY as they appear in your """ &amp; sheetNameData &amp; """ sheet."</f>
        <v>a. You MUST enter the data headers for the factors that you want to analyse, EXACTLY as they appear in your "data" sheet.</v>
      </c>
      <c r="H48" s="176" t="str" cm="1">
        <f t="array" ref="H48">"a. Vous DEVEZ saisir les en-têtes de données pour les facteurs à analyser, EXACTEMENT comme ils apparaissent dans votre feuille «" &amp; sheetNameData &amp; "»."</f>
        <v>a. Vous DEVEZ saisir les en-têtes de données pour les facteurs à analyser, EXACTEMENT comme ils apparaissent dans votre feuille «data».</v>
      </c>
      <c r="W48" s="177" cm="1">
        <f t="array" ref="W48">ROW()-ROW(structuredFormulaeTable[#Headers])</f>
        <v>46</v>
      </c>
      <c r="X48" s="1" t="s">
        <v>420</v>
      </c>
      <c r="Y48" s="1" t="s">
        <v>439</v>
      </c>
      <c r="Z48" s="1" t="b" cm="1">
        <f t="array" aca="1" ref="Z48" ca="1">errorDataSorting</f>
        <v>0</v>
      </c>
      <c r="AA48" s="178" t="s">
        <v>549</v>
      </c>
      <c r="AB48" s="178"/>
      <c r="CD48" s="1" cm="1">
        <f t="array" ref="CD48">ROW()-ROW(recommendedCutoffTable[#Headers])</f>
        <v>46</v>
      </c>
      <c r="CE48" s="183">
        <f>(recommendedCutoffTable[[#This Row],[index]] - 1) / 100</f>
        <v>0.45</v>
      </c>
      <c r="CF48" s="1" cm="1">
        <f t="array" ref="CF48">ABS(
    numScores
  - 2 * SUMPRODUCT((behaviourScore &lt;&gt; "") * (behaviourScore &lt; recommendedCutoffTable[[#This Row],[cutoffLevel]]))
  )</f>
        <v>0</v>
      </c>
    </row>
    <row r="49" spans="5:84" ht="14.4" customHeight="1" x14ac:dyDescent="0.3">
      <c r="E49" s="187" cm="1">
        <f t="array" ref="E49">ROW()-ROW(UITranslationTable[#Headers])</f>
        <v>47</v>
      </c>
      <c r="F49" s="9" t="s">
        <v>218</v>
      </c>
      <c r="G49" s="176" t="str">
        <f>"b. You MUST enter, for each one, the minimum and maximum possible scores. Be careful to enter the appropriate values. (See the examples given above in " &amp; _xlfn.XLOOKUP("configBehaviourTitle", UITranslationTable[tag], UITranslationTable[English]) &amp; CHAR(160) &amp; "&gt;" &amp; CHAR(160) &amp; "b."")"</f>
        <v>b. You MUST enter, for each one, the minimum and maximum possible scores. Be careful to enter the appropriate values. (See the examples given above in 2. Behaviour &gt; b.")</v>
      </c>
      <c r="H49" s="176" t="str">
        <f>"b. Vous DEVEZ saisir, pour chacun d'eux, les scores minimum et maximum possibles. Veillez à saisir les valeurs appropriées. (Voir les exemples donnés ci-dessus dans «" &amp; _xlfn.XLOOKUP("configBehaviourTitle", UITranslationTable[tag], UITranslationTable[Français]) &amp; CHAR(160) &amp; "&gt;" &amp; CHAR(160) &amp; "b.»)"</f>
        <v>b. Vous DEVEZ saisir, pour chacun d'eux, les scores minimum et maximum possibles. Veillez à saisir les valeurs appropriées. (Voir les exemples donnés ci-dessus dans «2. Comportement &gt; b.»)</v>
      </c>
      <c r="W49" s="177" cm="1">
        <f t="array" ref="W49">ROW()-ROW(structuredFormulaeTable[#Headers])</f>
        <v>47</v>
      </c>
      <c r="X49" s="1" t="s">
        <v>420</v>
      </c>
      <c r="Y49" s="1" t="s">
        <v>432</v>
      </c>
      <c r="Z49" s="1" t="b" cm="1">
        <f t="array" aca="1" ref="Z49" ca="1">errorFactorDisplay</f>
        <v>0</v>
      </c>
      <c r="AA49" s="178" t="s">
        <v>506</v>
      </c>
      <c r="AB49" s="178"/>
      <c r="CD49" s="1" cm="1">
        <f t="array" ref="CD49">ROW()-ROW(recommendedCutoffTable[#Headers])</f>
        <v>47</v>
      </c>
      <c r="CE49" s="183">
        <f>(recommendedCutoffTable[[#This Row],[index]] - 1) / 100</f>
        <v>0.46</v>
      </c>
      <c r="CF49" s="1" cm="1">
        <f t="array" ref="CF49">ABS(
    numScores
  - 2 * SUMPRODUCT((behaviourScore &lt;&gt; "") * (behaviourScore &lt; recommendedCutoffTable[[#This Row],[cutoffLevel]]))
  )</f>
        <v>0</v>
      </c>
    </row>
    <row r="50" spans="5:84" ht="14.4" customHeight="1" x14ac:dyDescent="0.3">
      <c r="E50" s="187" cm="1">
        <f t="array" ref="E50">ROW()-ROW(UITranslationTable[#Headers])</f>
        <v>48</v>
      </c>
      <c r="F50" s="9" t="s">
        <v>219</v>
      </c>
      <c r="G50" s="176" t="s">
        <v>203</v>
      </c>
      <c r="H50" s="176" t="s">
        <v>220</v>
      </c>
      <c r="W50" s="177" cm="1">
        <f t="array" ref="W50">ROW()-ROW(structuredFormulaeTable[#Headers])</f>
        <v>48</v>
      </c>
      <c r="X50" s="1" t="s">
        <v>420</v>
      </c>
      <c r="Y50" s="1" t="s">
        <v>431</v>
      </c>
      <c r="Z50" s="1" t="b" cm="1">
        <f t="array" aca="1" ref="Z50" ca="1">errorFactorHeader</f>
        <v>0</v>
      </c>
      <c r="AA50" s="178" t="s">
        <v>505</v>
      </c>
      <c r="AB50" s="178"/>
      <c r="CD50" s="1" cm="1">
        <f t="array" ref="CD50">ROW()-ROW(recommendedCutoffTable[#Headers])</f>
        <v>48</v>
      </c>
      <c r="CE50" s="183">
        <f>(recommendedCutoffTable[[#This Row],[index]] - 1) / 100</f>
        <v>0.47</v>
      </c>
      <c r="CF50" s="1" cm="1">
        <f t="array" ref="CF50">ABS(
    numScores
  - 2 * SUMPRODUCT((behaviourScore &lt;&gt; "") * (behaviourScore &lt; recommendedCutoffTable[[#This Row],[cutoffLevel]]))
  )</f>
        <v>0</v>
      </c>
    </row>
    <row r="51" spans="5:84" ht="14.4" customHeight="1" x14ac:dyDescent="0.3">
      <c r="E51" s="187" cm="1">
        <f t="array" ref="E51">ROW()-ROW(UITranslationTable[#Headers])</f>
        <v>49</v>
      </c>
      <c r="F51" s="9" t="s">
        <v>221</v>
      </c>
      <c r="G51" s="176" t="str" cm="1">
        <f t="array" ref="G51">"d. You MUST use the drop-down menus in the ""Display?"" column to select (" &amp; yesLabel &amp; ") or deselect (" &amp; noLabel &amp; ") each factor in the table. Only the selected factors will be displayed in the analysis charts and table. This allows you to customise your charts."</f>
        <v>d. You MUST use the drop-down menus in the "Display?" column to select (✔) or deselect (✘) each factor in the table. Only the selected factors will be displayed in the analysis charts and table. This allows you to customise your charts.</v>
      </c>
      <c r="H51" s="176" t="str" cm="1">
        <f t="array" ref="H51">"d. Vous DEVEZ utiliser le menu déroulant de la colonne «Afficher?» pour sélectionner (" &amp; yesLabel &amp; ") ou désélectionner (" &amp; noLabel &amp; ") chaque facteur. Seuls les facteurs sélectionnés seront affichés dans les graphiques et le tableau d'analyse. Cela vous permet de personnaliser vos graphiques."</f>
        <v>d. Vous DEVEZ utiliser le menu déroulant de la colonne «Afficher?» pour sélectionner (✔) ou désélectionner (✘) chaque facteur. Seuls les facteurs sélectionnés seront affichés dans les graphiques et le tableau d'analyse. Cela vous permet de personnaliser vos graphiques.</v>
      </c>
      <c r="W51" s="177" cm="1">
        <f t="array" ref="W51">ROW()-ROW(structuredFormulaeTable[#Headers])</f>
        <v>49</v>
      </c>
      <c r="X51" s="1" t="s">
        <v>420</v>
      </c>
      <c r="Y51" s="1" t="s">
        <v>434</v>
      </c>
      <c r="Z51" s="1" t="b" cm="1">
        <f t="array" aca="1" ref="Z51" ca="1">errorFactorMinMaxInvalid</f>
        <v>0</v>
      </c>
      <c r="AA51" s="178" t="s">
        <v>540</v>
      </c>
      <c r="AB51" s="178"/>
      <c r="CD51" s="1" cm="1">
        <f t="array" ref="CD51">ROW()-ROW(recommendedCutoffTable[#Headers])</f>
        <v>49</v>
      </c>
      <c r="CE51" s="183">
        <f>(recommendedCutoffTable[[#This Row],[index]] - 1) / 100</f>
        <v>0.48</v>
      </c>
      <c r="CF51" s="1" cm="1">
        <f t="array" ref="CF51">ABS(
    numScores
  - 2 * SUMPRODUCT((behaviourScore &lt;&gt; "") * (behaviourScore &lt; recommendedCutoffTable[[#This Row],[cutoffLevel]]))
  )</f>
        <v>0</v>
      </c>
    </row>
    <row r="52" spans="5:84" ht="14.4" customHeight="1" x14ac:dyDescent="0.3">
      <c r="E52" s="187" cm="1">
        <f t="array" ref="E52">ROW()-ROW(UITranslationTable[#Headers])</f>
        <v>50</v>
      </c>
      <c r="F52" s="9" t="s">
        <v>222</v>
      </c>
      <c r="G52" s="176" t="str" cm="1">
        <f t="array" aca="1" ref="G52" ca="1">"e. You CAN define, in the yellow cells of the top row, additional languages that you want to use to display results in the charts and tables." &amp; " They will then be available for selection in the ""Chart language"" menu of the """ &amp; sheetNameIntroduction &amp; """ sheet."</f>
        <v>e. You CAN define, in the yellow cells of the top row, additional languages that you want to use to display results in the charts and tables. They will then be available for selection in the "Chart language" menu of the "Introduction" sheet.</v>
      </c>
      <c r="H52" s="176" t="str" cm="1">
        <f t="array" aca="1" ref="H52" ca="1">"e. Vous POUVEZ définir, dans les cellules jaunes de la ligne supérieure, des langues supplémentaires que vous souhaitez utiliser pour afficher les résultats dans les graphiques et les tableaux." &amp; " Elles seront alors disponibles dans le menu «Langue des graphiques» de la feuille «" &amp; sheetNameIntroduction &amp; "»."</f>
        <v>e. Vous POUVEZ définir, dans les cellules jaunes de la ligne supérieure, des langues supplémentaires que vous souhaitez utiliser pour afficher les résultats dans les graphiques et les tableaux. Elles seront alors disponibles dans le menu «Langue des graphiques» de la feuille «Introduction».</v>
      </c>
      <c r="W52" s="177" cm="1">
        <f t="array" ref="W52">ROW()-ROW(structuredFormulaeTable[#Headers])</f>
        <v>50</v>
      </c>
      <c r="X52" s="1" t="s">
        <v>420</v>
      </c>
      <c r="Y52" s="1" t="s">
        <v>433</v>
      </c>
      <c r="Z52" s="1" t="b" cm="1">
        <f t="array" aca="1" ref="Z52" ca="1">errorFactorNoneSelected</f>
        <v>0</v>
      </c>
      <c r="AA52" s="178" t="s">
        <v>507</v>
      </c>
      <c r="AB52" s="178"/>
      <c r="CD52" s="1" cm="1">
        <f t="array" ref="CD52">ROW()-ROW(recommendedCutoffTable[#Headers])</f>
        <v>50</v>
      </c>
      <c r="CE52" s="183">
        <f>(recommendedCutoffTable[[#This Row],[index]] - 1) / 100</f>
        <v>0.49</v>
      </c>
      <c r="CF52" s="1" cm="1">
        <f t="array" ref="CF52">ABS(
    numScores
  - 2 * SUMPRODUCT((behaviourScore &lt;&gt; "") * (behaviourScore &lt; recommendedCutoffTable[[#This Row],[cutoffLevel]]))
  )</f>
        <v>0</v>
      </c>
    </row>
    <row r="53" spans="5:84" ht="14.4" customHeight="1" x14ac:dyDescent="0.3">
      <c r="E53" s="187" cm="1">
        <f t="array" ref="E53">ROW()-ROW(UITranslationTable[#Headers])</f>
        <v>51</v>
      </c>
      <c r="F53" s="9" t="s">
        <v>223</v>
      </c>
      <c r="G53" s="176" t="str" cm="1">
        <f t="array" aca="1" ref="G53" ca="1">"f. You MUST provide translations for all factors defined in the ""Data header"" column, at least for the ""Chart language"" selected in the """ &amp; sheetNameIntroduction &amp; """ sheet."</f>
        <v>f. You MUST provide translations for all factors defined in the "Data header" column, at least for the "Chart language" selected in the "Introduction" sheet.</v>
      </c>
      <c r="H53" s="176" t="str" cm="1">
        <f t="array" aca="1" ref="H53" ca="1">"f. Vous DEVEZ fournir des traductions pour tous les facteurs définis dans la colonne «En-tête de données», au moins pour la «Langue des graphiques» sélectionnée sur la feuille «" &amp; sheetNameIntroduction &amp; "»."</f>
        <v>f. Vous DEVEZ fournir des traductions pour tous les facteurs définis dans la colonne «En-tête de données», au moins pour la «Langue des graphiques» sélectionnée sur la feuille «Introduction».</v>
      </c>
      <c r="W53" s="177" cm="1">
        <f t="array" ref="W53">ROW()-ROW(structuredFormulaeTable[#Headers])</f>
        <v>51</v>
      </c>
      <c r="X53" s="1" t="s">
        <v>420</v>
      </c>
      <c r="Y53" s="1" t="s">
        <v>435</v>
      </c>
      <c r="Z53" s="1" t="b" cm="1">
        <f t="array" aca="1" ref="Z53" ca="1">errorFactorOutOfRange</f>
        <v>0</v>
      </c>
      <c r="AA53" s="178" t="s">
        <v>542</v>
      </c>
      <c r="AB53" s="178"/>
      <c r="CD53" s="1" cm="1">
        <f t="array" ref="CD53">ROW()-ROW(recommendedCutoffTable[#Headers])</f>
        <v>51</v>
      </c>
      <c r="CE53" s="183">
        <f>(recommendedCutoffTable[[#This Row],[index]] - 1) / 100</f>
        <v>0.5</v>
      </c>
      <c r="CF53" s="1" cm="1">
        <f t="array" ref="CF53">ABS(
    numScores
  - 2 * SUMPRODUCT((behaviourScore &lt;&gt; "") * (behaviourScore &lt; recommendedCutoffTable[[#This Row],[cutoffLevel]]))
  )</f>
        <v>0</v>
      </c>
    </row>
    <row r="54" spans="5:84" ht="14.4" customHeight="1" x14ac:dyDescent="0.3">
      <c r="E54" s="9" cm="1">
        <f t="array" ref="E54">ROW()-ROW(UITranslationTable[#Headers])</f>
        <v>52</v>
      </c>
      <c r="F54" s="176" t="s">
        <v>247</v>
      </c>
      <c r="G54" s="176" t="s">
        <v>119</v>
      </c>
      <c r="H54" s="176" t="s">
        <v>187</v>
      </c>
      <c r="W54" s="177" cm="1">
        <f t="array" ref="W54">ROW()-ROW(structuredFormulaeTable[#Headers])</f>
        <v>52</v>
      </c>
      <c r="X54" s="1" t="s">
        <v>420</v>
      </c>
      <c r="Y54" s="1" t="s">
        <v>440</v>
      </c>
      <c r="Z54" s="1" t="b" cm="1">
        <f t="array" aca="1" ref="Z54" ca="1">errorFactorTranslationMissing</f>
        <v>0</v>
      </c>
      <c r="AA54" s="178" t="s">
        <v>545</v>
      </c>
      <c r="AB54" s="178"/>
      <c r="AE54" s="192"/>
      <c r="CD54" s="1" cm="1">
        <f t="array" ref="CD54">ROW()-ROW(recommendedCutoffTable[#Headers])</f>
        <v>52</v>
      </c>
      <c r="CE54" s="183">
        <f>(recommendedCutoffTable[[#This Row],[index]] - 1) / 100</f>
        <v>0.51</v>
      </c>
      <c r="CF54" s="1" cm="1">
        <f t="array" ref="CF54">ABS(
    numScores
  - 2 * SUMPRODUCT((behaviourScore &lt;&gt; "") * (behaviourScore &lt; recommendedCutoffTable[[#This Row],[cutoffLevel]]))
  )</f>
        <v>0</v>
      </c>
    </row>
    <row r="55" spans="5:84" ht="14.4" customHeight="1" x14ac:dyDescent="0.3">
      <c r="E55" s="9" cm="1">
        <f t="array" ref="E55">ROW()-ROW(UITranslationTable[#Headers])</f>
        <v>53</v>
      </c>
      <c r="F55" s="176" t="s">
        <v>248</v>
      </c>
      <c r="G55" s="176" t="s">
        <v>56</v>
      </c>
      <c r="H55" s="176" t="s">
        <v>63</v>
      </c>
      <c r="W55" s="177" cm="1">
        <f t="array" ref="W55">ROW()-ROW(structuredFormulaeTable[#Headers])</f>
        <v>53</v>
      </c>
      <c r="X55" s="1" t="s">
        <v>420</v>
      </c>
      <c r="Y55" s="1" t="s">
        <v>182</v>
      </c>
      <c r="Z55" s="1" t="str" cm="1">
        <f t="array" aca="1" ref="Z55" ca="1">errorMessages</f>
        <v xml:space="preserve">
1. The "data" sheet cannot be found. Make sure you have imported your data file as a new spreadsheet in this Excel workbook and renamed that sheet "data" (without quotes).</v>
      </c>
      <c r="AA55" s="178" t="s">
        <v>404</v>
      </c>
      <c r="AB55" s="164" t="s">
        <v>413</v>
      </c>
      <c r="CD55" s="1" cm="1">
        <f t="array" ref="CD55">ROW()-ROW(recommendedCutoffTable[#Headers])</f>
        <v>53</v>
      </c>
      <c r="CE55" s="183">
        <f>(recommendedCutoffTable[[#This Row],[index]] - 1) / 100</f>
        <v>0.52</v>
      </c>
      <c r="CF55" s="1" cm="1">
        <f t="array" ref="CF55">ABS(
    numScores
  - 2 * SUMPRODUCT((behaviourScore &lt;&gt; "") * (behaviourScore &lt; recommendedCutoffTable[[#This Row],[cutoffLevel]]))
  )</f>
        <v>0</v>
      </c>
    </row>
    <row r="56" spans="5:84" ht="14.4" customHeight="1" x14ac:dyDescent="0.3">
      <c r="E56" s="9" cm="1">
        <f t="array" ref="E56">ROW()-ROW(UITranslationTable[#Headers])</f>
        <v>54</v>
      </c>
      <c r="F56" s="9" t="s">
        <v>181</v>
      </c>
      <c r="G56" s="176" t="s">
        <v>158</v>
      </c>
      <c r="H56" s="176" t="s">
        <v>159</v>
      </c>
      <c r="W56" s="177" cm="1">
        <f t="array" ref="W56">ROW()-ROW(structuredFormulaeTable[#Headers])</f>
        <v>54</v>
      </c>
      <c r="X56" s="1" t="s">
        <v>420</v>
      </c>
      <c r="Y56" s="1" t="s">
        <v>424</v>
      </c>
      <c r="Z56" s="1" t="b" cm="1">
        <f t="array" aca="1" ref="Z56" ca="1">errorNoDataRefCol</f>
        <v>0</v>
      </c>
      <c r="AA56" s="178" t="s">
        <v>447</v>
      </c>
      <c r="AB56" s="178"/>
      <c r="CD56" s="1" cm="1">
        <f t="array" ref="CD56">ROW()-ROW(recommendedCutoffTable[#Headers])</f>
        <v>54</v>
      </c>
      <c r="CE56" s="183">
        <f>(recommendedCutoffTable[[#This Row],[index]] - 1) / 100</f>
        <v>0.53</v>
      </c>
      <c r="CF56" s="1" cm="1">
        <f t="array" ref="CF56">ABS(
    numScores
  - 2 * SUMPRODUCT((behaviourScore &lt;&gt; "") * (behaviourScore &lt; recommendedCutoffTable[[#This Row],[cutoffLevel]]))
  )</f>
        <v>0</v>
      </c>
    </row>
    <row r="57" spans="5:84" ht="14.4" customHeight="1" x14ac:dyDescent="0.3">
      <c r="E57" s="187" cm="1">
        <f t="array" ref="E57">ROW()-ROW(UITranslationTable[#Headers])</f>
        <v>55</v>
      </c>
      <c r="F57" s="9" t="s">
        <v>224</v>
      </c>
      <c r="G57" s="176" t="str">
        <f>"4." &amp; CHAR(160) &amp; "Translations for charts and data tables"</f>
        <v>4. Translations for charts and data tables</v>
      </c>
      <c r="H57" s="176" t="str">
        <f>"4." &amp; CHAR(160) &amp; "Traductions pour les graphiques et les tableaux de données"</f>
        <v>4. Traductions pour les graphiques et les tableaux de données</v>
      </c>
      <c r="W57" s="177" cm="1">
        <f t="array" ref="W57">ROW()-ROW(structuredFormulaeTable[#Headers])</f>
        <v>55</v>
      </c>
      <c r="X57" s="1" t="s">
        <v>420</v>
      </c>
      <c r="Y57" s="1" t="s">
        <v>422</v>
      </c>
      <c r="Z57" s="1" t="b" cm="1">
        <f t="array" aca="1" ref="Z57" ca="1">errorNoDataSheet</f>
        <v>1</v>
      </c>
      <c r="AA57" s="178" t="s">
        <v>669</v>
      </c>
      <c r="AB57" s="178"/>
      <c r="CD57" s="1" cm="1">
        <f t="array" ref="CD57">ROW()-ROW(recommendedCutoffTable[#Headers])</f>
        <v>55</v>
      </c>
      <c r="CE57" s="183">
        <f>(recommendedCutoffTable[[#This Row],[index]] - 1) / 100</f>
        <v>0.54</v>
      </c>
      <c r="CF57" s="1" cm="1">
        <f t="array" ref="CF57">ABS(
    numScores
  - 2 * SUMPRODUCT((behaviourScore &lt;&gt; "") * (behaviourScore &lt; recommendedCutoffTable[[#This Row],[cutoffLevel]]))
  )</f>
        <v>0</v>
      </c>
    </row>
    <row r="58" spans="5:84" ht="14.4" customHeight="1" x14ac:dyDescent="0.3">
      <c r="E58" s="187" cm="1">
        <f t="array" ref="E58">ROW()-ROW(UITranslationTable[#Headers])</f>
        <v>56</v>
      </c>
      <c r="F58" s="9" t="s">
        <v>225</v>
      </c>
      <c r="G58" s="176" t="s">
        <v>227</v>
      </c>
      <c r="H58" s="176" t="s">
        <v>226</v>
      </c>
      <c r="W58" s="177" cm="1">
        <f t="array" ref="W58">ROW()-ROW(structuredFormulaeTable[#Headers])</f>
        <v>56</v>
      </c>
      <c r="X58" s="1" t="s">
        <v>420</v>
      </c>
      <c r="Y58" s="1" t="s">
        <v>437</v>
      </c>
      <c r="Z58" s="1" t="b" cm="1">
        <f t="array" aca="1" ref="Z58" ca="1">errorRANASBlockMissing</f>
        <v>0</v>
      </c>
      <c r="AA58" s="178" t="s">
        <v>544</v>
      </c>
      <c r="AB58" s="9"/>
      <c r="CD58" s="1" cm="1">
        <f t="array" ref="CD58">ROW()-ROW(recommendedCutoffTable[#Headers])</f>
        <v>56</v>
      </c>
      <c r="CE58" s="183">
        <f>(recommendedCutoffTable[[#This Row],[index]] - 1) / 100</f>
        <v>0.55000000000000004</v>
      </c>
      <c r="CF58" s="1" cm="1">
        <f t="array" ref="CF58">ABS(
    numScores
  - 2 * SUMPRODUCT((behaviourScore &lt;&gt; "") * (behaviourScore &lt; recommendedCutoffTable[[#This Row],[cutoffLevel]]))
  )</f>
        <v>0</v>
      </c>
    </row>
    <row r="59" spans="5:84" ht="14.4" customHeight="1" x14ac:dyDescent="0.3">
      <c r="E59" s="187" cm="1">
        <f t="array" ref="E59">ROW()-ROW(UITranslationTable[#Headers])</f>
        <v>57</v>
      </c>
      <c r="F59" s="9"/>
      <c r="G59" s="176"/>
      <c r="H59" s="176"/>
      <c r="W59" s="177" cm="1">
        <f t="array" ref="W59">ROW()-ROW(structuredFormulaeTable[#Headers])</f>
        <v>57</v>
      </c>
      <c r="X59" s="1" t="s">
        <v>420</v>
      </c>
      <c r="Y59" s="1" t="s">
        <v>423</v>
      </c>
      <c r="Z59" s="1" t="b" cm="1">
        <f t="array" ref="Z59">errorUILanguage</f>
        <v>0</v>
      </c>
      <c r="AA59" s="178" t="s">
        <v>538</v>
      </c>
      <c r="AB59" s="9"/>
      <c r="CD59" s="1" cm="1">
        <f t="array" ref="CD59">ROW()-ROW(recommendedCutoffTable[#Headers])</f>
        <v>57</v>
      </c>
      <c r="CE59" s="183">
        <f>(recommendedCutoffTable[[#This Row],[index]] - 1) / 100</f>
        <v>0.56000000000000005</v>
      </c>
      <c r="CF59" s="1" cm="1">
        <f t="array" ref="CF59">ABS(
    numScores
  - 2 * SUMPRODUCT((behaviourScore &lt;&gt; "") * (behaviourScore &lt; recommendedCutoffTable[[#This Row],[cutoffLevel]]))
  )</f>
        <v>0</v>
      </c>
    </row>
    <row r="60" spans="5:84" ht="14.4" customHeight="1" x14ac:dyDescent="0.3">
      <c r="E60" s="187" cm="1">
        <f t="array" ref="E60">ROW()-ROW(UITranslationTable[#Headers])</f>
        <v>58</v>
      </c>
      <c r="F60" s="9" t="s">
        <v>193</v>
      </c>
      <c r="G60" s="176" t="s">
        <v>228</v>
      </c>
      <c r="H60" s="176" t="s">
        <v>229</v>
      </c>
      <c r="W60" s="177" cm="1">
        <f t="array" ref="W60">ROW()-ROW(structuredFormulaeTable[#Headers])</f>
        <v>58</v>
      </c>
      <c r="X60" s="1" t="s">
        <v>420</v>
      </c>
      <c r="Y60" s="1" t="s">
        <v>105</v>
      </c>
      <c r="Z60" s="1" t="str" cm="1">
        <f t="array" ref="Z60">langSpecBehaviourScore</f>
        <v>Behaviour score</v>
      </c>
      <c r="AA60" s="178" t="s">
        <v>559</v>
      </c>
      <c r="AB60" s="164" t="s">
        <v>409</v>
      </c>
      <c r="CD60" s="1" cm="1">
        <f t="array" ref="CD60">ROW()-ROW(recommendedCutoffTable[#Headers])</f>
        <v>58</v>
      </c>
      <c r="CE60" s="183">
        <f>(recommendedCutoffTable[[#This Row],[index]] - 1) / 100</f>
        <v>0.56999999999999995</v>
      </c>
      <c r="CF60" s="1" cm="1">
        <f t="array" ref="CF60">ABS(
    numScores
  - 2 * SUMPRODUCT((behaviourScore &lt;&gt; "") * (behaviourScore &lt; recommendedCutoffTable[[#This Row],[cutoffLevel]]))
  )</f>
        <v>0</v>
      </c>
    </row>
    <row r="61" spans="5:84" ht="14.4" customHeight="1" x14ac:dyDescent="0.3">
      <c r="E61" s="187" cm="1">
        <f t="array" ref="E61">ROW()-ROW(UITranslationTable[#Headers])</f>
        <v>59</v>
      </c>
      <c r="F61" s="9" t="s">
        <v>230</v>
      </c>
      <c r="G61" s="176" t="s">
        <v>231</v>
      </c>
      <c r="H61" s="176" t="s">
        <v>232</v>
      </c>
      <c r="W61" s="177" cm="1">
        <f t="array" ref="W61">ROW()-ROW(structuredFormulaeTable[#Headers])</f>
        <v>59</v>
      </c>
      <c r="X61" s="1" t="s">
        <v>420</v>
      </c>
      <c r="Y61" s="1" t="s">
        <v>51</v>
      </c>
      <c r="Z61" s="1" t="str" cm="1">
        <f t="array" ref="Z61">langSpecCutoff</f>
        <v>Cutoff level</v>
      </c>
      <c r="AA61" s="178" t="s">
        <v>558</v>
      </c>
      <c r="AB61" s="164" t="s">
        <v>408</v>
      </c>
      <c r="CD61" s="1" cm="1">
        <f t="array" ref="CD61">ROW()-ROW(recommendedCutoffTable[#Headers])</f>
        <v>59</v>
      </c>
      <c r="CE61" s="183">
        <f>(recommendedCutoffTable[[#This Row],[index]] - 1) / 100</f>
        <v>0.57999999999999996</v>
      </c>
      <c r="CF61" s="1" cm="1">
        <f t="array" ref="CF61">ABS(
    numScores
  - 2 * SUMPRODUCT((behaviourScore &lt;&gt; "") * (behaviourScore &lt; recommendedCutoffTable[[#This Row],[cutoffLevel]]))
  )</f>
        <v>0</v>
      </c>
    </row>
    <row r="62" spans="5:84" ht="14.4" customHeight="1" x14ac:dyDescent="0.3">
      <c r="E62" s="187" cm="1">
        <f t="array" ref="E62">ROW()-ROW(UITranslationTable[#Headers])</f>
        <v>60</v>
      </c>
      <c r="F62" s="9" t="s">
        <v>233</v>
      </c>
      <c r="G62" s="176" t="s">
        <v>300</v>
      </c>
      <c r="H62" s="176" t="s">
        <v>301</v>
      </c>
      <c r="W62" s="177" cm="1">
        <f t="array" ref="W62">ROW()-ROW(structuredFormulaeTable[#Headers])</f>
        <v>60</v>
      </c>
      <c r="X62" s="1" t="s">
        <v>420</v>
      </c>
      <c r="Y62" s="1" t="s">
        <v>174</v>
      </c>
      <c r="Z62" s="1" t="str" cm="1">
        <f t="array" ref="Z62">langSpecMeanScore</f>
        <v>Normalised mean score (0‑100%)</v>
      </c>
      <c r="AA62" s="178" t="s">
        <v>561</v>
      </c>
      <c r="AB62" s="164" t="s">
        <v>560</v>
      </c>
      <c r="CD62" s="1" cm="1">
        <f t="array" ref="CD62">ROW()-ROW(recommendedCutoffTable[#Headers])</f>
        <v>60</v>
      </c>
      <c r="CE62" s="183">
        <f>(recommendedCutoffTable[[#This Row],[index]] - 1) / 100</f>
        <v>0.59</v>
      </c>
      <c r="CF62" s="1" cm="1">
        <f t="array" ref="CF62">ABS(
    numScores
  - 2 * SUMPRODUCT((behaviourScore &lt;&gt; "") * (behaviourScore &lt; recommendedCutoffTable[[#This Row],[cutoffLevel]]))
  )</f>
        <v>0</v>
      </c>
    </row>
    <row r="63" spans="5:84" ht="14.4" customHeight="1" x14ac:dyDescent="0.3">
      <c r="E63" s="187" cm="1">
        <f t="array" ref="E63">ROW()-ROW(UITranslationTable[#Headers])</f>
        <v>61</v>
      </c>
      <c r="F63" s="9" t="s">
        <v>234</v>
      </c>
      <c r="G63" s="176" t="s">
        <v>236</v>
      </c>
      <c r="H63" s="176" t="s">
        <v>235</v>
      </c>
      <c r="W63" s="177" cm="1">
        <f t="array" ref="W63">ROW()-ROW(structuredFormulaeTable[#Headers])</f>
        <v>61</v>
      </c>
      <c r="X63" s="1" t="s">
        <v>420</v>
      </c>
      <c r="Y63" s="1" t="s">
        <v>108</v>
      </c>
      <c r="Z63" s="1" t="str" cm="1">
        <f t="array" ref="Z63">langSpecNumResponses</f>
        <v># of responses</v>
      </c>
      <c r="AA63" s="178" t="s">
        <v>562</v>
      </c>
      <c r="AB63" s="164" t="s">
        <v>410</v>
      </c>
      <c r="CD63" s="1" cm="1">
        <f t="array" ref="CD63">ROW()-ROW(recommendedCutoffTable[#Headers])</f>
        <v>61</v>
      </c>
      <c r="CE63" s="183">
        <f>(recommendedCutoffTable[[#This Row],[index]] - 1) / 100</f>
        <v>0.6</v>
      </c>
      <c r="CF63" s="1" cm="1">
        <f t="array" ref="CF63">ABS(
    numScores
  - 2 * SUMPRODUCT((behaviourScore &lt;&gt; "") * (behaviourScore &lt; recommendedCutoffTable[[#This Row],[cutoffLevel]]))
  )</f>
        <v>0</v>
      </c>
    </row>
    <row r="64" spans="5:84" ht="14.4" customHeight="1" x14ac:dyDescent="0.3">
      <c r="E64" s="9" cm="1">
        <f t="array" ref="E64">ROW()-ROW(UITranslationTable[#Headers])</f>
        <v>62</v>
      </c>
      <c r="F64" s="9" t="s">
        <v>50</v>
      </c>
      <c r="G64" s="176" t="s">
        <v>375</v>
      </c>
      <c r="H64" s="176" t="s">
        <v>376</v>
      </c>
      <c r="W64" s="177" cm="1">
        <f t="array" ref="W64">ROW()-ROW(structuredFormulaeTable[#Headers])</f>
        <v>62</v>
      </c>
      <c r="X64" s="1" t="s">
        <v>420</v>
      </c>
      <c r="Y64" s="1" t="s">
        <v>109</v>
      </c>
      <c r="Z64" s="1" t="str" cm="1">
        <f t="array" ref="Z64">langSpecPercentResponses</f>
        <v>% of responses</v>
      </c>
      <c r="AA64" s="178" t="s">
        <v>563</v>
      </c>
      <c r="AB64" s="164" t="s">
        <v>411</v>
      </c>
      <c r="CD64" s="1" cm="1">
        <f t="array" ref="CD64">ROW()-ROW(recommendedCutoffTable[#Headers])</f>
        <v>62</v>
      </c>
      <c r="CE64" s="183">
        <f>(recommendedCutoffTable[[#This Row],[index]] - 1) / 100</f>
        <v>0.61</v>
      </c>
      <c r="CF64" s="1" cm="1">
        <f t="array" ref="CF64">ABS(
    numScores
  - 2 * SUMPRODUCT((behaviourScore &lt;&gt; "") * (behaviourScore &lt; recommendedCutoffTable[[#This Row],[cutoffLevel]]))
  )</f>
        <v>0</v>
      </c>
    </row>
    <row r="65" spans="5:84" ht="14.4" customHeight="1" x14ac:dyDescent="0.3">
      <c r="E65" s="9" cm="1">
        <f t="array" ref="E65">ROW()-ROW(UITranslationTable[#Headers])</f>
        <v>63</v>
      </c>
      <c r="F65" s="9" t="s">
        <v>101</v>
      </c>
      <c r="G65" s="176" t="str" cm="1">
        <f t="array" ref="G65">"ⓘ Recommended cutoff level: " &amp; TEXT(cutoffLevelRecommended, "0%")</f>
        <v>ⓘ Recommended cutoff level: 50%</v>
      </c>
      <c r="H65" s="176" t="str" cm="1">
        <f t="array" ref="H65">"ⓘ Niveau de seuil conseillé: " &amp; TEXT(cutoffLevelRecommended, "0%")</f>
        <v>ⓘ Niveau de seuil conseillé: 50%</v>
      </c>
      <c r="W65" s="177" cm="1">
        <f t="array" ref="W65">ROW()-ROW(structuredFormulaeTable[#Headers])</f>
        <v>63</v>
      </c>
      <c r="X65" s="1" t="s">
        <v>420</v>
      </c>
      <c r="Y65" s="1" t="s">
        <v>362</v>
      </c>
      <c r="AA65" s="178" t="s">
        <v>363</v>
      </c>
      <c r="AB65" s="9"/>
      <c r="CD65" s="1" cm="1">
        <f t="array" ref="CD65">ROW()-ROW(recommendedCutoffTable[#Headers])</f>
        <v>63</v>
      </c>
      <c r="CE65" s="183">
        <f>(recommendedCutoffTable[[#This Row],[index]] - 1) / 100</f>
        <v>0.62</v>
      </c>
      <c r="CF65" s="1" cm="1">
        <f t="array" ref="CF65">ABS(
    numScores
  - 2 * SUMPRODUCT((behaviourScore &lt;&gt; "") * (behaviourScore &lt; recommendedCutoffTable[[#This Row],[cutoffLevel]]))
  )</f>
        <v>0</v>
      </c>
    </row>
    <row r="66" spans="5:84" ht="14.4" customHeight="1" x14ac:dyDescent="0.3">
      <c r="E66" s="9" cm="1">
        <f t="array" ref="E66">ROW()-ROW(UITranslationTable[#Headers])</f>
        <v>64</v>
      </c>
      <c r="F66" s="9" t="s">
        <v>201</v>
      </c>
      <c r="G66" s="176" t="str" cm="1">
        <f t="array" aca="1" ref="G66" ca="1">"Some error has been detected. Please refer to one of the ""Error messages"" boards in the """ &amp; sheetNameConfiguration &amp; """ sheet for detailed explanations."</f>
        <v>Some error has been detected. Please refer to one of the "Error messages" boards in the "Configuration" sheet for detailed explanations.</v>
      </c>
      <c r="H66" s="176" t="str" cm="1">
        <f t="array" aca="1" ref="H66" ca="1">"Une erreur a été détectée. Veuillez vous référer à l'un des panneaux «Messages d'erreur» de la feuille «" &amp; sheetNameConfiguration &amp; "» pour des explications détaillées."</f>
        <v>Une erreur a été détectée. Veuillez vous référer à l'un des panneaux «Messages d'erreur» de la feuille «Configuration» pour des explications détaillées.</v>
      </c>
      <c r="W66" s="177" cm="1">
        <f t="array" ref="W66">ROW()-ROW(structuredFormulaeTable[#Headers])</f>
        <v>64</v>
      </c>
      <c r="X66" s="1" t="s">
        <v>420</v>
      </c>
      <c r="Y66" s="1" t="s">
        <v>278</v>
      </c>
      <c r="Z66" s="1" t="str" cm="1">
        <f t="array" aca="1" ref="Z66" ca="1">localAddressParameter</f>
        <v>address</v>
      </c>
      <c r="AA66" s="178" t="s">
        <v>398</v>
      </c>
      <c r="AB66" s="9"/>
      <c r="CD66" s="1" cm="1">
        <f t="array" ref="CD66">ROW()-ROW(recommendedCutoffTable[#Headers])</f>
        <v>64</v>
      </c>
      <c r="CE66" s="183">
        <f>(recommendedCutoffTable[[#This Row],[index]] - 1) / 100</f>
        <v>0.63</v>
      </c>
      <c r="CF66" s="1" cm="1">
        <f t="array" ref="CF66">ABS(
    numScores
  - 2 * SUMPRODUCT((behaviourScore &lt;&gt; "") * (behaviourScore &lt; recommendedCutoffTable[[#This Row],[cutoffLevel]]))
  )</f>
        <v>0</v>
      </c>
    </row>
    <row r="67" spans="5:84" ht="14.4" customHeight="1" x14ac:dyDescent="0.3">
      <c r="E67" s="9" cm="1">
        <f t="array" ref="E67">ROW()-ROW(UITranslationTable[#Headers])</f>
        <v>65</v>
      </c>
      <c r="F67" s="9" t="s">
        <v>350</v>
      </c>
      <c r="G67" s="176" t="s">
        <v>284</v>
      </c>
      <c r="H67" s="176" t="s">
        <v>282</v>
      </c>
      <c r="W67" s="177" cm="1">
        <f t="array" ref="W67">ROW()-ROW(structuredFormulaeTable[#Headers])</f>
        <v>65</v>
      </c>
      <c r="X67" s="1" t="s">
        <v>420</v>
      </c>
      <c r="Y67" s="1" t="s">
        <v>46</v>
      </c>
      <c r="Z67" s="1" cm="1">
        <f t="array" ref="Z67">maxAbsDiff</f>
        <v>0</v>
      </c>
      <c r="AA67" s="178" t="s">
        <v>403</v>
      </c>
      <c r="AB67" s="9"/>
      <c r="CD67" s="1" cm="1">
        <f t="array" ref="CD67">ROW()-ROW(recommendedCutoffTable[#Headers])</f>
        <v>65</v>
      </c>
      <c r="CE67" s="183">
        <f>(recommendedCutoffTable[[#This Row],[index]] - 1) / 100</f>
        <v>0.64</v>
      </c>
      <c r="CF67" s="1" cm="1">
        <f t="array" ref="CF67">ABS(
    numScores
  - 2 * SUMPRODUCT((behaviourScore &lt;&gt; "") * (behaviourScore &lt; recommendedCutoffTable[[#This Row],[cutoffLevel]]))
  )</f>
        <v>0</v>
      </c>
    </row>
    <row r="68" spans="5:84" ht="14.4" customHeight="1" x14ac:dyDescent="0.3">
      <c r="E68" s="9" cm="1">
        <f t="array" ref="E68">ROW()-ROW(UITranslationTable[#Headers])</f>
        <v>66</v>
      </c>
      <c r="F68" s="9" t="s">
        <v>279</v>
      </c>
      <c r="G68" s="176" t="s">
        <v>283</v>
      </c>
      <c r="H68" s="176" t="s">
        <v>285</v>
      </c>
      <c r="W68" s="177" cm="1">
        <f t="array" ref="W68">ROW()-ROW(structuredFormulaeTable[#Headers])</f>
        <v>66</v>
      </c>
      <c r="X68" s="1" t="s">
        <v>420</v>
      </c>
      <c r="Y68" s="1" t="s">
        <v>365</v>
      </c>
      <c r="Z68" s="1" t="str" cm="1">
        <f t="array" ref="Z68">noLabel</f>
        <v>✘</v>
      </c>
      <c r="AA68" s="178" t="s">
        <v>364</v>
      </c>
      <c r="AB68" s="164" t="s">
        <v>660</v>
      </c>
      <c r="CD68" s="1" cm="1">
        <f t="array" ref="CD68">ROW()-ROW(recommendedCutoffTable[#Headers])</f>
        <v>66</v>
      </c>
      <c r="CE68" s="183">
        <f>(recommendedCutoffTable[[#This Row],[index]] - 1) / 100</f>
        <v>0.65</v>
      </c>
      <c r="CF68" s="1" cm="1">
        <f t="array" ref="CF68">ABS(
    numScores
  - 2 * SUMPRODUCT((behaviourScore &lt;&gt; "") * (behaviourScore &lt; recommendedCutoffTable[[#This Row],[cutoffLevel]]))
  )</f>
        <v>0</v>
      </c>
    </row>
    <row r="69" spans="5:84" ht="14.4" customHeight="1" x14ac:dyDescent="0.3">
      <c r="E69" s="187" cm="1">
        <f t="array" ref="E69">ROW()-ROW(UITranslationTable[#Headers])</f>
        <v>67</v>
      </c>
      <c r="F69" s="9"/>
      <c r="G69" s="176"/>
      <c r="H69" s="176"/>
      <c r="W69" s="1" cm="1">
        <f t="array" ref="W69">ROW()-ROW(structuredFormulaeTable[#Headers])</f>
        <v>67</v>
      </c>
      <c r="X69" s="1" t="s">
        <v>420</v>
      </c>
      <c r="Y69" s="1" t="s">
        <v>92</v>
      </c>
      <c r="Z69" s="1" t="e" cm="1">
        <f t="array" aca="1" ref="Z69" ca="1">numEntries</f>
        <v>#N/A</v>
      </c>
      <c r="AA69" s="178" t="s">
        <v>670</v>
      </c>
      <c r="CD69" s="1" cm="1">
        <f t="array" ref="CD69">ROW()-ROW(recommendedCutoffTable[#Headers])</f>
        <v>67</v>
      </c>
      <c r="CE69" s="183">
        <f>(recommendedCutoffTable[[#This Row],[index]] - 1) / 100</f>
        <v>0.66</v>
      </c>
      <c r="CF69" s="1" cm="1">
        <f t="array" ref="CF69">ABS(
    numScores
  - 2 * SUMPRODUCT((behaviourScore &lt;&gt; "") * (behaviourScore &lt; recommendedCutoffTable[[#This Row],[cutoffLevel]]))
  )</f>
        <v>0</v>
      </c>
    </row>
    <row r="70" spans="5:84" ht="14.4" customHeight="1" x14ac:dyDescent="0.3">
      <c r="E70" s="187" cm="1">
        <f t="array" ref="E70">ROW()-ROW(UITranslationTable[#Headers])</f>
        <v>68</v>
      </c>
      <c r="F70" s="9" t="s">
        <v>194</v>
      </c>
      <c r="G70" s="176" t="s">
        <v>237</v>
      </c>
      <c r="H70" s="176" t="s">
        <v>238</v>
      </c>
      <c r="W70" s="1" cm="1">
        <f t="array" ref="W70">ROW()-ROW(structuredFormulaeTable[#Headers])</f>
        <v>68</v>
      </c>
      <c r="X70" s="1" t="s">
        <v>420</v>
      </c>
      <c r="Y70" s="1" t="s">
        <v>58</v>
      </c>
      <c r="Z70" s="1" cm="1">
        <f t="array" ref="Z70">numFactors</f>
        <v>0</v>
      </c>
      <c r="AA70" s="9" t="s">
        <v>553</v>
      </c>
      <c r="CD70" s="1" cm="1">
        <f t="array" ref="CD70">ROW()-ROW(recommendedCutoffTable[#Headers])</f>
        <v>68</v>
      </c>
      <c r="CE70" s="183">
        <f>(recommendedCutoffTable[[#This Row],[index]] - 1) / 100</f>
        <v>0.67</v>
      </c>
      <c r="CF70" s="1" cm="1">
        <f t="array" ref="CF70">ABS(
    numScores
  - 2 * SUMPRODUCT((behaviourScore &lt;&gt; "") * (behaviourScore &lt; recommendedCutoffTable[[#This Row],[cutoffLevel]]))
  )</f>
        <v>0</v>
      </c>
    </row>
    <row r="71" spans="5:84" ht="14.4" customHeight="1" x14ac:dyDescent="0.3">
      <c r="E71" s="187" cm="1">
        <f t="array" ref="E71">ROW()-ROW(UITranslationTable[#Headers])</f>
        <v>69</v>
      </c>
      <c r="F71" s="9" t="s">
        <v>239</v>
      </c>
      <c r="G71" s="176" t="s">
        <v>342</v>
      </c>
      <c r="H71" s="176" t="s">
        <v>343</v>
      </c>
      <c r="W71" s="1" cm="1">
        <f t="array" ref="W71">ROW()-ROW(structuredFormulaeTable[#Headers])</f>
        <v>69</v>
      </c>
      <c r="X71" s="1" t="s">
        <v>420</v>
      </c>
      <c r="Y71" s="1" t="s">
        <v>169</v>
      </c>
      <c r="Z71" s="1" cm="1">
        <f t="array" ref="Z71">numFactorsChart1</f>
        <v>0</v>
      </c>
      <c r="AA71" s="9" t="s">
        <v>554</v>
      </c>
      <c r="CD71" s="1" cm="1">
        <f t="array" ref="CD71">ROW()-ROW(recommendedCutoffTable[#Headers])</f>
        <v>69</v>
      </c>
      <c r="CE71" s="183">
        <f>(recommendedCutoffTable[[#This Row],[index]] - 1) / 100</f>
        <v>0.68</v>
      </c>
      <c r="CF71" s="1" cm="1">
        <f t="array" ref="CF71">ABS(
    numScores
  - 2 * SUMPRODUCT((behaviourScore &lt;&gt; "") * (behaviourScore &lt; recommendedCutoffTable[[#This Row],[cutoffLevel]]))
  )</f>
        <v>0</v>
      </c>
    </row>
    <row r="72" spans="5:84" ht="14.4" customHeight="1" x14ac:dyDescent="0.3">
      <c r="E72" s="187" cm="1">
        <f t="array" ref="E72">ROW()-ROW(UITranslationTable[#Headers])</f>
        <v>70</v>
      </c>
      <c r="F72" s="9" t="s">
        <v>240</v>
      </c>
      <c r="G72" s="176" t="s">
        <v>241</v>
      </c>
      <c r="H72" s="176" t="s">
        <v>242</v>
      </c>
      <c r="W72" s="1" cm="1">
        <f t="array" ref="W72">ROW()-ROW(structuredFormulaeTable[#Headers])</f>
        <v>70</v>
      </c>
      <c r="X72" s="1" t="s">
        <v>420</v>
      </c>
      <c r="Y72" s="1" t="s">
        <v>170</v>
      </c>
      <c r="Z72" s="1" cm="1">
        <f t="array" ref="Z72">numFactorsChart2</f>
        <v>0</v>
      </c>
      <c r="AA72" s="9" t="s">
        <v>555</v>
      </c>
      <c r="CD72" s="1" cm="1">
        <f t="array" ref="CD72">ROW()-ROW(recommendedCutoffTable[#Headers])</f>
        <v>70</v>
      </c>
      <c r="CE72" s="183">
        <f>(recommendedCutoffTable[[#This Row],[index]] - 1) / 100</f>
        <v>0.69</v>
      </c>
      <c r="CF72" s="1" cm="1">
        <f t="array" ref="CF72">ABS(
    numScores
  - 2 * SUMPRODUCT((behaviourScore &lt;&gt; "") * (behaviourScore &lt; recommendedCutoffTable[[#This Row],[cutoffLevel]]))
  )</f>
        <v>0</v>
      </c>
    </row>
    <row r="73" spans="5:84" ht="14.4" customHeight="1" x14ac:dyDescent="0.3">
      <c r="E73" s="187" cm="1">
        <f t="array" ref="E73">ROW()-ROW(UITranslationTable[#Headers])</f>
        <v>71</v>
      </c>
      <c r="F73" s="9" t="s">
        <v>243</v>
      </c>
      <c r="G73" s="176" t="s">
        <v>244</v>
      </c>
      <c r="H73" s="176" t="s">
        <v>245</v>
      </c>
      <c r="W73" s="1" cm="1">
        <f t="array" ref="W73">ROW()-ROW(structuredFormulaeTable[#Headers])</f>
        <v>71</v>
      </c>
      <c r="X73" s="1" t="s">
        <v>420</v>
      </c>
      <c r="Y73" s="1" t="s">
        <v>45</v>
      </c>
      <c r="Z73" s="1" cm="1">
        <f t="array" ref="Z73">numLanguages</f>
        <v>2</v>
      </c>
      <c r="AA73" s="9" t="s">
        <v>556</v>
      </c>
      <c r="CD73" s="1" cm="1">
        <f t="array" ref="CD73">ROW()-ROW(recommendedCutoffTable[#Headers])</f>
        <v>71</v>
      </c>
      <c r="CE73" s="183">
        <f>(recommendedCutoffTable[[#This Row],[index]] - 1) / 100</f>
        <v>0.7</v>
      </c>
      <c r="CF73" s="1" cm="1">
        <f t="array" ref="CF73">ABS(
    numScores
  - 2 * SUMPRODUCT((behaviourScore &lt;&gt; "") * (behaviourScore &lt; recommendedCutoffTable[[#This Row],[cutoffLevel]]))
  )</f>
        <v>0</v>
      </c>
    </row>
    <row r="74" spans="5:84" ht="14.4" customHeight="1" x14ac:dyDescent="0.3">
      <c r="E74" s="187" cm="1">
        <f t="array" ref="E74">ROW()-ROW(UITranslationTable[#Headers])</f>
        <v>72</v>
      </c>
      <c r="F74" s="9" t="s">
        <v>255</v>
      </c>
      <c r="G74" s="176" t="s">
        <v>271</v>
      </c>
      <c r="H74" s="176" t="s">
        <v>270</v>
      </c>
      <c r="W74" s="1" cm="1">
        <f t="array" ref="W74">ROW()-ROW(structuredFormulaeTable[#Headers])</f>
        <v>72</v>
      </c>
      <c r="X74" s="1" t="s">
        <v>420</v>
      </c>
      <c r="Y74" s="1" t="s">
        <v>80</v>
      </c>
      <c r="Z74" s="1" cm="1">
        <f t="array" ref="Z74">numScores</f>
        <v>0</v>
      </c>
      <c r="AA74" s="9" t="s">
        <v>478</v>
      </c>
      <c r="CD74" s="1" cm="1">
        <f t="array" ref="CD74">ROW()-ROW(recommendedCutoffTable[#Headers])</f>
        <v>72</v>
      </c>
      <c r="CE74" s="183">
        <f>(recommendedCutoffTable[[#This Row],[index]] - 1) / 100</f>
        <v>0.71</v>
      </c>
      <c r="CF74" s="1" cm="1">
        <f t="array" ref="CF74">ABS(
    numScores
  - 2 * SUMPRODUCT((behaviourScore &lt;&gt; "") * (behaviourScore &lt; recommendedCutoffTable[[#This Row],[cutoffLevel]]))
  )</f>
        <v>0</v>
      </c>
    </row>
    <row r="75" spans="5:84" ht="14.4" customHeight="1" x14ac:dyDescent="0.3">
      <c r="E75" s="187" cm="1">
        <f t="array" ref="E75">ROW()-ROW(UITranslationTable[#Headers])</f>
        <v>73</v>
      </c>
      <c r="F75" s="9" t="s">
        <v>256</v>
      </c>
      <c r="G75" s="176" t="str" cm="1">
        <f t="array" aca="1" ref="G75" ca="1">"No sorting is applied. The factors are displayed in the same order as in the """ &amp; sheetNameConfiguration &amp; """ sheet."</f>
        <v>No sorting is applied. The factors are displayed in the same order as in the "Configuration" sheet.</v>
      </c>
      <c r="H75" s="176" t="str" cm="1">
        <f t="array" aca="1" ref="H75" ca="1">"Aucun tri n'est appliqué. Les facteurs sont affichés dans le même ordre que sur la feuille «" &amp; sheetNameConfiguration &amp; "»."</f>
        <v>Aucun tri n'est appliqué. Les facteurs sont affichés dans le même ordre que sur la feuille «Configuration».</v>
      </c>
      <c r="W75" s="1" cm="1">
        <f t="array" ref="W75">ROW()-ROW(structuredFormulaeTable[#Headers])</f>
        <v>73</v>
      </c>
      <c r="X75" s="1" t="s">
        <v>420</v>
      </c>
      <c r="Y75" s="1" t="s">
        <v>367</v>
      </c>
      <c r="AA75" s="178" t="s">
        <v>366</v>
      </c>
      <c r="CD75" s="1" cm="1">
        <f t="array" ref="CD75">ROW()-ROW(recommendedCutoffTable[#Headers])</f>
        <v>73</v>
      </c>
      <c r="CE75" s="183">
        <f>(recommendedCutoffTable[[#This Row],[index]] - 1) / 100</f>
        <v>0.72</v>
      </c>
      <c r="CF75" s="1" cm="1">
        <f t="array" ref="CF75">ABS(
    numScores
  - 2 * SUMPRODUCT((behaviourScore &lt;&gt; "") * (behaviourScore &lt; recommendedCutoffTable[[#This Row],[cutoffLevel]]))
  )</f>
        <v>0</v>
      </c>
    </row>
    <row r="76" spans="5:84" ht="14.4" customHeight="1" x14ac:dyDescent="0.3">
      <c r="E76" s="187" cm="1">
        <f t="array" ref="E76">ROW()-ROW(UITranslationTable[#Headers])</f>
        <v>74</v>
      </c>
      <c r="F76" s="9" t="s">
        <v>257</v>
      </c>
      <c r="G76" s="176" t="s">
        <v>260</v>
      </c>
      <c r="H76" s="176" t="s">
        <v>263</v>
      </c>
      <c r="W76" s="1" cm="1">
        <f t="array" ref="W76">ROW()-ROW(structuredFormulaeTable[#Headers])</f>
        <v>74</v>
      </c>
      <c r="X76" s="1" t="s">
        <v>420</v>
      </c>
      <c r="Y76" s="1" t="s">
        <v>277</v>
      </c>
      <c r="Z76" s="1" t="str" cm="1">
        <f t="array" aca="1" ref="Z76" ca="1">sheetNameAnalysis</f>
        <v>Analysis</v>
      </c>
      <c r="AA76" s="178" t="s">
        <v>402</v>
      </c>
      <c r="AB76" s="164" t="s">
        <v>686</v>
      </c>
      <c r="CD76" s="1" cm="1">
        <f t="array" ref="CD76">ROW()-ROW(recommendedCutoffTable[#Headers])</f>
        <v>74</v>
      </c>
      <c r="CE76" s="183">
        <f>(recommendedCutoffTable[[#This Row],[index]] - 1) / 100</f>
        <v>0.73</v>
      </c>
      <c r="CF76" s="1" cm="1">
        <f t="array" ref="CF76">ABS(
    numScores
  - 2 * SUMPRODUCT((behaviourScore &lt;&gt; "") * (behaviourScore &lt; recommendedCutoffTable[[#This Row],[cutoffLevel]]))
  )</f>
        <v>0</v>
      </c>
    </row>
    <row r="77" spans="5:84" ht="14.4" customHeight="1" x14ac:dyDescent="0.3">
      <c r="E77" s="187" cm="1">
        <f t="array" ref="E77">ROW()-ROW(UITranslationTable[#Headers])</f>
        <v>75</v>
      </c>
      <c r="F77" s="9" t="s">
        <v>258</v>
      </c>
      <c r="G77" s="176" t="s">
        <v>261</v>
      </c>
      <c r="H77" s="176" t="s">
        <v>264</v>
      </c>
      <c r="W77" s="1" cm="1">
        <f t="array" ref="W77">ROW()-ROW(structuredFormulaeTable[#Headers])</f>
        <v>75</v>
      </c>
      <c r="X77" s="1" t="s">
        <v>420</v>
      </c>
      <c r="Y77" s="1" t="s">
        <v>275</v>
      </c>
      <c r="Z77" s="1" t="str" cm="1">
        <f t="array" aca="1" ref="Z77" ca="1">sheetNameConfiguration</f>
        <v>Configuration</v>
      </c>
      <c r="AA77" s="9" t="s">
        <v>400</v>
      </c>
      <c r="AB77" s="164" t="s">
        <v>682</v>
      </c>
      <c r="CD77" s="1" cm="1">
        <f t="array" ref="CD77">ROW()-ROW(recommendedCutoffTable[#Headers])</f>
        <v>75</v>
      </c>
      <c r="CE77" s="183">
        <f>(recommendedCutoffTable[[#This Row],[index]] - 1) / 100</f>
        <v>0.74</v>
      </c>
      <c r="CF77" s="1" cm="1">
        <f t="array" ref="CF77">ABS(
    numScores
  - 2 * SUMPRODUCT((behaviourScore &lt;&gt; "") * (behaviourScore &lt; recommendedCutoffTable[[#This Row],[cutoffLevel]]))
  )</f>
        <v>0</v>
      </c>
    </row>
    <row r="78" spans="5:84" ht="14.4" customHeight="1" x14ac:dyDescent="0.3">
      <c r="E78" s="187" cm="1">
        <f t="array" ref="E78">ROW()-ROW(UITranslationTable[#Headers])</f>
        <v>76</v>
      </c>
      <c r="F78" s="9" t="s">
        <v>259</v>
      </c>
      <c r="G78" s="176" t="s">
        <v>262</v>
      </c>
      <c r="H78" s="176" t="s">
        <v>265</v>
      </c>
      <c r="W78" s="1" cm="1">
        <f t="array" ref="W78">ROW()-ROW(structuredFormulaeTable[#Headers])</f>
        <v>76</v>
      </c>
      <c r="X78" s="1" t="s">
        <v>420</v>
      </c>
      <c r="Y78" s="1" t="s">
        <v>276</v>
      </c>
      <c r="Z78" s="1" t="str" cm="1">
        <f t="array" aca="1" ref="Z78" ca="1">sheetNameCutoff</f>
        <v>Cutoff - Seuil</v>
      </c>
      <c r="AA78" s="9" t="s">
        <v>401</v>
      </c>
      <c r="AB78" s="164" t="s">
        <v>683</v>
      </c>
      <c r="CD78" s="1" cm="1">
        <f t="array" ref="CD78">ROW()-ROW(recommendedCutoffTable[#Headers])</f>
        <v>76</v>
      </c>
      <c r="CE78" s="183">
        <f>(recommendedCutoffTable[[#This Row],[index]] - 1) / 100</f>
        <v>0.75</v>
      </c>
      <c r="CF78" s="1" cm="1">
        <f t="array" ref="CF78">ABS(
    numScores
  - 2 * SUMPRODUCT((behaviourScore &lt;&gt; "") * (behaviourScore &lt; recommendedCutoffTable[[#This Row],[cutoffLevel]]))
  )</f>
        <v>0</v>
      </c>
    </row>
    <row r="79" spans="5:84" ht="14.4" customHeight="1" x14ac:dyDescent="0.3">
      <c r="E79" s="187" cm="1">
        <f t="array" ref="E79">ROW()-ROW(UITranslationTable[#Headers])</f>
        <v>77</v>
      </c>
      <c r="F79" s="9" t="s">
        <v>191</v>
      </c>
      <c r="G79" s="176" t="s">
        <v>144</v>
      </c>
      <c r="H79" s="176" t="s">
        <v>192</v>
      </c>
      <c r="W79" s="1" cm="1">
        <f t="array" ref="W79">ROW()-ROW(structuredFormulaeTable[#Headers])</f>
        <v>77</v>
      </c>
      <c r="X79" s="1" t="s">
        <v>420</v>
      </c>
      <c r="Y79" s="1" t="s">
        <v>274</v>
      </c>
      <c r="Z79" s="1" t="str" cm="1">
        <f t="array" aca="1" ref="Z79" ca="1">sheetNameHiddenTables</f>
        <v>HiddenTables</v>
      </c>
      <c r="AA79" s="9" t="s">
        <v>479</v>
      </c>
      <c r="AB79" s="164" t="s">
        <v>684</v>
      </c>
      <c r="CD79" s="1" cm="1">
        <f t="array" ref="CD79">ROW()-ROW(recommendedCutoffTable[#Headers])</f>
        <v>77</v>
      </c>
      <c r="CE79" s="183">
        <f>(recommendedCutoffTable[[#This Row],[index]] - 1) / 100</f>
        <v>0.76</v>
      </c>
      <c r="CF79" s="1" cm="1">
        <f t="array" ref="CF79">ABS(
    numScores
  - 2 * SUMPRODUCT((behaviourScore &lt;&gt; "") * (behaviourScore &lt; recommendedCutoffTable[[#This Row],[cutoffLevel]]))
  )</f>
        <v>0</v>
      </c>
    </row>
    <row r="80" spans="5:84" ht="14.4" customHeight="1" x14ac:dyDescent="0.3">
      <c r="E80" s="187" cm="1">
        <f t="array" ref="E80">ROW()-ROW(UITranslationTable[#Headers])</f>
        <v>78</v>
      </c>
      <c r="F80" s="9"/>
      <c r="G80" s="176"/>
      <c r="H80" s="176"/>
      <c r="W80" s="1" cm="1">
        <f t="array" ref="W80">ROW()-ROW(structuredFormulaeTable[#Headers])</f>
        <v>78</v>
      </c>
      <c r="X80" s="1" t="s">
        <v>420</v>
      </c>
      <c r="Y80" s="1" t="s">
        <v>341</v>
      </c>
      <c r="Z80" s="1" t="str" cm="1">
        <f t="array" aca="1" ref="Z80" ca="1">sheetNameIntroduction</f>
        <v>Introduction</v>
      </c>
      <c r="AA80" s="9" t="s">
        <v>399</v>
      </c>
      <c r="AB80" s="164" t="s">
        <v>685</v>
      </c>
      <c r="CD80" s="1" cm="1">
        <f t="array" ref="CD80">ROW()-ROW(recommendedCutoffTable[#Headers])</f>
        <v>78</v>
      </c>
      <c r="CE80" s="183">
        <f>(recommendedCutoffTable[[#This Row],[index]] - 1) / 100</f>
        <v>0.77</v>
      </c>
      <c r="CF80" s="1" cm="1">
        <f t="array" ref="CF80">ABS(
    numScores
  - 2 * SUMPRODUCT((behaviourScore &lt;&gt; "") * (behaviourScore &lt; recommendedCutoffTable[[#This Row],[cutoffLevel]]))
  )</f>
        <v>0</v>
      </c>
    </row>
    <row r="81" spans="5:84" ht="14.4" customHeight="1" x14ac:dyDescent="0.3">
      <c r="E81" s="187" cm="1">
        <f t="array" ref="E81">ROW()-ROW(UITranslationTable[#Headers])</f>
        <v>79</v>
      </c>
      <c r="F81" s="9" t="s">
        <v>377</v>
      </c>
      <c r="G81" s="176" t="s">
        <v>389</v>
      </c>
      <c r="H81" s="176" t="s">
        <v>390</v>
      </c>
      <c r="W81" s="1" cm="1">
        <f t="array" ref="W81">ROW()-ROW(structuredFormulaeTable[#Headers])</f>
        <v>79</v>
      </c>
      <c r="X81" s="1" t="s">
        <v>420</v>
      </c>
      <c r="Y81" s="1" t="s">
        <v>172</v>
      </c>
      <c r="Z81" s="1" t="str" cm="1">
        <f t="array" ref="Z81">sortingMethodTag</f>
        <v>absDiff</v>
      </c>
      <c r="AA81" s="9" t="s">
        <v>557</v>
      </c>
      <c r="AB81" s="164" t="s">
        <v>407</v>
      </c>
      <c r="CD81" s="1" cm="1">
        <f t="array" ref="CD81">ROW()-ROW(recommendedCutoffTable[#Headers])</f>
        <v>79</v>
      </c>
      <c r="CE81" s="183">
        <f>(recommendedCutoffTable[[#This Row],[index]] - 1) / 100</f>
        <v>0.78</v>
      </c>
      <c r="CF81" s="1" cm="1">
        <f t="array" ref="CF81">ABS(
    numScores
  - 2 * SUMPRODUCT((behaviourScore &lt;&gt; "") * (behaviourScore &lt; recommendedCutoffTable[[#This Row],[cutoffLevel]]))
  )</f>
        <v>0</v>
      </c>
    </row>
    <row r="82" spans="5:84" ht="14.4" customHeight="1" x14ac:dyDescent="0.3">
      <c r="E82" s="187" cm="1">
        <f t="array" ref="E82">ROW()-ROW(UITranslationTable[#Headers])</f>
        <v>80</v>
      </c>
      <c r="F82" s="9" t="s">
        <v>378</v>
      </c>
      <c r="G82" s="176" t="str" cm="1">
        <f t="array" aca="1" ref="G82" ca="1">"In this demo file, an example of a dataset for a RANAS survey has already been imported in the """ &amp; sheetNameData &amp; """ spreadsheet, and the """ &amp; sheetNameConfiguration &amp; """ sheet has been filled accordingly. The goal is to illustrate how to use the RANAS Analyser based on a concrete example, by following the description below." &amp; " However, it remains important to carefully read the instructions given in each sheet, in order to configure and use the tool properly with your own dataset." &amp; CHAR(10) &amp; CHAR(10)
&amp; "In this dataset, each row corresponds to a respondent's answers to the RANAS questionnaire. The answers to a particular question appear in the corresponding column." &amp; " Note that, for the sake of clarity, only the data columns relevant to this demonstration have been kept in the dataset."</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 Note that, for the sake of clarity, only the data columns relevant to this demonstration have been kept in the dataset.</v>
      </c>
      <c r="H82" s="176" t="str" cm="1">
        <f t="array" aca="1" ref="H82" ca="1">"Dans ce fichier de démonstration, un exemple de jeu de données pour une enquête RANAS a déjà été importé dans la feuille «" &amp; sheetNameData &amp; "», et la feuille «" &amp; sheetNameConfiguration &amp; "» a été remplie en conséquence. Le but est d'illustrer à l'aide d'un exemple concret comment utiliser le RANAS Analyser, en suivant la description ci-dessous." &amp; " Il reste toutefois important de lire attentivement les instructions fournies sur chaque feuille, afin de configurer et d'utiliser l'outil correctement avec votre propre jeu de données." &amp; CHAR(10) &amp; CHAR(10)
&amp; "Dans ce jeu de données, chaque ligne correspond aux réponses d'un répondant au questionnaire RANAS. Les réponses à une question donnée apparaissent dans la colonne correspondante." &amp; " Notez que, par souci de clarté, seules les colonnes de données utiles à cette démonstration ont été conservées dans le jeu de données."</f>
        <v>Dans ce fichier de démonstration, un exemple de jeu de données pour une enquête RANAS a déjà été importé dans la feuille «data», et la feuille «Configuration» a été remplie en conséquence. Le but est d'illustrer à l'aide d'un exemple concret comment utiliser le RANAS Analyser, en suivant la description ci-dessous. Il reste toutefois important de lire attentivement les instructions fournies sur chaque feuille, afin de configurer et d'utiliser l'outil correctement avec votre propre jeu de données.
Dans ce jeu de données, chaque ligne correspond aux réponses d'un répondant au questionnaire RANAS. Les réponses à une question donnée apparaissent dans la colonne correspondante. Notez que, par souci de clarté, seules les colonnes de données utiles à cette démonstration ont été conservées dans le jeu de données.</v>
      </c>
      <c r="W82" s="1" cm="1">
        <f t="array" ref="W82">ROW()-ROW(structuredFormulaeTable[#Headers])</f>
        <v>80</v>
      </c>
      <c r="X82" s="1" t="s">
        <v>420</v>
      </c>
      <c r="Y82" s="1" t="s">
        <v>369</v>
      </c>
      <c r="AA82" s="178" t="s">
        <v>368</v>
      </c>
      <c r="AB82" s="176"/>
      <c r="CD82" s="1" cm="1">
        <f t="array" ref="CD82">ROW()-ROW(recommendedCutoffTable[#Headers])</f>
        <v>80</v>
      </c>
      <c r="CE82" s="183">
        <f>(recommendedCutoffTable[[#This Row],[index]] - 1) / 100</f>
        <v>0.79</v>
      </c>
      <c r="CF82" s="1" cm="1">
        <f t="array" ref="CF82">ABS(
    numScores
  - 2 * SUMPRODUCT((behaviourScore &lt;&gt; "") * (behaviourScore &lt; recommendedCutoffTable[[#This Row],[cutoffLevel]]))
  )</f>
        <v>0</v>
      </c>
    </row>
    <row r="83" spans="5:84" ht="14.4" customHeight="1" x14ac:dyDescent="0.3">
      <c r="E83" s="187" cm="1">
        <f t="array" ref="E83">ROW()-ROW(UITranslationTable[#Headers])</f>
        <v>81</v>
      </c>
      <c r="F83" s="9" t="s">
        <v>379</v>
      </c>
      <c r="G83" s="176" t="str" cm="1">
        <f t="array" aca="1" ref="G83" ca="1">"Setting up the """ &amp; sheetNameConfiguration &amp; """ sheet"</f>
        <v>Setting up the "Configuration" sheet</v>
      </c>
      <c r="H83" s="176" t="str" cm="1">
        <f t="array" aca="1" ref="H83" ca="1">"Paramétrer la feuille «" &amp; sheetNameConfiguration &amp; "»"</f>
        <v>Paramétrer la feuille «Configuration»</v>
      </c>
      <c r="W83" s="1" cm="1">
        <f t="array" ref="W83">ROW()-ROW(structuredFormulaeTable[#Headers])</f>
        <v>81</v>
      </c>
      <c r="X83" s="1" t="s">
        <v>420</v>
      </c>
      <c r="Y83" s="1" t="s">
        <v>370</v>
      </c>
      <c r="AA83" s="178" t="s">
        <v>663</v>
      </c>
      <c r="AB83" s="176"/>
      <c r="CD83" s="1" cm="1">
        <f t="array" ref="CD83">ROW()-ROW(recommendedCutoffTable[#Headers])</f>
        <v>81</v>
      </c>
      <c r="CE83" s="183">
        <f>(recommendedCutoffTable[[#This Row],[index]] - 1) / 100</f>
        <v>0.8</v>
      </c>
      <c r="CF83" s="1" cm="1">
        <f t="array" ref="CF83">ABS(
    numScores
  - 2 * SUMPRODUCT((behaviourScore &lt;&gt; "") * (behaviourScore &lt; recommendedCutoffTable[[#This Row],[cutoffLevel]]))
  )</f>
        <v>0</v>
      </c>
    </row>
    <row r="84" spans="5:84" ht="14.4" customHeight="1" x14ac:dyDescent="0.3">
      <c r="E84" s="187" cm="1">
        <f t="array" ref="E84">ROW()-ROW(UITranslationTable[#Headers])</f>
        <v>82</v>
      </c>
      <c r="F84" s="9" t="s">
        <v>380</v>
      </c>
      <c r="G84" s="176" t="str" cm="1">
        <f t="array" ref="G84">"In this example, 4 ""behaviour"" subscores have been computed in their own columns (highlighted in yellow in the """ &amp; sheetNameData &amp; """ sheet), based on certain behaviour questions:" &amp; CHAR(10)
&amp; "- behaviour1, based on questions B_b2 to B_b5, can range from -5 to 5" &amp; CHAR(10)
&amp; "- behaviour2, based on question B_b6, can range from 5 to 20" &amp; CHAR(10)
&amp; "- behaviour3, based on question B_b7, can range from 0 to 3" &amp; CHAR(10)
&amp; "- behaviour4, based on question B_b8, can range from 1 to 5"</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H84" s="176" t="str" cm="1">
        <f t="array" ref="H84">"Dans cet exemple, 4 «sous-scores» ont été calculés dans leurs propres colonnes (colorées en jaune sur la feuille «" &amp; sheetNameData &amp; "» ), à partir de certaines questions «comportement»:" &amp; CHAR(10)
&amp; "- behaviour1, à partir des questions B_b2 à B_b5, peut être compris entre -5 et 5" &amp; CHAR(10)
&amp; "- behaviour2, à partir de la question B_b6, peut être compris entre 5 et 20" &amp; CHAR(10)
&amp; "- behaviour3, à partir de la question B_b7, peut être compris entre 0 et 3" &amp; CHAR(10)
&amp; "- behaviour4, à partir de la question B_b8, peut être compris entre 1 et 5"</f>
        <v>Dans cet exemple, 4 «sous-scores» ont été calculés dans leurs propres colonnes (colorées en jaune sur la feuille «data» ), à partir de certaines questions «comportement»:
- behaviour1, à partir des questions B_b2 à B_b5, peut être compris entre -5 et 5
- behaviour2, à partir de la question B_b6, peut être compris entre 5 et 20
- behaviour3, à partir de la question B_b7, peut être compris entre 0 et 3
- behaviour4, à partir de la question B_b8, peut être compris entre 1 et 5</v>
      </c>
      <c r="W84" s="177" cm="1">
        <f t="array" ref="W84">ROW()-ROW(structuredFormulaeTable[#Headers])</f>
        <v>82</v>
      </c>
      <c r="X84" s="1" t="s">
        <v>420</v>
      </c>
      <c r="Y84" s="1" t="s">
        <v>372</v>
      </c>
      <c r="Z84" s="1" t="str" cm="1">
        <f t="array" ref="Z84">yesLabel</f>
        <v>✔</v>
      </c>
      <c r="AA84" s="178" t="s">
        <v>371</v>
      </c>
      <c r="AB84" s="164" t="s">
        <v>661</v>
      </c>
      <c r="CD84" s="1" cm="1">
        <f t="array" ref="CD84">ROW()-ROW(recommendedCutoffTable[#Headers])</f>
        <v>82</v>
      </c>
      <c r="CE84" s="183">
        <f>(recommendedCutoffTable[[#This Row],[index]] - 1) / 100</f>
        <v>0.81</v>
      </c>
      <c r="CF84" s="1" cm="1">
        <f t="array" ref="CF84">ABS(
    numScores
  - 2 * SUMPRODUCT((behaviourScore &lt;&gt; "") * (behaviourScore &lt; recommendedCutoffTable[[#This Row],[cutoffLevel]]))
  )</f>
        <v>0</v>
      </c>
    </row>
    <row r="85" spans="5:84" ht="14.4" customHeight="1" x14ac:dyDescent="0.3">
      <c r="E85" s="187" cm="1">
        <f t="array" ref="E85">ROW()-ROW(UITranslationTable[#Headers])</f>
        <v>83</v>
      </c>
      <c r="F85" s="9" t="s">
        <v>381</v>
      </c>
      <c r="G85" s="176" t="str" cm="1">
        <f t="array" aca="1" ref="G85" ca="1">"These 4 data headers and pairs of minimum and maximum scores are entered in the ""Behaviour"" table of the """ &amp; sheetNameConfiguration &amp; """ sheet. Note that each of these 4 columns could be either precomputed within the questionnaire, if its definition has been decided before the survey took place," &amp; " or defined and computed after data collection, by inserting a dedicated new column in the """ &amp; sheetNameData &amp; """ sheet."</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H85" s="176" t="str" cm="1">
        <f t="array" aca="1" ref="H85" ca="1">"Ces 4 en-têtes de données et paires de scores minimums et maximums sont saisis dans le tableau «Comportement» de la feuille «" &amp; sheetNameConfiguration &amp; "». Notez que chacune de ces 4 colonnes pourrait être soit précalculée au sein même du questionnaire, si sa définition a été établie avant que l'enquête soit faite," &amp; " soit définie et calculée après la collecte de données, en insérant une colonne dédiée sur la feuille «" &amp; sheetNameData &amp; "»."</f>
        <v>Ces 4 en-têtes de données et paires de scores minimums et maximums sont saisis dans le tableau «Comportement» de la feuille «Configuration». Notez que chacune de ces 4 colonnes pourrait être soit précalculée au sein même du questionnaire, si sa définition a été établie avant que l'enquête soit faite, soit définie et calculée après la collecte de données, en insérant une colonne dédiée sur la feuille «data».</v>
      </c>
      <c r="W85" s="177" cm="1">
        <f t="array" ref="W85">ROW()-ROW(structuredFormulaeTable[#Headers])</f>
        <v>83</v>
      </c>
      <c r="X85" s="1" t="s">
        <v>420</v>
      </c>
      <c r="Y85" s="1" t="s">
        <v>374</v>
      </c>
      <c r="AA85" s="178" t="s">
        <v>373</v>
      </c>
      <c r="AB85" s="188"/>
      <c r="CD85" s="1" cm="1">
        <f t="array" ref="CD85">ROW()-ROW(recommendedCutoffTable[#Headers])</f>
        <v>83</v>
      </c>
      <c r="CE85" s="183">
        <f>(recommendedCutoffTable[[#This Row],[index]] - 1) / 100</f>
        <v>0.82</v>
      </c>
      <c r="CF85" s="1" cm="1">
        <f t="array" ref="CF85">ABS(
    numScores
  - 2 * SUMPRODUCT((behaviourScore &lt;&gt; "") * (behaviourScore &lt; recommendedCutoffTable[[#This Row],[cutoffLevel]]))
  )</f>
        <v>0</v>
      </c>
    </row>
    <row r="86" spans="5:84" ht="14.4" customHeight="1" x14ac:dyDescent="0.3">
      <c r="E86" s="187" cm="1">
        <f t="array" ref="E86">ROW()-ROW(UITranslationTable[#Headers])</f>
        <v>84</v>
      </c>
      <c r="F86" s="9" t="s">
        <v>382</v>
      </c>
      <c r="G86" s="176" t="str" cm="1">
        <f t="array" ref="G86">"The dataset also contains columns (highlighted in blue) for 17 RANAS factors, each displaying a score based on the answers to one or more questions related to that factor." &amp; " Here as well, each of these 17 scores could be precomputed within the questionnaire or computed afterwards within the """ &amp; sheetNameData &amp; """ sheet."</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H86" s="176" t="str" cm="1">
        <f t="array" ref="H86">"Le jeu de données contient aussi des colonnes (colorées en bleu) pour 17 facteurs RANAS, chacune affichant un score basé sur les réponses à une ou plusieurs questions en lien avec ce facteur." &amp; " Là aussi, chacun de ces 17 scores pourrait être précalculé au sein du questionnaire ou calculé par la suite sur la feuille «" &amp; sheetNameData &amp; "»."</f>
        <v>Le jeu de données contient aussi des colonnes (colorées en bleu) pour 17 facteurs RANAS, chacune affichant un score basé sur les réponses à une ou plusieurs questions en lien avec ce facteur. Là aussi, chacun de ces 17 scores pourrait être précalculé au sein du questionnaire ou calculé par la suite sur la feuille «data».</v>
      </c>
      <c r="W86" s="177" cm="1">
        <f t="array" ref="W86">ROW()-ROW(structuredFormulaeTable[#Headers])</f>
        <v>84</v>
      </c>
      <c r="X86" s="1" t="s">
        <v>565</v>
      </c>
      <c r="Y86" s="1" t="s">
        <v>566</v>
      </c>
      <c r="AA86" s="178" t="s">
        <v>574</v>
      </c>
      <c r="AB86" s="9"/>
      <c r="CD86" s="1" cm="1">
        <f t="array" ref="CD86">ROW()-ROW(recommendedCutoffTable[#Headers])</f>
        <v>84</v>
      </c>
      <c r="CE86" s="183">
        <f>(recommendedCutoffTable[[#This Row],[index]] - 1) / 100</f>
        <v>0.83</v>
      </c>
      <c r="CF86" s="1" cm="1">
        <f t="array" ref="CF86">ABS(
    numScores
  - 2 * SUMPRODUCT((behaviourScore &lt;&gt; "") * (behaviourScore &lt; recommendedCutoffTable[[#This Row],[cutoffLevel]]))
  )</f>
        <v>0</v>
      </c>
    </row>
    <row r="87" spans="5:84" ht="14.4" customHeight="1" x14ac:dyDescent="0.3">
      <c r="E87" s="187" cm="1">
        <f t="array" ref="E87">ROW()-ROW(UITranslationTable[#Headers])</f>
        <v>85</v>
      </c>
      <c r="F87" s="9" t="s">
        <v>383</v>
      </c>
      <c r="G87" s="188" t="str" cm="1">
        <f t="array" aca="1" ref="G87" ca="1">"The data header and minimum and maximum possible scores for each factor are entered in the ""RANAS factors"" table of the """ &amp;sheetNameConfiguration &amp; """ sheet. Then, the appropriate ""RANAS block"" is selected from the drop-down menu in the corresponding column, and a label is provided for each factor in English and in French." &amp; " Finally, for the sake of example, ""Español"" is defined as a custom language and corresponding labels are entered, and the ""Español"" column in the table under """ &amp; _xlfn.XLOOKUP("configChartsTitle", UITranslationTable[tag], UITranslationTable[English]) &amp; """ is completed as well. As a result, ""Español"" is now available in the ""Chart language"" drop-down menu of the """ &amp; sheetNameIntroduction &amp; """ sheet: selecting it will change the text in charts and data tables accordingly." &amp; " Note that labels and translations for charts and tables MUST be provided at least for the selected ""Chart language""."</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H87" s="176" t="str" cm="1">
        <f t="array" aca="1" ref="H87" ca="1">"L'en-tête de données et les scores minimum et maximum possibles sont saisis pour chaque facteur dans le tableau «Facteurs RANAS» de la feuille «" &amp;sheetNameConfiguration &amp; "». Puis, le bloc RANAS approprié est sélectionné dans le menu déroulant de la colonne correspondante, et une étiquette est saisie pour chaque facteur en anglais et en français." &amp; " Finalement, à titre d'exemple, «Español» est défini comme langue personnalisée et des étiquettes correspondantes sont saisies, et la colonne «Español» du tableau sous «" &amp; _xlfn.XLOOKUP("configChartsTitle", UITranslationTable[tag], UITranslationTable[Français]) &amp; "» est également complétée. Ainsi, «Español» est désormais disponible dans le menu déroulant «Langue des graphiques» de la feuille «" &amp; sheetNameIntroduction &amp; "»: en le sélectionnant, le texte des graphiques et des tableaux de données sera modifié en conséquence." &amp; " Notez que les étiquettes et les traductions pour les graphiques et tableaux DOIVENT être renseignées au moins pour la «Langue des graphiques» sélectionnée."</f>
        <v>L'en-tête de données et les scores minimum et maximum possibles sont saisis pour chaque facteur dans le tableau «Facteurs RANAS» de la feuille «Configuration». Puis, le bloc RANAS approprié est sélectionné dans le menu déroulant de la colonne correspondante, et une étiquette est saisie pour chaque facteur en anglais et en français. Finalement, à titre d'exemple, «Español» est défini comme langue personnalisée et des étiquettes correspondantes sont saisies, et la colonne «Español» du tableau sous «4. Traductions pour les graphiques et les tableaux de données» est également complétée. Ainsi, «Español» est désormais disponible dans le menu déroulant «Langue des graphiques» de la feuille «Introduction»: en le sélectionnant, le texte des graphiques et des tableaux de données sera modifié en conséquence. Notez que les étiquettes et les traductions pour les graphiques et tableaux DOIVENT être renseignées au moins pour la «Langue des graphiques» sélectionnée.</v>
      </c>
      <c r="W87" s="177" cm="1">
        <f t="array" ref="W87">ROW()-ROW(structuredFormulaeTable[#Headers])</f>
        <v>85</v>
      </c>
      <c r="X87" s="1" t="s">
        <v>565</v>
      </c>
      <c r="Y87" s="1" t="s">
        <v>567</v>
      </c>
      <c r="AA87" s="178" t="s">
        <v>573</v>
      </c>
      <c r="AB87" s="9"/>
      <c r="CD87" s="1" cm="1">
        <f t="array" ref="CD87">ROW()-ROW(recommendedCutoffTable[#Headers])</f>
        <v>85</v>
      </c>
      <c r="CE87" s="183">
        <f>(recommendedCutoffTable[[#This Row],[index]] - 1) / 100</f>
        <v>0.84</v>
      </c>
      <c r="CF87" s="1" cm="1">
        <f t="array" ref="CF87">ABS(
    numScores
  - 2 * SUMPRODUCT((behaviourScore &lt;&gt; "") * (behaviourScore &lt; recommendedCutoffTable[[#This Row],[cutoffLevel]]))
  )</f>
        <v>0</v>
      </c>
    </row>
    <row r="88" spans="5:84" ht="14.4" customHeight="1" x14ac:dyDescent="0.3">
      <c r="E88" s="187" cm="1">
        <f t="array" ref="E88">ROW()-ROW(UITranslationTable[#Headers])</f>
        <v>86</v>
      </c>
      <c r="F88" s="9" t="s">
        <v>384</v>
      </c>
      <c r="G88" s="176" t="str" cm="1">
        <f t="array" ref="G88">"Let's suppose that, based on various considerations, it has been decided that the target behaviour is well represented by the combination of the behaviour subscores behaviour1, behaviour2 and behaviour3. One then selects those 3 rows in the """ &amp; _xlfn.XLOOKUP("configBehaviourInclude", UITranslationTable[tag], UITranslationTable[English]) &amp; """ column of the ""Behaviour"" table (" &amp; yesLabel &amp; ") and deselects behaviour4 (" &amp; noLabel &amp; "). The global behaviour score is thus calculated as the average of the selected subscores and will be used to distinguish between doers and non-doers."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H88" s="176" t="str" cm="1">
        <f t="array" ref="H88">"Supposons que, en fonction de différents critères, il ait été décidé que le comportement cible est adéquatement représenté par la combinaison des sous-scores behaviour1, behaviour2 et behaviour3. On sélectionne alors ces 3 lignes dans la colonne «" &amp; _xlfn.XLOOKUP("configBehaviourInclude", UITranslationTable[tag], UITranslationTable[Français]) &amp; "» du tableau «Comportement» (" &amp; yesLabel &amp; ") et on désélectionne behaviour4 (" &amp; noLabel &amp; "). Le score global de comportement est ainsi calculé comme la moyenne des sous-scores sélectionnés et sera utilisé pour distinguer les pratiquants des non-pratiquants."</f>
        <v>Supposons que, en fonction de différents critères, il ait été décidé que le comportement cible est adéquatement représenté par la combinaison des sous-scores behaviour1, behaviour2 et behaviour3. On sélectionne alors ces 3 lignes dans la colonne «Inclure?» du tableau «Comportement» (✔) et on désélectionne behaviour4 (✘). Le score global de comportement est ainsi calculé comme la moyenne des sous-scores sélectionnés et sera utilisé pour distinguer les pratiquants des non-pratiquants.</v>
      </c>
      <c r="W88" s="177" cm="1">
        <f t="array" ref="W88">ROW()-ROW(structuredFormulaeTable[#Headers])</f>
        <v>86</v>
      </c>
      <c r="X88" s="1" t="s">
        <v>565</v>
      </c>
      <c r="Y88" s="1" t="s">
        <v>568</v>
      </c>
      <c r="AA88" s="178" t="s">
        <v>572</v>
      </c>
      <c r="AB88" s="9"/>
      <c r="CD88" s="1" cm="1">
        <f t="array" ref="CD88">ROW()-ROW(recommendedCutoffTable[#Headers])</f>
        <v>86</v>
      </c>
      <c r="CE88" s="183">
        <f>(recommendedCutoffTable[[#This Row],[index]] - 1) / 100</f>
        <v>0.85</v>
      </c>
      <c r="CF88" s="1" cm="1">
        <f t="array" ref="CF88">ABS(
    numScores
  - 2 * SUMPRODUCT((behaviourScore &lt;&gt; "") * (behaviourScore &lt; recommendedCutoffTable[[#This Row],[cutoffLevel]]))
  )</f>
        <v>0</v>
      </c>
    </row>
    <row r="89" spans="5:84" ht="14.4" customHeight="1" x14ac:dyDescent="0.3">
      <c r="E89" s="187" cm="1">
        <f t="array" ref="E89">ROW()-ROW(UITranslationTable[#Headers])</f>
        <v>87</v>
      </c>
      <c r="F89" s="9" t="s">
        <v>385</v>
      </c>
      <c r="G89" s="176" t="s">
        <v>228</v>
      </c>
      <c r="H89" s="176" t="s">
        <v>229</v>
      </c>
      <c r="W89" s="177" cm="1">
        <f t="array" ref="W89">ROW()-ROW(structuredFormulaeTable[#Headers])</f>
        <v>87</v>
      </c>
      <c r="X89" s="1" t="s">
        <v>565</v>
      </c>
      <c r="Y89" s="1" t="s">
        <v>569</v>
      </c>
      <c r="AA89" s="178" t="s">
        <v>571</v>
      </c>
      <c r="AB89" s="9"/>
      <c r="CD89" s="1" cm="1">
        <f t="array" ref="CD89">ROW()-ROW(recommendedCutoffTable[#Headers])</f>
        <v>87</v>
      </c>
      <c r="CE89" s="183">
        <f>(recommendedCutoffTable[[#This Row],[index]] - 1) / 100</f>
        <v>0.86</v>
      </c>
      <c r="CF89" s="1" cm="1">
        <f t="array" ref="CF89">ABS(
    numScores
  - 2 * SUMPRODUCT((behaviourScore &lt;&gt; "") * (behaviourScore &lt; recommendedCutoffTable[[#This Row],[cutoffLevel]]))
  )</f>
        <v>0</v>
      </c>
    </row>
    <row r="90" spans="5:84" ht="14.4" customHeight="1" x14ac:dyDescent="0.3">
      <c r="E90" s="187" cm="1">
        <f t="array" ref="E90">ROW()-ROW(UITranslationTable[#Headers])</f>
        <v>88</v>
      </c>
      <c r="F90" s="9" t="s">
        <v>386</v>
      </c>
      <c r="G90" s="176" t="str" cm="1">
        <f t="array" aca="1" ref="G90" ca="1">"Once the behaviour score is defined, the next step is to decide on the cutoff level, i.e. the minimum score that a respondent must reach to be considered a doer. This is done in the """ &amp; sheetNameCutoff &amp; """ sheet, along with instructions on how to do this. In short, the goal is to use a cutoff level that generates groups of doers and non-doers of similar size." &amp; " For our current example, the recommended level is 57%, which splits the respondents between 57% non-doers (just a coincidence!) and 43% doers."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H90" s="176" t="str" cm="1">
        <f t="array" aca="1" ref="H90" ca="1">"Une fois le score de comportement défini, l'étape suivante consiste à déterminer le niveau de seuil, c'est-à-dire le score minimum qu'un répondant doit atteindre pour être considéré comme pratiquant. Cela se fait dans la feuille «" &amp; sheetNameCutoff &amp; "», qui contient également des instructions sur la manière de procéder. En bref, l'objectif est d'utiliser un niveau de seuil qui génère des groupes de pratiquants et de non-pratiquants de taille similaire." &amp; " Dans notre exemple, le niveau de seuil recommandé est de 57%, ce qui répartit les répondants entre 57% de non-pratiquants (simple coïncidence!) et 43% de pratiquants."</f>
        <v>Une fois le score de comportement défini, l'étape suivante consiste à déterminer le niveau de seuil, c'est-à-dire le score minimum qu'un répondant doit atteindre pour être considéré comme pratiquant. Cela se fait dans la feuille «Cutoff - Seuil», qui contient également des instructions sur la manière de procéder. En bref, l'objectif est d'utiliser un niveau de seuil qui génère des groupes de pratiquants et de non-pratiquants de taille similaire. Dans notre exemple, le niveau de seuil recommandé est de 57%, ce qui répartit les répondants entre 57% de non-pratiquants (simple coïncidence!) et 43% de pratiquants.</v>
      </c>
      <c r="W90" s="177" cm="1">
        <f t="array" ref="W90">ROW()-ROW(structuredFormulaeTable[#Headers])</f>
        <v>88</v>
      </c>
      <c r="X90" s="1" t="s">
        <v>565</v>
      </c>
      <c r="Y90" s="1" t="s">
        <v>575</v>
      </c>
      <c r="AA90" s="178" t="s">
        <v>570</v>
      </c>
      <c r="AB90" s="9"/>
      <c r="CD90" s="1" cm="1">
        <f t="array" ref="CD90">ROW()-ROW(recommendedCutoffTable[#Headers])</f>
        <v>88</v>
      </c>
      <c r="CE90" s="183">
        <f>(recommendedCutoffTable[[#This Row],[index]] - 1) / 100</f>
        <v>0.87</v>
      </c>
      <c r="CF90" s="1" cm="1">
        <f t="array" ref="CF90">ABS(
    numScores
  - 2 * SUMPRODUCT((behaviourScore &lt;&gt; "") * (behaviourScore &lt; recommendedCutoffTable[[#This Row],[cutoffLevel]]))
  )</f>
        <v>0</v>
      </c>
    </row>
    <row r="91" spans="5:84" ht="14.4" customHeight="1" x14ac:dyDescent="0.3">
      <c r="E91" s="187" cm="1">
        <f t="array" ref="E91">ROW()-ROW(UITranslationTable[#Headers])</f>
        <v>89</v>
      </c>
      <c r="F91" s="9" t="s">
        <v>387</v>
      </c>
      <c r="G91" s="176" t="s">
        <v>392</v>
      </c>
      <c r="H91" s="176" t="s">
        <v>393</v>
      </c>
      <c r="W91" s="177" cm="1">
        <f t="array" ref="W91">ROW()-ROW(structuredFormulaeTable[#Headers])</f>
        <v>89</v>
      </c>
      <c r="X91" s="1" t="s">
        <v>565</v>
      </c>
      <c r="Y91" s="1" t="s">
        <v>576</v>
      </c>
      <c r="AA91" s="178" t="s">
        <v>577</v>
      </c>
      <c r="AB91" s="9"/>
      <c r="CD91" s="1" cm="1">
        <f t="array" ref="CD91">ROW()-ROW(recommendedCutoffTable[#Headers])</f>
        <v>89</v>
      </c>
      <c r="CE91" s="183">
        <f>(recommendedCutoffTable[[#This Row],[index]] - 1) / 100</f>
        <v>0.88</v>
      </c>
      <c r="CF91" s="1" cm="1">
        <f t="array" ref="CF91">ABS(
    numScores
  - 2 * SUMPRODUCT((behaviourScore &lt;&gt; "") * (behaviourScore &lt; recommendedCutoffTable[[#This Row],[cutoffLevel]]))
  )</f>
        <v>0</v>
      </c>
    </row>
    <row r="92" spans="5:84" ht="14.4" customHeight="1" x14ac:dyDescent="0.3">
      <c r="E92" s="187" cm="1">
        <f t="array" ref="E92">ROW()-ROW(UITranslationTable[#Headers])</f>
        <v>90</v>
      </c>
      <c r="F92" s="9" t="s">
        <v>388</v>
      </c>
      <c r="G92" s="176" t="str" cm="1">
        <f t="array" aca="1" ref="G92" ca="1">"The analysis of the RANAS factors is done in the """ &amp; sheetNameAnalysis &amp; """ sheet, where you also find some instructions. Which factors are displayed can be customised in the ""RANAS factors"" table of the """ &amp; sheetNameConfiguration &amp; """ sheet by selecting (" &amp; yesLabel &amp; ") or deselecting (" &amp; noLabel &amp; ") them in the """ &amp; _xlfn.XLOOKUP("configFactorsDisplay", UITranslationTable[tag], UITranslationTable[English]) &amp; """ column. The ""Data sorting"" menu can be used to change the order in which the factors are displayed."</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H92" s="176" t="str" cm="1">
        <f t="array" aca="1" ref="H92" ca="1">"L'analyse des facteurs RANAS est faite sur la feuille «" &amp; sheetNameAnalysis &amp; "», où vous trouverez aussi quelques instructions. On peut choisir quels facteurs afficher en les sélectionnant (" &amp; yesLabel &amp; ") ou désélectionnant (" &amp; noLabel &amp; ") dans la colonne «" &amp; _xlfn.XLOOKUP("configFactorsDisplay", UITranslationTable[tag], UITranslationTable[Français]) &amp; "» du tableau «Facteurs RANAS» sur la feuille «" &amp; sheetNameConfiguration &amp; "»." &amp; " Le menu «Tri des données» permet de changer l'ordre dans lequel les facteurs sont affichés."</f>
        <v>L'analyse des facteurs RANAS est faite sur la feuille «Analysis», où vous trouverez aussi quelques instructions. On peut choisir quels facteurs afficher en les sélectionnant (✔) ou désélectionnant (✘) dans la colonne «Afficher?» du tableau «Facteurs RANAS» sur la feuille «Configuration». Le menu «Tri des données» permet de changer l'ordre dans lequel les facteurs sont affichés.</v>
      </c>
      <c r="W92" s="177" cm="1">
        <f t="array" ref="W92">ROW()-ROW(structuredFormulaeTable[#Headers])</f>
        <v>90</v>
      </c>
      <c r="X92" s="1" t="s">
        <v>565</v>
      </c>
      <c r="Y92" s="1" t="s">
        <v>578</v>
      </c>
      <c r="AA92" s="178" t="s">
        <v>579</v>
      </c>
      <c r="AB92" s="9"/>
      <c r="CD92" s="1" cm="1">
        <f t="array" ref="CD92">ROW()-ROW(recommendedCutoffTable[#Headers])</f>
        <v>90</v>
      </c>
      <c r="CE92" s="183">
        <f>(recommendedCutoffTable[[#This Row],[index]] - 1) / 100</f>
        <v>0.89</v>
      </c>
      <c r="CF92" s="1" cm="1">
        <f t="array" ref="CF92">ABS(
    numScores
  - 2 * SUMPRODUCT((behaviourScore &lt;&gt; "") * (behaviourScore &lt; recommendedCutoffTable[[#This Row],[cutoffLevel]]))
  )</f>
        <v>0</v>
      </c>
    </row>
    <row r="93" spans="5:84" ht="14.4" customHeight="1" x14ac:dyDescent="0.3">
      <c r="E93" s="187" cm="1">
        <f t="array" ref="E93">ROW()-ROW(UITranslationTable[#Headers])</f>
        <v>91</v>
      </c>
      <c r="F93" s="9" t="s">
        <v>391</v>
      </c>
      <c r="G93" s="176" t="s">
        <v>394</v>
      </c>
      <c r="H93" s="176" t="s">
        <v>395</v>
      </c>
      <c r="W93" s="177" cm="1">
        <f t="array" ref="W93">ROW()-ROW(structuredFormulaeTable[#Headers])</f>
        <v>91</v>
      </c>
      <c r="X93" s="1" t="s">
        <v>580</v>
      </c>
      <c r="Y93" s="1" t="s">
        <v>582</v>
      </c>
      <c r="AA93" s="178" t="s">
        <v>538</v>
      </c>
      <c r="AB93" s="9"/>
      <c r="CD93" s="1" cm="1">
        <f t="array" ref="CD93">ROW()-ROW(recommendedCutoffTable[#Headers])</f>
        <v>91</v>
      </c>
      <c r="CE93" s="183">
        <f>(recommendedCutoffTable[[#This Row],[index]] - 1) / 100</f>
        <v>0.9</v>
      </c>
      <c r="CF93" s="1" cm="1">
        <f t="array" ref="CF93">ABS(
    numScores
  - 2 * SUMPRODUCT((behaviourScore &lt;&gt; "") * (behaviourScore &lt; recommendedCutoffTable[[#This Row],[cutoffLevel]]))
  )</f>
        <v>0</v>
      </c>
    </row>
    <row r="94" spans="5:84" ht="14.4" customHeight="1" x14ac:dyDescent="0.3">
      <c r="W94" s="177" cm="1">
        <f t="array" ref="W94">ROW()-ROW(structuredFormulaeTable[#Headers])</f>
        <v>92</v>
      </c>
      <c r="X94" s="1" t="s">
        <v>580</v>
      </c>
      <c r="Y94" s="1" t="s">
        <v>581</v>
      </c>
      <c r="AA94" s="178" t="s">
        <v>543</v>
      </c>
      <c r="AB94" s="9"/>
      <c r="CD94" s="1" cm="1">
        <f t="array" ref="CD94">ROW()-ROW(recommendedCutoffTable[#Headers])</f>
        <v>92</v>
      </c>
      <c r="CE94" s="183">
        <f>(recommendedCutoffTable[[#This Row],[index]] - 1) / 100</f>
        <v>0.91</v>
      </c>
      <c r="CF94" s="1" cm="1">
        <f t="array" ref="CF94">ABS(
    numScores
  - 2 * SUMPRODUCT((behaviourScore &lt;&gt; "") * (behaviourScore &lt; recommendedCutoffTable[[#This Row],[cutoffLevel]]))
  )</f>
        <v>0</v>
      </c>
    </row>
    <row r="95" spans="5:84" ht="14.4" customHeight="1" x14ac:dyDescent="0.3">
      <c r="W95" s="177" cm="1">
        <f t="array" ref="W95">ROW()-ROW(structuredFormulaeTable[#Headers])</f>
        <v>93</v>
      </c>
      <c r="X95" s="1" t="s">
        <v>580</v>
      </c>
      <c r="Y95" s="1" t="s">
        <v>585</v>
      </c>
      <c r="AA95" s="178" t="s">
        <v>599</v>
      </c>
      <c r="AB95" s="9"/>
      <c r="CD95" s="1" cm="1">
        <f t="array" ref="CD95">ROW()-ROW(recommendedCutoffTable[#Headers])</f>
        <v>93</v>
      </c>
      <c r="CE95" s="183">
        <f>(recommendedCutoffTable[[#This Row],[index]] - 1) / 100</f>
        <v>0.92</v>
      </c>
      <c r="CF95" s="1" cm="1">
        <f t="array" ref="CF95">ABS(
    numScores
  - 2 * SUMPRODUCT((behaviourScore &lt;&gt; "") * (behaviourScore &lt; recommendedCutoffTable[[#This Row],[cutoffLevel]]))
  )</f>
        <v>0</v>
      </c>
    </row>
    <row r="96" spans="5:84" ht="14.4" customHeight="1" x14ac:dyDescent="0.3">
      <c r="W96" s="177" cm="1">
        <f t="array" ref="W96">ROW()-ROW(structuredFormulaeTable[#Headers])</f>
        <v>94</v>
      </c>
      <c r="X96" s="1" t="s">
        <v>580</v>
      </c>
      <c r="Y96" s="1" t="s">
        <v>583</v>
      </c>
      <c r="AA96" s="178" t="s">
        <v>600</v>
      </c>
      <c r="AB96" s="9"/>
      <c r="CD96" s="1" cm="1">
        <f t="array" ref="CD96">ROW()-ROW(recommendedCutoffTable[#Headers])</f>
        <v>94</v>
      </c>
      <c r="CE96" s="183">
        <f>(recommendedCutoffTable[[#This Row],[index]] - 1) / 100</f>
        <v>0.93</v>
      </c>
      <c r="CF96" s="1" cm="1">
        <f t="array" ref="CF96">ABS(
    numScores
  - 2 * SUMPRODUCT((behaviourScore &lt;&gt; "") * (behaviourScore &lt; recommendedCutoffTable[[#This Row],[cutoffLevel]]))
  )</f>
        <v>0</v>
      </c>
    </row>
    <row r="97" spans="23:84" ht="14.4" customHeight="1" x14ac:dyDescent="0.3">
      <c r="W97" s="177" cm="1">
        <f t="array" ref="W97">ROW()-ROW(structuredFormulaeTable[#Headers])</f>
        <v>95</v>
      </c>
      <c r="X97" s="1" t="s">
        <v>580</v>
      </c>
      <c r="Y97" s="1" t="s">
        <v>584</v>
      </c>
      <c r="AA97" s="178" t="s">
        <v>601</v>
      </c>
      <c r="AB97" s="9"/>
      <c r="CD97" s="1" cm="1">
        <f t="array" ref="CD97">ROW()-ROW(recommendedCutoffTable[#Headers])</f>
        <v>95</v>
      </c>
      <c r="CE97" s="183">
        <f>(recommendedCutoffTable[[#This Row],[index]] - 1) / 100</f>
        <v>0.94</v>
      </c>
      <c r="CF97" s="1" cm="1">
        <f t="array" ref="CF97">ABS(
    numScores
  - 2 * SUMPRODUCT((behaviourScore &lt;&gt; "") * (behaviourScore &lt; recommendedCutoffTable[[#This Row],[cutoffLevel]]))
  )</f>
        <v>0</v>
      </c>
    </row>
    <row r="98" spans="23:84" ht="14.4" customHeight="1" x14ac:dyDescent="0.3">
      <c r="W98" s="177" cm="1">
        <f t="array" ref="W98">ROW()-ROW(structuredFormulaeTable[#Headers])</f>
        <v>96</v>
      </c>
      <c r="X98" s="1" t="s">
        <v>580</v>
      </c>
      <c r="Y98" s="1" t="s">
        <v>586</v>
      </c>
      <c r="AA98" s="178" t="s">
        <v>602</v>
      </c>
      <c r="AB98" s="9"/>
      <c r="CD98" s="1" cm="1">
        <f t="array" ref="CD98">ROW()-ROW(recommendedCutoffTable[#Headers])</f>
        <v>96</v>
      </c>
      <c r="CE98" s="183">
        <f>(recommendedCutoffTable[[#This Row],[index]] - 1) / 100</f>
        <v>0.95</v>
      </c>
      <c r="CF98" s="1" cm="1">
        <f t="array" ref="CF98">ABS(
    numScores
  - 2 * SUMPRODUCT((behaviourScore &lt;&gt; "") * (behaviourScore &lt; recommendedCutoffTable[[#This Row],[cutoffLevel]]))
  )</f>
        <v>0</v>
      </c>
    </row>
    <row r="99" spans="23:84" ht="14.4" customHeight="1" x14ac:dyDescent="0.3">
      <c r="W99" s="177" cm="1">
        <f t="array" ref="W99">ROW()-ROW(structuredFormulaeTable[#Headers])</f>
        <v>97</v>
      </c>
      <c r="X99" s="1" t="s">
        <v>580</v>
      </c>
      <c r="Y99" s="1" t="s">
        <v>587</v>
      </c>
      <c r="AA99" s="178" t="s">
        <v>603</v>
      </c>
      <c r="AB99" s="9"/>
      <c r="CD99" s="1" cm="1">
        <f t="array" ref="CD99">ROW()-ROW(recommendedCutoffTable[#Headers])</f>
        <v>97</v>
      </c>
      <c r="CE99" s="183">
        <f>(recommendedCutoffTable[[#This Row],[index]] - 1) / 100</f>
        <v>0.96</v>
      </c>
      <c r="CF99" s="1" cm="1">
        <f t="array" ref="CF99">ABS(
    numScores
  - 2 * SUMPRODUCT((behaviourScore &lt;&gt; "") * (behaviourScore &lt; recommendedCutoffTable[[#This Row],[cutoffLevel]]))
  )</f>
        <v>0</v>
      </c>
    </row>
    <row r="100" spans="23:84" ht="14.4" customHeight="1" x14ac:dyDescent="0.3">
      <c r="W100" s="177" cm="1">
        <f t="array" ref="W100">ROW()-ROW(structuredFormulaeTable[#Headers])</f>
        <v>98</v>
      </c>
      <c r="X100" s="1" t="s">
        <v>580</v>
      </c>
      <c r="Y100" s="1" t="s">
        <v>588</v>
      </c>
      <c r="AA100" s="178" t="s">
        <v>604</v>
      </c>
      <c r="AB100" s="9"/>
      <c r="CD100" s="1" cm="1">
        <f t="array" ref="CD100">ROW()-ROW(recommendedCutoffTable[#Headers])</f>
        <v>98</v>
      </c>
      <c r="CE100" s="183">
        <f>(recommendedCutoffTable[[#This Row],[index]] - 1) / 100</f>
        <v>0.97</v>
      </c>
      <c r="CF100" s="1" cm="1">
        <f t="array" ref="CF100">ABS(
    numScores
  - 2 * SUMPRODUCT((behaviourScore &lt;&gt; "") * (behaviourScore &lt; recommendedCutoffTable[[#This Row],[cutoffLevel]]))
  )</f>
        <v>0</v>
      </c>
    </row>
    <row r="101" spans="23:84" ht="14.4" customHeight="1" x14ac:dyDescent="0.3">
      <c r="W101" s="177" cm="1">
        <f t="array" ref="W101">ROW()-ROW(structuredFormulaeTable[#Headers])</f>
        <v>99</v>
      </c>
      <c r="X101" s="1" t="s">
        <v>580</v>
      </c>
      <c r="Y101" s="1" t="s">
        <v>589</v>
      </c>
      <c r="AA101" s="178" t="s">
        <v>605</v>
      </c>
      <c r="AB101" s="9"/>
      <c r="CD101" s="1" cm="1">
        <f t="array" ref="CD101">ROW()-ROW(recommendedCutoffTable[#Headers])</f>
        <v>99</v>
      </c>
      <c r="CE101" s="183">
        <f>(recommendedCutoffTable[[#This Row],[index]] - 1) / 100</f>
        <v>0.98</v>
      </c>
      <c r="CF101" s="1" cm="1">
        <f t="array" ref="CF101">ABS(
    numScores
  - 2 * SUMPRODUCT((behaviourScore &lt;&gt; "") * (behaviourScore &lt; recommendedCutoffTable[[#This Row],[cutoffLevel]]))
  )</f>
        <v>0</v>
      </c>
    </row>
    <row r="102" spans="23:84" ht="14.4" customHeight="1" x14ac:dyDescent="0.3">
      <c r="W102" s="177" cm="1">
        <f t="array" ref="W102">ROW()-ROW(structuredFormulaeTable[#Headers])</f>
        <v>100</v>
      </c>
      <c r="X102" s="1" t="s">
        <v>580</v>
      </c>
      <c r="Y102" s="1" t="s">
        <v>595</v>
      </c>
      <c r="AA102" s="178" t="s">
        <v>606</v>
      </c>
      <c r="AB102" s="9"/>
      <c r="CD102" s="1" cm="1">
        <f t="array" ref="CD102">ROW()-ROW(recommendedCutoffTable[#Headers])</f>
        <v>100</v>
      </c>
      <c r="CE102" s="183">
        <f>(recommendedCutoffTable[[#This Row],[index]] - 1) / 100</f>
        <v>0.99</v>
      </c>
      <c r="CF102" s="1" cm="1">
        <f t="array" ref="CF102">ABS(
    numScores
  - 2 * SUMPRODUCT((behaviourScore &lt;&gt; "") * (behaviourScore &lt; recommendedCutoffTable[[#This Row],[cutoffLevel]]))
  )</f>
        <v>0</v>
      </c>
    </row>
    <row r="103" spans="23:84" ht="14.4" customHeight="1" x14ac:dyDescent="0.3">
      <c r="W103" s="177" cm="1">
        <f t="array" ref="W103">ROW()-ROW(structuredFormulaeTable[#Headers])</f>
        <v>101</v>
      </c>
      <c r="X103" s="1" t="s">
        <v>580</v>
      </c>
      <c r="Y103" s="1" t="s">
        <v>596</v>
      </c>
      <c r="AA103" s="178" t="s">
        <v>607</v>
      </c>
      <c r="AB103" s="9"/>
      <c r="CD103" s="1" cm="1">
        <f t="array" ref="CD103">ROW()-ROW(recommendedCutoffTable[#Headers])</f>
        <v>101</v>
      </c>
      <c r="CE103" s="183">
        <f>(recommendedCutoffTable[[#This Row],[index]] - 1) / 100</f>
        <v>1</v>
      </c>
      <c r="CF103" s="177" cm="1">
        <f t="array" ref="CF103">ABS(
    numScores
  - 2 * SUMPRODUCT((behaviourScore &lt;&gt; "") * (behaviourScore &lt; recommendedCutoffTable[[#This Row],[cutoffLevel]]))
  )</f>
        <v>0</v>
      </c>
    </row>
    <row r="104" spans="23:84" ht="14.4" customHeight="1" x14ac:dyDescent="0.3">
      <c r="W104" s="177" cm="1">
        <f t="array" ref="W104">ROW()-ROW(structuredFormulaeTable[#Headers])</f>
        <v>102</v>
      </c>
      <c r="X104" s="1" t="s">
        <v>580</v>
      </c>
      <c r="Y104" s="1" t="s">
        <v>590</v>
      </c>
      <c r="AA104" s="178" t="s">
        <v>608</v>
      </c>
      <c r="AB104" s="9"/>
    </row>
    <row r="105" spans="23:84" ht="14.4" customHeight="1" x14ac:dyDescent="0.3">
      <c r="W105" s="177" cm="1">
        <f t="array" ref="W105">ROW()-ROW(structuredFormulaeTable[#Headers])</f>
        <v>103</v>
      </c>
      <c r="X105" s="1" t="s">
        <v>580</v>
      </c>
      <c r="Y105" s="1" t="s">
        <v>591</v>
      </c>
      <c r="AA105" s="178" t="s">
        <v>609</v>
      </c>
      <c r="AB105" s="9"/>
    </row>
    <row r="106" spans="23:84" ht="14.4" customHeight="1" x14ac:dyDescent="0.3">
      <c r="W106" s="177" cm="1">
        <f t="array" ref="W106">ROW()-ROW(structuredFormulaeTable[#Headers])</f>
        <v>104</v>
      </c>
      <c r="X106" s="1" t="s">
        <v>580</v>
      </c>
      <c r="Y106" s="1" t="s">
        <v>592</v>
      </c>
      <c r="AA106" s="178" t="s">
        <v>610</v>
      </c>
      <c r="AB106" s="9"/>
    </row>
    <row r="107" spans="23:84" ht="14.4" customHeight="1" x14ac:dyDescent="0.3">
      <c r="W107" s="177" cm="1">
        <f t="array" ref="W107">ROW()-ROW(structuredFormulaeTable[#Headers])</f>
        <v>105</v>
      </c>
      <c r="X107" s="1" t="s">
        <v>580</v>
      </c>
      <c r="Y107" s="1" t="s">
        <v>593</v>
      </c>
      <c r="AA107" s="178" t="s">
        <v>611</v>
      </c>
      <c r="AB107" s="9"/>
    </row>
    <row r="108" spans="23:84" ht="14.4" customHeight="1" x14ac:dyDescent="0.3">
      <c r="W108" s="177" cm="1">
        <f t="array" ref="W108">ROW()-ROW(structuredFormulaeTable[#Headers])</f>
        <v>106</v>
      </c>
      <c r="X108" s="1" t="s">
        <v>580</v>
      </c>
      <c r="Y108" s="1" t="s">
        <v>594</v>
      </c>
      <c r="AA108" s="178" t="s">
        <v>612</v>
      </c>
      <c r="AB108" s="9"/>
    </row>
    <row r="109" spans="23:84" ht="14.4" customHeight="1" x14ac:dyDescent="0.3">
      <c r="W109" s="177" cm="1">
        <f t="array" ref="W109">ROW()-ROW(structuredFormulaeTable[#Headers])</f>
        <v>107</v>
      </c>
      <c r="X109" s="1" t="s">
        <v>580</v>
      </c>
      <c r="Y109" s="1" t="s">
        <v>597</v>
      </c>
      <c r="AA109" s="178" t="s">
        <v>613</v>
      </c>
      <c r="AB109" s="9"/>
    </row>
    <row r="110" spans="23:84" ht="14.4" customHeight="1" x14ac:dyDescent="0.3">
      <c r="W110" s="177" cm="1">
        <f t="array" ref="W110">ROW()-ROW(structuredFormulaeTable[#Headers])</f>
        <v>108</v>
      </c>
      <c r="X110" s="1" t="s">
        <v>580</v>
      </c>
      <c r="Y110" s="1" t="s">
        <v>598</v>
      </c>
      <c r="AA110" s="178" t="s">
        <v>614</v>
      </c>
      <c r="AB110" s="9"/>
    </row>
    <row r="111" spans="23:84" ht="14.4" customHeight="1" x14ac:dyDescent="0.3">
      <c r="W111" s="177" cm="1">
        <f t="array" ref="W111">ROW()-ROW(structuredFormulaeTable[#Headers])</f>
        <v>109</v>
      </c>
      <c r="X111" s="1" t="s">
        <v>580</v>
      </c>
      <c r="Y111" s="1" t="s">
        <v>615</v>
      </c>
      <c r="AA111" s="178" t="s">
        <v>617</v>
      </c>
      <c r="AB111" s="9"/>
    </row>
    <row r="112" spans="23:84" ht="14.4" customHeight="1" x14ac:dyDescent="0.3">
      <c r="W112" s="177" cm="1">
        <f t="array" ref="W112">ROW()-ROW(structuredFormulaeTable[#Headers])</f>
        <v>110</v>
      </c>
      <c r="X112" s="1" t="s">
        <v>580</v>
      </c>
      <c r="Y112" s="1" t="s">
        <v>616</v>
      </c>
      <c r="AA112" s="178" t="s">
        <v>627</v>
      </c>
      <c r="AB112" s="9"/>
    </row>
    <row r="113" spans="23:28" ht="14.4" customHeight="1" x14ac:dyDescent="0.3">
      <c r="W113" s="177" cm="1">
        <f t="array" ref="W113">ROW()-ROW(structuredFormulaeTable[#Headers])</f>
        <v>111</v>
      </c>
      <c r="X113" s="1" t="s">
        <v>580</v>
      </c>
      <c r="Y113" s="1" t="s">
        <v>618</v>
      </c>
      <c r="AA113" s="178" t="s">
        <v>619</v>
      </c>
      <c r="AB113" s="9"/>
    </row>
    <row r="114" spans="23:28" ht="14.4" customHeight="1" x14ac:dyDescent="0.3">
      <c r="W114" s="177" cm="1">
        <f t="array" ref="W114">ROW()-ROW(structuredFormulaeTable[#Headers])</f>
        <v>112</v>
      </c>
      <c r="X114" s="1" t="s">
        <v>580</v>
      </c>
      <c r="Y114" s="1" t="s">
        <v>621</v>
      </c>
      <c r="AA114" s="178" t="s">
        <v>620</v>
      </c>
      <c r="AB114" s="9"/>
    </row>
    <row r="115" spans="23:28" ht="14.4" customHeight="1" x14ac:dyDescent="0.3">
      <c r="W115" s="177" cm="1">
        <f t="array" ref="W115">ROW()-ROW(structuredFormulaeTable[#Headers])</f>
        <v>113</v>
      </c>
      <c r="X115" s="1" t="s">
        <v>580</v>
      </c>
      <c r="Y115" s="1" t="s">
        <v>622</v>
      </c>
      <c r="AA115" s="178" t="s">
        <v>623</v>
      </c>
      <c r="AB115" s="9"/>
    </row>
    <row r="116" spans="23:28" ht="14.4" customHeight="1" x14ac:dyDescent="0.3">
      <c r="W116" s="177" cm="1">
        <f t="array" ref="W116">ROW()-ROW(structuredFormulaeTable[#Headers])</f>
        <v>114</v>
      </c>
      <c r="X116" s="1" t="s">
        <v>580</v>
      </c>
      <c r="Y116" s="1" t="s">
        <v>624</v>
      </c>
      <c r="AA116" s="178" t="s">
        <v>625</v>
      </c>
      <c r="AB116" s="9"/>
    </row>
    <row r="117" spans="23:28" ht="14.4" customHeight="1" x14ac:dyDescent="0.3">
      <c r="W117" s="177" cm="1">
        <f t="array" ref="W117">ROW()-ROW(structuredFormulaeTable[#Headers])</f>
        <v>115</v>
      </c>
      <c r="X117" s="1" t="s">
        <v>580</v>
      </c>
      <c r="Y117" s="1" t="s">
        <v>629</v>
      </c>
      <c r="AA117" s="178" t="s">
        <v>628</v>
      </c>
      <c r="AB117" s="9"/>
    </row>
    <row r="118" spans="23:28" ht="14.4" customHeight="1" x14ac:dyDescent="0.3">
      <c r="W118" s="177" cm="1">
        <f t="array" ref="W118">ROW()-ROW(structuredFormulaeTable[#Headers])</f>
        <v>116</v>
      </c>
      <c r="X118" s="1" t="s">
        <v>580</v>
      </c>
      <c r="Y118" s="1" t="s">
        <v>630</v>
      </c>
      <c r="AA118" s="178" t="s">
        <v>631</v>
      </c>
      <c r="AB118" s="9"/>
    </row>
  </sheetData>
  <sheetProtection algorithmName="SHA-512" hashValue="PzjStS8RPT+2WY/bJOBQutqsdoCZCj3IpVUEDG1qo8LwFjM/QJ7KY14vLIcFS/W/HQMIYaiHBAmcskRwyGPyog==" saltValue="HQAQJ2/fAq0Z6E8xEA6h0A==" spinCount="100000" sheet="1" objects="1" scenarios="1"/>
  <phoneticPr fontId="5" type="noConversion"/>
  <dataValidations count="1">
    <dataValidation type="list" allowBlank="1" showInputMessage="1" showErrorMessage="1" sqref="X3:X118" xr:uid="{E4D10EFD-060B-4417-8791-ED29617ADC8D}">
      <formula1>"Named variable, User-defined function, Conditional formatting, Data validation"</formula1>
    </dataValidation>
  </dataValidations>
  <pageMargins left="0.7" right="0.7" top="0.75" bottom="0.75" header="0.3" footer="0.3"/>
  <pageSetup paperSize="9" orientation="portrait" r:id="rId1"/>
  <drawing r:id="rId2"/>
  <legacyDrawing r:id="rId3"/>
  <tableParts count="14">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B20B-EEE9-4062-BCD1-78CA892C8877}">
  <sheetPr codeName="Sheet7">
    <tabColor theme="0" tint="-0.249977111117893"/>
  </sheetPr>
  <dimension ref="A1:L23"/>
  <sheetViews>
    <sheetView showGridLines="0" showRowColHeaders="0" tabSelected="1" zoomScale="90" zoomScaleNormal="90" workbookViewId="0">
      <selection activeCell="C5" sqref="C5"/>
    </sheetView>
  </sheetViews>
  <sheetFormatPr defaultColWidth="0" defaultRowHeight="14.4" zeroHeight="1" x14ac:dyDescent="0.3"/>
  <cols>
    <col min="1" max="1" width="3.77734375" style="1" customWidth="1"/>
    <col min="2" max="2" width="30.77734375" style="1" customWidth="1"/>
    <col min="3" max="3" width="15.77734375" style="1" customWidth="1"/>
    <col min="4" max="4" width="55.77734375" style="1" customWidth="1"/>
    <col min="5" max="6" width="3.77734375" style="1" customWidth="1"/>
    <col min="7" max="7" width="15.77734375" style="1" customWidth="1"/>
    <col min="8" max="8" width="8.77734375" style="1" customWidth="1"/>
    <col min="9" max="9" width="15.77734375" style="1" customWidth="1"/>
    <col min="10" max="10" width="63.77734375" style="1" customWidth="1"/>
    <col min="11" max="12" width="3.77734375" style="1" customWidth="1"/>
    <col min="13" max="16384" width="8.88671875" style="1" hidden="1"/>
  </cols>
  <sheetData>
    <row r="1" spans="1:12" ht="48" customHeight="1" x14ac:dyDescent="0.75">
      <c r="A1" s="62"/>
      <c r="B1" s="193" t="str" cm="1">
        <f t="array" ref="B1">"RANAS Analyser v" &amp; versionNumber</f>
        <v>RANAS Analyser v1.0.1</v>
      </c>
      <c r="C1" s="193"/>
      <c r="D1" s="193"/>
      <c r="E1" s="193"/>
      <c r="F1" s="193"/>
      <c r="G1" s="193"/>
      <c r="H1" s="193"/>
      <c r="I1" s="193"/>
      <c r="J1" s="193"/>
      <c r="K1" s="193"/>
      <c r="L1" s="62"/>
    </row>
    <row r="2" spans="1:12" ht="30" x14ac:dyDescent="0.5">
      <c r="A2" s="62"/>
      <c r="B2" s="194" t="s">
        <v>687</v>
      </c>
      <c r="C2" s="195"/>
      <c r="D2" s="195"/>
      <c r="E2" s="195"/>
      <c r="F2" s="195"/>
      <c r="G2" s="195"/>
      <c r="H2" s="195"/>
      <c r="I2" s="195"/>
      <c r="J2" s="195"/>
      <c r="K2" s="195"/>
      <c r="L2" s="62"/>
    </row>
    <row r="3" spans="1:12" ht="16.05" customHeight="1" x14ac:dyDescent="0.3">
      <c r="A3" s="62"/>
      <c r="B3" s="196" t="s">
        <v>305</v>
      </c>
      <c r="C3" s="197"/>
      <c r="D3" s="197"/>
      <c r="E3" s="197"/>
      <c r="F3" s="197"/>
      <c r="G3" s="197"/>
      <c r="H3" s="197"/>
      <c r="I3" s="197"/>
      <c r="J3" s="197"/>
      <c r="K3" s="197"/>
      <c r="L3" s="62"/>
    </row>
    <row r="4" spans="1:12" ht="16.05" customHeight="1" thickBot="1" x14ac:dyDescent="0.35">
      <c r="A4" s="62"/>
      <c r="B4" s="198" t="s">
        <v>13</v>
      </c>
      <c r="C4" s="45"/>
      <c r="D4" s="201" t="str">
        <f>IFERROR(
    INDEX(
      INDEX(
        UITranslationTable[],
        0,
        IFERROR(
          MATCH(UILanguage, UITranslationTable[#Headers], 0),
          MATCH("English", UITranslationTable[#Headers], 0)
        )
      ),
      MATCH("introUILangText", UITranslationTable[tag], 0)
    ),#REF!
  ) &amp; ""</f>
        <v>This menu defines which of the built-in languages is used for the user interface.</v>
      </c>
      <c r="E4" s="46"/>
      <c r="F4" s="46"/>
      <c r="G4" s="47"/>
      <c r="H4" s="47"/>
      <c r="I4" s="48"/>
      <c r="J4" s="201" t="str">
        <f ca="1">IFERROR(
    INDEX(
      INDEX(
        UITranslationTable[],
        0,
        IFERROR(
          MATCH(UILanguage, UITranslationTable[#Headers], 0),
          MATCH("English", UITranslationTable[#Headers], 0)
        )
      ),
      MATCH("introChartLangText", UITranslationTable[tag], 0)
    ),#REF!
  ) &amp; ""</f>
        <v>This menu defines which language (built-in or user-defined in the "Configuration" sheet) is used in the charts and data tables.</v>
      </c>
      <c r="K4" s="49"/>
      <c r="L4" s="50"/>
    </row>
    <row r="5" spans="1:12" ht="16.05" customHeight="1" thickBot="1" x14ac:dyDescent="0.35">
      <c r="A5" s="62"/>
      <c r="B5" s="199"/>
      <c r="C5" s="67" t="s">
        <v>3</v>
      </c>
      <c r="D5" s="202"/>
      <c r="E5" s="51"/>
      <c r="F5" s="51"/>
      <c r="G5" s="52"/>
      <c r="H5" s="52" t="str">
        <f>IFERROR(
    INDEX(
      INDEX(
        UITranslationTable[],
        0,
        IFERROR(
          MATCH(UILanguage, UITranslationTable[#Headers], 0),
          MATCH("English", UITranslationTable[#Headers], 0)
        )
      ),
      MATCH("introChartLang", UITranslationTable[tag], 0)
    ),#REF!
  ) &amp; ""</f>
        <v>Chart language:</v>
      </c>
      <c r="I5" s="67" t="s">
        <v>3</v>
      </c>
      <c r="J5" s="202"/>
      <c r="K5" s="53"/>
      <c r="L5" s="50"/>
    </row>
    <row r="6" spans="1:12" ht="16.05" customHeight="1" x14ac:dyDescent="0.3">
      <c r="A6" s="62"/>
      <c r="B6" s="200"/>
      <c r="C6" s="54"/>
      <c r="D6" s="203"/>
      <c r="E6" s="55"/>
      <c r="F6" s="55"/>
      <c r="G6" s="56"/>
      <c r="H6" s="56"/>
      <c r="I6" s="57"/>
      <c r="J6" s="203"/>
      <c r="K6" s="58"/>
      <c r="L6" s="50"/>
    </row>
    <row r="7" spans="1:12" x14ac:dyDescent="0.3">
      <c r="A7" s="62"/>
      <c r="B7" s="62"/>
      <c r="C7" s="62"/>
      <c r="D7" s="62"/>
      <c r="E7" s="62"/>
      <c r="F7" s="62"/>
      <c r="G7" s="62"/>
      <c r="H7" s="62"/>
      <c r="I7" s="62"/>
      <c r="J7" s="62"/>
      <c r="K7" s="62"/>
      <c r="L7" s="62"/>
    </row>
    <row r="8" spans="1:12" ht="16.05" customHeight="1" x14ac:dyDescent="0.3">
      <c r="A8" s="62"/>
      <c r="B8" s="167" t="str">
        <f>IFERROR(
    INDEX(
      INDEX(
        UITranslationTable[],
        0,
        IFERROR(
          MATCH(UILanguage, UITranslationTable[#Headers], 0),
          MATCH("English", UITranslationTable[#Headers], 0)
        )
      ),
      MATCH("introIntroTitle", UITranslationTable[tag], 0)
    ),#REF!
  ) &amp; ""</f>
        <v>Introduction</v>
      </c>
      <c r="C8" s="50"/>
      <c r="D8" s="59"/>
      <c r="E8" s="60"/>
      <c r="F8" s="60"/>
      <c r="G8" s="60"/>
      <c r="H8" s="61"/>
      <c r="I8" s="50"/>
      <c r="J8" s="50"/>
      <c r="K8" s="62"/>
      <c r="L8" s="62"/>
    </row>
    <row r="9" spans="1:12" ht="36" customHeight="1" x14ac:dyDescent="0.3">
      <c r="A9" s="62"/>
      <c r="B9" s="206" t="str">
        <f>IFERROR(
    INDEX(
      INDEX(
        UITranslationTable[],
        0,
        IFERROR(
          MATCH(UILanguage, UITranslationTable[#Headers], 0),
          MATCH("English", UITranslationTable[#Headers], 0)
        )
      ),
      MATCH("introIntroText1", UITranslationTable[tag], 0)
    ),#REF!
  ) &amp; ""</f>
        <v>RANAS Analyser is a tool used to perform a doer / non-doer analysis of a RANAS quantitative survey. It computes the difference in behavioural factors – called RANAS factors – between "doers" and "non-doers" of a predefined behaviour.</v>
      </c>
      <c r="C9" s="207"/>
      <c r="D9" s="207"/>
      <c r="E9" s="207"/>
      <c r="F9" s="207"/>
      <c r="G9" s="207"/>
      <c r="H9" s="207"/>
      <c r="I9" s="207"/>
      <c r="J9" s="207"/>
      <c r="K9" s="83"/>
      <c r="L9" s="62"/>
    </row>
    <row r="10" spans="1:12" ht="48" customHeight="1" x14ac:dyDescent="0.3">
      <c r="A10" s="62"/>
      <c r="B10" s="204" t="str">
        <f ca="1">IFERROR(
    INDEX(
      INDEX(
        UITranslationTable[],
        0,
        IFERROR(
          MATCH(UILanguage, UITranslationTable[#Headers], 0),
          MATCH("English", UITranslationTable[#Headers], 0)
        )
      ),
      MATCH("introIntroText2", UITranslationTable[tag], 0)
    ),#REF!
  ) &amp; ""</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C10" s="205"/>
      <c r="D10" s="205"/>
      <c r="E10" s="205"/>
      <c r="F10" s="205"/>
      <c r="G10" s="205"/>
      <c r="H10" s="205"/>
      <c r="I10" s="205"/>
      <c r="J10" s="205"/>
      <c r="K10" s="85"/>
      <c r="L10" s="62"/>
    </row>
    <row r="11" spans="1:12" ht="24" customHeight="1" x14ac:dyDescent="0.3">
      <c r="A11" s="62"/>
      <c r="B11" s="208" t="str">
        <f ca="1">IFERROR(
    INDEX(
      INDEX(
        UITranslationTable[],
        0,
        IFERROR(
          MATCH(UILanguage, UITranslationTable[#Headers], 0),
          MATCH("English", UITranslationTable[#Headers], 0)
        )
      ),
      MATCH("introIntroText3", UITranslationTable[tag], 0)
    ),#REF!
  ) &amp; ""</f>
        <v>Errors detected by the RANAS Analyser (e.g., missing or inconsistent values) are highlighted in red and explanations are displayed in the two "Error messages" boards of the "Configuration" sheet.</v>
      </c>
      <c r="C11" s="209"/>
      <c r="D11" s="209"/>
      <c r="E11" s="209"/>
      <c r="F11" s="209"/>
      <c r="G11" s="209"/>
      <c r="H11" s="209"/>
      <c r="I11" s="209"/>
      <c r="J11" s="209"/>
      <c r="K11" s="87"/>
      <c r="L11" s="62"/>
    </row>
    <row r="12" spans="1:12" x14ac:dyDescent="0.3">
      <c r="A12" s="62"/>
      <c r="B12" s="62"/>
      <c r="C12" s="62"/>
      <c r="D12" s="62"/>
      <c r="E12" s="62"/>
      <c r="F12" s="62"/>
      <c r="G12" s="62"/>
      <c r="H12" s="62"/>
      <c r="I12" s="62"/>
      <c r="J12" s="62"/>
      <c r="K12" s="62"/>
      <c r="L12" s="62"/>
    </row>
    <row r="13" spans="1:12" ht="16.05" customHeight="1" x14ac:dyDescent="0.3">
      <c r="A13" s="62"/>
      <c r="B13" s="167" t="str">
        <f>IFERROR(
    INDEX(
      INDEX(
        UITranslationTable[],
        0,
        IFERROR(
          MATCH(UILanguage, UITranslationTable[#Headers], 0),
          MATCH("English", UITranslationTable[#Headers], 0)
        )
      ),
      MATCH("introCreditsTitle", UITranslationTable[tag], 0)
    ),#REF!
  ) &amp; ""</f>
        <v>Credits</v>
      </c>
      <c r="C13" s="50"/>
      <c r="D13" s="59"/>
      <c r="E13" s="60"/>
      <c r="F13" s="60"/>
      <c r="G13" s="60"/>
      <c r="H13" s="61"/>
      <c r="I13" s="50"/>
      <c r="J13" s="50"/>
      <c r="K13" s="62"/>
      <c r="L13" s="62"/>
    </row>
    <row r="14" spans="1:12" ht="12" customHeight="1" x14ac:dyDescent="0.3">
      <c r="A14" s="62"/>
      <c r="B14" s="63"/>
      <c r="C14" s="64"/>
      <c r="D14" s="64"/>
      <c r="E14" s="64"/>
      <c r="F14" s="64"/>
      <c r="G14" s="64"/>
      <c r="H14" s="64"/>
      <c r="I14" s="64"/>
      <c r="J14" s="64"/>
      <c r="K14" s="83"/>
      <c r="L14" s="62"/>
    </row>
    <row r="15" spans="1:12" ht="66" customHeight="1" x14ac:dyDescent="0.3">
      <c r="A15" s="62"/>
      <c r="B15" s="210"/>
      <c r="C15" s="211"/>
      <c r="D15" s="211"/>
      <c r="E15" s="211"/>
      <c r="F15" s="211"/>
      <c r="G15" s="211"/>
      <c r="H15" s="211"/>
      <c r="I15" s="211"/>
      <c r="J15" s="211"/>
      <c r="K15" s="212"/>
      <c r="L15" s="128"/>
    </row>
    <row r="16" spans="1:12" ht="60" customHeight="1" x14ac:dyDescent="0.3">
      <c r="A16" s="62"/>
      <c r="B16" s="208" t="str">
        <f>IFERROR(
    INDEX(
      INDEX(
        UITranslationTable[],
        0,
        IFERROR(
          MATCH(UILanguage, UITranslationTable[#Headers], 0),
          MATCH("English", UITranslationTable[#Headers], 0)
        )
      ),
      MATCH("introCreditsText1", UITranslationTable[tag], 0)
    ),#REF!
  ) &amp; ""</f>
        <v>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v>
      </c>
      <c r="C16" s="209"/>
      <c r="D16" s="209"/>
      <c r="E16" s="209"/>
      <c r="F16" s="209"/>
      <c r="G16" s="209"/>
      <c r="H16" s="209"/>
      <c r="I16" s="209"/>
      <c r="J16" s="209"/>
      <c r="K16" s="129"/>
      <c r="L16" s="128"/>
    </row>
    <row r="17" spans="1:12" x14ac:dyDescent="0.3">
      <c r="A17" s="62"/>
      <c r="B17" s="62"/>
      <c r="C17" s="62"/>
      <c r="D17" s="62"/>
      <c r="E17" s="62"/>
      <c r="F17" s="62"/>
      <c r="G17" s="62"/>
      <c r="H17" s="62"/>
      <c r="I17" s="62"/>
      <c r="J17" s="62"/>
      <c r="K17" s="62"/>
      <c r="L17" s="62"/>
    </row>
    <row r="18" spans="1:12" ht="16.05" customHeight="1" x14ac:dyDescent="0.3">
      <c r="A18" s="62"/>
      <c r="B18" s="167" t="str">
        <f>IFERROR(
    INDEX(
      INDEX(
        UITranslationTable[],
        0,
        IFERROR(
          MATCH(UILanguage, UITranslationTable[#Headers], 0),
          MATCH("English", UITranslationTable[#Headers], 0)
        )
      ),
      MATCH("introLinksTitle", UITranslationTable[tag], 0)
    ),#REF!
  ) &amp; ""</f>
        <v>Links</v>
      </c>
      <c r="C18" s="50"/>
      <c r="D18" s="59"/>
      <c r="E18" s="60"/>
      <c r="F18" s="60"/>
      <c r="G18" s="167" t="str">
        <f>IFERROR(
    INDEX(
      INDEX(
        UITranslationTable[],
        0,
        IFERROR(
          MATCH(UILanguage, UITranslationTable[#Headers], 0),
          MATCH("English", UITranslationTable[#Headers], 0)
        )
      ),
      MATCH("introLicenseTitle", UITranslationTable[tag], 0)
    ),#REF!
  ) &amp; ""</f>
        <v>License</v>
      </c>
      <c r="H18" s="62"/>
      <c r="I18" s="50"/>
      <c r="J18" s="50"/>
      <c r="K18" s="62"/>
      <c r="L18" s="62"/>
    </row>
    <row r="19" spans="1:12" ht="24" customHeight="1" x14ac:dyDescent="0.3">
      <c r="A19" s="62"/>
      <c r="B19" s="206" t="str">
        <f>IFERROR(
    INDEX(
      INDEX(
        UITranslationTable[],
        0,
        IFERROR(
          MATCH(UILanguage, UITranslationTable[#Headers], 0),
          MATCH("English", UITranslationTable[#Headers], 0)
        )
      ),
      MATCH("introLinksText1", UITranslationTable[tag], 0)
    ),#REF!
  ) &amp; ""</f>
        <v>The latest version of this file and additional documentation are available at this link:</v>
      </c>
      <c r="C19" s="207"/>
      <c r="D19" s="207"/>
      <c r="E19" s="170"/>
      <c r="F19" s="172"/>
      <c r="G19" s="222"/>
      <c r="H19" s="219" t="str">
        <f>IFERROR(
    INDEX(
      INDEX(
        UITranslationTable[],
        0,
        IFERROR(
          MATCH(UILanguage, UITranslationTable[#Headers], 0),
          MATCH("English", UITranslationTable[#Headers], 0)
        )
      ),
      MATCH("introLicenseText1", UITranslationTable[tag], 0)
    ),#REF!
  ) &amp; ""</f>
        <v>This work is licensed under Creative Commons Attribution-NonCommercial-NoDerivatives 4.0 International (CC BY­NC­ND 4.0).
To view a copy of this license, visit:</v>
      </c>
      <c r="I19" s="220"/>
      <c r="J19" s="220"/>
      <c r="K19" s="83"/>
      <c r="L19" s="62"/>
    </row>
    <row r="20" spans="1:12" ht="24" customHeight="1" x14ac:dyDescent="0.3">
      <c r="A20" s="62"/>
      <c r="B20" s="213" t="str">
        <f>HYPERLINK(ranasAnalyserLink)</f>
        <v>https://ranas.ch/analyser/download</v>
      </c>
      <c r="C20" s="214"/>
      <c r="D20" s="214"/>
      <c r="E20" s="65"/>
      <c r="F20" s="62"/>
      <c r="G20" s="223"/>
      <c r="H20" s="221"/>
      <c r="I20" s="221"/>
      <c r="J20" s="221"/>
      <c r="K20" s="85"/>
      <c r="L20" s="62"/>
    </row>
    <row r="21" spans="1:12" ht="36" customHeight="1" x14ac:dyDescent="0.3">
      <c r="A21" s="62"/>
      <c r="B21" s="204" t="str">
        <f>IFERROR(
    INDEX(
      INDEX(
        UITranslationTable[],
        0,
        IFERROR(
          MATCH(UILanguage, UITranslationTable[#Headers], 0),
          MATCH("English", UITranslationTable[#Headers], 0)
        )
      ),
      MATCH("introLinksText2", UITranslationTable[tag], 0)
    ),#REF!
  ) &amp; ""</f>
        <v>For more information about the RANAS methodology, you can visit the RANAS website (in English, but some documents are available in other languages):</v>
      </c>
      <c r="C21" s="205"/>
      <c r="D21" s="205"/>
      <c r="E21" s="171"/>
      <c r="F21" s="62"/>
      <c r="G21" s="223"/>
      <c r="H21" s="221"/>
      <c r="I21" s="221"/>
      <c r="J21" s="221"/>
      <c r="K21" s="85"/>
      <c r="L21" s="62"/>
    </row>
    <row r="22" spans="1:12" ht="24" customHeight="1" x14ac:dyDescent="0.3">
      <c r="A22" s="62"/>
      <c r="B22" s="215" t="str">
        <f>HYPERLINK(ranasWebsiteLink)</f>
        <v>https://ranas.ch</v>
      </c>
      <c r="C22" s="216"/>
      <c r="D22" s="216"/>
      <c r="E22" s="66"/>
      <c r="F22" s="62"/>
      <c r="G22" s="224"/>
      <c r="H22" s="217" t="str">
        <f>HYPERLINK(
    IFERROR(
      INDEX(
        INDEX(
          UITranslationTable[],
          0,
          IFERROR(
            MATCH(UILanguage, UITranslationTable[#Headers], 0),
            MATCH("English", UITranslationTable[#Headers], 0)
          )
        ),
        MATCH("introLicenseLink", UITranslationTable[tag], 0)
      ),#REF!
    ) &amp; ""
  )</f>
        <v>https://creativecommons.org/licenses/by-nc-nd/4.0/</v>
      </c>
      <c r="I22" s="218"/>
      <c r="J22" s="218"/>
      <c r="K22" s="87"/>
      <c r="L22" s="62"/>
    </row>
    <row r="23" spans="1:12" x14ac:dyDescent="0.3">
      <c r="A23" s="62"/>
      <c r="B23" s="62"/>
      <c r="C23" s="62"/>
      <c r="D23" s="62"/>
      <c r="E23" s="62"/>
      <c r="F23" s="62"/>
      <c r="G23" s="62"/>
      <c r="H23" s="62"/>
      <c r="I23" s="62"/>
      <c r="J23" s="62"/>
      <c r="K23" s="62"/>
      <c r="L23" s="62"/>
    </row>
  </sheetData>
  <sheetProtection algorithmName="SHA-512" hashValue="29AZnfm4Q19JJOkr8TnWc3XR6ymheyD8TJ7i98Zd7CSytDtpFPJbD5Q7n67eAHU2JeIEycjCBxsLzn4KEM+Ppg==" saltValue="XlrQkobJddGacnQLB6dQMw==" spinCount="100000" sheet="1" objects="1" scenarios="1"/>
  <mergeCells count="18">
    <mergeCell ref="B19:D19"/>
    <mergeCell ref="B20:D20"/>
    <mergeCell ref="B21:D21"/>
    <mergeCell ref="B22:D22"/>
    <mergeCell ref="H22:J22"/>
    <mergeCell ref="H19:J21"/>
    <mergeCell ref="G19:G22"/>
    <mergeCell ref="B10:J10"/>
    <mergeCell ref="B9:J9"/>
    <mergeCell ref="B11:J11"/>
    <mergeCell ref="B16:J16"/>
    <mergeCell ref="B15:K15"/>
    <mergeCell ref="B1:K1"/>
    <mergeCell ref="B2:K2"/>
    <mergeCell ref="B3:K3"/>
    <mergeCell ref="B4:B6"/>
    <mergeCell ref="D4:D6"/>
    <mergeCell ref="J4:J6"/>
  </mergeCells>
  <conditionalFormatting sqref="C5">
    <cfRule type="expression" dxfId="39" priority="2">
      <formula>ISERROR(MATCH(UILanguage, UILanguageList, 0))</formula>
    </cfRule>
  </conditionalFormatting>
  <conditionalFormatting sqref="I5">
    <cfRule type="expression" dxfId="38" priority="1">
      <formula>ISERROR(MATCH(chartLanguage, chartLanguageList, 0))</formula>
    </cfRule>
  </conditionalFormatting>
  <dataValidations count="2">
    <dataValidation type="list" allowBlank="1" showInputMessage="1" showErrorMessage="1" error="Please select a value from the drop-down menu for this cell._x000a__x000a_Veuillez sélectionner une valeur dans le menu déroulant pour cette cellule." sqref="C5" xr:uid="{84904FB0-68C5-4736-A3E1-AA3BEB267715}">
      <formula1>UILanguageList</formula1>
    </dataValidation>
    <dataValidation type="list" allowBlank="1" showInputMessage="1" showErrorMessage="1" error="Please select a value from the drop-down menu for this cell._x000a__x000a_Veuillez sélectionner une valeur dans le menu déroulant pour cette cellule." sqref="I5" xr:uid="{34D30FFD-022B-493C-83FA-9A40C7D47336}">
      <formula1>chartLanguageList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35A-150C-408C-A9E3-DEA4283C97AC}">
  <sheetPr codeName="Sheet4">
    <tabColor rgb="FFFFC000"/>
    <pageSetUpPr autoPageBreaks="0"/>
  </sheetPr>
  <dimension ref="A1:T93"/>
  <sheetViews>
    <sheetView showGridLines="0" showRowColHeaders="0" zoomScale="90" zoomScaleNormal="90" workbookViewId="0">
      <selection activeCell="E16" sqref="E16"/>
    </sheetView>
  </sheetViews>
  <sheetFormatPr defaultColWidth="0" defaultRowHeight="14.4" zeroHeight="1" x14ac:dyDescent="0.3"/>
  <cols>
    <col min="1" max="1" width="1.6640625" style="1" customWidth="1"/>
    <col min="2" max="2" width="1.6640625" style="9" customWidth="1"/>
    <col min="3" max="3" width="10.6640625" style="9" customWidth="1"/>
    <col min="4" max="4" width="16.6640625" style="10" customWidth="1"/>
    <col min="5" max="5" width="21.6640625" style="1" customWidth="1"/>
    <col min="6" max="7" width="10.6640625" style="1" customWidth="1"/>
    <col min="8" max="12" width="21.6640625" style="1" customWidth="1"/>
    <col min="13" max="13" width="21.6640625" style="12" customWidth="1"/>
    <col min="14" max="14" width="21.6640625" style="1" customWidth="1"/>
    <col min="15" max="15" width="1.6640625" style="1" customWidth="1"/>
    <col min="16" max="16" width="15.88671875" style="1" hidden="1" customWidth="1"/>
    <col min="17" max="17" width="8.6640625" style="1" hidden="1" customWidth="1"/>
    <col min="18" max="18" width="20.44140625" style="12" hidden="1" customWidth="1"/>
    <col min="19" max="19" width="21.33203125" style="12" hidden="1" customWidth="1"/>
    <col min="20" max="20" width="1.6640625" style="12" customWidth="1"/>
    <col min="21" max="16384" width="8.88671875" style="1" hidden="1"/>
  </cols>
  <sheetData>
    <row r="1" spans="1:20" ht="19.95" customHeight="1" x14ac:dyDescent="0.3">
      <c r="A1" s="62"/>
      <c r="B1" s="74"/>
      <c r="C1" s="121"/>
      <c r="D1" s="115"/>
      <c r="E1" s="62"/>
      <c r="F1" s="62"/>
      <c r="G1" s="62"/>
      <c r="H1" s="62"/>
      <c r="I1" s="62"/>
      <c r="J1" s="62"/>
      <c r="K1" s="122"/>
      <c r="L1" s="62"/>
      <c r="M1" s="123"/>
      <c r="N1" s="62"/>
      <c r="O1" s="62"/>
      <c r="P1" s="62"/>
      <c r="Q1" s="62"/>
      <c r="R1" s="62"/>
      <c r="S1" s="62"/>
      <c r="T1" s="62"/>
    </row>
    <row r="2" spans="1:20" ht="19.95" customHeight="1" x14ac:dyDescent="0.3">
      <c r="A2" s="50"/>
      <c r="B2" s="93"/>
      <c r="C2" s="111" t="str">
        <f>IFERROR(
    INDEX(
      INDEX(
        UITranslationTable[],
        0,
        IFERROR(
          MATCH(UILanguage, UITranslationTable[#Headers], 0),
          MATCH("English", UITranslationTable[#Headers], 0)
        )
      ),
      MATCH("configImportTitle", UITranslationTable[tag], 0)
    ),#REF!
  ) &amp; ""</f>
        <v>1. Data import</v>
      </c>
      <c r="D2" s="50"/>
      <c r="E2" s="50"/>
      <c r="F2" s="50"/>
      <c r="G2" s="50"/>
      <c r="H2" s="50"/>
      <c r="I2" s="50"/>
      <c r="J2" s="50"/>
      <c r="K2" s="50"/>
      <c r="L2" s="50"/>
      <c r="M2" s="117"/>
      <c r="N2" s="117"/>
      <c r="O2" s="117"/>
      <c r="P2" s="117"/>
      <c r="Q2" s="62"/>
      <c r="R2" s="62"/>
      <c r="S2" s="62"/>
      <c r="T2" s="62"/>
    </row>
    <row r="3" spans="1:20" ht="90" customHeight="1" x14ac:dyDescent="0.6">
      <c r="A3" s="50"/>
      <c r="B3" s="63"/>
      <c r="C3" s="219" t="str">
        <f>IFERROR(
    INDEX(
      INDEX(
        UITranslationTable[],
        0,
        IFERROR(
          MATCH(UILanguage, UITranslationTable[#Headers], 0),
          MATCH("English", UITranslationTable[#Headers], 0)
        )
      ),
      MATCH("configImportText1", UITranslationTable[tag], 0)
    ),#REF!
  ) &amp; ""</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D3" s="220"/>
      <c r="E3" s="220"/>
      <c r="F3" s="220"/>
      <c r="G3" s="220"/>
      <c r="H3" s="220"/>
      <c r="I3" s="220"/>
      <c r="J3" s="220"/>
      <c r="K3" s="225"/>
      <c r="L3" s="229" t="str" cm="1">
        <f t="array" ref="L3">"RANAS Analyser v" &amp; versionNumber</f>
        <v>RANAS Analyser v1.0.1</v>
      </c>
      <c r="M3" s="230"/>
      <c r="N3" s="230"/>
      <c r="O3" s="230"/>
      <c r="P3" s="62"/>
      <c r="Q3" s="62"/>
      <c r="R3" s="62"/>
      <c r="S3" s="62"/>
      <c r="T3" s="62"/>
    </row>
    <row r="4" spans="1:20" ht="16.2" customHeight="1" x14ac:dyDescent="0.3">
      <c r="A4" s="50"/>
      <c r="B4" s="169"/>
      <c r="C4" s="231" t="str">
        <f>IFERROR(
    INDEX(
      INDEX(
        UITranslationTable[],
        0,
        IFERROR(
          MATCH(UILanguage, UITranslationTable[#Headers], 0),
          MATCH("English", UITranslationTable[#Headers], 0)
        )
      ),
      MATCH("configImportText2", UITranslationTable[tag], 0)
    ),#REF!
  ) &amp; ""</f>
        <v>Then, you must copy this data file as a new spreadsheet in this Excel workbook and rename this new sheet "data" (without the quotes).</v>
      </c>
      <c r="D4" s="221"/>
      <c r="E4" s="221"/>
      <c r="F4" s="221"/>
      <c r="G4" s="221"/>
      <c r="H4" s="221"/>
      <c r="I4" s="221"/>
      <c r="J4" s="221"/>
      <c r="K4" s="232"/>
      <c r="L4" s="233" t="s">
        <v>687</v>
      </c>
      <c r="M4" s="234"/>
      <c r="N4" s="234"/>
      <c r="O4" s="118"/>
      <c r="P4" s="62"/>
      <c r="Q4" s="62"/>
      <c r="R4" s="62"/>
      <c r="S4" s="62"/>
      <c r="T4" s="62"/>
    </row>
    <row r="5" spans="1:20" ht="36" customHeight="1" x14ac:dyDescent="0.3">
      <c r="A5" s="50"/>
      <c r="B5" s="81"/>
      <c r="C5" s="226" t="str">
        <f>IFERROR(
    INDEX(
      INDEX(
        UITranslationTable[],
        0,
        IFERROR(
          MATCH(UILanguage, UITranslationTable[#Headers], 0),
          MATCH("English", UITranslationTable[#Headers], 0)
        )
      ),
      MATCH("configImportText3", UITranslationTable[tag], 0)
    ),#REF!
  ) &amp; ""</f>
        <v>CAUTION: You should ALWAYS import your data as a new spreadsheet, because simply pasting new data in an existing "data" sheet could produce unexpected and undesirable results.</v>
      </c>
      <c r="D5" s="227"/>
      <c r="E5" s="227"/>
      <c r="F5" s="227"/>
      <c r="G5" s="227"/>
      <c r="H5" s="227"/>
      <c r="I5" s="227"/>
      <c r="J5" s="227"/>
      <c r="K5" s="228"/>
      <c r="L5" s="235"/>
      <c r="M5" s="234"/>
      <c r="N5" s="234"/>
      <c r="O5" s="119"/>
      <c r="P5" s="62"/>
      <c r="Q5" s="62"/>
      <c r="R5" s="62"/>
      <c r="S5" s="62"/>
      <c r="T5" s="62"/>
    </row>
    <row r="6" spans="1:20" x14ac:dyDescent="0.3">
      <c r="A6" s="62"/>
      <c r="B6" s="62"/>
      <c r="C6" s="62"/>
      <c r="D6" s="62"/>
      <c r="E6" s="62"/>
      <c r="F6" s="62"/>
      <c r="G6" s="62"/>
      <c r="H6" s="62"/>
      <c r="I6" s="62"/>
      <c r="J6" s="116"/>
      <c r="K6" s="62"/>
      <c r="L6" s="62"/>
      <c r="M6" s="117"/>
      <c r="N6" s="117"/>
      <c r="O6" s="117"/>
      <c r="P6" s="117"/>
      <c r="Q6" s="62"/>
      <c r="R6" s="62"/>
      <c r="S6" s="62"/>
      <c r="T6" s="62"/>
    </row>
    <row r="7" spans="1:20" ht="19.95" customHeight="1" thickBot="1" x14ac:dyDescent="0.35">
      <c r="A7" s="62"/>
      <c r="B7" s="62"/>
      <c r="C7" s="111" t="str">
        <f>IFERROR(
    INDEX(
      INDEX(
        UITranslationTable[],
        0,
        IFERROR(
          MATCH(UILanguage, UITranslationTable[#Headers], 0),
          MATCH("English", UITranslationTable[#Headers], 0)
        )
      ),
      MATCH("configBehaviourTitle", UITranslationTable[tag], 0)
    ),#REF!
  ) &amp; ""</f>
        <v>2. Behaviour</v>
      </c>
      <c r="D7" s="62"/>
      <c r="E7" s="62"/>
      <c r="F7" s="62"/>
      <c r="G7" s="62"/>
      <c r="H7" s="62"/>
      <c r="I7" s="62"/>
      <c r="J7" s="62"/>
      <c r="K7" s="62"/>
      <c r="L7" s="265" t="str">
        <f>IFERROR(
    INDEX(
      INDEX(
        UITranslationTable[],
        0,
        IFERROR(
          MATCH(UILanguage, UITranslationTable[#Headers], 0),
          MATCH("English", UITranslationTable[#Headers], 0)
        )
      ),
      MATCH("configErrorMessages", UITranslationTable[tag], 0)
    ),#REF!
  ) &amp; ""</f>
        <v>Error Messages</v>
      </c>
      <c r="M7" s="266"/>
      <c r="N7" s="266"/>
      <c r="O7" s="117"/>
      <c r="P7" s="117"/>
      <c r="Q7" s="62"/>
      <c r="R7" s="62"/>
      <c r="S7" s="62"/>
      <c r="T7" s="62"/>
    </row>
    <row r="8" spans="1:20" ht="46.2" customHeight="1" x14ac:dyDescent="0.3">
      <c r="A8" s="62"/>
      <c r="B8" s="63"/>
      <c r="C8" s="263" t="str">
        <f>IFERROR(
    INDEX(
      INDEX(
        UITranslationTable[],
        0,
        IFERROR(
          MATCH(UILanguage, UITranslationTable[#Headers], 0),
          MATCH("English", UITranslationTable[#Headers], 0)
        )
      ),
      MATCH("configPasteWarning", UITranslationTable[tag], 0)
    ),#REF!
  ) &amp; ""</f>
        <v>CAUTION: If you paste data in these tables, please make sure that you PASTE VALUES ONLY (e.g., with a right-click). Otherwise, you might erase the special formatting used to highlight errors.</v>
      </c>
      <c r="D8" s="264"/>
      <c r="E8" s="264"/>
      <c r="F8" s="264"/>
      <c r="G8" s="264"/>
      <c r="H8" s="264"/>
      <c r="I8" s="264"/>
      <c r="J8" s="264"/>
      <c r="K8" s="264"/>
      <c r="L8" s="267" t="str" cm="1">
        <f t="array" aca="1" ref="L8" ca="1">errorMessages</f>
        <v xml:space="preserve">
1. The "data" sheet cannot be found. Make sure you have imported your data file as a new spreadsheet in this Excel workbook and renamed that sheet "data" (without quotes).</v>
      </c>
      <c r="M8" s="268"/>
      <c r="N8" s="268"/>
      <c r="O8" s="269"/>
      <c r="P8" s="117"/>
      <c r="Q8" s="62"/>
      <c r="R8" s="62"/>
      <c r="S8" s="62"/>
      <c r="T8" s="62"/>
    </row>
    <row r="9" spans="1:20" ht="64.2" customHeight="1" x14ac:dyDescent="0.3">
      <c r="A9" s="62"/>
      <c r="B9" s="169"/>
      <c r="C9" s="231" t="str">
        <f>IFERROR(
    INDEX(
      INDEX(
        UITranslationTable[],
        0,
        IFERROR(
          MATCH(UILanguage, UITranslationTable[#Headers], 0),
          MATCH("English", UITranslationTable[#Headers], 0)
        )
      ),
      MATCH("configBehaviourText1", UITranslationTable[tag], 0)
    ),#REF!
  ) &amp; ""</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D9" s="221"/>
      <c r="E9" s="221"/>
      <c r="F9" s="221"/>
      <c r="G9" s="221"/>
      <c r="H9" s="221"/>
      <c r="I9" s="221"/>
      <c r="J9" s="221"/>
      <c r="K9" s="221"/>
      <c r="L9" s="270"/>
      <c r="M9" s="271"/>
      <c r="N9" s="271"/>
      <c r="O9" s="272"/>
      <c r="P9" s="117"/>
      <c r="Q9" s="62"/>
      <c r="R9" s="62"/>
      <c r="S9" s="62"/>
      <c r="T9" s="62"/>
    </row>
    <row r="10" spans="1:20" ht="16.2" customHeight="1" x14ac:dyDescent="0.3">
      <c r="A10" s="62"/>
      <c r="B10" s="169"/>
      <c r="C10" s="278" t="str">
        <f>IFERROR(
    INDEX(
      INDEX(
        UITranslationTable[],
        0,
        IFERROR(
          MATCH(UILanguage, UITranslationTable[#Headers], 0),
          MATCH("English", UITranslationTable[#Headers], 0)
        )
      ),
      MATCH("configInThisTable", UITranslationTable[tag], 0)
    ),#REF!
  ) &amp; ""</f>
        <v>In this table:</v>
      </c>
      <c r="D10" s="279"/>
      <c r="E10" s="279"/>
      <c r="F10" s="279"/>
      <c r="G10" s="279"/>
      <c r="H10" s="279"/>
      <c r="I10" s="279"/>
      <c r="J10" s="279"/>
      <c r="K10" s="280"/>
      <c r="L10" s="270"/>
      <c r="M10" s="271"/>
      <c r="N10" s="271"/>
      <c r="O10" s="272"/>
      <c r="P10" s="117"/>
      <c r="Q10" s="62"/>
      <c r="R10" s="62"/>
      <c r="S10" s="62"/>
      <c r="T10" s="62"/>
    </row>
    <row r="11" spans="1:20" ht="36" customHeight="1" x14ac:dyDescent="0.3">
      <c r="A11" s="62"/>
      <c r="B11" s="169"/>
      <c r="C11" s="257" t="str">
        <f>IFERROR(
    INDEX(
      INDEX(
        UITranslationTable[],
        0,
        IFERROR(
          MATCH(UILanguage, UITranslationTable[#Headers], 0),
          MATCH("English", UITranslationTable[#Headers], 0)
        )
      ),
      MATCH("configBehaviourText2", UITranslationTable[tag], 0)
    ),#REF!
  ) &amp; ""</f>
        <v>a. You MUST enter the data headers for the (groups of) questions that you want to include in the behaviour score, EXACTLY as they appear in your "data" sheet.</v>
      </c>
      <c r="D11" s="202"/>
      <c r="E11" s="202"/>
      <c r="F11" s="202"/>
      <c r="G11" s="202"/>
      <c r="H11" s="202"/>
      <c r="I11" s="202"/>
      <c r="J11" s="202"/>
      <c r="K11" s="202"/>
      <c r="L11" s="270"/>
      <c r="M11" s="271"/>
      <c r="N11" s="271"/>
      <c r="O11" s="272"/>
      <c r="P11" s="117"/>
      <c r="Q11" s="62"/>
      <c r="R11" s="62"/>
      <c r="S11" s="62"/>
      <c r="T11" s="62"/>
    </row>
    <row r="12" spans="1:20" ht="55.95" customHeight="1" x14ac:dyDescent="0.3">
      <c r="A12" s="62"/>
      <c r="B12" s="169"/>
      <c r="C12" s="257" t="str">
        <f>IFERROR(
    INDEX(
      INDEX(
        UITranslationTable[],
        0,
        IFERROR(
          MATCH(UILanguage, UITranslationTable[#Headers], 0),
          MATCH("English", UITranslationTable[#Headers], 0)
        )
      ),
      MATCH("configBehaviourText3", UITranslationTable[tag], 0)
    ),#REF!
  ) &amp; ""</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D12" s="202"/>
      <c r="E12" s="202"/>
      <c r="F12" s="202"/>
      <c r="G12" s="202"/>
      <c r="H12" s="202"/>
      <c r="I12" s="202"/>
      <c r="J12" s="202"/>
      <c r="K12" s="202"/>
      <c r="L12" s="270"/>
      <c r="M12" s="271"/>
      <c r="N12" s="271"/>
      <c r="O12" s="272"/>
      <c r="P12" s="117"/>
      <c r="Q12" s="62"/>
      <c r="R12" s="62"/>
      <c r="S12" s="62"/>
      <c r="T12" s="62"/>
    </row>
    <row r="13" spans="1:20" ht="36" customHeight="1" x14ac:dyDescent="0.3">
      <c r="A13" s="62"/>
      <c r="B13" s="169"/>
      <c r="C13" s="257" t="str">
        <f>IFERROR(
    INDEX(
      INDEX(
        UITranslationTable[],
        0,
        IFERROR(
          MATCH(UILanguage, UITranslationTable[#Headers], 0),
          MATCH("English", UITranslationTable[#Headers], 0)
        )
      ),
      MATCH("configBehaviourText4", UITranslationTable[tag], 0)
    ),#REF!
  ) &amp; ""</f>
        <v>c. You MUST use the drop-down menu in the "Include?" column to select (✔) or deselect (✘) each entry in the table. Only the selected entries will be used to compute the behaviour score. This allows you to test different combinations of questions.</v>
      </c>
      <c r="D13" s="202"/>
      <c r="E13" s="202"/>
      <c r="F13" s="202"/>
      <c r="G13" s="202"/>
      <c r="H13" s="202"/>
      <c r="I13" s="202"/>
      <c r="J13" s="202"/>
      <c r="K13" s="202"/>
      <c r="L13" s="270"/>
      <c r="M13" s="271"/>
      <c r="N13" s="271"/>
      <c r="O13" s="272"/>
      <c r="P13" s="117"/>
      <c r="Q13" s="62"/>
      <c r="R13" s="62"/>
      <c r="S13" s="62"/>
      <c r="T13" s="62"/>
    </row>
    <row r="14" spans="1:20" ht="14.4" customHeight="1" thickBot="1" x14ac:dyDescent="0.35">
      <c r="A14" s="62"/>
      <c r="B14" s="103"/>
      <c r="C14" s="69" t="str">
        <f>IFERROR(
    INDEX(
      INDEX(
        UITranslationTable[],
        0,
        IFERROR(
          MATCH(UILanguage, UITranslationTable[#Headers], 0),
          MATCH("English", UITranslationTable[#Headers], 0)
        )
      ),
      MATCH("configBehaviourInclude", UITranslationTable[tag], 0)
    ),#REF!
  ) &amp; ""</f>
        <v>Include?</v>
      </c>
      <c r="D14" s="69" t="str">
        <f>IFERROR(
    INDEX(
      INDEX(
        UITranslationTable[],
        0,
        IFERROR(
          MATCH(UILanguage, UITranslationTable[#Headers], 0),
          MATCH("English", UITranslationTable[#Headers], 0)
        )
      ),
      MATCH("configBehaviourNum", UITranslationTable[tag], 0)
    ),#REF!
  ) &amp; ""</f>
        <v>Behaviour #</v>
      </c>
      <c r="E14" s="68" t="str">
        <f>IFERROR(
    INDEX(
      INDEX(
        UITranslationTable[],
        0,
        IFERROR(
          MATCH(UILanguage, UITranslationTable[#Headers], 0),
          MATCH("English", UITranslationTable[#Headers], 0)
        )
      ),
      MATCH("configDataHeader", UITranslationTable[tag], 0)
    ),#REF!
  ) &amp; ""</f>
        <v>Data header</v>
      </c>
      <c r="F14" s="68" t="str">
        <f>IFERROR(
    INDEX(
      INDEX(
        UITranslationTable[],
        0,
        IFERROR(
          MATCH(UILanguage, UITranslationTable[#Headers], 0),
          MATCH("English", UITranslationTable[#Headers], 0)
        )
      ),
      MATCH("configMinScore", UITranslationTable[tag], 0)
    ),#REF!
  ) &amp; ""</f>
        <v>Min. score</v>
      </c>
      <c r="G14" s="68" t="str">
        <f>IFERROR(
    INDEX(
      INDEX(
        UITranslationTable[],
        0,
        IFERROR(
          MATCH(UILanguage, UITranslationTable[#Headers], 0),
          MATCH("English", UITranslationTable[#Headers], 0)
        )
      ),
      MATCH("configMaxScore", UITranslationTable[tag], 0)
    ),#REF!
  ) &amp; ""</f>
        <v>Max. score</v>
      </c>
      <c r="H14" s="68" t="str">
        <f>IFERROR(
    INDEX(
      INDEX(
        UITranslationTable[],
        0,
        IFERROR(
          MATCH(UILanguage, UITranslationTable[#Headers], 0),
          MATCH("English", UITranslationTable[#Headers], 0)
        )
      ),
      MATCH("configNumResponses", UITranslationTable[tag], 0)
    ),#REF!
  ) &amp; ""</f>
        <v># of responses</v>
      </c>
      <c r="I14" s="68" t="str">
        <f>IFERROR(
    INDEX(
      INDEX(
        UITranslationTable[],
        0,
        IFERROR(
          MATCH(UILanguage, UITranslationTable[#Headers], 0),
          MATCH("English", UITranslationTable[#Headers], 0)
        )
      ),
      MATCH("configNumBlanks", UITranslationTable[tag], 0)
    ),#REF!
  ) &amp; ""</f>
        <v># of blank responses</v>
      </c>
      <c r="J14" s="258" t="str">
        <f>IFERROR(
    INDEX(
      INDEX(
        UITranslationTable[],
        0,
        IFERROR(
          MATCH(UILanguage, UITranslationTable[#Headers], 0),
          MATCH("English", UITranslationTable[#Headers], 0)
        )
      ),
      MATCH("configNumRespInfo", UITranslationTable[tag], 0)
    ),#REF!
  ) &amp; ""</f>
        <v>ⓘ The number of (non-blank) responses and the number of blank responses can be different for different questions if some respondents did not answer certain questions. In such a case, the behaviour score could be based on a different number of questions for different respondents.</v>
      </c>
      <c r="K14" s="259"/>
      <c r="L14" s="270"/>
      <c r="M14" s="271"/>
      <c r="N14" s="271"/>
      <c r="O14" s="272"/>
      <c r="P14" s="62"/>
      <c r="Q14" s="62"/>
      <c r="R14" s="62"/>
      <c r="S14" s="62"/>
      <c r="T14" s="62"/>
    </row>
    <row r="15" spans="1:20" ht="14.4" hidden="1" customHeight="1" thickBot="1" x14ac:dyDescent="0.35">
      <c r="A15" s="62"/>
      <c r="B15" s="169"/>
      <c r="C15" s="3" t="s">
        <v>147</v>
      </c>
      <c r="D15" s="2" t="s">
        <v>1</v>
      </c>
      <c r="E15" s="3" t="s">
        <v>65</v>
      </c>
      <c r="F15" s="3" t="s">
        <v>66</v>
      </c>
      <c r="G15" s="3" t="s">
        <v>67</v>
      </c>
      <c r="H15" s="2" t="s">
        <v>35</v>
      </c>
      <c r="I15" s="2" t="s">
        <v>79</v>
      </c>
      <c r="J15" s="258"/>
      <c r="K15" s="259"/>
      <c r="L15" s="270"/>
      <c r="M15" s="271"/>
      <c r="N15" s="271"/>
      <c r="O15" s="272"/>
      <c r="P15" s="62"/>
      <c r="Q15" s="62"/>
      <c r="R15" s="62"/>
      <c r="S15" s="62"/>
      <c r="T15" s="62"/>
    </row>
    <row r="16" spans="1:20" ht="14.4" customHeight="1" x14ac:dyDescent="0.3">
      <c r="A16" s="62"/>
      <c r="B16" s="169"/>
      <c r="C16" s="107"/>
      <c r="D16" s="155" cm="1">
        <f t="array" ref="D16">ROW()-ROW(behaviourConfigTable[#Headers])</f>
        <v>1</v>
      </c>
      <c r="E16" s="13"/>
      <c r="F16" s="24"/>
      <c r="G16" s="29"/>
      <c r="H16" s="149" t="str">
        <f>_xlfn.XLOOKUP(behaviourConfigTable[[#This Row],[index]], behaviourTable[index], behaviourTable[numResponses])</f>
        <v/>
      </c>
      <c r="I16" s="150" t="str">
        <f>_xlfn.XLOOKUP(behaviourConfigTable[[#This Row],[index]], behaviourTable[index], behaviourTable[numBlanks])</f>
        <v/>
      </c>
      <c r="J16" s="258"/>
      <c r="K16" s="259"/>
      <c r="L16" s="270"/>
      <c r="M16" s="271"/>
      <c r="N16" s="271"/>
      <c r="O16" s="272"/>
      <c r="P16" s="62"/>
      <c r="Q16" s="62"/>
      <c r="R16" s="62"/>
      <c r="S16" s="62"/>
      <c r="T16" s="62"/>
    </row>
    <row r="17" spans="1:20" ht="14.4" customHeight="1" x14ac:dyDescent="0.3">
      <c r="A17" s="62"/>
      <c r="B17" s="169"/>
      <c r="C17" s="108"/>
      <c r="D17" s="156" cm="1">
        <f t="array" ref="D17">ROW()-ROW(behaviourConfigTable[#Headers])</f>
        <v>2</v>
      </c>
      <c r="E17" s="16"/>
      <c r="F17" s="25"/>
      <c r="G17" s="30"/>
      <c r="H17" s="151" t="str">
        <f>_xlfn.XLOOKUP(behaviourConfigTable[[#This Row],[index]], behaviourTable[index], behaviourTable[numResponses])</f>
        <v/>
      </c>
      <c r="I17" s="152" t="str">
        <f>_xlfn.XLOOKUP(behaviourConfigTable[[#This Row],[index]], behaviourTable[index], behaviourTable[numBlanks])</f>
        <v/>
      </c>
      <c r="J17" s="258"/>
      <c r="K17" s="259"/>
      <c r="L17" s="270"/>
      <c r="M17" s="271"/>
      <c r="N17" s="271"/>
      <c r="O17" s="272"/>
      <c r="P17" s="62"/>
      <c r="Q17" s="62"/>
      <c r="R17" s="62"/>
      <c r="S17" s="62"/>
      <c r="T17" s="62"/>
    </row>
    <row r="18" spans="1:20" ht="14.4" customHeight="1" x14ac:dyDescent="0.3">
      <c r="A18" s="62"/>
      <c r="B18" s="169"/>
      <c r="C18" s="108"/>
      <c r="D18" s="156" cm="1">
        <f t="array" ref="D18">ROW()-ROW(behaviourConfigTable[#Headers])</f>
        <v>3</v>
      </c>
      <c r="E18" s="16"/>
      <c r="F18" s="25"/>
      <c r="G18" s="30"/>
      <c r="H18" s="151" t="str">
        <f>_xlfn.XLOOKUP(behaviourConfigTable[[#This Row],[index]], behaviourTable[index], behaviourTable[numResponses])</f>
        <v/>
      </c>
      <c r="I18" s="152" t="str">
        <f>_xlfn.XLOOKUP(behaviourConfigTable[[#This Row],[index]], behaviourTable[index], behaviourTable[numBlanks])</f>
        <v/>
      </c>
      <c r="J18" s="258"/>
      <c r="K18" s="259"/>
      <c r="L18" s="270"/>
      <c r="M18" s="271"/>
      <c r="N18" s="271"/>
      <c r="O18" s="272"/>
      <c r="P18" s="62"/>
      <c r="Q18" s="62"/>
      <c r="R18" s="62"/>
      <c r="S18" s="62"/>
      <c r="T18" s="62"/>
    </row>
    <row r="19" spans="1:20" ht="14.4" customHeight="1" x14ac:dyDescent="0.3">
      <c r="A19" s="62"/>
      <c r="B19" s="169"/>
      <c r="C19" s="108"/>
      <c r="D19" s="156" cm="1">
        <f t="array" ref="D19">ROW()-ROW(behaviourConfigTable[#Headers])</f>
        <v>4</v>
      </c>
      <c r="E19" s="16"/>
      <c r="F19" s="25"/>
      <c r="G19" s="30"/>
      <c r="H19" s="151" t="str">
        <f>_xlfn.XLOOKUP(behaviourConfigTable[[#This Row],[index]], behaviourTable[index], behaviourTable[numResponses])</f>
        <v/>
      </c>
      <c r="I19" s="152" t="str">
        <f>_xlfn.XLOOKUP(behaviourConfigTable[[#This Row],[index]], behaviourTable[index], behaviourTable[numBlanks])</f>
        <v/>
      </c>
      <c r="J19" s="258"/>
      <c r="K19" s="259"/>
      <c r="L19" s="270"/>
      <c r="M19" s="271"/>
      <c r="N19" s="271"/>
      <c r="O19" s="272"/>
      <c r="P19" s="62"/>
      <c r="Q19" s="62"/>
      <c r="R19" s="62"/>
      <c r="S19" s="62"/>
      <c r="T19" s="62"/>
    </row>
    <row r="20" spans="1:20" ht="14.4" customHeight="1" thickBot="1" x14ac:dyDescent="0.35">
      <c r="A20" s="62"/>
      <c r="B20" s="169"/>
      <c r="C20" s="109"/>
      <c r="D20" s="157" cm="1">
        <f t="array" ref="D20">ROW()-ROW(behaviourConfigTable[#Headers])</f>
        <v>5</v>
      </c>
      <c r="E20" s="19"/>
      <c r="F20" s="31"/>
      <c r="G20" s="32"/>
      <c r="H20" s="153" t="str">
        <f>_xlfn.XLOOKUP(behaviourConfigTable[[#This Row],[index]], behaviourTable[index], behaviourTable[numResponses])</f>
        <v/>
      </c>
      <c r="I20" s="154" t="str">
        <f>_xlfn.XLOOKUP(behaviourConfigTable[[#This Row],[index]], behaviourTable[index], behaviourTable[numBlanks])</f>
        <v/>
      </c>
      <c r="J20" s="258"/>
      <c r="K20" s="259"/>
      <c r="L20" s="270"/>
      <c r="M20" s="271"/>
      <c r="N20" s="271"/>
      <c r="O20" s="272"/>
      <c r="P20" s="62"/>
      <c r="Q20" s="62"/>
      <c r="R20" s="62"/>
      <c r="S20" s="62"/>
      <c r="T20" s="62"/>
    </row>
    <row r="21" spans="1:20" ht="14.4" customHeight="1" x14ac:dyDescent="0.3">
      <c r="A21" s="62"/>
      <c r="B21" s="103"/>
      <c r="C21" s="260" t="str">
        <f>IFERROR(
    INDEX(
      INDEX(
        UITranslationTable[],
        0,
        IFERROR(
          MATCH(UILanguage, UITranslationTable[#Headers], 0),
          MATCH("English", UITranslationTable[#Headers], 0)
        )
      ),
      MATCH("configNumScoresInfo", UITranslationTable[tag], 0)
    ),#REF!
  ) &amp; ""</f>
        <v>ⓘ The number of scores corresponds to the number of respondents who answered at least one SELECTED "behaviour" question (i.e., a score could be calculated). The number of blank scores is the number of respondents who answered none of the selected "behaviour" questions.</v>
      </c>
      <c r="D21" s="261"/>
      <c r="E21" s="261"/>
      <c r="F21" s="261"/>
      <c r="G21" s="261"/>
      <c r="H21" s="50"/>
      <c r="I21" s="50"/>
      <c r="J21" s="258"/>
      <c r="K21" s="259"/>
      <c r="L21" s="270"/>
      <c r="M21" s="271"/>
      <c r="N21" s="271"/>
      <c r="O21" s="272"/>
      <c r="P21" s="62"/>
      <c r="Q21" s="62"/>
      <c r="R21" s="62"/>
      <c r="S21" s="62"/>
      <c r="T21" s="62"/>
    </row>
    <row r="22" spans="1:20" ht="14.4" customHeight="1" x14ac:dyDescent="0.3">
      <c r="A22" s="62"/>
      <c r="B22" s="103"/>
      <c r="C22" s="261"/>
      <c r="D22" s="261"/>
      <c r="E22" s="261"/>
      <c r="F22" s="261"/>
      <c r="G22" s="261"/>
      <c r="H22" s="71" t="str">
        <f>IFERROR(
    INDEX(
      INDEX(
        UITranslationTable[],
        0,
        IFERROR(
          MATCH(UILanguage, UITranslationTable[#Headers], 0),
          MATCH("English", UITranslationTable[#Headers], 0)
        )
      ),
      MATCH("configNumScores", UITranslationTable[tag], 0)
    ),#REF!
  ) &amp; ""</f>
        <v># of scores</v>
      </c>
      <c r="I22" s="71" t="str">
        <f>IFERROR(
    INDEX(
      INDEX(
        UITranslationTable[],
        0,
        IFERROR(
          MATCH(UILanguage, UITranslationTable[#Headers], 0),
          MATCH("English", UITranslationTable[#Headers], 0)
        )
      ),
      MATCH("configNumBlankScores", UITranslationTable[tag], 0)
    ),#REF!
  ) &amp; ""</f>
        <v># of blank scores</v>
      </c>
      <c r="J22" s="91"/>
      <c r="K22" s="91"/>
      <c r="L22" s="270"/>
      <c r="M22" s="271"/>
      <c r="N22" s="271"/>
      <c r="O22" s="272"/>
      <c r="P22" s="62"/>
      <c r="Q22" s="62"/>
      <c r="R22" s="62"/>
      <c r="S22" s="62"/>
      <c r="T22" s="62"/>
    </row>
    <row r="23" spans="1:20" ht="14.4" hidden="1" customHeight="1" thickBot="1" x14ac:dyDescent="0.35">
      <c r="A23" s="62"/>
      <c r="B23" s="103"/>
      <c r="C23" s="261"/>
      <c r="D23" s="261"/>
      <c r="E23" s="261"/>
      <c r="F23" s="261"/>
      <c r="G23" s="261"/>
      <c r="H23" s="7" t="s">
        <v>80</v>
      </c>
      <c r="I23" s="7" t="s">
        <v>81</v>
      </c>
      <c r="J23" s="91"/>
      <c r="K23" s="91"/>
      <c r="L23" s="270"/>
      <c r="M23" s="271"/>
      <c r="N23" s="271"/>
      <c r="O23" s="272"/>
      <c r="P23" s="62"/>
      <c r="Q23" s="62"/>
      <c r="R23" s="62"/>
      <c r="S23" s="62"/>
      <c r="T23" s="62"/>
    </row>
    <row r="24" spans="1:20" ht="14.4" customHeight="1" x14ac:dyDescent="0.3">
      <c r="A24" s="62"/>
      <c r="B24" s="103"/>
      <c r="C24" s="261"/>
      <c r="D24" s="261"/>
      <c r="E24" s="261"/>
      <c r="F24" s="261"/>
      <c r="G24" s="261"/>
      <c r="H24" s="158" cm="1">
        <f t="array" ref="H24">numScores</f>
        <v>0</v>
      </c>
      <c r="I24" s="158" t="e" cm="1">
        <f t="array" aca="1" ref="I24" ca="1">numEntries - numScores</f>
        <v>#N/A</v>
      </c>
      <c r="J24" s="91"/>
      <c r="K24" s="91"/>
      <c r="L24" s="270"/>
      <c r="M24" s="271"/>
      <c r="N24" s="271"/>
      <c r="O24" s="272"/>
      <c r="P24" s="62"/>
      <c r="Q24" s="62"/>
      <c r="R24" s="62"/>
      <c r="S24" s="62"/>
      <c r="T24" s="62"/>
    </row>
    <row r="25" spans="1:20" ht="19.95" customHeight="1" x14ac:dyDescent="0.3">
      <c r="A25" s="62"/>
      <c r="B25" s="104"/>
      <c r="C25" s="262"/>
      <c r="D25" s="262"/>
      <c r="E25" s="262"/>
      <c r="F25" s="262"/>
      <c r="G25" s="262"/>
      <c r="H25" s="82"/>
      <c r="I25" s="82"/>
      <c r="J25" s="82"/>
      <c r="K25" s="82"/>
      <c r="L25" s="270"/>
      <c r="M25" s="271"/>
      <c r="N25" s="271"/>
      <c r="O25" s="272"/>
      <c r="P25" s="62"/>
      <c r="Q25" s="62"/>
      <c r="R25" s="62"/>
      <c r="S25" s="62"/>
      <c r="T25" s="62"/>
    </row>
    <row r="26" spans="1:20" ht="14.4" customHeight="1" x14ac:dyDescent="0.3">
      <c r="A26" s="62"/>
      <c r="B26" s="105"/>
      <c r="C26" s="110"/>
      <c r="D26" s="110"/>
      <c r="E26" s="110"/>
      <c r="F26" s="110"/>
      <c r="G26" s="110"/>
      <c r="H26" s="50"/>
      <c r="I26" s="50"/>
      <c r="J26" s="50"/>
      <c r="K26" s="50"/>
      <c r="L26" s="270"/>
      <c r="M26" s="271"/>
      <c r="N26" s="271"/>
      <c r="O26" s="272"/>
      <c r="P26" s="62"/>
      <c r="Q26" s="62"/>
      <c r="R26" s="62"/>
      <c r="S26" s="62"/>
      <c r="T26" s="62"/>
    </row>
    <row r="27" spans="1:20" ht="19.95" customHeight="1" x14ac:dyDescent="0.3">
      <c r="A27" s="62"/>
      <c r="B27" s="105"/>
      <c r="C27" s="111" t="str">
        <f>IFERROR(
    INDEX(
      INDEX(
        UITranslationTable[],
        0,
        IFERROR(
          MATCH(UILanguage, UITranslationTable[#Headers], 0),
          MATCH("English", UITranslationTable[#Headers], 0)
        )
      ),
      MATCH("configFactorsTitle", UITranslationTable[tag], 0)
    ),#REF!
  ) &amp; ""</f>
        <v>3. RANAS factors</v>
      </c>
      <c r="D27" s="110"/>
      <c r="E27" s="110"/>
      <c r="F27" s="110"/>
      <c r="G27" s="110"/>
      <c r="H27" s="62"/>
      <c r="I27" s="62"/>
      <c r="J27" s="62"/>
      <c r="K27" s="62"/>
      <c r="L27" s="270"/>
      <c r="M27" s="271"/>
      <c r="N27" s="271"/>
      <c r="O27" s="272"/>
      <c r="P27" s="62"/>
      <c r="Q27" s="62"/>
      <c r="R27" s="62"/>
      <c r="S27" s="62"/>
      <c r="T27" s="62"/>
    </row>
    <row r="28" spans="1:20" ht="46.2" customHeight="1" x14ac:dyDescent="0.3">
      <c r="A28" s="62"/>
      <c r="B28" s="106"/>
      <c r="C28" s="263" t="str">
        <f>IFERROR(
    INDEX(
      INDEX(
        UITranslationTable[],
        0,
        IFERROR(
          MATCH(UILanguage, UITranslationTable[#Headers], 0),
          MATCH("English", UITranslationTable[#Headers], 0)
        )
      ),
      MATCH("configPasteWarning", UITranslationTable[tag], 0)
    ),#REF!
  ) &amp; ""</f>
        <v>CAUTION: If you paste data in these tables, please make sure that you PASTE VALUES ONLY (e.g., with a right-click). Otherwise, you might erase the special formatting used to highlight errors.</v>
      </c>
      <c r="D28" s="264"/>
      <c r="E28" s="264"/>
      <c r="F28" s="264"/>
      <c r="G28" s="264"/>
      <c r="H28" s="264"/>
      <c r="I28" s="264"/>
      <c r="J28" s="264"/>
      <c r="K28" s="264"/>
      <c r="L28" s="270"/>
      <c r="M28" s="271"/>
      <c r="N28" s="271"/>
      <c r="O28" s="272"/>
      <c r="P28" s="62"/>
      <c r="Q28" s="62"/>
      <c r="R28" s="62"/>
      <c r="S28" s="62"/>
      <c r="T28" s="62"/>
    </row>
    <row r="29" spans="1:20" ht="36" customHeight="1" x14ac:dyDescent="0.3">
      <c r="A29" s="62"/>
      <c r="B29" s="103"/>
      <c r="C29" s="251" t="str">
        <f>IFERROR(
    INDEX(
      INDEX(
        UITranslationTable[],
        0,
        IFERROR(
          MATCH(UILanguage, UITranslationTable[#Headers], 0),
          MATCH("English", UITranslationTable[#Headers], 0)
        )
      ),
      MATCH("configFactorsText1", UITranslationTable[tag], 0)
    ),#REF!
  ) &amp; ""</f>
        <v>You can analyse up to 30 different RANAS factors simultaneously. Here again, one factor could represent a group of questions whose score is precomputed within the questionnaire (possibly pre-normalised), so be sure to enter the appropriate minimum and maximum scores for each entry.</v>
      </c>
      <c r="D29" s="252"/>
      <c r="E29" s="252"/>
      <c r="F29" s="252"/>
      <c r="G29" s="252"/>
      <c r="H29" s="252"/>
      <c r="I29" s="252"/>
      <c r="J29" s="252"/>
      <c r="K29" s="252"/>
      <c r="L29" s="270"/>
      <c r="M29" s="271"/>
      <c r="N29" s="271"/>
      <c r="O29" s="272"/>
      <c r="P29" s="62"/>
      <c r="Q29" s="62"/>
      <c r="R29" s="62"/>
      <c r="S29" s="62"/>
      <c r="T29" s="62"/>
    </row>
    <row r="30" spans="1:20" ht="16.2" customHeight="1" x14ac:dyDescent="0.3">
      <c r="A30" s="62"/>
      <c r="B30" s="103"/>
      <c r="C30" s="253" t="str">
        <f>IFERROR(
    INDEX(
      INDEX(
        UITranslationTable[],
        0,
        IFERROR(
          MATCH(UILanguage, UITranslationTable[#Headers], 0),
          MATCH("English", UITranslationTable[#Headers], 0)
        )
      ),
      MATCH("configInThisTable", UITranslationTable[tag], 0)
    ),#REF!
  ) &amp; ""</f>
        <v>In this table:</v>
      </c>
      <c r="D30" s="254"/>
      <c r="E30" s="254"/>
      <c r="F30" s="254"/>
      <c r="G30" s="254"/>
      <c r="H30" s="254"/>
      <c r="I30" s="254"/>
      <c r="J30" s="254"/>
      <c r="K30" s="254"/>
      <c r="L30" s="270"/>
      <c r="M30" s="271"/>
      <c r="N30" s="271"/>
      <c r="O30" s="272"/>
      <c r="P30" s="62"/>
      <c r="Q30" s="62"/>
      <c r="R30" s="62"/>
      <c r="S30" s="62"/>
      <c r="T30" s="62"/>
    </row>
    <row r="31" spans="1:20" ht="24" customHeight="1" x14ac:dyDescent="0.3">
      <c r="A31" s="62"/>
      <c r="B31" s="103"/>
      <c r="C31" s="255" t="str">
        <f>IFERROR(
    INDEX(
      INDEX(
        UITranslationTable[],
        0,
        IFERROR(
          MATCH(UILanguage, UITranslationTable[#Headers], 0),
          MATCH("English", UITranslationTable[#Headers], 0)
        )
      ),
      MATCH("configFactorsText2", UITranslationTable[tag], 0)
    ),#REF!
  ) &amp; ""</f>
        <v>a. You MUST enter the data headers for the factors that you want to analyse, EXACTLY as they appear in your "data" sheet.</v>
      </c>
      <c r="D31" s="256"/>
      <c r="E31" s="256"/>
      <c r="F31" s="256"/>
      <c r="G31" s="256"/>
      <c r="H31" s="256"/>
      <c r="I31" s="256"/>
      <c r="J31" s="256"/>
      <c r="K31" s="256"/>
      <c r="L31" s="270"/>
      <c r="M31" s="271"/>
      <c r="N31" s="271"/>
      <c r="O31" s="272"/>
      <c r="P31" s="62"/>
      <c r="Q31" s="62"/>
      <c r="R31" s="62"/>
      <c r="S31" s="62"/>
      <c r="T31" s="62"/>
    </row>
    <row r="32" spans="1:20" ht="36" customHeight="1" x14ac:dyDescent="0.3">
      <c r="A32" s="62"/>
      <c r="B32" s="103"/>
      <c r="C32" s="255" t="str">
        <f>IFERROR(
    INDEX(
      INDEX(
        UITranslationTable[],
        0,
        IFERROR(
          MATCH(UILanguage, UITranslationTable[#Headers], 0),
          MATCH("English", UITranslationTable[#Headers], 0)
        )
      ),
      MATCH("configFactorsText3", UITranslationTable[tag], 0)
    ),#REF!
  ) &amp; ""</f>
        <v>b. You MUST enter, for each one, the minimum and maximum possible scores. Be careful to enter the appropriate values. (See the examples given above in 2. Behaviour &gt; b.")</v>
      </c>
      <c r="D32" s="256"/>
      <c r="E32" s="256"/>
      <c r="F32" s="256"/>
      <c r="G32" s="256"/>
      <c r="H32" s="256"/>
      <c r="I32" s="256"/>
      <c r="J32" s="256"/>
      <c r="K32" s="256"/>
      <c r="L32" s="270"/>
      <c r="M32" s="271"/>
      <c r="N32" s="271"/>
      <c r="O32" s="272"/>
      <c r="P32" s="62"/>
      <c r="Q32" s="62"/>
      <c r="R32" s="62"/>
      <c r="S32" s="62"/>
      <c r="T32" s="62"/>
    </row>
    <row r="33" spans="1:20" ht="24" customHeight="1" x14ac:dyDescent="0.3">
      <c r="A33" s="62"/>
      <c r="B33" s="103"/>
      <c r="C33" s="255" t="str">
        <f>IFERROR(
    INDEX(
      INDEX(
        UITranslationTable[],
        0,
        IFERROR(
          MATCH(UILanguage, UITranslationTable[#Headers], 0),
          MATCH("English", UITranslationTable[#Headers], 0)
        )
      ),
      MATCH("configFactorsText4", UITranslationTable[tag], 0)
    ),#REF!
  ) &amp; ""</f>
        <v>c. You MUST define, for each factor, the RANAS block to which it belongs by selecting it from the drop-down menu in the corresponding column.</v>
      </c>
      <c r="D33" s="256"/>
      <c r="E33" s="256"/>
      <c r="F33" s="256"/>
      <c r="G33" s="256"/>
      <c r="H33" s="256"/>
      <c r="I33" s="256"/>
      <c r="J33" s="256"/>
      <c r="K33" s="256"/>
      <c r="L33" s="270"/>
      <c r="M33" s="271"/>
      <c r="N33" s="271"/>
      <c r="O33" s="272"/>
      <c r="P33" s="62"/>
      <c r="Q33" s="62"/>
      <c r="R33" s="62"/>
      <c r="S33" s="62"/>
      <c r="T33" s="62"/>
    </row>
    <row r="34" spans="1:20" ht="36" customHeight="1" x14ac:dyDescent="0.3">
      <c r="A34" s="62"/>
      <c r="B34" s="103"/>
      <c r="C34" s="255" t="str">
        <f>IFERROR(
    INDEX(
      INDEX(
        UITranslationTable[],
        0,
        IFERROR(
          MATCH(UILanguage, UITranslationTable[#Headers], 0),
          MATCH("English", UITranslationTable[#Headers], 0)
        )
      ),
      MATCH("configFactorsText5", UITranslationTable[tag], 0)
    ),#REF!
  ) &amp; ""</f>
        <v>d. You MUST use the drop-down menus in the "Display?" column to select (✔) or deselect (✘) each factor in the table. Only the selected factors will be displayed in the analysis charts and table. This allows you to customise your charts.</v>
      </c>
      <c r="D34" s="256"/>
      <c r="E34" s="256"/>
      <c r="F34" s="256"/>
      <c r="G34" s="256"/>
      <c r="H34" s="256"/>
      <c r="I34" s="256"/>
      <c r="J34" s="256"/>
      <c r="K34" s="256"/>
      <c r="L34" s="270"/>
      <c r="M34" s="271"/>
      <c r="N34" s="271"/>
      <c r="O34" s="272"/>
      <c r="P34" s="62"/>
      <c r="Q34" s="62"/>
      <c r="R34" s="62"/>
      <c r="S34" s="62"/>
      <c r="T34" s="62"/>
    </row>
    <row r="35" spans="1:20" ht="36" customHeight="1" thickBot="1" x14ac:dyDescent="0.35">
      <c r="A35" s="62"/>
      <c r="B35" s="103"/>
      <c r="C35" s="255" t="str">
        <f ca="1">IFERROR(
    INDEX(
      INDEX(
        UITranslationTable[],
        0,
        IFERROR(
          MATCH(UILanguage, UITranslationTable[#Headers], 0),
          MATCH("English", UITranslationTable[#Headers], 0)
        )
      ),
      MATCH("configFactorsText6", UITranslationTable[tag], 0)
    ),#REF!
  ) &amp; ""</f>
        <v>e. You CAN define, in the yellow cells of the top row, additional languages that you want to use to display results in the charts and tables. They will then be available for selection in the "Chart language" menu of the "Introduction" sheet.</v>
      </c>
      <c r="D35" s="256"/>
      <c r="E35" s="256"/>
      <c r="F35" s="256"/>
      <c r="G35" s="256"/>
      <c r="H35" s="256"/>
      <c r="I35" s="256"/>
      <c r="J35" s="256"/>
      <c r="K35" s="256"/>
      <c r="L35" s="273"/>
      <c r="M35" s="274"/>
      <c r="N35" s="274"/>
      <c r="O35" s="275"/>
      <c r="P35" s="62"/>
      <c r="Q35" s="62"/>
      <c r="R35" s="62"/>
      <c r="S35" s="62"/>
      <c r="T35" s="62"/>
    </row>
    <row r="36" spans="1:20" ht="36" customHeight="1" thickBot="1" x14ac:dyDescent="0.35">
      <c r="A36" s="62"/>
      <c r="B36" s="103"/>
      <c r="C36" s="255" t="str">
        <f ca="1">IFERROR(
    INDEX(
      INDEX(
        UITranslationTable[],
        0,
        IFERROR(
          MATCH(UILanguage, UITranslationTable[#Headers], 0),
          MATCH("English", UITranslationTable[#Headers], 0)
        )
      ),
      MATCH("configFactorsText7", UITranslationTable[tag], 0)
    ),#REF!
  ) &amp; ""</f>
        <v>f. You MUST provide translations for all factors defined in the "Data header" column, at least for the "Chart language" selected in the "Introduction" sheet.</v>
      </c>
      <c r="D36" s="256"/>
      <c r="E36" s="256"/>
      <c r="F36" s="256"/>
      <c r="G36" s="256"/>
      <c r="H36" s="256"/>
      <c r="I36" s="256"/>
      <c r="J36" s="256"/>
      <c r="K36" s="256"/>
      <c r="L36" s="62"/>
      <c r="M36" s="62"/>
      <c r="N36" s="62"/>
      <c r="O36" s="85"/>
      <c r="P36" s="62"/>
      <c r="Q36" s="62"/>
      <c r="R36" s="62"/>
      <c r="S36" s="62"/>
      <c r="T36" s="62"/>
    </row>
    <row r="37" spans="1:20" ht="15" thickBot="1" x14ac:dyDescent="0.35">
      <c r="A37" s="62"/>
      <c r="B37" s="75"/>
      <c r="C37" s="69" t="str">
        <f>IFERROR(
    INDEX(
      INDEX(
        UITranslationTable[],
        0,
        IFERROR(
          MATCH(UILanguage, UITranslationTable[#Headers], 0),
          MATCH("English", UITranslationTable[#Headers], 0)
        )
      ),
      MATCH("configFactorsDisplay", UITranslationTable[tag], 0)
    ),#REF!
  ) &amp; ""</f>
        <v>Display?</v>
      </c>
      <c r="D37" s="69" t="str">
        <f>IFERROR(
    INDEX(
      INDEX(
        UITranslationTable[],
        0,
        IFERROR(
          MATCH(UILanguage, UITranslationTable[#Headers], 0),
          MATCH("English", UITranslationTable[#Headers], 0)
        )
      ),
      MATCH("configFactorsNum", UITranslationTable[tag], 0)
    ),#REF!
  ) &amp; ""</f>
        <v>Factor #</v>
      </c>
      <c r="E37" s="68" t="str">
        <f>IFERROR(
    INDEX(
      INDEX(
        UITranslationTable[],
        0,
        IFERROR(
          MATCH(UILanguage, UITranslationTable[#Headers], 0),
          MATCH("English", UITranslationTable[#Headers], 0)
        )
      ),
      MATCH("configDataHeader", UITranslationTable[tag], 0)
    ),#REF!
  ) &amp; ""</f>
        <v>Data header</v>
      </c>
      <c r="F37" s="68" t="str">
        <f>IFERROR(
    INDEX(
      INDEX(
        UITranslationTable[],
        0,
        IFERROR(
          MATCH(UILanguage, UITranslationTable[#Headers], 0),
          MATCH("English", UITranslationTable[#Headers], 0)
        )
      ),
      MATCH("configMinScore", UITranslationTable[tag], 0)
    ),#REF!
  ) &amp; ""</f>
        <v>Min. score</v>
      </c>
      <c r="G37" s="68" t="str">
        <f>IFERROR(
    INDEX(
      INDEX(
        UITranslationTable[],
        0,
        IFERROR(
          MATCH(UILanguage, UITranslationTable[#Headers], 0),
          MATCH("English", UITranslationTable[#Headers], 0)
        )
      ),
      MATCH("configMaxScore", UITranslationTable[tag], 0)
    ),#REF!
  ) &amp; ""</f>
        <v>Max. score</v>
      </c>
      <c r="H37" s="68" t="str">
        <f>IFERROR(
    INDEX(
      INDEX(
        UITranslationTable[],
        0,
        IFERROR(
          MATCH(UILanguage, UITranslationTable[#Headers], 0),
          MATCH("English", UITranslationTable[#Headers], 0)
        )
      ),
      MATCH("configNumResponses", UITranslationTable[tag], 0)
    ),#REF!
  ) &amp; ""</f>
        <v># of responses</v>
      </c>
      <c r="I37" s="68" t="str">
        <f>IFERROR(
    INDEX(
      INDEX(
        UITranslationTable[],
        0,
        IFERROR(
          MATCH(UILanguage, UITranslationTable[#Headers], 0),
          MATCH("English", UITranslationTable[#Headers], 0)
        )
      ),
      MATCH("configRANASBlock", UITranslationTable[tag], 0)
    ),#REF!
  ) &amp; ""</f>
        <v>RANAS block</v>
      </c>
      <c r="J37" s="68" t="str">
        <f>UITranslationTable[[#Headers],[English]]</f>
        <v>English</v>
      </c>
      <c r="K37" s="70" t="str">
        <f>UITranslationTable[[#Headers],[Français]]</f>
        <v>Français</v>
      </c>
      <c r="L37" s="42"/>
      <c r="M37" s="147"/>
      <c r="N37" s="148"/>
      <c r="O37" s="85"/>
      <c r="P37" s="62"/>
      <c r="Q37" s="62"/>
      <c r="R37" s="62"/>
      <c r="S37" s="62"/>
      <c r="T37" s="62"/>
    </row>
    <row r="38" spans="1:20" ht="15" hidden="1" thickBot="1" x14ac:dyDescent="0.35">
      <c r="A38" s="62"/>
      <c r="B38" s="103"/>
      <c r="C38" s="3" t="s">
        <v>183</v>
      </c>
      <c r="D38" s="2" t="s">
        <v>1</v>
      </c>
      <c r="E38" s="3" t="s">
        <v>55</v>
      </c>
      <c r="F38" s="3" t="s">
        <v>66</v>
      </c>
      <c r="G38" s="3" t="s">
        <v>67</v>
      </c>
      <c r="H38" s="2" t="s">
        <v>35</v>
      </c>
      <c r="I38" s="2" t="s">
        <v>68</v>
      </c>
      <c r="J38" s="2" t="s">
        <v>14</v>
      </c>
      <c r="K38" s="2" t="s">
        <v>15</v>
      </c>
      <c r="L38" s="2" t="s">
        <v>16</v>
      </c>
      <c r="M38" s="2" t="s">
        <v>17</v>
      </c>
      <c r="N38" s="36" t="s">
        <v>18</v>
      </c>
      <c r="O38" s="85"/>
      <c r="P38" s="62"/>
      <c r="Q38" s="62"/>
      <c r="R38" s="62"/>
      <c r="S38" s="62"/>
      <c r="T38" s="62"/>
    </row>
    <row r="39" spans="1:20" x14ac:dyDescent="0.3">
      <c r="A39" s="62"/>
      <c r="B39" s="103"/>
      <c r="C39" s="107"/>
      <c r="D39" s="155" cm="1">
        <f t="array" ref="D39">ROW()-ROW(factorsConfigTable[#Headers])</f>
        <v>1</v>
      </c>
      <c r="E39" s="13"/>
      <c r="F39" s="24"/>
      <c r="G39" s="29"/>
      <c r="H39" s="161" t="str">
        <f>_xlfn.XLOOKUP(factorsConfigTable[[#This Row],[index]], factorsTable[index], factorsTable[numTotal])</f>
        <v/>
      </c>
      <c r="I39" s="33"/>
      <c r="J39" s="14"/>
      <c r="K39" s="14"/>
      <c r="L39" s="15"/>
      <c r="M39" s="15"/>
      <c r="N39" s="37"/>
      <c r="O39" s="85"/>
      <c r="P39" s="62"/>
      <c r="Q39" s="62"/>
      <c r="R39" s="62"/>
      <c r="S39" s="62"/>
      <c r="T39" s="62"/>
    </row>
    <row r="40" spans="1:20" x14ac:dyDescent="0.3">
      <c r="A40" s="62"/>
      <c r="B40" s="103"/>
      <c r="C40" s="108"/>
      <c r="D40" s="156" cm="1">
        <f t="array" ref="D40">ROW()-ROW(factorsConfigTable[#Headers])</f>
        <v>2</v>
      </c>
      <c r="E40" s="16"/>
      <c r="F40" s="25"/>
      <c r="G40" s="30"/>
      <c r="H40" s="162" t="str">
        <f>_xlfn.XLOOKUP(factorsConfigTable[[#This Row],[index]], factorsTable[index], factorsTable[numTotal])</f>
        <v/>
      </c>
      <c r="I40" s="34"/>
      <c r="J40" s="17"/>
      <c r="K40" s="17"/>
      <c r="L40" s="17"/>
      <c r="M40" s="17"/>
      <c r="N40" s="38"/>
      <c r="O40" s="85"/>
      <c r="P40" s="62"/>
      <c r="Q40" s="62"/>
      <c r="R40" s="62"/>
      <c r="S40" s="62"/>
      <c r="T40" s="62"/>
    </row>
    <row r="41" spans="1:20" x14ac:dyDescent="0.3">
      <c r="A41" s="62"/>
      <c r="B41" s="103"/>
      <c r="C41" s="108"/>
      <c r="D41" s="156" cm="1">
        <f t="array" ref="D41">ROW()-ROW(factorsConfigTable[#Headers])</f>
        <v>3</v>
      </c>
      <c r="E41" s="16"/>
      <c r="F41" s="25"/>
      <c r="G41" s="30"/>
      <c r="H41" s="162" t="str">
        <f>_xlfn.XLOOKUP(factorsConfigTable[[#This Row],[index]], factorsTable[index], factorsTable[numTotal])</f>
        <v/>
      </c>
      <c r="I41" s="34"/>
      <c r="J41" s="17"/>
      <c r="K41" s="17"/>
      <c r="L41" s="17"/>
      <c r="M41" s="17"/>
      <c r="N41" s="38"/>
      <c r="O41" s="85"/>
      <c r="P41" s="62"/>
      <c r="Q41" s="62"/>
      <c r="R41" s="62"/>
      <c r="S41" s="62"/>
      <c r="T41" s="62"/>
    </row>
    <row r="42" spans="1:20" ht="14.4" customHeight="1" x14ac:dyDescent="0.3">
      <c r="A42" s="62"/>
      <c r="B42" s="103"/>
      <c r="C42" s="108"/>
      <c r="D42" s="156" cm="1">
        <f t="array" ref="D42">ROW()-ROW(factorsConfigTable[#Headers])</f>
        <v>4</v>
      </c>
      <c r="E42" s="16"/>
      <c r="F42" s="25"/>
      <c r="G42" s="30"/>
      <c r="H42" s="162" t="str">
        <f>_xlfn.XLOOKUP(factorsConfigTable[[#This Row],[index]], factorsTable[index], factorsTable[numTotal])</f>
        <v/>
      </c>
      <c r="I42" s="34"/>
      <c r="J42" s="17"/>
      <c r="K42" s="17"/>
      <c r="L42" s="17"/>
      <c r="M42" s="17"/>
      <c r="N42" s="38"/>
      <c r="O42" s="85"/>
      <c r="P42" s="62"/>
      <c r="Q42" s="62"/>
      <c r="R42" s="62"/>
      <c r="S42" s="62"/>
      <c r="T42" s="62"/>
    </row>
    <row r="43" spans="1:20" ht="14.4" customHeight="1" x14ac:dyDescent="0.3">
      <c r="A43" s="62"/>
      <c r="B43" s="103"/>
      <c r="C43" s="108"/>
      <c r="D43" s="156" cm="1">
        <f t="array" ref="D43">ROW()-ROW(factorsConfigTable[#Headers])</f>
        <v>5</v>
      </c>
      <c r="E43" s="16"/>
      <c r="F43" s="25"/>
      <c r="G43" s="30"/>
      <c r="H43" s="162" t="str">
        <f>_xlfn.XLOOKUP(factorsConfigTable[[#This Row],[index]], factorsTable[index], factorsTable[numTotal])</f>
        <v/>
      </c>
      <c r="I43" s="34"/>
      <c r="J43" s="17"/>
      <c r="K43" s="17"/>
      <c r="L43" s="17"/>
      <c r="M43" s="17"/>
      <c r="N43" s="38"/>
      <c r="O43" s="85"/>
      <c r="P43" s="62"/>
      <c r="Q43" s="62"/>
      <c r="R43" s="62"/>
      <c r="S43" s="62"/>
      <c r="T43" s="50"/>
    </row>
    <row r="44" spans="1:20" ht="14.4" customHeight="1" x14ac:dyDescent="0.3">
      <c r="A44" s="62"/>
      <c r="B44" s="103"/>
      <c r="C44" s="108"/>
      <c r="D44" s="156" cm="1">
        <f t="array" ref="D44">ROW()-ROW(factorsConfigTable[#Headers])</f>
        <v>6</v>
      </c>
      <c r="E44" s="16"/>
      <c r="F44" s="25"/>
      <c r="G44" s="30"/>
      <c r="H44" s="162" t="str">
        <f>_xlfn.XLOOKUP(factorsConfigTable[[#This Row],[index]], factorsTable[index], factorsTable[numTotal])</f>
        <v/>
      </c>
      <c r="I44" s="34"/>
      <c r="J44" s="17"/>
      <c r="K44" s="17"/>
      <c r="L44" s="17"/>
      <c r="M44" s="17"/>
      <c r="N44" s="38"/>
      <c r="O44" s="85"/>
      <c r="P44" s="62"/>
      <c r="Q44" s="62"/>
      <c r="R44" s="62"/>
      <c r="S44" s="50"/>
      <c r="T44" s="50"/>
    </row>
    <row r="45" spans="1:20" ht="14.4" customHeight="1" x14ac:dyDescent="0.3">
      <c r="A45" s="62"/>
      <c r="B45" s="103"/>
      <c r="C45" s="108"/>
      <c r="D45" s="156" cm="1">
        <f t="array" ref="D45">ROW()-ROW(factorsConfigTable[#Headers])</f>
        <v>7</v>
      </c>
      <c r="E45" s="16"/>
      <c r="F45" s="25"/>
      <c r="G45" s="30"/>
      <c r="H45" s="162" t="str">
        <f>_xlfn.XLOOKUP(factorsConfigTable[[#This Row],[index]], factorsTable[index], factorsTable[numTotal])</f>
        <v/>
      </c>
      <c r="I45" s="34"/>
      <c r="J45" s="17"/>
      <c r="K45" s="17"/>
      <c r="L45" s="17"/>
      <c r="M45" s="17"/>
      <c r="N45" s="38"/>
      <c r="O45" s="85"/>
      <c r="P45" s="62"/>
      <c r="Q45" s="62"/>
      <c r="R45" s="62"/>
      <c r="S45" s="50"/>
      <c r="T45" s="50"/>
    </row>
    <row r="46" spans="1:20" ht="14.4" customHeight="1" x14ac:dyDescent="0.3">
      <c r="A46" s="62"/>
      <c r="B46" s="103"/>
      <c r="C46" s="108"/>
      <c r="D46" s="156" cm="1">
        <f t="array" ref="D46">ROW()-ROW(factorsConfigTable[#Headers])</f>
        <v>8</v>
      </c>
      <c r="E46" s="16"/>
      <c r="F46" s="25"/>
      <c r="G46" s="30"/>
      <c r="H46" s="162" t="str">
        <f>_xlfn.XLOOKUP(factorsConfigTable[[#This Row],[index]], factorsTable[index], factorsTable[numTotal])</f>
        <v/>
      </c>
      <c r="I46" s="34"/>
      <c r="J46" s="17"/>
      <c r="K46" s="17"/>
      <c r="L46" s="17"/>
      <c r="M46" s="17"/>
      <c r="N46" s="38"/>
      <c r="O46" s="85"/>
      <c r="P46" s="62"/>
      <c r="Q46" s="62"/>
      <c r="R46" s="62"/>
      <c r="S46" s="50"/>
      <c r="T46" s="50"/>
    </row>
    <row r="47" spans="1:20" ht="14.4" customHeight="1" x14ac:dyDescent="0.3">
      <c r="A47" s="62"/>
      <c r="B47" s="103"/>
      <c r="C47" s="108"/>
      <c r="D47" s="156" cm="1">
        <f t="array" ref="D47">ROW()-ROW(factorsConfigTable[#Headers])</f>
        <v>9</v>
      </c>
      <c r="E47" s="16"/>
      <c r="F47" s="25"/>
      <c r="G47" s="30"/>
      <c r="H47" s="162" t="str">
        <f>_xlfn.XLOOKUP(factorsConfigTable[[#This Row],[index]], factorsTable[index], factorsTable[numTotal])</f>
        <v/>
      </c>
      <c r="I47" s="34"/>
      <c r="J47" s="17"/>
      <c r="K47" s="17"/>
      <c r="L47" s="17"/>
      <c r="M47" s="17"/>
      <c r="N47" s="38"/>
      <c r="O47" s="85"/>
      <c r="P47" s="62"/>
      <c r="Q47" s="62"/>
      <c r="R47" s="62"/>
      <c r="S47" s="50"/>
      <c r="T47" s="50"/>
    </row>
    <row r="48" spans="1:20" ht="14.4" customHeight="1" x14ac:dyDescent="0.3">
      <c r="A48" s="62"/>
      <c r="B48" s="103"/>
      <c r="C48" s="108"/>
      <c r="D48" s="156" cm="1">
        <f t="array" ref="D48">ROW()-ROW(factorsConfigTable[#Headers])</f>
        <v>10</v>
      </c>
      <c r="E48" s="16"/>
      <c r="F48" s="25"/>
      <c r="G48" s="30"/>
      <c r="H48" s="162" t="str">
        <f>_xlfn.XLOOKUP(factorsConfigTable[[#This Row],[index]], factorsTable[index], factorsTable[numTotal])</f>
        <v/>
      </c>
      <c r="I48" s="34"/>
      <c r="J48" s="17"/>
      <c r="K48" s="17"/>
      <c r="L48" s="17"/>
      <c r="M48" s="17"/>
      <c r="N48" s="38"/>
      <c r="O48" s="85"/>
      <c r="P48" s="62"/>
      <c r="Q48" s="62"/>
      <c r="R48" s="62"/>
      <c r="S48" s="50"/>
      <c r="T48" s="50"/>
    </row>
    <row r="49" spans="1:20" ht="14.4" customHeight="1" x14ac:dyDescent="0.3">
      <c r="A49" s="62"/>
      <c r="B49" s="103"/>
      <c r="C49" s="108"/>
      <c r="D49" s="159" cm="1">
        <f t="array" ref="D49">ROW()-ROW(factorsConfigTable[#Headers])</f>
        <v>11</v>
      </c>
      <c r="E49" s="16"/>
      <c r="F49" s="25"/>
      <c r="G49" s="30"/>
      <c r="H49" s="162" t="str">
        <f>_xlfn.XLOOKUP(factorsConfigTable[[#This Row],[index]], factorsTable[index], factorsTable[numTotal])</f>
        <v/>
      </c>
      <c r="I49" s="34"/>
      <c r="J49" s="17"/>
      <c r="K49" s="17"/>
      <c r="L49" s="22"/>
      <c r="M49" s="22"/>
      <c r="N49" s="39"/>
      <c r="O49" s="85"/>
      <c r="P49" s="62"/>
      <c r="Q49" s="62"/>
      <c r="R49" s="62"/>
      <c r="S49" s="50"/>
      <c r="T49" s="50"/>
    </row>
    <row r="50" spans="1:20" ht="14.4" customHeight="1" x14ac:dyDescent="0.3">
      <c r="A50" s="62"/>
      <c r="B50" s="103"/>
      <c r="C50" s="108"/>
      <c r="D50" s="159" cm="1">
        <f t="array" ref="D50">ROW()-ROW(factorsConfigTable[#Headers])</f>
        <v>12</v>
      </c>
      <c r="E50" s="16"/>
      <c r="F50" s="25"/>
      <c r="G50" s="30"/>
      <c r="H50" s="162" t="str">
        <f>_xlfn.XLOOKUP(factorsConfigTable[[#This Row],[index]], factorsTable[index], factorsTable[numTotal])</f>
        <v/>
      </c>
      <c r="I50" s="34"/>
      <c r="J50" s="17"/>
      <c r="K50" s="17"/>
      <c r="L50" s="22"/>
      <c r="M50" s="22"/>
      <c r="N50" s="39"/>
      <c r="O50" s="85"/>
      <c r="P50" s="62"/>
      <c r="Q50" s="62"/>
      <c r="R50" s="62"/>
      <c r="S50" s="50"/>
      <c r="T50" s="62"/>
    </row>
    <row r="51" spans="1:20" ht="14.4" customHeight="1" x14ac:dyDescent="0.3">
      <c r="A51" s="62"/>
      <c r="B51" s="103"/>
      <c r="C51" s="108"/>
      <c r="D51" s="159" cm="1">
        <f t="array" ref="D51">ROW()-ROW(factorsConfigTable[#Headers])</f>
        <v>13</v>
      </c>
      <c r="E51" s="16"/>
      <c r="F51" s="25"/>
      <c r="G51" s="30"/>
      <c r="H51" s="162" t="str">
        <f>_xlfn.XLOOKUP(factorsConfigTable[[#This Row],[index]], factorsTable[index], factorsTable[numTotal])</f>
        <v/>
      </c>
      <c r="I51" s="34"/>
      <c r="J51" s="17"/>
      <c r="K51" s="17"/>
      <c r="L51" s="22"/>
      <c r="M51" s="22"/>
      <c r="N51" s="39"/>
      <c r="O51" s="85"/>
      <c r="P51" s="62"/>
      <c r="Q51" s="62"/>
      <c r="R51" s="62"/>
      <c r="S51" s="50"/>
      <c r="T51" s="62"/>
    </row>
    <row r="52" spans="1:20" ht="14.4" customHeight="1" x14ac:dyDescent="0.3">
      <c r="A52" s="62"/>
      <c r="B52" s="103"/>
      <c r="C52" s="108"/>
      <c r="D52" s="159" cm="1">
        <f t="array" ref="D52">ROW()-ROW(factorsConfigTable[#Headers])</f>
        <v>14</v>
      </c>
      <c r="E52" s="16"/>
      <c r="F52" s="25"/>
      <c r="G52" s="30"/>
      <c r="H52" s="162" t="str">
        <f>_xlfn.XLOOKUP(factorsConfigTable[[#This Row],[index]], factorsTable[index], factorsTable[numTotal])</f>
        <v/>
      </c>
      <c r="I52" s="34"/>
      <c r="J52" s="17"/>
      <c r="K52" s="17"/>
      <c r="L52" s="22"/>
      <c r="M52" s="22"/>
      <c r="N52" s="39"/>
      <c r="O52" s="85"/>
      <c r="P52" s="62"/>
      <c r="Q52" s="62"/>
      <c r="R52" s="62"/>
      <c r="S52" s="50"/>
      <c r="T52" s="62"/>
    </row>
    <row r="53" spans="1:20" ht="14.4" customHeight="1" x14ac:dyDescent="0.3">
      <c r="A53" s="62"/>
      <c r="B53" s="103"/>
      <c r="C53" s="108"/>
      <c r="D53" s="159" cm="1">
        <f t="array" ref="D53">ROW()-ROW(factorsConfigTable[#Headers])</f>
        <v>15</v>
      </c>
      <c r="E53" s="16"/>
      <c r="F53" s="25"/>
      <c r="G53" s="30"/>
      <c r="H53" s="162" t="str">
        <f>_xlfn.XLOOKUP(factorsConfigTable[[#This Row],[index]], factorsTable[index], factorsTable[numTotal])</f>
        <v/>
      </c>
      <c r="I53" s="34"/>
      <c r="J53" s="17"/>
      <c r="K53" s="17"/>
      <c r="L53" s="22"/>
      <c r="M53" s="22"/>
      <c r="N53" s="39"/>
      <c r="O53" s="85"/>
      <c r="P53" s="62"/>
      <c r="Q53" s="62"/>
      <c r="R53" s="62"/>
      <c r="S53" s="50"/>
      <c r="T53" s="62"/>
    </row>
    <row r="54" spans="1:20" ht="14.4" customHeight="1" x14ac:dyDescent="0.3">
      <c r="A54" s="62"/>
      <c r="B54" s="103"/>
      <c r="C54" s="108"/>
      <c r="D54" s="159" cm="1">
        <f t="array" ref="D54">ROW()-ROW(factorsConfigTable[#Headers])</f>
        <v>16</v>
      </c>
      <c r="E54" s="16"/>
      <c r="F54" s="25"/>
      <c r="G54" s="30"/>
      <c r="H54" s="162" t="str">
        <f>_xlfn.XLOOKUP(factorsConfigTable[[#This Row],[index]], factorsTable[index], factorsTable[numTotal])</f>
        <v/>
      </c>
      <c r="I54" s="34"/>
      <c r="J54" s="17"/>
      <c r="K54" s="17"/>
      <c r="L54" s="22"/>
      <c r="M54" s="22"/>
      <c r="N54" s="39"/>
      <c r="O54" s="85"/>
      <c r="P54" s="62"/>
      <c r="Q54" s="62"/>
      <c r="R54" s="62"/>
      <c r="S54" s="50"/>
      <c r="T54" s="62"/>
    </row>
    <row r="55" spans="1:20" ht="14.4" customHeight="1" x14ac:dyDescent="0.3">
      <c r="A55" s="62"/>
      <c r="B55" s="103"/>
      <c r="C55" s="108"/>
      <c r="D55" s="159" cm="1">
        <f t="array" ref="D55">ROW()-ROW(factorsConfigTable[#Headers])</f>
        <v>17</v>
      </c>
      <c r="E55" s="16"/>
      <c r="F55" s="25"/>
      <c r="G55" s="30"/>
      <c r="H55" s="162" t="str">
        <f>_xlfn.XLOOKUP(factorsConfigTable[[#This Row],[index]], factorsTable[index], factorsTable[numTotal])</f>
        <v/>
      </c>
      <c r="I55" s="34"/>
      <c r="J55" s="17"/>
      <c r="K55" s="17"/>
      <c r="L55" s="22"/>
      <c r="M55" s="22"/>
      <c r="N55" s="39"/>
      <c r="O55" s="85"/>
      <c r="P55" s="62"/>
      <c r="Q55" s="62"/>
      <c r="R55" s="62"/>
      <c r="S55" s="50"/>
      <c r="T55" s="62"/>
    </row>
    <row r="56" spans="1:20" ht="14.4" customHeight="1" x14ac:dyDescent="0.3">
      <c r="A56" s="62"/>
      <c r="B56" s="103"/>
      <c r="C56" s="108"/>
      <c r="D56" s="159" cm="1">
        <f t="array" ref="D56">ROW()-ROW(factorsConfigTable[#Headers])</f>
        <v>18</v>
      </c>
      <c r="E56" s="16"/>
      <c r="F56" s="25"/>
      <c r="G56" s="30"/>
      <c r="H56" s="162" t="str">
        <f>_xlfn.XLOOKUP(factorsConfigTable[[#This Row],[index]], factorsTable[index], factorsTable[numTotal])</f>
        <v/>
      </c>
      <c r="I56" s="34"/>
      <c r="J56" s="17"/>
      <c r="K56" s="17"/>
      <c r="L56" s="22"/>
      <c r="M56" s="22"/>
      <c r="N56" s="39"/>
      <c r="O56" s="85"/>
      <c r="P56" s="62"/>
      <c r="Q56" s="62"/>
      <c r="R56" s="62"/>
      <c r="S56" s="50"/>
      <c r="T56" s="62"/>
    </row>
    <row r="57" spans="1:20" ht="14.4" customHeight="1" x14ac:dyDescent="0.3">
      <c r="A57" s="62"/>
      <c r="B57" s="103"/>
      <c r="C57" s="108"/>
      <c r="D57" s="159" cm="1">
        <f t="array" ref="D57">ROW()-ROW(factorsConfigTable[#Headers])</f>
        <v>19</v>
      </c>
      <c r="E57" s="16"/>
      <c r="F57" s="25"/>
      <c r="G57" s="30"/>
      <c r="H57" s="162" t="str">
        <f>_xlfn.XLOOKUP(factorsConfigTable[[#This Row],[index]], factorsTable[index], factorsTable[numTotal])</f>
        <v/>
      </c>
      <c r="I57" s="34"/>
      <c r="J57" s="17"/>
      <c r="K57" s="17"/>
      <c r="L57" s="22"/>
      <c r="M57" s="22"/>
      <c r="N57" s="39"/>
      <c r="O57" s="85"/>
      <c r="P57" s="62"/>
      <c r="Q57" s="62"/>
      <c r="R57" s="62"/>
      <c r="S57" s="50"/>
      <c r="T57" s="62"/>
    </row>
    <row r="58" spans="1:20" ht="14.4" customHeight="1" x14ac:dyDescent="0.3">
      <c r="A58" s="62"/>
      <c r="B58" s="103"/>
      <c r="C58" s="108"/>
      <c r="D58" s="159" cm="1">
        <f t="array" ref="D58">ROW()-ROW(factorsConfigTable[#Headers])</f>
        <v>20</v>
      </c>
      <c r="E58" s="16"/>
      <c r="F58" s="25"/>
      <c r="G58" s="30"/>
      <c r="H58" s="162" t="str">
        <f>_xlfn.XLOOKUP(factorsConfigTable[[#This Row],[index]], factorsTable[index], factorsTable[numTotal])</f>
        <v/>
      </c>
      <c r="I58" s="34"/>
      <c r="J58" s="17"/>
      <c r="K58" s="17"/>
      <c r="L58" s="22"/>
      <c r="M58" s="22"/>
      <c r="N58" s="39"/>
      <c r="O58" s="85"/>
      <c r="P58" s="62"/>
      <c r="Q58" s="62"/>
      <c r="R58" s="62"/>
      <c r="S58" s="50"/>
      <c r="T58" s="62"/>
    </row>
    <row r="59" spans="1:20" ht="14.4" customHeight="1" x14ac:dyDescent="0.3">
      <c r="A59" s="62"/>
      <c r="B59" s="103"/>
      <c r="C59" s="108"/>
      <c r="D59" s="159" cm="1">
        <f t="array" ref="D59">ROW()-ROW(factorsConfigTable[#Headers])</f>
        <v>21</v>
      </c>
      <c r="E59" s="16"/>
      <c r="F59" s="25"/>
      <c r="G59" s="30"/>
      <c r="H59" s="162" t="str">
        <f>_xlfn.XLOOKUP(factorsConfigTable[[#This Row],[index]], factorsTable[index], factorsTable[numTotal])</f>
        <v/>
      </c>
      <c r="I59" s="34"/>
      <c r="J59" s="17"/>
      <c r="K59" s="17"/>
      <c r="L59" s="22"/>
      <c r="M59" s="22"/>
      <c r="N59" s="39"/>
      <c r="O59" s="85"/>
      <c r="P59" s="62"/>
      <c r="Q59" s="62"/>
      <c r="R59" s="62"/>
      <c r="S59" s="50"/>
      <c r="T59" s="62"/>
    </row>
    <row r="60" spans="1:20" ht="14.4" customHeight="1" x14ac:dyDescent="0.3">
      <c r="A60" s="62"/>
      <c r="B60" s="103"/>
      <c r="C60" s="108"/>
      <c r="D60" s="159" cm="1">
        <f t="array" ref="D60">ROW()-ROW(factorsConfigTable[#Headers])</f>
        <v>22</v>
      </c>
      <c r="E60" s="16"/>
      <c r="F60" s="25"/>
      <c r="G60" s="30"/>
      <c r="H60" s="162" t="str">
        <f>_xlfn.XLOOKUP(factorsConfigTable[[#This Row],[index]], factorsTable[index], factorsTable[numTotal])</f>
        <v/>
      </c>
      <c r="I60" s="34"/>
      <c r="J60" s="17"/>
      <c r="K60" s="17"/>
      <c r="L60" s="22"/>
      <c r="M60" s="22"/>
      <c r="N60" s="39"/>
      <c r="O60" s="85"/>
      <c r="P60" s="62"/>
      <c r="Q60" s="62"/>
      <c r="R60" s="62"/>
      <c r="S60" s="50"/>
      <c r="T60" s="62"/>
    </row>
    <row r="61" spans="1:20" ht="14.4" customHeight="1" x14ac:dyDescent="0.3">
      <c r="A61" s="62"/>
      <c r="B61" s="103"/>
      <c r="C61" s="108"/>
      <c r="D61" s="159" cm="1">
        <f t="array" ref="D61">ROW()-ROW(factorsConfigTable[#Headers])</f>
        <v>23</v>
      </c>
      <c r="E61" s="16"/>
      <c r="F61" s="25"/>
      <c r="G61" s="30"/>
      <c r="H61" s="162" t="str">
        <f>_xlfn.XLOOKUP(factorsConfigTable[[#This Row],[index]], factorsTable[index], factorsTable[numTotal])</f>
        <v/>
      </c>
      <c r="I61" s="34"/>
      <c r="J61" s="17"/>
      <c r="K61" s="17"/>
      <c r="L61" s="22"/>
      <c r="M61" s="22"/>
      <c r="N61" s="39"/>
      <c r="O61" s="85"/>
      <c r="P61" s="62"/>
      <c r="Q61" s="62"/>
      <c r="R61" s="62"/>
      <c r="S61" s="50"/>
      <c r="T61" s="62"/>
    </row>
    <row r="62" spans="1:20" ht="14.4" customHeight="1" x14ac:dyDescent="0.3">
      <c r="A62" s="62"/>
      <c r="B62" s="103"/>
      <c r="C62" s="108"/>
      <c r="D62" s="159" cm="1">
        <f t="array" ref="D62">ROW()-ROW(factorsConfigTable[#Headers])</f>
        <v>24</v>
      </c>
      <c r="E62" s="16"/>
      <c r="F62" s="25"/>
      <c r="G62" s="30"/>
      <c r="H62" s="162" t="str">
        <f>_xlfn.XLOOKUP(factorsConfigTable[[#This Row],[index]], factorsTable[index], factorsTable[numTotal])</f>
        <v/>
      </c>
      <c r="I62" s="34"/>
      <c r="J62" s="17"/>
      <c r="K62" s="17"/>
      <c r="L62" s="22"/>
      <c r="M62" s="22"/>
      <c r="N62" s="39"/>
      <c r="O62" s="85"/>
      <c r="P62" s="62"/>
      <c r="Q62" s="62"/>
      <c r="R62" s="62"/>
      <c r="S62" s="50"/>
      <c r="T62" s="62"/>
    </row>
    <row r="63" spans="1:20" ht="14.4" customHeight="1" x14ac:dyDescent="0.3">
      <c r="A63" s="62"/>
      <c r="B63" s="103"/>
      <c r="C63" s="108"/>
      <c r="D63" s="159" cm="1">
        <f t="array" ref="D63">ROW()-ROW(factorsConfigTable[#Headers])</f>
        <v>25</v>
      </c>
      <c r="E63" s="16"/>
      <c r="F63" s="25"/>
      <c r="G63" s="30"/>
      <c r="H63" s="162" t="str">
        <f>_xlfn.XLOOKUP(factorsConfigTable[[#This Row],[index]], factorsTable[index], factorsTable[numTotal])</f>
        <v/>
      </c>
      <c r="I63" s="34"/>
      <c r="J63" s="17"/>
      <c r="K63" s="17"/>
      <c r="L63" s="22"/>
      <c r="M63" s="22"/>
      <c r="N63" s="39"/>
      <c r="O63" s="85"/>
      <c r="P63" s="62"/>
      <c r="Q63" s="62"/>
      <c r="R63" s="62"/>
      <c r="S63" s="50"/>
      <c r="T63" s="62"/>
    </row>
    <row r="64" spans="1:20" ht="14.4" customHeight="1" x14ac:dyDescent="0.3">
      <c r="A64" s="62"/>
      <c r="B64" s="103"/>
      <c r="C64" s="108"/>
      <c r="D64" s="159" cm="1">
        <f t="array" ref="D64">ROW()-ROW(factorsConfigTable[#Headers])</f>
        <v>26</v>
      </c>
      <c r="E64" s="16"/>
      <c r="F64" s="25"/>
      <c r="G64" s="30"/>
      <c r="H64" s="162" t="str">
        <f>_xlfn.XLOOKUP(factorsConfigTable[[#This Row],[index]], factorsTable[index], factorsTable[numTotal])</f>
        <v/>
      </c>
      <c r="I64" s="34"/>
      <c r="J64" s="17"/>
      <c r="K64" s="17"/>
      <c r="L64" s="22"/>
      <c r="M64" s="22"/>
      <c r="N64" s="39"/>
      <c r="O64" s="85"/>
      <c r="P64" s="62"/>
      <c r="Q64" s="62"/>
      <c r="R64" s="62"/>
      <c r="S64" s="50"/>
      <c r="T64" s="62"/>
    </row>
    <row r="65" spans="1:20" ht="14.4" customHeight="1" x14ac:dyDescent="0.3">
      <c r="A65" s="62"/>
      <c r="B65" s="103"/>
      <c r="C65" s="108"/>
      <c r="D65" s="159" cm="1">
        <f t="array" ref="D65">ROW()-ROW(factorsConfigTable[#Headers])</f>
        <v>27</v>
      </c>
      <c r="E65" s="16"/>
      <c r="F65" s="25"/>
      <c r="G65" s="30"/>
      <c r="H65" s="162" t="str">
        <f>_xlfn.XLOOKUP(factorsConfigTable[[#This Row],[index]], factorsTable[index], factorsTable[numTotal])</f>
        <v/>
      </c>
      <c r="I65" s="34"/>
      <c r="J65" s="17"/>
      <c r="K65" s="17"/>
      <c r="L65" s="22"/>
      <c r="M65" s="22"/>
      <c r="N65" s="39"/>
      <c r="O65" s="85"/>
      <c r="P65" s="62"/>
      <c r="Q65" s="62"/>
      <c r="R65" s="62"/>
      <c r="S65" s="50"/>
      <c r="T65" s="62"/>
    </row>
    <row r="66" spans="1:20" ht="14.4" customHeight="1" x14ac:dyDescent="0.3">
      <c r="A66" s="62"/>
      <c r="B66" s="103"/>
      <c r="C66" s="108"/>
      <c r="D66" s="159" cm="1">
        <f t="array" ref="D66">ROW()-ROW(factorsConfigTable[#Headers])</f>
        <v>28</v>
      </c>
      <c r="E66" s="16"/>
      <c r="F66" s="25"/>
      <c r="G66" s="30"/>
      <c r="H66" s="162" t="str">
        <f>_xlfn.XLOOKUP(factorsConfigTable[[#This Row],[index]], factorsTable[index], factorsTable[numTotal])</f>
        <v/>
      </c>
      <c r="I66" s="34"/>
      <c r="J66" s="17"/>
      <c r="K66" s="17"/>
      <c r="L66" s="22"/>
      <c r="M66" s="22"/>
      <c r="N66" s="39"/>
      <c r="O66" s="85"/>
      <c r="P66" s="62"/>
      <c r="Q66" s="62"/>
      <c r="R66" s="62"/>
      <c r="S66" s="50"/>
      <c r="T66" s="62"/>
    </row>
    <row r="67" spans="1:20" ht="14.4" customHeight="1" x14ac:dyDescent="0.3">
      <c r="A67" s="62"/>
      <c r="B67" s="103"/>
      <c r="C67" s="108"/>
      <c r="D67" s="159" cm="1">
        <f t="array" ref="D67">ROW()-ROW(factorsConfigTable[#Headers])</f>
        <v>29</v>
      </c>
      <c r="E67" s="16"/>
      <c r="F67" s="25"/>
      <c r="G67" s="30"/>
      <c r="H67" s="162" t="str">
        <f>_xlfn.XLOOKUP(factorsConfigTable[[#This Row],[index]], factorsTable[index], factorsTable[numTotal])</f>
        <v/>
      </c>
      <c r="I67" s="34"/>
      <c r="J67" s="17"/>
      <c r="K67" s="17"/>
      <c r="L67" s="22"/>
      <c r="M67" s="22"/>
      <c r="N67" s="39"/>
      <c r="O67" s="85"/>
      <c r="P67" s="62"/>
      <c r="Q67" s="62"/>
      <c r="R67" s="62"/>
      <c r="S67" s="50"/>
      <c r="T67" s="62"/>
    </row>
    <row r="68" spans="1:20" ht="14.4" customHeight="1" thickBot="1" x14ac:dyDescent="0.35">
      <c r="A68" s="62"/>
      <c r="B68" s="103"/>
      <c r="C68" s="109"/>
      <c r="D68" s="160" cm="1">
        <f t="array" ref="D68">ROW()-ROW(factorsConfigTable[#Headers])</f>
        <v>30</v>
      </c>
      <c r="E68" s="19"/>
      <c r="F68" s="31"/>
      <c r="G68" s="32"/>
      <c r="H68" s="163" t="str">
        <f>_xlfn.XLOOKUP(factorsConfigTable[[#This Row],[index]], factorsTable[index], factorsTable[numTotal])</f>
        <v/>
      </c>
      <c r="I68" s="35"/>
      <c r="J68" s="20"/>
      <c r="K68" s="20"/>
      <c r="L68" s="40"/>
      <c r="M68" s="40"/>
      <c r="N68" s="41"/>
      <c r="O68" s="85"/>
      <c r="P68" s="62"/>
      <c r="Q68" s="62"/>
      <c r="R68" s="62"/>
      <c r="S68" s="50"/>
      <c r="T68" s="62"/>
    </row>
    <row r="69" spans="1:20" ht="14.4" customHeight="1" x14ac:dyDescent="0.3">
      <c r="A69" s="62"/>
      <c r="B69" s="102"/>
      <c r="C69" s="112"/>
      <c r="D69" s="113"/>
      <c r="E69" s="82"/>
      <c r="F69" s="82"/>
      <c r="G69" s="82"/>
      <c r="H69" s="82"/>
      <c r="I69" s="82"/>
      <c r="J69" s="82"/>
      <c r="K69" s="82"/>
      <c r="L69" s="82"/>
      <c r="M69" s="82"/>
      <c r="N69" s="82"/>
      <c r="O69" s="87"/>
      <c r="P69" s="62"/>
      <c r="Q69" s="62"/>
      <c r="R69" s="62"/>
      <c r="S69" s="62"/>
      <c r="T69" s="62"/>
    </row>
    <row r="70" spans="1:20" ht="14.4" customHeight="1" x14ac:dyDescent="0.3">
      <c r="A70" s="62"/>
      <c r="B70" s="74"/>
      <c r="C70" s="93"/>
      <c r="D70" s="114"/>
      <c r="E70" s="50"/>
      <c r="F70" s="50"/>
      <c r="G70" s="50"/>
      <c r="H70" s="50"/>
      <c r="I70" s="50"/>
      <c r="J70" s="50"/>
      <c r="K70" s="50"/>
      <c r="L70" s="62"/>
      <c r="M70" s="62"/>
      <c r="N70" s="62"/>
      <c r="O70" s="62"/>
      <c r="P70" s="62"/>
      <c r="Q70" s="62"/>
      <c r="R70" s="62"/>
      <c r="S70" s="62"/>
      <c r="T70" s="62"/>
    </row>
    <row r="71" spans="1:20" ht="19.95" customHeight="1" thickBot="1" x14ac:dyDescent="0.35">
      <c r="A71" s="62"/>
      <c r="B71" s="74"/>
      <c r="C71" s="276" t="str">
        <f>IFERROR(
    INDEX(
      INDEX(
        UITranslationTable[],
        0,
        IFERROR(
          MATCH(UILanguage, UITranslationTable[#Headers], 0),
          MATCH("English", UITranslationTable[#Headers], 0)
        )
      ),
      MATCH("configErrorMessages", UITranslationTable[tag], 0)
    ),#REF!
  ) &amp; ""</f>
        <v>Error Messages</v>
      </c>
      <c r="D71" s="277"/>
      <c r="E71" s="277"/>
      <c r="F71" s="277"/>
      <c r="G71" s="277"/>
      <c r="H71" s="277"/>
      <c r="I71" s="167" t="str">
        <f>IFERROR(
    INDEX(
      INDEX(
        UITranslationTable[],
        0,
        IFERROR(
          MATCH(UILanguage, UITranslationTable[#Headers], 0),
          MATCH("English", UITranslationTable[#Headers], 0)
        )
      ),
      MATCH("configChartsTitle", UITranslationTable[tag], 0)
    ),#REF!
  ) &amp; ""</f>
        <v>4. Translations for charts and data tables</v>
      </c>
      <c r="J71" s="50"/>
      <c r="K71" s="50"/>
      <c r="L71" s="50"/>
      <c r="M71" s="50"/>
      <c r="N71" s="50"/>
      <c r="O71" s="50"/>
      <c r="P71" s="50"/>
      <c r="Q71" s="50"/>
      <c r="R71" s="62"/>
      <c r="S71" s="62"/>
      <c r="T71" s="62"/>
    </row>
    <row r="72" spans="1:20" ht="37.950000000000003" customHeight="1" x14ac:dyDescent="0.3">
      <c r="A72" s="62"/>
      <c r="B72" s="74"/>
      <c r="C72" s="240" t="str" cm="1">
        <f t="array" aca="1" ref="C72" ca="1">errorMessages</f>
        <v xml:space="preserve">
1. The "data" sheet cannot be found. Make sure you have imported your data file as a new spreadsheet in this Excel workbook and renamed that sheet "data" (without quotes).</v>
      </c>
      <c r="D72" s="241"/>
      <c r="E72" s="241"/>
      <c r="F72" s="241"/>
      <c r="G72" s="241"/>
      <c r="H72" s="242"/>
      <c r="I72" s="249" t="str">
        <f>IFERROR(
    INDEX(
      INDEX(
        UITranslationTable[],
        0,
        IFERROR(
          MATCH(UILanguage, UITranslationTable[#Headers], 0),
          MATCH("English", UITranslationTable[#Headers], 0)
        )
      ),
      MATCH("configPasteWarning", UITranslationTable[tag], 0)
    ),#REF!
  ) &amp; ""</f>
        <v>CAUTION: If you paste data in these tables, please make sure that you PASTE VALUES ONLY (e.g., with a right-click). Otherwise, you might erase the special formatting used to highlight errors.</v>
      </c>
      <c r="J72" s="250"/>
      <c r="K72" s="250"/>
      <c r="L72" s="250"/>
      <c r="M72" s="250"/>
      <c r="N72" s="250"/>
      <c r="O72" s="83"/>
      <c r="P72" s="62"/>
      <c r="Q72" s="62"/>
      <c r="R72" s="62"/>
      <c r="S72" s="62"/>
      <c r="T72" s="62"/>
    </row>
    <row r="73" spans="1:20" ht="16.2" customHeight="1" x14ac:dyDescent="0.3">
      <c r="A73" s="62"/>
      <c r="B73" s="74"/>
      <c r="C73" s="243"/>
      <c r="D73" s="244"/>
      <c r="E73" s="244"/>
      <c r="F73" s="244"/>
      <c r="G73" s="244"/>
      <c r="H73" s="245"/>
      <c r="I73" s="236" t="str">
        <f>IFERROR(
    INDEX(
      INDEX(
        UITranslationTable[],
        0,
        IFERROR(
          MATCH(UILanguage, UITranslationTable[#Headers], 0),
          MATCH("English", UITranslationTable[#Headers], 0)
        )
      ),
      MATCH("configInThisTable", UITranslationTable[tag], 0)
    ),#REF!
  ) &amp; ""</f>
        <v>In this table:</v>
      </c>
      <c r="J73" s="237"/>
      <c r="K73" s="237"/>
      <c r="L73" s="237"/>
      <c r="M73" s="237"/>
      <c r="N73" s="237"/>
      <c r="O73" s="85"/>
      <c r="P73" s="62"/>
      <c r="Q73" s="62"/>
      <c r="R73" s="62"/>
      <c r="S73" s="62"/>
      <c r="T73" s="62"/>
    </row>
    <row r="74" spans="1:20" ht="55.95" customHeight="1" x14ac:dyDescent="0.3">
      <c r="A74" s="62"/>
      <c r="B74" s="74"/>
      <c r="C74" s="243"/>
      <c r="D74" s="244"/>
      <c r="E74" s="244"/>
      <c r="F74" s="244"/>
      <c r="G74" s="244"/>
      <c r="H74" s="245"/>
      <c r="I74" s="238" t="str">
        <f>IFERROR(
    INDEX(
      INDEX(
        UITranslationTable[],
        0,
        IFERROR(
          MATCH(UILanguage, UITranslationTable[#Headers], 0),
          MATCH("English", UITranslationTable[#Headers], 0)
        )
      ),
      MATCH("configChartsText1", UITranslationTable[tag], 0)
    ),#REF!
  ) &amp; ""</f>
        <v>You MUST provide translations for the text elements of charts and data tables, but only if you have selected a user-defined language in the "Chart language" menu. Cells with missing translations appear in red.</v>
      </c>
      <c r="J74" s="239"/>
      <c r="K74" s="239"/>
      <c r="L74" s="239"/>
      <c r="M74" s="239"/>
      <c r="N74" s="239"/>
      <c r="O74" s="85"/>
      <c r="P74" s="62"/>
      <c r="Q74" s="62"/>
      <c r="R74" s="62"/>
      <c r="S74" s="62"/>
      <c r="T74" s="62"/>
    </row>
    <row r="75" spans="1:20" ht="15" thickBot="1" x14ac:dyDescent="0.35">
      <c r="A75" s="62"/>
      <c r="B75" s="74"/>
      <c r="C75" s="243"/>
      <c r="D75" s="244"/>
      <c r="E75" s="244"/>
      <c r="F75" s="244"/>
      <c r="G75" s="244"/>
      <c r="H75" s="245"/>
      <c r="I75" s="50"/>
      <c r="J75" s="68" t="str">
        <f>INDEX(languageTable[languageHeaders], 1)</f>
        <v>English</v>
      </c>
      <c r="K75" s="68" t="str">
        <f>INDEX(languageTable[languageHeaders], 2)</f>
        <v>Français</v>
      </c>
      <c r="L75" s="68" t="str">
        <f>INDEX(languageTable[languageHeaders], 3)</f>
        <v/>
      </c>
      <c r="M75" s="68" t="str">
        <f>INDEX(languageTable[languageHeaders], 4)</f>
        <v/>
      </c>
      <c r="N75" s="68" t="str">
        <f>INDEX(languageTable[languageHeaders], 5)</f>
        <v/>
      </c>
      <c r="O75" s="85"/>
      <c r="P75" s="62"/>
      <c r="Q75" s="62"/>
      <c r="R75" s="165"/>
      <c r="S75" s="166" t="s">
        <v>499</v>
      </c>
      <c r="T75" s="62"/>
    </row>
    <row r="76" spans="1:20" ht="15" hidden="1" customHeight="1" thickBot="1" x14ac:dyDescent="0.35">
      <c r="A76" s="62"/>
      <c r="B76" s="74"/>
      <c r="C76" s="243"/>
      <c r="D76" s="244"/>
      <c r="E76" s="244"/>
      <c r="F76" s="244"/>
      <c r="G76" s="244"/>
      <c r="H76" s="245"/>
      <c r="I76" s="50"/>
      <c r="J76" s="7" t="s">
        <v>14</v>
      </c>
      <c r="K76" s="7" t="s">
        <v>15</v>
      </c>
      <c r="L76" s="5" t="s">
        <v>16</v>
      </c>
      <c r="M76" s="5" t="s">
        <v>17</v>
      </c>
      <c r="N76" s="5" t="s">
        <v>18</v>
      </c>
      <c r="O76" s="28" t="s">
        <v>204</v>
      </c>
      <c r="P76" s="27" t="s">
        <v>12</v>
      </c>
      <c r="Q76" s="2" t="s">
        <v>1</v>
      </c>
      <c r="R76" s="2" t="s">
        <v>41</v>
      </c>
      <c r="S76" s="2" t="s">
        <v>42</v>
      </c>
      <c r="T76" s="62"/>
    </row>
    <row r="77" spans="1:20" x14ac:dyDescent="0.3">
      <c r="A77" s="62"/>
      <c r="B77" s="74"/>
      <c r="C77" s="243"/>
      <c r="D77" s="244"/>
      <c r="E77" s="244"/>
      <c r="F77" s="244"/>
      <c r="G77" s="244"/>
      <c r="H77" s="245"/>
      <c r="I77" s="50"/>
      <c r="J77" s="3" t="s">
        <v>53</v>
      </c>
      <c r="K77" s="4" t="s">
        <v>54</v>
      </c>
      <c r="L77" s="13"/>
      <c r="M77" s="14"/>
      <c r="N77" s="23"/>
      <c r="O77" s="120"/>
      <c r="P77" s="124" t="s">
        <v>52</v>
      </c>
      <c r="Q77" s="125" cm="1">
        <f t="array" ref="Q77">ROW()-ROW(chartTranslationTable[#Headers])</f>
        <v>1</v>
      </c>
      <c r="R77" s="126" t="str" cm="1">
        <f t="array" ref="R77">IF(
    chartTranslationTable[[#This Row],[tag]] = "",
    "",
    INDEX(
      INDEX(
        chartTranslationTable[],
        0,
        MATCH(
          IF(
            errorChartLanguage,
            "English",
            chartLanguage
          ),
          languageHeadersList,
          0
        )
        + MATCH(chartTranslationTable[[#Headers],[lang1]], chartTranslationTable[#Headers], 0)
        - 1
      ),
      chartTranslationTable[[#This Row],[index]]
    ) &amp; ""
  )</f>
        <v>Factor</v>
      </c>
      <c r="S77"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Factor</v>
      </c>
      <c r="T77" s="62"/>
    </row>
    <row r="78" spans="1:20" x14ac:dyDescent="0.3">
      <c r="A78" s="62"/>
      <c r="B78" s="74"/>
      <c r="C78" s="243"/>
      <c r="D78" s="244"/>
      <c r="E78" s="244"/>
      <c r="F78" s="244"/>
      <c r="G78" s="244"/>
      <c r="H78" s="245"/>
      <c r="I78" s="50"/>
      <c r="J78" s="5" t="s">
        <v>4</v>
      </c>
      <c r="K78" s="6" t="s">
        <v>6</v>
      </c>
      <c r="L78" s="16"/>
      <c r="M78" s="17"/>
      <c r="N78" s="18"/>
      <c r="O78" s="120"/>
      <c r="P78" s="124" t="s">
        <v>24</v>
      </c>
      <c r="Q78" s="125" cm="1">
        <f t="array" ref="Q78">ROW()-ROW(chartTranslationTable[#Headers])</f>
        <v>2</v>
      </c>
      <c r="R78" s="126" t="str" cm="1">
        <f t="array" ref="R78">IF(
    chartTranslationTable[[#This Row],[tag]] = "",
    "",
    INDEX(
      INDEX(
        chartTranslationTable[],
        0,
        MATCH(
          IF(
            errorChartLanguage,
            "English",
            chartLanguage
          ),
          languageHeadersList,
          0
        )
        + MATCH(chartTranslationTable[[#Headers],[lang1]], chartTranslationTable[#Headers], 0)
        - 1
      ),
      chartTranslationTable[[#This Row],[index]]
    ) &amp; ""
  )</f>
        <v>Doers</v>
      </c>
      <c r="S78"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Doers</v>
      </c>
      <c r="T78" s="62"/>
    </row>
    <row r="79" spans="1:20" x14ac:dyDescent="0.3">
      <c r="A79" s="62"/>
      <c r="B79" s="74"/>
      <c r="C79" s="243"/>
      <c r="D79" s="244"/>
      <c r="E79" s="244"/>
      <c r="F79" s="244"/>
      <c r="G79" s="244"/>
      <c r="H79" s="245"/>
      <c r="I79" s="50"/>
      <c r="J79" s="5" t="s">
        <v>7</v>
      </c>
      <c r="K79" s="6" t="s">
        <v>8</v>
      </c>
      <c r="L79" s="16"/>
      <c r="M79" s="17"/>
      <c r="N79" s="18"/>
      <c r="O79" s="120"/>
      <c r="P79" s="124" t="s">
        <v>25</v>
      </c>
      <c r="Q79" s="125" cm="1">
        <f t="array" ref="Q79">ROW()-ROW(chartTranslationTable[#Headers])</f>
        <v>3</v>
      </c>
      <c r="R79" s="126" t="str" cm="1">
        <f t="array" ref="R79">IF(
    chartTranslationTable[[#This Row],[tag]] = "",
    "",
    INDEX(
      INDEX(
        chartTranslationTable[],
        0,
        MATCH(
          IF(
            errorChartLanguage,
            "English",
            chartLanguage
          ),
          languageHeadersList,
          0
        )
        + MATCH(chartTranslationTable[[#Headers],[lang1]], chartTranslationTable[#Headers], 0)
        - 1
      ),
      chartTranslationTable[[#This Row],[index]]
    ) &amp; ""
  )</f>
        <v>Non-doers</v>
      </c>
      <c r="S79"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Non-doers</v>
      </c>
      <c r="T79" s="62"/>
    </row>
    <row r="80" spans="1:20" x14ac:dyDescent="0.3">
      <c r="A80" s="62"/>
      <c r="B80" s="74"/>
      <c r="C80" s="243"/>
      <c r="D80" s="244"/>
      <c r="E80" s="244"/>
      <c r="F80" s="244"/>
      <c r="G80" s="244"/>
      <c r="H80" s="245"/>
      <c r="I80" s="50"/>
      <c r="J80" s="5" t="s">
        <v>2</v>
      </c>
      <c r="K80" s="6" t="s">
        <v>9</v>
      </c>
      <c r="L80" s="16"/>
      <c r="M80" s="17"/>
      <c r="N80" s="18"/>
      <c r="O80" s="120"/>
      <c r="P80" s="124" t="s">
        <v>26</v>
      </c>
      <c r="Q80" s="125" cm="1">
        <f t="array" ref="Q80">ROW()-ROW(chartTranslationTable[#Headers])</f>
        <v>4</v>
      </c>
      <c r="R80" s="126" t="str" cm="1">
        <f t="array" ref="R80">IF(
    chartTranslationTable[[#This Row],[tag]] = "",
    "",
    INDEX(
      INDEX(
        chartTranslationTable[],
        0,
        MATCH(
          IF(
            errorChartLanguage,
            "English",
            chartLanguage
          ),
          languageHeadersList,
          0
        )
        + MATCH(chartTranslationTable[[#Headers],[lang1]], chartTranslationTable[#Headers], 0)
        - 1
      ),
      chartTranslationTable[[#This Row],[index]]
    ) &amp; ""
  )</f>
        <v>Difference</v>
      </c>
      <c r="S80"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Difference</v>
      </c>
      <c r="T80" s="62"/>
    </row>
    <row r="81" spans="1:20" x14ac:dyDescent="0.3">
      <c r="A81" s="62"/>
      <c r="B81" s="74"/>
      <c r="C81" s="243"/>
      <c r="D81" s="244"/>
      <c r="E81" s="244"/>
      <c r="F81" s="244"/>
      <c r="G81" s="244"/>
      <c r="H81" s="245"/>
      <c r="I81" s="50"/>
      <c r="J81" s="5" t="s">
        <v>36</v>
      </c>
      <c r="K81" s="6" t="s">
        <v>10</v>
      </c>
      <c r="L81" s="16"/>
      <c r="M81" s="17"/>
      <c r="N81" s="18"/>
      <c r="O81" s="120"/>
      <c r="P81" s="124" t="s">
        <v>35</v>
      </c>
      <c r="Q81" s="125" cm="1">
        <f t="array" ref="Q81">ROW()-ROW(chartTranslationTable[#Headers])</f>
        <v>5</v>
      </c>
      <c r="R81" s="126" t="str" cm="1">
        <f t="array" ref="R81">IF(
    chartTranslationTable[[#This Row],[tag]] = "",
    "",
    INDEX(
      INDEX(
        chartTranslationTable[],
        0,
        MATCH(
          IF(
            errorChartLanguage,
            "English",
            chartLanguage
          ),
          languageHeadersList,
          0
        )
        + MATCH(chartTranslationTable[[#Headers],[lang1]], chartTranslationTable[#Headers], 0)
        - 1
      ),
      chartTranslationTable[[#This Row],[index]]
    ) &amp; ""
  )</f>
        <v># of responses</v>
      </c>
      <c r="S81"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 of responses</v>
      </c>
      <c r="T81" s="62"/>
    </row>
    <row r="82" spans="1:20" x14ac:dyDescent="0.3">
      <c r="A82" s="62"/>
      <c r="B82" s="74"/>
      <c r="C82" s="243"/>
      <c r="D82" s="244"/>
      <c r="E82" s="244"/>
      <c r="F82" s="244"/>
      <c r="G82" s="244"/>
      <c r="H82" s="245"/>
      <c r="I82" s="50"/>
      <c r="J82" s="5" t="s">
        <v>120</v>
      </c>
      <c r="K82" s="6" t="s">
        <v>107</v>
      </c>
      <c r="L82" s="16"/>
      <c r="M82" s="17"/>
      <c r="N82" s="18"/>
      <c r="O82" s="120"/>
      <c r="P82" s="124" t="s">
        <v>106</v>
      </c>
      <c r="Q82" s="125" cm="1">
        <f t="array" ref="Q82">ROW()-ROW(chartTranslationTable[#Headers])</f>
        <v>6</v>
      </c>
      <c r="R82" s="126" t="str" cm="1">
        <f t="array" ref="R82">IF(
    chartTranslationTable[[#This Row],[tag]] = "",
    "",
    INDEX(
      INDEX(
        chartTranslationTable[],
        0,
        MATCH(
          IF(
            errorChartLanguage,
            "English",
            chartLanguage
          ),
          languageHeadersList,
          0
        )
        + MATCH(chartTranslationTable[[#Headers],[lang1]], chartTranslationTable[#Headers], 0)
        - 1
      ),
      chartTranslationTable[[#This Row],[index]]
    ) &amp; ""
  )</f>
        <v>% of responses</v>
      </c>
      <c r="S82"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 of responses</v>
      </c>
      <c r="T82" s="62"/>
    </row>
    <row r="83" spans="1:20" x14ac:dyDescent="0.3">
      <c r="A83" s="62"/>
      <c r="B83" s="74"/>
      <c r="C83" s="243"/>
      <c r="D83" s="244"/>
      <c r="E83" s="244"/>
      <c r="F83" s="244"/>
      <c r="G83" s="244"/>
      <c r="H83" s="245"/>
      <c r="I83" s="50"/>
      <c r="J83" s="5" t="s">
        <v>38</v>
      </c>
      <c r="K83" s="6" t="s">
        <v>40</v>
      </c>
      <c r="L83" s="16"/>
      <c r="M83" s="17"/>
      <c r="N83" s="18"/>
      <c r="O83" s="120"/>
      <c r="P83" s="124" t="s">
        <v>39</v>
      </c>
      <c r="Q83" s="125" cm="1">
        <f t="array" ref="Q83">ROW()-ROW(chartTranslationTable[#Headers])</f>
        <v>7</v>
      </c>
      <c r="R83" s="126" t="str" cm="1">
        <f t="array" ref="R83">IF(
    chartTranslationTable[[#This Row],[tag]] = "",
    "",
    INDEX(
      INDEX(
        chartTranslationTable[],
        0,
        MATCH(
          IF(
            errorChartLanguage,
            "English",
            chartLanguage
          ),
          languageHeadersList,
          0
        )
        + MATCH(chartTranslationTable[[#Headers],[lang1]], chartTranslationTable[#Headers], 0)
        - 1
      ),
      chartTranslationTable[[#This Row],[index]]
    ) &amp; ""
  )</f>
        <v>Cutoff level</v>
      </c>
      <c r="S83"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Cutoff level</v>
      </c>
      <c r="T83" s="62"/>
    </row>
    <row r="84" spans="1:20" x14ac:dyDescent="0.3">
      <c r="A84" s="62"/>
      <c r="B84" s="74"/>
      <c r="C84" s="243"/>
      <c r="D84" s="244"/>
      <c r="E84" s="244"/>
      <c r="F84" s="244"/>
      <c r="G84" s="244"/>
      <c r="H84" s="245"/>
      <c r="I84" s="50"/>
      <c r="J84" s="5" t="s">
        <v>102</v>
      </c>
      <c r="K84" s="6" t="s">
        <v>103</v>
      </c>
      <c r="L84" s="16"/>
      <c r="M84" s="17"/>
      <c r="N84" s="18"/>
      <c r="O84" s="120"/>
      <c r="P84" s="124" t="s">
        <v>104</v>
      </c>
      <c r="Q84" s="125" cm="1">
        <f t="array" ref="Q84">ROW()-ROW(chartTranslationTable[#Headers])</f>
        <v>8</v>
      </c>
      <c r="R84" s="126" t="str" cm="1">
        <f t="array" ref="R84">IF(
    chartTranslationTable[[#This Row],[tag]] = "",
    "",
    INDEX(
      INDEX(
        chartTranslationTable[],
        0,
        MATCH(
          IF(
            errorChartLanguage,
            "English",
            chartLanguage
          ),
          languageHeadersList,
          0
        )
        + MATCH(chartTranslationTable[[#Headers],[lang1]], chartTranslationTable[#Headers], 0)
        - 1
      ),
      chartTranslationTable[[#This Row],[index]]
    ) &amp; ""
  )</f>
        <v>Behaviour score</v>
      </c>
      <c r="S84"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Behaviour score</v>
      </c>
      <c r="T84" s="62"/>
    </row>
    <row r="85" spans="1:20" x14ac:dyDescent="0.3">
      <c r="A85" s="62"/>
      <c r="B85" s="74"/>
      <c r="C85" s="243"/>
      <c r="D85" s="244"/>
      <c r="E85" s="244"/>
      <c r="F85" s="244"/>
      <c r="G85" s="244"/>
      <c r="H85" s="245"/>
      <c r="I85" s="50"/>
      <c r="J85" s="5" t="s">
        <v>200</v>
      </c>
      <c r="K85" s="6" t="s">
        <v>129</v>
      </c>
      <c r="L85" s="16"/>
      <c r="M85" s="17"/>
      <c r="N85" s="18"/>
      <c r="O85" s="120"/>
      <c r="P85" s="124" t="s">
        <v>128</v>
      </c>
      <c r="Q85" s="125" cm="1">
        <f t="array" ref="Q85">ROW()-ROW(chartTranslationTable[#Headers])</f>
        <v>9</v>
      </c>
      <c r="R85" s="126" t="str" cm="1">
        <f t="array" ref="R85">IF(
    chartTranslationTable[[#This Row],[tag]] = "",
    "",
    INDEX(
      INDEX(
        chartTranslationTable[],
        0,
        MATCH(
          IF(
            errorChartLanguage,
            "English",
            chartLanguage
          ),
          languageHeadersList,
          0
        )
        + MATCH(chartTranslationTable[[#Headers],[lang1]], chartTranslationTable[#Headers], 0)
        - 1
      ),
      chartTranslationTable[[#This Row],[index]]
    ) &amp; ""
  )</f>
        <v>Normalised mean score</v>
      </c>
      <c r="S85"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Normalised mean score</v>
      </c>
      <c r="T85" s="62"/>
    </row>
    <row r="86" spans="1:20" x14ac:dyDescent="0.3">
      <c r="A86" s="62"/>
      <c r="B86" s="74"/>
      <c r="C86" s="243"/>
      <c r="D86" s="244"/>
      <c r="E86" s="244"/>
      <c r="F86" s="244"/>
      <c r="G86" s="244"/>
      <c r="H86" s="245"/>
      <c r="I86" s="50"/>
      <c r="J86" s="5" t="s">
        <v>158</v>
      </c>
      <c r="K86" s="6" t="s">
        <v>159</v>
      </c>
      <c r="L86" s="16"/>
      <c r="M86" s="17"/>
      <c r="N86" s="18"/>
      <c r="O86" s="120"/>
      <c r="P86" s="124" t="s">
        <v>68</v>
      </c>
      <c r="Q86" s="125" cm="1">
        <f t="array" ref="Q86">ROW()-ROW(chartTranslationTable[#Headers])</f>
        <v>10</v>
      </c>
      <c r="R86" s="126" t="str" cm="1">
        <f t="array" ref="R86">IF(
    chartTranslationTable[[#This Row],[tag]] = "",
    "",
    INDEX(
      INDEX(
        chartTranslationTable[],
        0,
        MATCH(
          IF(
            errorChartLanguage,
            "English",
            chartLanguage
          ),
          languageHeadersList,
          0
        )
        + MATCH(chartTranslationTable[[#Headers],[lang1]], chartTranslationTable[#Headers], 0)
        - 1
      ),
      chartTranslationTable[[#This Row],[index]]
    ) &amp; ""
  )</f>
        <v>RANAS block</v>
      </c>
      <c r="S86"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RANAS block</v>
      </c>
      <c r="T86" s="62"/>
    </row>
    <row r="87" spans="1:20" x14ac:dyDescent="0.3">
      <c r="A87" s="62"/>
      <c r="B87" s="74"/>
      <c r="C87" s="243"/>
      <c r="D87" s="244"/>
      <c r="E87" s="244"/>
      <c r="F87" s="244"/>
      <c r="G87" s="244"/>
      <c r="H87" s="245"/>
      <c r="I87" s="50"/>
      <c r="J87" s="5" t="s">
        <v>114</v>
      </c>
      <c r="K87" s="6" t="s">
        <v>131</v>
      </c>
      <c r="L87" s="16"/>
      <c r="M87" s="17"/>
      <c r="N87" s="18"/>
      <c r="O87" s="120"/>
      <c r="P87" s="124" t="s">
        <v>130</v>
      </c>
      <c r="Q87" s="125" cm="1">
        <f t="array" ref="Q87">ROW()-ROW(chartTranslationTable[#Headers])</f>
        <v>11</v>
      </c>
      <c r="R87" s="126" t="str" cm="1">
        <f t="array" ref="R87">IF(
    chartTranslationTable[[#This Row],[tag]] = "",
    "",
    INDEX(
      INDEX(
        chartTranslationTable[],
        0,
        MATCH(
          IF(
            errorChartLanguage,
            "English",
            chartLanguage
          ),
          languageHeadersList,
          0
        )
        + MATCH(chartTranslationTable[[#Headers],[lang1]], chartTranslationTable[#Headers], 0)
        - 1
      ),
      chartTranslationTable[[#This Row],[index]]
    ) &amp; ""
  )</f>
        <v>Risks</v>
      </c>
      <c r="S87"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Risks</v>
      </c>
      <c r="T87" s="62"/>
    </row>
    <row r="88" spans="1:20" x14ac:dyDescent="0.3">
      <c r="A88" s="62"/>
      <c r="B88" s="74"/>
      <c r="C88" s="243"/>
      <c r="D88" s="244"/>
      <c r="E88" s="244"/>
      <c r="F88" s="244"/>
      <c r="G88" s="244"/>
      <c r="H88" s="245"/>
      <c r="I88" s="50"/>
      <c r="J88" s="5" t="s">
        <v>115</v>
      </c>
      <c r="K88" s="6" t="s">
        <v>115</v>
      </c>
      <c r="L88" s="16"/>
      <c r="M88" s="17"/>
      <c r="N88" s="18"/>
      <c r="O88" s="120"/>
      <c r="P88" s="124" t="s">
        <v>132</v>
      </c>
      <c r="Q88" s="125" cm="1">
        <f t="array" ref="Q88">ROW()-ROW(chartTranslationTable[#Headers])</f>
        <v>12</v>
      </c>
      <c r="R88" s="126" t="str" cm="1">
        <f t="array" ref="R88">IF(
    chartTranslationTable[[#This Row],[tag]] = "",
    "",
    INDEX(
      INDEX(
        chartTranslationTable[],
        0,
        MATCH(
          IF(
            errorChartLanguage,
            "English",
            chartLanguage
          ),
          languageHeadersList,
          0
        )
        + MATCH(chartTranslationTable[[#Headers],[lang1]], chartTranslationTable[#Headers], 0)
        - 1
      ),
      chartTranslationTable[[#This Row],[index]]
    ) &amp; ""
  )</f>
        <v>Attitudes</v>
      </c>
      <c r="S88"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Attitudes</v>
      </c>
      <c r="T88" s="62"/>
    </row>
    <row r="89" spans="1:20" x14ac:dyDescent="0.3">
      <c r="A89" s="62"/>
      <c r="B89" s="74"/>
      <c r="C89" s="243"/>
      <c r="D89" s="244"/>
      <c r="E89" s="244"/>
      <c r="F89" s="244"/>
      <c r="G89" s="244"/>
      <c r="H89" s="245"/>
      <c r="I89" s="50"/>
      <c r="J89" s="5" t="s">
        <v>113</v>
      </c>
      <c r="K89" s="6" t="s">
        <v>134</v>
      </c>
      <c r="L89" s="16"/>
      <c r="M89" s="17"/>
      <c r="N89" s="18"/>
      <c r="O89" s="120"/>
      <c r="P89" s="124" t="s">
        <v>133</v>
      </c>
      <c r="Q89" s="125" cm="1">
        <f t="array" ref="Q89">ROW()-ROW(chartTranslationTable[#Headers])</f>
        <v>13</v>
      </c>
      <c r="R89" s="126" t="str" cm="1">
        <f t="array" ref="R89">IF(
    chartTranslationTable[[#This Row],[tag]] = "",
    "",
    INDEX(
      INDEX(
        chartTranslationTable[],
        0,
        MATCH(
          IF(
            errorChartLanguage,
            "English",
            chartLanguage
          ),
          languageHeadersList,
          0
        )
        + MATCH(chartTranslationTable[[#Headers],[lang1]], chartTranslationTable[#Headers], 0)
        - 1
      ),
      chartTranslationTable[[#This Row],[index]]
    ) &amp; ""
  )</f>
        <v>Norms</v>
      </c>
      <c r="S89"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Norms</v>
      </c>
      <c r="T89" s="62"/>
    </row>
    <row r="90" spans="1:20" x14ac:dyDescent="0.3">
      <c r="A90" s="62"/>
      <c r="B90" s="74"/>
      <c r="C90" s="243"/>
      <c r="D90" s="244"/>
      <c r="E90" s="244"/>
      <c r="F90" s="244"/>
      <c r="G90" s="244"/>
      <c r="H90" s="245"/>
      <c r="I90" s="50"/>
      <c r="J90" s="5" t="s">
        <v>116</v>
      </c>
      <c r="K90" s="6" t="s">
        <v>136</v>
      </c>
      <c r="L90" s="16"/>
      <c r="M90" s="17"/>
      <c r="N90" s="18"/>
      <c r="O90" s="120"/>
      <c r="P90" s="124" t="s">
        <v>135</v>
      </c>
      <c r="Q90" s="125" cm="1">
        <f t="array" ref="Q90">ROW()-ROW(chartTranslationTable[#Headers])</f>
        <v>14</v>
      </c>
      <c r="R90" s="126" t="str" cm="1">
        <f t="array" ref="R90">IF(
    chartTranslationTable[[#This Row],[tag]] = "",
    "",
    INDEX(
      INDEX(
        chartTranslationTable[],
        0,
        MATCH(
          IF(
            errorChartLanguage,
            "English",
            chartLanguage
          ),
          languageHeadersList,
          0
        )
        + MATCH(chartTranslationTable[[#Headers],[lang1]], chartTranslationTable[#Headers], 0)
        - 1
      ),
      chartTranslationTable[[#This Row],[index]]
    ) &amp; ""
  )</f>
        <v>Abilities</v>
      </c>
      <c r="S90"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Abilities</v>
      </c>
      <c r="T90" s="62"/>
    </row>
    <row r="91" spans="1:20" ht="15" thickBot="1" x14ac:dyDescent="0.35">
      <c r="A91" s="62"/>
      <c r="B91" s="74"/>
      <c r="C91" s="243"/>
      <c r="D91" s="244"/>
      <c r="E91" s="244"/>
      <c r="F91" s="244"/>
      <c r="G91" s="244"/>
      <c r="H91" s="245"/>
      <c r="I91" s="50"/>
      <c r="J91" s="7" t="s">
        <v>117</v>
      </c>
      <c r="K91" s="8" t="s">
        <v>138</v>
      </c>
      <c r="L91" s="19"/>
      <c r="M91" s="20"/>
      <c r="N91" s="21"/>
      <c r="O91" s="120"/>
      <c r="P91" s="124" t="s">
        <v>137</v>
      </c>
      <c r="Q91" s="125" cm="1">
        <f t="array" ref="Q91">ROW()-ROW(chartTranslationTable[#Headers])</f>
        <v>15</v>
      </c>
      <c r="R91" s="126" t="str" cm="1">
        <f t="array" ref="R91">IF(
    chartTranslationTable[[#This Row],[tag]] = "",
    "",
    INDEX(
      INDEX(
        chartTranslationTable[],
        0,
        MATCH(
          IF(
            errorChartLanguage,
            "English",
            chartLanguage
          ),
          languageHeadersList,
          0
        )
        + MATCH(chartTranslationTable[[#Headers],[lang1]], chartTranslationTable[#Headers], 0)
        - 1
      ),
      chartTranslationTable[[#This Row],[index]]
    ) &amp; ""
  )</f>
        <v>Self-regulation</v>
      </c>
      <c r="S91" s="127"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Self-regulation</v>
      </c>
      <c r="T91" s="62"/>
    </row>
    <row r="92" spans="1:20" ht="15" thickBot="1" x14ac:dyDescent="0.35">
      <c r="A92" s="62"/>
      <c r="B92" s="74"/>
      <c r="C92" s="246"/>
      <c r="D92" s="247"/>
      <c r="E92" s="247"/>
      <c r="F92" s="247"/>
      <c r="G92" s="247"/>
      <c r="H92" s="248"/>
      <c r="I92" s="82"/>
      <c r="J92" s="82"/>
      <c r="K92" s="82"/>
      <c r="L92" s="82"/>
      <c r="M92" s="82"/>
      <c r="N92" s="82"/>
      <c r="O92" s="87"/>
      <c r="P92" s="62"/>
      <c r="Q92" s="62"/>
      <c r="R92" s="62"/>
      <c r="S92" s="62"/>
      <c r="T92" s="62"/>
    </row>
    <row r="93" spans="1:20" x14ac:dyDescent="0.3">
      <c r="A93" s="62"/>
      <c r="B93" s="74"/>
      <c r="C93" s="74"/>
      <c r="D93" s="115"/>
      <c r="E93" s="62"/>
      <c r="F93" s="62"/>
      <c r="G93" s="62"/>
      <c r="H93" s="62"/>
      <c r="I93" s="62"/>
      <c r="J93" s="62"/>
      <c r="K93" s="62"/>
      <c r="L93" s="62"/>
      <c r="M93" s="62"/>
      <c r="N93" s="62"/>
      <c r="O93" s="62"/>
      <c r="P93" s="62"/>
      <c r="Q93" s="62"/>
      <c r="R93" s="62"/>
      <c r="S93" s="62"/>
      <c r="T93" s="62"/>
    </row>
  </sheetData>
  <sheetProtection algorithmName="SHA-512" hashValue="AhZ8o1ofDsqeOUbbRsgvop3eb62CellSXX7wpjQUSV+jxvA22PqNf3DfOf5IzSO/BF48njYCTEo9jzA57zGMhw==" saltValue="DjyV2Bt9dWx8Hi66kPyTBA==" spinCount="100000" sheet="1" objects="1" scenarios="1"/>
  <mergeCells count="29">
    <mergeCell ref="C8:K8"/>
    <mergeCell ref="L7:N7"/>
    <mergeCell ref="L8:O35"/>
    <mergeCell ref="C71:H71"/>
    <mergeCell ref="C10:K10"/>
    <mergeCell ref="C33:K33"/>
    <mergeCell ref="C34:K34"/>
    <mergeCell ref="C35:K35"/>
    <mergeCell ref="C36:K36"/>
    <mergeCell ref="C28:K28"/>
    <mergeCell ref="I73:N73"/>
    <mergeCell ref="I74:N74"/>
    <mergeCell ref="C72:H92"/>
    <mergeCell ref="I72:N72"/>
    <mergeCell ref="C9:K9"/>
    <mergeCell ref="C29:K29"/>
    <mergeCell ref="C30:K30"/>
    <mergeCell ref="C31:K31"/>
    <mergeCell ref="C32:K32"/>
    <mergeCell ref="C11:K11"/>
    <mergeCell ref="C12:K12"/>
    <mergeCell ref="C13:K13"/>
    <mergeCell ref="J14:K21"/>
    <mergeCell ref="C21:G25"/>
    <mergeCell ref="C3:K3"/>
    <mergeCell ref="C5:K5"/>
    <mergeCell ref="L3:O3"/>
    <mergeCell ref="C4:K4"/>
    <mergeCell ref="L4:N5"/>
  </mergeCells>
  <phoneticPr fontId="5" type="noConversion"/>
  <conditionalFormatting sqref="C16:C20 E16:G20 C39:C68 E39:G68 I39:N68 L77:N91 L37:N37">
    <cfRule type="expression" dxfId="37" priority="34">
      <formula>TRUE</formula>
    </cfRule>
  </conditionalFormatting>
  <conditionalFormatting sqref="C16:C20 E16:G20">
    <cfRule type="expression" dxfId="36" priority="32">
      <formula>MOD(ROW() - ROW($C$15), 2)</formula>
    </cfRule>
  </conditionalFormatting>
  <conditionalFormatting sqref="C16:C20">
    <cfRule type="expression" dxfId="35" priority="22">
      <formula>AND(     NOT(errorNoDataSheet),     C16 &lt;&gt; yesLabel,     ISNUMBER(INDEX(behaviourColNumColumn, D16)),     errorBehaviourNoneSelected   )</formula>
    </cfRule>
    <cfRule type="expression" dxfId="34" priority="23">
      <formula>AND(     NOT(errorNoDataSheet),     ISNA(MATCH($C16, yesNoList, 0)),     $E16 &lt;&gt; ""   )</formula>
    </cfRule>
  </conditionalFormatting>
  <conditionalFormatting sqref="C39:C68 E39:G68 I39:N68">
    <cfRule type="expression" dxfId="33" priority="29">
      <formula>MOD(ROW() - ROW($C$38), 2)</formula>
    </cfRule>
  </conditionalFormatting>
  <conditionalFormatting sqref="C39:C68">
    <cfRule type="expression" dxfId="32" priority="12">
      <formula>AND(     NOT(errorNoDataSheet),     $C39 &lt;&gt; yesLabel,     ISNUMBER(INDEX(factorColNumColumn, $D39)),     errorFactorNoneSelected   )</formula>
    </cfRule>
    <cfRule type="expression" dxfId="31" priority="13">
      <formula>AND(     NOT(errorNoDataSheet),     ISNA(MATCH($C39, yesNoList, 0)),     $E39 &lt;&gt; ""   )</formula>
    </cfRule>
  </conditionalFormatting>
  <conditionalFormatting sqref="D16:D20 H16:I20 D39:D68 H39:H68 J77:K91">
    <cfRule type="expression" dxfId="30" priority="35">
      <formula>TRUE</formula>
    </cfRule>
  </conditionalFormatting>
  <conditionalFormatting sqref="D16:D20 H16:I20">
    <cfRule type="expression" dxfId="29" priority="33">
      <formula>MOD(ROW() - ROW($D$15), 2)</formula>
    </cfRule>
  </conditionalFormatting>
  <conditionalFormatting sqref="D39:D68 H39:H68">
    <cfRule type="expression" dxfId="28" priority="30">
      <formula>MOD(ROW() - ROW($D$38), 2)</formula>
    </cfRule>
  </conditionalFormatting>
  <conditionalFormatting sqref="E16:E20">
    <cfRule type="expression" dxfId="27" priority="21">
      <formula>AND(     NOT(errorNoDataSheet),     $C16 = yesLabel,     $E16 &lt;&gt; "",     ISNA(INDEX(behaviourColNumColumn, $D16))   )</formula>
    </cfRule>
  </conditionalFormatting>
  <conditionalFormatting sqref="E39:E68">
    <cfRule type="expression" dxfId="26" priority="11">
      <formula>AND(     NOT(errorNoDataSheet),     $C39 = yesLabel,     $E39 &lt;&gt; "",     ISNA(INDEX(factorColNumColumn, $D39))   )</formula>
    </cfRule>
  </conditionalFormatting>
  <conditionalFormatting sqref="F16:F20">
    <cfRule type="expression" dxfId="25" priority="16">
      <formula>INDEX(behaviourMinOutOfRangeColumn, $D16)</formula>
    </cfRule>
    <cfRule type="expression" dxfId="24" priority="18">
      <formula>AND(     NOT(errorNoDataSheet),     C16 = yesLabel,     E16 &lt;&gt; "",     (NOT(ISNUMBER(F16))      + (ISNUMBER(G16) * (F16 &gt;= G16))     )   )</formula>
    </cfRule>
  </conditionalFormatting>
  <conditionalFormatting sqref="F39:F68">
    <cfRule type="expression" dxfId="23" priority="9">
      <formula>INDEX(factorsMinOutOfRangeColumn, $D39)</formula>
    </cfRule>
    <cfRule type="expression" dxfId="22" priority="10">
      <formula>AND(     NOT(errorNoDataSheet),     $C39 = yesLabel,     $E39 &lt;&gt; "",     (NOT(ISNUMBER($F39))      + (ISNUMBER($G39) * ($F39 &gt;= $G39))     )   )</formula>
    </cfRule>
  </conditionalFormatting>
  <conditionalFormatting sqref="G16:G20">
    <cfRule type="expression" dxfId="21" priority="14">
      <formula>INDEX(behaviourMaxOutOfRangeColumn, $D16)</formula>
    </cfRule>
    <cfRule type="expression" dxfId="20" priority="15">
      <formula>AND(     NOT(errorNoDataSheet),     $C16 = yesLabel,     $E16 &lt;&gt; "",     (NOT(ISNUMBER($G16))      + (ISNUMBER($F16) * ($F16 &gt;= $G16))     )   )</formula>
    </cfRule>
  </conditionalFormatting>
  <conditionalFormatting sqref="G39:G68">
    <cfRule type="expression" dxfId="19" priority="4">
      <formula>INDEX(factorsMaxOutOfRangeColumn, $D39)</formula>
    </cfRule>
    <cfRule type="expression" dxfId="18" priority="8">
      <formula>AND(     NOT(errorNoDataSheet),     $C39 = yesLabel,     $E39 &lt;&gt; "",     (NOT(ISNUMBER($G39))      + (ISNUMBER($F39) * ($F39 &gt;= $G39))     )   )</formula>
    </cfRule>
  </conditionalFormatting>
  <conditionalFormatting sqref="I39:I68">
    <cfRule type="expression" dxfId="17" priority="3">
      <formula>AND(     NOT(errorNoDataSheet),     $C39 = yesLabel,     $E39 &lt;&gt; "",     ISNA(MATCH($I39, RANASList, 0))   )</formula>
    </cfRule>
  </conditionalFormatting>
  <conditionalFormatting sqref="J77:K91">
    <cfRule type="expression" dxfId="16" priority="28">
      <formula>MOD(ROW() - ROW($J$76), 2)</formula>
    </cfRule>
  </conditionalFormatting>
  <conditionalFormatting sqref="J39:N68">
    <cfRule type="expression" dxfId="15" priority="2">
      <formula>AND(     NOT(errorNoDataSheet),     $C39 = yesLabel,     $E39 &lt;&gt; "",     J$37 = chartLanguage,     J39 = ""   )</formula>
    </cfRule>
  </conditionalFormatting>
  <conditionalFormatting sqref="J77:N91">
    <cfRule type="expression" dxfId="14" priority="1">
      <formula>AND(     NOT(errorNoDataSheet),     $P77 &lt;&gt; "",     J$75 = chartLanguage,     J77 = ""   )</formula>
    </cfRule>
  </conditionalFormatting>
  <conditionalFormatting sqref="L77:N91">
    <cfRule type="expression" dxfId="13" priority="26">
      <formula>MOD(ROW() - ROW($L$76), 2)</formula>
    </cfRule>
  </conditionalFormatting>
  <dataValidations count="3">
    <dataValidation type="list" allowBlank="1" showInputMessage="1" showErrorMessage="1" error="Please select a value from the drop-down menu for this cell._x000a__x000a_Veuillez sélectionner une valeur dans le menu déroulant pour cette cellule." sqref="I39:I68" xr:uid="{BF68FBD1-9296-4F99-A541-371EB410A4FD}">
      <formula1>RANASList</formula1>
    </dataValidation>
    <dataValidation type="list" allowBlank="1" showInputMessage="1" showErrorMessage="1" error="Please select a value from the drop-down menu for this cell._x000a__x000a_Veuillez sélectionner une valeur dans le menu déroulant pour cette cellule." sqref="C39:C68 C16:C20" xr:uid="{BD703E85-9EBD-4FB3-9B45-94DC8A2B4ED9}">
      <formula1>yesNoList</formula1>
    </dataValidation>
    <dataValidation type="custom" allowBlank="1" showInputMessage="1" showErrorMessage="1" error="Please enter a numerical value in this cell. Make sure that &quot;Min. score&quot; &lt; &quot;Max. score&quot;._x000a__x000a_Veuillez saisir une valeur numérique dans cette cellule. Faites attention à ce que «Score min.» &lt; «Score max.»." sqref="F16:G20 F39:G68" xr:uid="{EB345F43-842C-4ED5-B1C0-2330B5ABE3F6}">
      <formula1>ISNUMBER(F16)</formula1>
    </dataValidation>
  </dataValidations>
  <pageMargins left="0.7" right="0.7" top="0.75" bottom="0.75" header="0.3" footer="0.3"/>
  <pageSetup paperSize="9" orientation="portrait" r:id="rId1"/>
  <drawing r:id="rId2"/>
  <tableParts count="4">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A88-BFB4-41A4-8E9F-482FC3B93AD8}">
  <sheetPr codeName="Sheet2">
    <tabColor rgb="FFFFC000"/>
  </sheetPr>
  <dimension ref="A1:P39"/>
  <sheetViews>
    <sheetView showGridLines="0" showRowColHeaders="0" zoomScale="90" zoomScaleNormal="90" workbookViewId="0">
      <selection activeCell="H6" sqref="H6"/>
    </sheetView>
  </sheetViews>
  <sheetFormatPr defaultColWidth="0" defaultRowHeight="14.4" zeroHeight="1" x14ac:dyDescent="0.3"/>
  <cols>
    <col min="1" max="1" width="3.77734375" style="1" customWidth="1"/>
    <col min="2" max="2" width="65.77734375" style="11" customWidth="1"/>
    <col min="3" max="3" width="3.77734375" style="1" customWidth="1"/>
    <col min="4" max="5" width="23.77734375" style="1" customWidth="1"/>
    <col min="6" max="7" width="1.77734375" style="1" customWidth="1"/>
    <col min="8" max="8" width="8.77734375" style="1" customWidth="1"/>
    <col min="9" max="9" width="4.77734375" style="1" customWidth="1"/>
    <col min="10" max="10" width="12.77734375" style="1" customWidth="1"/>
    <col min="11" max="13" width="20.77734375" style="1" customWidth="1"/>
    <col min="14" max="14" width="7.77734375" style="1" customWidth="1"/>
    <col min="15" max="15" width="3.77734375" style="11" customWidth="1"/>
    <col min="16" max="16" width="3.77734375" style="1" customWidth="1"/>
    <col min="17" max="16384" width="8.88671875" style="1" hidden="1"/>
  </cols>
  <sheetData>
    <row r="1" spans="1:16" ht="19.95" customHeight="1" x14ac:dyDescent="0.3">
      <c r="A1" s="62"/>
      <c r="B1" s="50"/>
      <c r="C1" s="62"/>
      <c r="D1" s="62"/>
      <c r="E1" s="62"/>
      <c r="F1" s="62"/>
      <c r="G1" s="62"/>
      <c r="H1" s="62"/>
      <c r="I1" s="62"/>
      <c r="J1" s="62"/>
      <c r="K1" s="62"/>
      <c r="L1" s="62"/>
      <c r="M1" s="62"/>
      <c r="N1" s="62"/>
      <c r="O1" s="62"/>
      <c r="P1" s="62"/>
    </row>
    <row r="2" spans="1:16" ht="19.95" customHeight="1" x14ac:dyDescent="0.3">
      <c r="A2" s="62"/>
      <c r="B2" s="167" t="str">
        <f>IFERROR(
    INDEX(
      INDEX(
        UITranslationTable[],
        0,
        IFERROR(
          MATCH(UILanguage, UITranslationTable[#Headers], 0),
          MATCH("English", UITranslationTable[#Headers], 0)
        )
      ),
      MATCH("cutoffTitle", UITranslationTable[tag], 0)
    ),#REF!
  ) &amp; ""</f>
        <v>Selecting the doer / non-doer cutoff level</v>
      </c>
      <c r="C2" s="62"/>
      <c r="D2" s="62"/>
      <c r="E2" s="62"/>
      <c r="F2" s="62"/>
      <c r="G2" s="62"/>
      <c r="H2" s="62"/>
      <c r="I2" s="62"/>
      <c r="J2" s="62"/>
      <c r="K2" s="82"/>
      <c r="L2" s="82"/>
      <c r="M2" s="82"/>
      <c r="N2" s="82"/>
      <c r="O2" s="82"/>
      <c r="P2" s="62"/>
    </row>
    <row r="3" spans="1:16" ht="58.2" customHeight="1" x14ac:dyDescent="0.3">
      <c r="A3" s="62"/>
      <c r="B3" s="206" t="str">
        <f>IFERROR(
    INDEX(
      INDEX(
        UITranslationTable[],
        0,
        IFERROR(
          MATCH(UILanguage, UITranslationTable[#Headers], 0),
          MATCH("English", UITranslationTable[#Headers], 0)
        )
      ),
      MATCH("cutoffText1", UITranslationTable[tag], 0)
    ),#REF!
  ) &amp; ""</f>
        <v>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v>
      </c>
      <c r="C3" s="207"/>
      <c r="D3" s="207"/>
      <c r="E3" s="207"/>
      <c r="F3" s="207"/>
      <c r="G3" s="207"/>
      <c r="H3" s="207"/>
      <c r="I3" s="168"/>
      <c r="J3" s="97"/>
      <c r="K3" s="281" t="str" cm="1">
        <f t="array" aca="1" ref="K3" ca="1">IF(
    errorMessages = "",
    "",
    IFERROR(
      INDEX(
        INDEX(
          UITranslationTable[],
          0,
          IFERROR(
            MATCH(UILanguage, UITranslationTable[#Headers], 0),
            MATCH("English", UITranslationTable[#Headers], 0)
          )
        ),
        MATCH("errorMessageNotice", UITranslationTable[tag], 0)
      ),#REF!
    )
  )</f>
        <v>Some error has been detected. Please refer to one of the "Error messages" boards in the "Configuration" sheet for detailed explanations.</v>
      </c>
      <c r="L3" s="282"/>
      <c r="M3" s="282"/>
      <c r="N3" s="64"/>
      <c r="O3" s="83"/>
      <c r="P3" s="62"/>
    </row>
    <row r="4" spans="1:16" ht="64.2" customHeight="1" x14ac:dyDescent="0.3">
      <c r="A4" s="62"/>
      <c r="B4" s="204" t="str">
        <f>IFERROR(
    INDEX(
      INDEX(
        UITranslationTable[],
        0,
        IFERROR(
          MATCH(UILanguage, UITranslationTable[#Headers], 0),
          MATCH("English", UITranslationTable[#Headers], 0)
        )
      ),
      MATCH("cutoffText2", UITranslationTable[tag], 0)
    ),#REF!
  ) &amp; ""</f>
        <v>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v>
      </c>
      <c r="C4" s="205"/>
      <c r="D4" s="205"/>
      <c r="E4" s="205"/>
      <c r="F4" s="205"/>
      <c r="G4" s="205"/>
      <c r="H4" s="205"/>
      <c r="I4" s="172"/>
      <c r="J4" s="98"/>
      <c r="K4" s="98"/>
      <c r="L4" s="98"/>
      <c r="M4" s="98"/>
      <c r="N4" s="50"/>
      <c r="O4" s="85"/>
      <c r="P4" s="62"/>
    </row>
    <row r="5" spans="1:16" ht="24" customHeight="1" thickBot="1" x14ac:dyDescent="0.35">
      <c r="A5" s="62"/>
      <c r="B5" s="283" t="str">
        <f>IFERROR(
    INDEX(
      INDEX(
        UITranslationTable[],
        0,
        IFERROR(
          MATCH(UILanguage, UITranslationTable[#Headers], 0),
          MATCH("English", UITranslationTable[#Headers], 0)
        )
      ),
      MATCH("cutoffText3", UITranslationTable[tag], 0)
    ),#REF!
  ) &amp; ""</f>
        <v>The chart on the right displays the resulting split between non-doers and doers as a percentage of the total number of respondents for whom a score could be computed, as well as the difference between both groups.</v>
      </c>
      <c r="C5" s="284"/>
      <c r="D5" s="284"/>
      <c r="E5" s="90"/>
      <c r="F5" s="94"/>
      <c r="G5" s="50"/>
      <c r="H5" s="95" t="str">
        <f>IFERROR(
    INDEX(
      INDEX(
        UITranslationTable[],
        0,
        IFERROR(
          MATCH(UILanguage, UITranslationTable[#Headers], 0),
          MATCH("English", UITranslationTable[#Headers], 0)
        )
      ),
      MATCH("cutoffLevelRecomText", UITranslationTable[tag], 0)
    ),#REF!
  ) &amp; ""</f>
        <v>ⓘ Recommended cutoff level: 50%</v>
      </c>
      <c r="I5" s="94"/>
      <c r="J5" s="98"/>
      <c r="K5" s="98"/>
      <c r="L5" s="98"/>
      <c r="M5" s="98"/>
      <c r="N5" s="50"/>
      <c r="O5" s="85"/>
      <c r="P5" s="62"/>
    </row>
    <row r="6" spans="1:16" ht="19.95" customHeight="1" thickBot="1" x14ac:dyDescent="0.35">
      <c r="A6" s="62"/>
      <c r="B6" s="285"/>
      <c r="C6" s="284"/>
      <c r="D6" s="284"/>
      <c r="E6" s="90"/>
      <c r="F6" s="91"/>
      <c r="G6" s="92" t="str">
        <f>IFERROR(
    INDEX(
      INDEX(
        UITranslationTable[],
        0,
        IFERROR(
          MATCH(UILanguage, UITranslationTable[#Headers], 0),
          MATCH("English", UITranslationTable[#Headers], 0)
        )
      ),
      MATCH("cutoffLevelText", UITranslationTable[tag], 0)
    ),#REF!
  ) &amp; ""</f>
        <v>Cutoff level:</v>
      </c>
      <c r="H6" s="44">
        <v>57</v>
      </c>
      <c r="I6" s="96"/>
      <c r="J6" s="96"/>
      <c r="K6" s="96"/>
      <c r="L6" s="96"/>
      <c r="M6" s="96"/>
      <c r="N6" s="50"/>
      <c r="O6" s="85"/>
      <c r="P6" s="62"/>
    </row>
    <row r="7" spans="1:16" ht="10.95" customHeight="1" x14ac:dyDescent="0.3">
      <c r="A7" s="62"/>
      <c r="B7" s="285"/>
      <c r="C7" s="284"/>
      <c r="D7" s="284"/>
      <c r="E7" s="90"/>
      <c r="F7" s="50"/>
      <c r="G7" s="93"/>
      <c r="H7" s="93"/>
      <c r="I7" s="93"/>
      <c r="J7" s="93"/>
      <c r="K7" s="93"/>
      <c r="L7" s="93"/>
      <c r="M7" s="93"/>
      <c r="N7" s="50"/>
      <c r="O7" s="85"/>
      <c r="P7" s="62"/>
    </row>
    <row r="8" spans="1:16" ht="14.4" customHeight="1" x14ac:dyDescent="0.3">
      <c r="A8" s="62"/>
      <c r="B8" s="169"/>
      <c r="C8" s="50"/>
      <c r="D8" s="50"/>
      <c r="E8" s="50"/>
      <c r="F8" s="50"/>
      <c r="G8" s="50"/>
      <c r="H8" s="50"/>
      <c r="I8" s="50"/>
      <c r="J8" s="50"/>
      <c r="K8" s="50"/>
      <c r="L8" s="50"/>
      <c r="M8" s="50"/>
      <c r="N8" s="50"/>
      <c r="O8" s="85"/>
      <c r="P8" s="62"/>
    </row>
    <row r="9" spans="1:16" ht="14.4" customHeight="1" x14ac:dyDescent="0.3">
      <c r="A9" s="62"/>
      <c r="B9" s="169"/>
      <c r="C9" s="50"/>
      <c r="D9" s="50"/>
      <c r="E9" s="50"/>
      <c r="F9" s="50"/>
      <c r="G9" s="50"/>
      <c r="H9" s="50"/>
      <c r="I9" s="50"/>
      <c r="J9" s="50"/>
      <c r="K9" s="50"/>
      <c r="L9" s="50"/>
      <c r="M9" s="50"/>
      <c r="N9" s="50"/>
      <c r="O9" s="85"/>
      <c r="P9" s="62"/>
    </row>
    <row r="10" spans="1:16" ht="14.4" customHeight="1" x14ac:dyDescent="0.3">
      <c r="A10" s="62"/>
      <c r="B10" s="169"/>
      <c r="C10" s="50"/>
      <c r="D10" s="50"/>
      <c r="E10" s="50"/>
      <c r="F10" s="50"/>
      <c r="G10" s="50"/>
      <c r="H10" s="50"/>
      <c r="I10" s="50"/>
      <c r="J10" s="50"/>
      <c r="K10" s="50"/>
      <c r="L10" s="50"/>
      <c r="M10" s="50"/>
      <c r="N10" s="50"/>
      <c r="O10" s="85"/>
      <c r="P10" s="62"/>
    </row>
    <row r="11" spans="1:16" ht="14.4" customHeight="1" x14ac:dyDescent="0.3">
      <c r="A11" s="62"/>
      <c r="B11" s="169"/>
      <c r="C11" s="50"/>
      <c r="D11" s="50"/>
      <c r="E11" s="50"/>
      <c r="F11" s="50"/>
      <c r="G11" s="50"/>
      <c r="H11" s="50"/>
      <c r="I11" s="50"/>
      <c r="J11" s="50"/>
      <c r="K11" s="50"/>
      <c r="L11" s="50"/>
      <c r="M11" s="50"/>
      <c r="N11" s="50"/>
      <c r="O11" s="85"/>
      <c r="P11" s="62"/>
    </row>
    <row r="12" spans="1:16" ht="14.4" customHeight="1" x14ac:dyDescent="0.3">
      <c r="A12" s="62"/>
      <c r="B12" s="169"/>
      <c r="C12" s="50"/>
      <c r="D12" s="50"/>
      <c r="E12" s="50"/>
      <c r="F12" s="50"/>
      <c r="G12" s="50"/>
      <c r="H12" s="50"/>
      <c r="I12" s="50"/>
      <c r="J12" s="50"/>
      <c r="K12" s="50"/>
      <c r="L12" s="50"/>
      <c r="M12" s="50"/>
      <c r="N12" s="50"/>
      <c r="O12" s="85"/>
      <c r="P12" s="62"/>
    </row>
    <row r="13" spans="1:16" ht="14.4" customHeight="1" x14ac:dyDescent="0.3">
      <c r="A13" s="62"/>
      <c r="B13" s="169"/>
      <c r="C13" s="50"/>
      <c r="D13" s="50"/>
      <c r="E13" s="50"/>
      <c r="F13" s="50"/>
      <c r="G13" s="50"/>
      <c r="H13" s="50"/>
      <c r="I13" s="50"/>
      <c r="J13" s="50"/>
      <c r="K13" s="50"/>
      <c r="L13" s="50"/>
      <c r="M13" s="50"/>
      <c r="N13" s="50"/>
      <c r="O13" s="85"/>
      <c r="P13" s="62"/>
    </row>
    <row r="14" spans="1:16" ht="14.4" customHeight="1" x14ac:dyDescent="0.3">
      <c r="A14" s="62"/>
      <c r="B14" s="169"/>
      <c r="C14" s="50"/>
      <c r="D14" s="50"/>
      <c r="E14" s="50"/>
      <c r="F14" s="50"/>
      <c r="G14" s="50"/>
      <c r="H14" s="50"/>
      <c r="I14" s="50"/>
      <c r="J14" s="50"/>
      <c r="K14" s="50"/>
      <c r="L14" s="50"/>
      <c r="M14" s="50"/>
      <c r="N14" s="50"/>
      <c r="O14" s="85"/>
      <c r="P14" s="62"/>
    </row>
    <row r="15" spans="1:16" ht="14.4" customHeight="1" x14ac:dyDescent="0.3">
      <c r="A15" s="62"/>
      <c r="B15" s="169"/>
      <c r="C15" s="50"/>
      <c r="D15" s="50"/>
      <c r="E15" s="50"/>
      <c r="F15" s="50"/>
      <c r="G15" s="50"/>
      <c r="H15" s="50"/>
      <c r="I15" s="50"/>
      <c r="J15" s="50"/>
      <c r="K15" s="50"/>
      <c r="L15" s="50"/>
      <c r="M15" s="50"/>
      <c r="N15" s="50"/>
      <c r="O15" s="85"/>
      <c r="P15" s="62"/>
    </row>
    <row r="16" spans="1:16" ht="14.4" customHeight="1" x14ac:dyDescent="0.3">
      <c r="A16" s="62"/>
      <c r="B16" s="169"/>
      <c r="C16" s="50"/>
      <c r="D16" s="50"/>
      <c r="E16" s="50"/>
      <c r="F16" s="50"/>
      <c r="G16" s="50"/>
      <c r="H16" s="50"/>
      <c r="I16" s="50"/>
      <c r="J16" s="50"/>
      <c r="K16" s="50"/>
      <c r="L16" s="50"/>
      <c r="M16" s="50"/>
      <c r="N16" s="50"/>
      <c r="O16" s="85"/>
      <c r="P16" s="62"/>
    </row>
    <row r="17" spans="1:16" ht="14.4" customHeight="1" x14ac:dyDescent="0.3">
      <c r="A17" s="62"/>
      <c r="B17" s="169"/>
      <c r="C17" s="50"/>
      <c r="D17" s="50"/>
      <c r="E17" s="50"/>
      <c r="F17" s="50"/>
      <c r="G17" s="50"/>
      <c r="H17" s="50"/>
      <c r="I17" s="50"/>
      <c r="J17" s="50"/>
      <c r="K17" s="50"/>
      <c r="L17" s="50"/>
      <c r="M17" s="50"/>
      <c r="N17" s="50"/>
      <c r="O17" s="85"/>
      <c r="P17" s="62"/>
    </row>
    <row r="18" spans="1:16" ht="14.4" customHeight="1" x14ac:dyDescent="0.3">
      <c r="A18" s="62"/>
      <c r="B18" s="169"/>
      <c r="C18" s="50"/>
      <c r="D18" s="50"/>
      <c r="E18" s="50"/>
      <c r="F18" s="50"/>
      <c r="G18" s="50"/>
      <c r="H18" s="50"/>
      <c r="I18" s="50"/>
      <c r="J18" s="50"/>
      <c r="K18" s="50"/>
      <c r="L18" s="50"/>
      <c r="M18" s="50"/>
      <c r="N18" s="50"/>
      <c r="O18" s="85"/>
      <c r="P18" s="62"/>
    </row>
    <row r="19" spans="1:16" ht="14.4" customHeight="1" x14ac:dyDescent="0.3">
      <c r="A19" s="62"/>
      <c r="B19" s="169"/>
      <c r="C19" s="50"/>
      <c r="D19" s="50"/>
      <c r="E19" s="50"/>
      <c r="F19" s="50"/>
      <c r="G19" s="50"/>
      <c r="H19" s="50"/>
      <c r="I19" s="50"/>
      <c r="J19" s="50"/>
      <c r="K19" s="50"/>
      <c r="L19" s="50"/>
      <c r="M19" s="50"/>
      <c r="N19" s="50"/>
      <c r="O19" s="85"/>
      <c r="P19" s="62"/>
    </row>
    <row r="20" spans="1:16" ht="14.4" customHeight="1" x14ac:dyDescent="0.3">
      <c r="A20" s="62"/>
      <c r="B20" s="169"/>
      <c r="C20" s="50"/>
      <c r="D20" s="50"/>
      <c r="E20" s="50"/>
      <c r="F20" s="50"/>
      <c r="G20" s="50"/>
      <c r="H20" s="50"/>
      <c r="I20" s="50"/>
      <c r="J20" s="50"/>
      <c r="K20" s="50"/>
      <c r="L20" s="50"/>
      <c r="M20" s="50"/>
      <c r="N20" s="50"/>
      <c r="O20" s="85"/>
      <c r="P20" s="62"/>
    </row>
    <row r="21" spans="1:16" ht="14.4" customHeight="1" x14ac:dyDescent="0.3">
      <c r="A21" s="62"/>
      <c r="B21" s="169"/>
      <c r="C21" s="50"/>
      <c r="D21" s="50"/>
      <c r="E21" s="50"/>
      <c r="F21" s="50"/>
      <c r="G21" s="50"/>
      <c r="H21" s="50"/>
      <c r="I21" s="50"/>
      <c r="J21" s="50"/>
      <c r="K21" s="50"/>
      <c r="L21" s="50"/>
      <c r="M21" s="50"/>
      <c r="N21" s="50"/>
      <c r="O21" s="85"/>
      <c r="P21" s="62"/>
    </row>
    <row r="22" spans="1:16" x14ac:dyDescent="0.3">
      <c r="A22" s="62"/>
      <c r="B22" s="169"/>
      <c r="C22" s="50"/>
      <c r="D22" s="50"/>
      <c r="E22" s="50"/>
      <c r="F22" s="50"/>
      <c r="G22" s="50"/>
      <c r="H22" s="50"/>
      <c r="I22" s="50"/>
      <c r="J22" s="50"/>
      <c r="K22" s="50"/>
      <c r="L22" s="50"/>
      <c r="M22" s="50"/>
      <c r="N22" s="50"/>
      <c r="O22" s="85"/>
      <c r="P22" s="62"/>
    </row>
    <row r="23" spans="1:16" x14ac:dyDescent="0.3">
      <c r="A23" s="62"/>
      <c r="B23" s="169"/>
      <c r="C23" s="50"/>
      <c r="D23" s="50"/>
      <c r="E23" s="50"/>
      <c r="F23" s="50"/>
      <c r="G23" s="50"/>
      <c r="H23" s="50"/>
      <c r="I23" s="50"/>
      <c r="J23" s="50"/>
      <c r="K23" s="50"/>
      <c r="L23" s="50"/>
      <c r="M23" s="50"/>
      <c r="N23" s="50"/>
      <c r="O23" s="85"/>
      <c r="P23" s="62"/>
    </row>
    <row r="24" spans="1:16" ht="14.4" customHeight="1" x14ac:dyDescent="0.3">
      <c r="A24" s="62"/>
      <c r="B24" s="286" t="str">
        <f>IFERROR(
    INDEX(
      INDEX(
        UITranslationTable[],
        0,
        IFERROR(
          MATCH(UILanguage, UITranslationTable[#Headers], 0),
          MATCH("English", UITranslationTable[#Headers], 0)
        )
      ),
      MATCH("copyTableInfo", UITranslationTable[tag], 0)
    ),#REF!
  ) &amp;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C24" s="50"/>
      <c r="D24" s="69" t="str">
        <f>_xlfn.XLOOKUP("behaviourScore", chartTranslationTable[tag], chartTranslationTable[displayedText])</f>
        <v>Behaviour score</v>
      </c>
      <c r="E24" s="69" t="str">
        <f>_xlfn.XLOOKUP("numResponses", chartTranslationTable[tag], chartTranslationTable[displayedText])</f>
        <v># of responses</v>
      </c>
      <c r="F24" s="99" t="str">
        <f>_xlfn.XLOOKUP("nondoers", chartTranslationTable[tag], chartTranslationTable[displayedText])</f>
        <v>Non-doers</v>
      </c>
      <c r="G24" s="99" t="str">
        <f>_xlfn.XLOOKUP("doers", chartTranslationTable[tag], chartTranslationTable[displayedText])</f>
        <v>Doers</v>
      </c>
      <c r="H24" s="50"/>
      <c r="I24" s="50"/>
      <c r="J24" s="50"/>
      <c r="K24" s="69" t="str">
        <f>_xlfn.XLOOKUP("nondoers", chartTranslationTable[tag], chartTranslationTable[displayedText])</f>
        <v>Non-doers</v>
      </c>
      <c r="L24" s="69" t="str">
        <f>_xlfn.XLOOKUP("doers", chartTranslationTable[tag], chartTranslationTable[displayedText])</f>
        <v>Doers</v>
      </c>
      <c r="M24" s="69" t="str">
        <f>_xlfn.XLOOKUP("difference", chartTranslationTable[tag], chartTranslationTable[displayedText])</f>
        <v>Difference</v>
      </c>
      <c r="N24" s="50"/>
      <c r="O24" s="85"/>
      <c r="P24" s="62"/>
    </row>
    <row r="25" spans="1:16" ht="14.4" hidden="1" customHeight="1" x14ac:dyDescent="0.3">
      <c r="A25" s="62"/>
      <c r="B25" s="287"/>
      <c r="C25" s="26" t="s">
        <v>1</v>
      </c>
      <c r="D25" s="130" t="s">
        <v>98</v>
      </c>
      <c r="E25" s="130" t="s">
        <v>35</v>
      </c>
      <c r="F25" s="26" t="s">
        <v>298</v>
      </c>
      <c r="G25" s="26" t="s">
        <v>299</v>
      </c>
      <c r="H25" s="50"/>
      <c r="I25" s="50"/>
      <c r="J25" s="2" t="s">
        <v>1</v>
      </c>
      <c r="K25" s="3" t="s">
        <v>110</v>
      </c>
      <c r="L25" s="3" t="s">
        <v>111</v>
      </c>
      <c r="M25" s="3" t="s">
        <v>26</v>
      </c>
      <c r="N25" s="50"/>
      <c r="O25" s="85"/>
      <c r="P25" s="62"/>
    </row>
    <row r="26" spans="1:16" x14ac:dyDescent="0.3">
      <c r="A26" s="62"/>
      <c r="B26" s="287"/>
      <c r="C26" s="88" cm="1">
        <f t="array" ref="C26">ROW()-ROW(cutoffChartTable[#Headers])</f>
        <v>1</v>
      </c>
      <c r="D26" s="131" t="str">
        <f>_xlfn.XLOOKUP(cutoffChartTable[[#This Row],[index]], cutoffTable[index], cutoffTable[label])</f>
        <v>0-9%</v>
      </c>
      <c r="E26" s="131">
        <f>_xlfn.XLOOKUP(cutoffChartTable[[#This Row],[index]], cutoffTable[index], cutoffTable[numResponses])</f>
        <v>0</v>
      </c>
      <c r="F26" s="88">
        <f>_xlfn.XLOOKUP(cutoffChartTable[[#This Row],[index]], cutoffTable[index], cutoffTable[numNondoersBin])</f>
        <v>0</v>
      </c>
      <c r="G26" s="88">
        <f>_xlfn.XLOOKUP(cutoffChartTable[[#This Row],[index]], cutoffTable[index], cutoffTable[numDoersBin])</f>
        <v>0</v>
      </c>
      <c r="H26" s="50"/>
      <c r="I26" s="50"/>
      <c r="J26" s="101">
        <v>1</v>
      </c>
      <c r="K26" s="135" t="e">
        <f>_xlfn.XLOOKUP(doersNondoersChartTable[[#This Row],[index]], doersNondoersTable[index], doersNondoersTable[percentNondoers])</f>
        <v>#DIV/0!</v>
      </c>
      <c r="L26" s="136" t="e">
        <f>_xlfn.XLOOKUP(doersNondoersChartTable[[#This Row],[index]], doersNondoersTable[index], doersNondoersTable[percentDoers])</f>
        <v>#DIV/0!</v>
      </c>
      <c r="M26" s="137" t="e">
        <f>_xlfn.XLOOKUP(doersNondoersChartTable[[#This Row],[index]], doersNondoersTable[index], doersNondoersTable[difference])</f>
        <v>#DIV/0!</v>
      </c>
      <c r="N26" s="50"/>
      <c r="O26" s="85"/>
      <c r="P26" s="62"/>
    </row>
    <row r="27" spans="1:16" x14ac:dyDescent="0.3">
      <c r="A27" s="62"/>
      <c r="B27" s="287"/>
      <c r="C27" s="88" cm="1">
        <f t="array" ref="C27">ROW()-ROW(cutoffChartTable[#Headers])</f>
        <v>2</v>
      </c>
      <c r="D27" s="132" t="str">
        <f>_xlfn.XLOOKUP(cutoffChartTable[[#This Row],[index]], cutoffTable[index], cutoffTable[label])</f>
        <v>10-19%</v>
      </c>
      <c r="E27" s="132">
        <f>_xlfn.XLOOKUP(cutoffChartTable[[#This Row],[index]], cutoffTable[index], cutoffTable[numResponses])</f>
        <v>0</v>
      </c>
      <c r="F27" s="88">
        <f>_xlfn.XLOOKUP(cutoffChartTable[[#This Row],[index]], cutoffTable[index], cutoffTable[numNondoersBin])</f>
        <v>0</v>
      </c>
      <c r="G27" s="88">
        <f>_xlfn.XLOOKUP(cutoffChartTable[[#This Row],[index]], cutoffTable[index], cutoffTable[numDoersBin])</f>
        <v>0</v>
      </c>
      <c r="H27" s="50"/>
      <c r="I27" s="50"/>
      <c r="J27" s="50"/>
      <c r="K27" s="50"/>
      <c r="L27" s="50"/>
      <c r="M27" s="50"/>
      <c r="N27" s="50"/>
      <c r="O27" s="85"/>
      <c r="P27" s="62"/>
    </row>
    <row r="28" spans="1:16" ht="14.4" customHeight="1" x14ac:dyDescent="0.3">
      <c r="A28" s="62"/>
      <c r="B28" s="287"/>
      <c r="C28" s="88" cm="1">
        <f t="array" ref="C28">ROW()-ROW(cutoffChartTable[#Headers])</f>
        <v>3</v>
      </c>
      <c r="D28" s="132" t="str">
        <f>_xlfn.XLOOKUP(cutoffChartTable[[#This Row],[index]], cutoffTable[index], cutoffTable[label])</f>
        <v>20-29%</v>
      </c>
      <c r="E28" s="132">
        <f>_xlfn.XLOOKUP(cutoffChartTable[[#This Row],[index]], cutoffTable[index], cutoffTable[numResponses])</f>
        <v>0</v>
      </c>
      <c r="F28" s="88">
        <f>_xlfn.XLOOKUP(cutoffChartTable[[#This Row],[index]], cutoffTable[index], cutoffTable[numNondoersBin])</f>
        <v>0</v>
      </c>
      <c r="G28" s="88">
        <f>_xlfn.XLOOKUP(cutoffChartTable[[#This Row],[index]], cutoffTable[index], cutoffTable[numDoersBin])</f>
        <v>0</v>
      </c>
      <c r="H28" s="289" t="str">
        <f>IFERROR(
    INDEX(
      INDEX(
        UITranslationTable[],
        0,
        IFERROR(
          MATCH(UILanguage, UITranslationTable[#Headers], 0),
          MATCH("English", UITranslationTable[#Headers], 0)
        )
      ),
      MATCH("copyChartInfo", UITranslationTable[tag], 0)
    ),#REF!
  ) &amp;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I28" s="290"/>
      <c r="J28" s="290"/>
      <c r="K28" s="290"/>
      <c r="L28" s="290"/>
      <c r="M28" s="290"/>
      <c r="N28" s="290"/>
      <c r="O28" s="85"/>
      <c r="P28" s="62"/>
    </row>
    <row r="29" spans="1:16" x14ac:dyDescent="0.3">
      <c r="A29" s="62"/>
      <c r="B29" s="287"/>
      <c r="C29" s="89" cm="1">
        <f t="array" ref="C29">ROW()-ROW(cutoffChartTable[#Headers])</f>
        <v>4</v>
      </c>
      <c r="D29" s="133" t="str">
        <f>_xlfn.XLOOKUP(cutoffChartTable[[#This Row],[index]], cutoffTable[index], cutoffTable[label])</f>
        <v>30-39%</v>
      </c>
      <c r="E29" s="133">
        <f>_xlfn.XLOOKUP(cutoffChartTable[[#This Row],[index]], cutoffTable[index], cutoffTable[numResponses])</f>
        <v>0</v>
      </c>
      <c r="F29" s="89">
        <f>_xlfn.XLOOKUP(cutoffChartTable[[#This Row],[index]], cutoffTable[index], cutoffTable[numNondoersBin])</f>
        <v>0</v>
      </c>
      <c r="G29" s="89">
        <f>_xlfn.XLOOKUP(cutoffChartTable[[#This Row],[index]], cutoffTable[index], cutoffTable[numDoersBin])</f>
        <v>0</v>
      </c>
      <c r="H29" s="290"/>
      <c r="I29" s="290"/>
      <c r="J29" s="290"/>
      <c r="K29" s="290"/>
      <c r="L29" s="290"/>
      <c r="M29" s="290"/>
      <c r="N29" s="290"/>
      <c r="O29" s="85"/>
      <c r="P29" s="62"/>
    </row>
    <row r="30" spans="1:16" x14ac:dyDescent="0.3">
      <c r="A30" s="62"/>
      <c r="B30" s="287"/>
      <c r="C30" s="89" cm="1">
        <f t="array" ref="C30">ROW()-ROW(cutoffChartTable[#Headers])</f>
        <v>5</v>
      </c>
      <c r="D30" s="133" t="str">
        <f>_xlfn.XLOOKUP(cutoffChartTable[[#This Row],[index]], cutoffTable[index], cutoffTable[label])</f>
        <v>40-49%</v>
      </c>
      <c r="E30" s="133">
        <f>_xlfn.XLOOKUP(cutoffChartTable[[#This Row],[index]], cutoffTable[index], cutoffTable[numResponses])</f>
        <v>0</v>
      </c>
      <c r="F30" s="89">
        <f>_xlfn.XLOOKUP(cutoffChartTable[[#This Row],[index]], cutoffTable[index], cutoffTable[numNondoersBin])</f>
        <v>0</v>
      </c>
      <c r="G30" s="89">
        <f>_xlfn.XLOOKUP(cutoffChartTable[[#This Row],[index]], cutoffTable[index], cutoffTable[numDoersBin])</f>
        <v>0</v>
      </c>
      <c r="H30" s="290"/>
      <c r="I30" s="290"/>
      <c r="J30" s="290"/>
      <c r="K30" s="290"/>
      <c r="L30" s="290"/>
      <c r="M30" s="290"/>
      <c r="N30" s="290"/>
      <c r="O30" s="85"/>
      <c r="P30" s="62"/>
    </row>
    <row r="31" spans="1:16" x14ac:dyDescent="0.3">
      <c r="A31" s="62"/>
      <c r="B31" s="287"/>
      <c r="C31" s="89" cm="1">
        <f t="array" ref="C31">ROW()-ROW(cutoffChartTable[#Headers])</f>
        <v>6</v>
      </c>
      <c r="D31" s="133" t="str">
        <f>_xlfn.XLOOKUP(cutoffChartTable[[#This Row],[index]], cutoffTable[index], cutoffTable[label])</f>
        <v>50-59%</v>
      </c>
      <c r="E31" s="133">
        <f>_xlfn.XLOOKUP(cutoffChartTable[[#This Row],[index]], cutoffTable[index], cutoffTable[numResponses])</f>
        <v>0</v>
      </c>
      <c r="F31" s="100">
        <f>_xlfn.XLOOKUP(cutoffChartTable[[#This Row],[index]], cutoffTable[index], cutoffTable[numNondoersBin])</f>
        <v>0</v>
      </c>
      <c r="G31" s="100">
        <f>_xlfn.XLOOKUP(cutoffChartTable[[#This Row],[index]], cutoffTable[index], cutoffTable[numDoersBin])</f>
        <v>0</v>
      </c>
      <c r="H31" s="290"/>
      <c r="I31" s="290"/>
      <c r="J31" s="290"/>
      <c r="K31" s="290"/>
      <c r="L31" s="290"/>
      <c r="M31" s="290"/>
      <c r="N31" s="290"/>
      <c r="O31" s="85"/>
      <c r="P31" s="62"/>
    </row>
    <row r="32" spans="1:16" x14ac:dyDescent="0.3">
      <c r="A32" s="62"/>
      <c r="B32" s="287"/>
      <c r="C32" s="89" cm="1">
        <f t="array" ref="C32">ROW()-ROW(cutoffChartTable[#Headers])</f>
        <v>7</v>
      </c>
      <c r="D32" s="133" t="str">
        <f>_xlfn.XLOOKUP(cutoffChartTable[[#This Row],[index]], cutoffTable[index], cutoffTable[label])</f>
        <v>60-69%</v>
      </c>
      <c r="E32" s="133">
        <f>_xlfn.XLOOKUP(cutoffChartTable[[#This Row],[index]], cutoffTable[index], cutoffTable[numResponses])</f>
        <v>0</v>
      </c>
      <c r="F32" s="100">
        <f>_xlfn.XLOOKUP(cutoffChartTable[[#This Row],[index]], cutoffTable[index], cutoffTable[numNondoersBin])</f>
        <v>0</v>
      </c>
      <c r="G32" s="100">
        <f>_xlfn.XLOOKUP(cutoffChartTable[[#This Row],[index]], cutoffTable[index], cutoffTable[numDoersBin])</f>
        <v>0</v>
      </c>
      <c r="H32" s="290"/>
      <c r="I32" s="290"/>
      <c r="J32" s="290"/>
      <c r="K32" s="290"/>
      <c r="L32" s="290"/>
      <c r="M32" s="290"/>
      <c r="N32" s="290"/>
      <c r="O32" s="85"/>
      <c r="P32" s="62"/>
    </row>
    <row r="33" spans="1:16" x14ac:dyDescent="0.3">
      <c r="A33" s="62"/>
      <c r="B33" s="287"/>
      <c r="C33" s="89" cm="1">
        <f t="array" ref="C33">ROW()-ROW(cutoffChartTable[#Headers])</f>
        <v>8</v>
      </c>
      <c r="D33" s="133" t="str">
        <f>_xlfn.XLOOKUP(cutoffChartTable[[#This Row],[index]], cutoffTable[index], cutoffTable[label])</f>
        <v>70-79%</v>
      </c>
      <c r="E33" s="133">
        <f>_xlfn.XLOOKUP(cutoffChartTable[[#This Row],[index]], cutoffTable[index], cutoffTable[numResponses])</f>
        <v>0</v>
      </c>
      <c r="F33" s="100">
        <f>_xlfn.XLOOKUP(cutoffChartTable[[#This Row],[index]], cutoffTable[index], cutoffTable[numNondoersBin])</f>
        <v>0</v>
      </c>
      <c r="G33" s="100">
        <f>_xlfn.XLOOKUP(cutoffChartTable[[#This Row],[index]], cutoffTable[index], cutoffTable[numDoersBin])</f>
        <v>0</v>
      </c>
      <c r="H33" s="290"/>
      <c r="I33" s="290"/>
      <c r="J33" s="290"/>
      <c r="K33" s="290"/>
      <c r="L33" s="290"/>
      <c r="M33" s="290"/>
      <c r="N33" s="290"/>
      <c r="O33" s="85"/>
      <c r="P33" s="62"/>
    </row>
    <row r="34" spans="1:16" x14ac:dyDescent="0.3">
      <c r="A34" s="62"/>
      <c r="B34" s="287"/>
      <c r="C34" s="89" cm="1">
        <f t="array" ref="C34">ROW()-ROW(cutoffChartTable[#Headers])</f>
        <v>9</v>
      </c>
      <c r="D34" s="133" t="str">
        <f>_xlfn.XLOOKUP(cutoffChartTable[[#This Row],[index]], cutoffTable[index], cutoffTable[label])</f>
        <v>80-89%</v>
      </c>
      <c r="E34" s="133">
        <f>_xlfn.XLOOKUP(cutoffChartTable[[#This Row],[index]], cutoffTable[index], cutoffTable[numResponses])</f>
        <v>0</v>
      </c>
      <c r="F34" s="100">
        <f>_xlfn.XLOOKUP(cutoffChartTable[[#This Row],[index]], cutoffTable[index], cutoffTable[numNondoersBin])</f>
        <v>0</v>
      </c>
      <c r="G34" s="100">
        <f>_xlfn.XLOOKUP(cutoffChartTable[[#This Row],[index]], cutoffTable[index], cutoffTable[numDoersBin])</f>
        <v>0</v>
      </c>
      <c r="H34" s="290"/>
      <c r="I34" s="290"/>
      <c r="J34" s="290"/>
      <c r="K34" s="290"/>
      <c r="L34" s="290"/>
      <c r="M34" s="290"/>
      <c r="N34" s="290"/>
      <c r="O34" s="85"/>
      <c r="P34" s="62"/>
    </row>
    <row r="35" spans="1:16" x14ac:dyDescent="0.3">
      <c r="A35" s="62"/>
      <c r="B35" s="287"/>
      <c r="C35" s="89" cm="1">
        <f t="array" ref="C35">ROW()-ROW(cutoffChartTable[#Headers])</f>
        <v>10</v>
      </c>
      <c r="D35" s="134" t="str">
        <f>_xlfn.XLOOKUP(cutoffChartTable[[#This Row],[index]], cutoffTable[index], cutoffTable[label])</f>
        <v>90-100%</v>
      </c>
      <c r="E35" s="134">
        <f>_xlfn.XLOOKUP(cutoffChartTable[[#This Row],[index]], cutoffTable[index], cutoffTable[numResponses])</f>
        <v>0</v>
      </c>
      <c r="F35" s="100">
        <f>_xlfn.XLOOKUP(cutoffChartTable[[#This Row],[index]], cutoffTable[index], cutoffTable[numNondoersBin])</f>
        <v>0</v>
      </c>
      <c r="G35" s="100">
        <f>_xlfn.XLOOKUP(cutoffChartTable[[#This Row],[index]], cutoffTable[index], cutoffTable[numDoersBin])</f>
        <v>0</v>
      </c>
      <c r="H35" s="290"/>
      <c r="I35" s="290"/>
      <c r="J35" s="290"/>
      <c r="K35" s="290"/>
      <c r="L35" s="290"/>
      <c r="M35" s="290"/>
      <c r="N35" s="290"/>
      <c r="O35" s="85"/>
      <c r="P35" s="62"/>
    </row>
    <row r="36" spans="1:16" x14ac:dyDescent="0.3">
      <c r="A36" s="62"/>
      <c r="B36" s="287"/>
      <c r="C36" s="50"/>
      <c r="D36" s="50"/>
      <c r="E36" s="50"/>
      <c r="F36" s="50"/>
      <c r="G36" s="50"/>
      <c r="H36" s="290"/>
      <c r="I36" s="290"/>
      <c r="J36" s="290"/>
      <c r="K36" s="290"/>
      <c r="L36" s="290"/>
      <c r="M36" s="290"/>
      <c r="N36" s="290"/>
      <c r="O36" s="85"/>
      <c r="P36" s="62"/>
    </row>
    <row r="37" spans="1:16" x14ac:dyDescent="0.3">
      <c r="A37" s="62"/>
      <c r="B37" s="287"/>
      <c r="C37" s="50"/>
      <c r="D37" s="50"/>
      <c r="E37" s="50"/>
      <c r="F37" s="50"/>
      <c r="G37" s="50"/>
      <c r="H37" s="290"/>
      <c r="I37" s="290"/>
      <c r="J37" s="290"/>
      <c r="K37" s="290"/>
      <c r="L37" s="290"/>
      <c r="M37" s="290"/>
      <c r="N37" s="290"/>
      <c r="O37" s="85"/>
      <c r="P37" s="62"/>
    </row>
    <row r="38" spans="1:16" x14ac:dyDescent="0.3">
      <c r="A38" s="62"/>
      <c r="B38" s="288"/>
      <c r="C38" s="82"/>
      <c r="D38" s="82"/>
      <c r="E38" s="82"/>
      <c r="F38" s="82"/>
      <c r="G38" s="82"/>
      <c r="H38" s="291"/>
      <c r="I38" s="291"/>
      <c r="J38" s="291"/>
      <c r="K38" s="291"/>
      <c r="L38" s="291"/>
      <c r="M38" s="291"/>
      <c r="N38" s="291"/>
      <c r="O38" s="87"/>
      <c r="P38" s="62"/>
    </row>
    <row r="39" spans="1:16" ht="14.4" customHeight="1" x14ac:dyDescent="0.3">
      <c r="A39" s="62"/>
      <c r="B39" s="62"/>
      <c r="C39" s="62"/>
      <c r="D39" s="62"/>
      <c r="E39" s="62"/>
      <c r="F39" s="62"/>
      <c r="G39" s="62"/>
      <c r="H39" s="62"/>
      <c r="I39" s="62"/>
      <c r="J39" s="62"/>
      <c r="K39" s="62"/>
      <c r="L39" s="62"/>
      <c r="M39" s="62"/>
      <c r="N39" s="62"/>
      <c r="O39" s="62"/>
      <c r="P39" s="62"/>
    </row>
  </sheetData>
  <sheetProtection algorithmName="SHA-512" hashValue="Br/dFIlWe0myfYHjllPGOp8PeB//TSHL5w/sVk2EluC5FAumdEG6k0g1fsY5EF+u83U2Him4FQAsbN5pn0gf8g==" saltValue="Mg2w1smL0ILbzdtq3qBl8w==" spinCount="100000" sheet="1" objects="1" scenarios="1"/>
  <mergeCells count="6">
    <mergeCell ref="K3:M3"/>
    <mergeCell ref="B3:H3"/>
    <mergeCell ref="B4:H4"/>
    <mergeCell ref="B5:D7"/>
    <mergeCell ref="B24:B38"/>
    <mergeCell ref="H28:N38"/>
  </mergeCells>
  <conditionalFormatting sqref="D26:E35">
    <cfRule type="expression" dxfId="12" priority="1">
      <formula>(     IF(       $C26 = 1,       -1,       INDEX(cutoffLevelColumn, $C26 - 1)     ) &lt; cutoffLevel   ) * (     IF(       INDEX(cutoffLevelColumn, $C26) = 1,       2,       INDEX(cutoffLevelColumn, $C26)     ) &gt; cutoffLevel   )</formula>
    </cfRule>
    <cfRule type="expression" dxfId="11" priority="2">
      <formula>INDEX(cutoffLevelColumn, $C26) &gt; cutoffLevel</formula>
    </cfRule>
    <cfRule type="expression" dxfId="10" priority="6">
      <formula>INDEX(cutoffLevelColumn, $C26) &lt;= cutoffLevel</formula>
    </cfRule>
  </conditionalFormatting>
  <conditionalFormatting sqref="H6">
    <cfRule type="expression" dxfId="9" priority="8">
      <formula>MOD($H$6,1) &lt;&gt; 0</formula>
    </cfRule>
    <cfRule type="expression" dxfId="8" priority="10">
      <formula>AND(     NOT(errorNoDataSheet),     (cutoffLevel &lt; 0) + (cutoffLevel &gt; 1) + (MOD($H$6, 1) &lt;&gt; 0)   )</formula>
    </cfRule>
  </conditionalFormatting>
  <dataValidations count="1">
    <dataValidation type="whole" allowBlank="1" showInputMessage="1" showErrorMessage="1" error="Please enter an integer value in % between 0 and 100 or use the arrows to change the value._x000a__x000a_Veuillez saisir une valeur entière en % entre 0 et 100 ou utilisez les flèches pour changer la valeur." sqref="H6" xr:uid="{45C355B5-DDC3-4D39-BB66-3CEBD5E63C99}">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3" r:id="rId4" name="Spinner 3">
              <controlPr locked="0" defaultSize="0" autoPict="0">
                <anchor moveWithCells="1">
                  <from>
                    <xdr:col>8</xdr:col>
                    <xdr:colOff>30480</xdr:colOff>
                    <xdr:row>4</xdr:row>
                    <xdr:rowOff>243840</xdr:rowOff>
                  </from>
                  <to>
                    <xdr:col>8</xdr:col>
                    <xdr:colOff>220980</xdr:colOff>
                    <xdr:row>6</xdr:row>
                    <xdr:rowOff>76200</xdr:rowOff>
                  </to>
                </anchor>
              </controlPr>
            </control>
          </mc:Choice>
        </mc:AlternateContent>
      </controls>
    </mc:Choice>
  </mc:AlternateContent>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F6C-B03F-4E4C-A1AD-AFE599BDA69B}">
  <sheetPr codeName="Sheet3">
    <tabColor rgb="FFFFC000"/>
  </sheetPr>
  <dimension ref="A1:Q82"/>
  <sheetViews>
    <sheetView showGridLines="0" showRowColHeaders="0" zoomScale="90" zoomScaleNormal="90" workbookViewId="0">
      <selection activeCell="E8" sqref="E8"/>
    </sheetView>
  </sheetViews>
  <sheetFormatPr defaultColWidth="0" defaultRowHeight="14.4" zeroHeight="1" x14ac:dyDescent="0.3"/>
  <cols>
    <col min="1" max="1" width="3.77734375" style="1" customWidth="1"/>
    <col min="2" max="2" width="5.77734375" style="1" customWidth="1"/>
    <col min="3" max="4" width="7.77734375" style="1" customWidth="1"/>
    <col min="5" max="5" width="10.77734375" style="1" customWidth="1"/>
    <col min="6" max="6" width="35.77734375" style="1" customWidth="1"/>
    <col min="7" max="11" width="19.77734375" style="1" customWidth="1"/>
    <col min="12" max="13" width="12.77734375" style="1" customWidth="1"/>
    <col min="14" max="15" width="12.77734375" style="12" customWidth="1"/>
    <col min="16" max="16" width="3.77734375" style="12" customWidth="1"/>
    <col min="17" max="17" width="3.77734375" style="1" customWidth="1"/>
    <col min="18" max="16384" width="8.88671875" style="1" hidden="1"/>
  </cols>
  <sheetData>
    <row r="1" spans="1:17" ht="19.95" customHeight="1" x14ac:dyDescent="0.3">
      <c r="A1" s="62"/>
      <c r="B1" s="62"/>
      <c r="C1" s="62"/>
      <c r="D1" s="62"/>
      <c r="E1" s="62"/>
      <c r="F1" s="62"/>
      <c r="G1" s="62"/>
      <c r="H1" s="62"/>
      <c r="I1" s="62"/>
      <c r="J1" s="62"/>
      <c r="K1" s="62"/>
      <c r="L1" s="62"/>
      <c r="M1" s="62"/>
      <c r="N1" s="62"/>
      <c r="O1" s="62"/>
      <c r="P1" s="62"/>
      <c r="Q1" s="62"/>
    </row>
    <row r="2" spans="1:17" ht="19.95" customHeight="1" x14ac:dyDescent="0.3">
      <c r="A2" s="62"/>
      <c r="B2" s="167" t="str">
        <f>IFERROR(
    INDEX(
      INDEX(
        UITranslationTable[],
        0,
        IFERROR(
          MATCH(UILanguage, UITranslationTable[#Headers], 0),
          MATCH("English", UITranslationTable[#Headers], 0)
        )
      ),
      MATCH("analysisTitle", UITranslationTable[tag], 0)
    ),#REF!
  ) &amp; ""</f>
        <v>Doer / Non-doer analysis</v>
      </c>
      <c r="C2" s="62"/>
      <c r="D2" s="62"/>
      <c r="E2" s="62"/>
      <c r="F2" s="62"/>
      <c r="G2" s="62"/>
      <c r="H2" s="62"/>
      <c r="I2" s="62"/>
      <c r="J2" s="62"/>
      <c r="K2" s="62"/>
      <c r="L2" s="62"/>
      <c r="M2" s="62"/>
      <c r="N2" s="62"/>
      <c r="O2" s="62"/>
      <c r="P2" s="62"/>
      <c r="Q2" s="62"/>
    </row>
    <row r="3" spans="1:17" ht="49.95" customHeight="1" x14ac:dyDescent="0.3">
      <c r="A3" s="62"/>
      <c r="B3" s="206" t="str">
        <f>IFERROR(
    INDEX(
      INDEX(
        UITranslationTable[],
        0,
        IFERROR(
          MATCH(UILanguage, UITranslationTable[#Headers], 0),
          MATCH("English", UITranslationTable[#Headers], 0)
        )
      ),
      MATCH("analysisText1", UITranslationTable[tag], 0)
    ),#REF!
  ) &amp; ""</f>
        <v>The charts below display the mean scores of non-doers and doers for each selected RANAS factor, as well as the difference between them.</v>
      </c>
      <c r="C3" s="207"/>
      <c r="D3" s="207"/>
      <c r="E3" s="207"/>
      <c r="F3" s="207"/>
      <c r="G3" s="207"/>
      <c r="H3" s="168"/>
      <c r="I3" s="292" t="str" cm="1">
        <f t="array" aca="1" ref="I3" ca="1">IF(
    errorMessages = "",
    "",
    IFERROR(
      INDEX(
        INDEX(
          UITranslationTable[],
          0,
          IFERROR(
            MATCH(UILanguage, UITranslationTable[#Headers], 0),
            MATCH("English", UITranslationTable[#Headers], 0)
          )
        ),
        MATCH("errorMessageNotice", UITranslationTable[tag], 0)
      ),#REF!
    )
  )</f>
        <v>Some error has been detected. Please refer to one of the "Error messages" boards in the "Configuration" sheet for detailed explanations.</v>
      </c>
      <c r="J3" s="293"/>
      <c r="K3" s="293"/>
      <c r="L3" s="293"/>
      <c r="M3" s="293"/>
      <c r="N3" s="293"/>
      <c r="O3" s="293"/>
      <c r="P3" s="83"/>
      <c r="Q3" s="62"/>
    </row>
    <row r="4" spans="1:17" ht="24" customHeight="1" x14ac:dyDescent="0.3">
      <c r="A4" s="72"/>
      <c r="B4" s="283" t="str">
        <f>IFERROR(
    INDEX(
      INDEX(
        UITranslationTable[],
        0,
        IFERROR(
          MATCH(UILanguage, UITranslationTable[#Headers], 0),
          MATCH("English", UITranslationTable[#Headers], 0)
        )
      ),
      MATCH("analysisText2", UITranslationTable[tag], 0)
    ),#REF!
  ) &amp; ""</f>
        <v>The factors for which the difference between non-doers and doers is the largest (in absolute value) are the most important ones. They are the critical factors that should be targeted through behaviour change techniques (BCTs).</v>
      </c>
      <c r="C4" s="284"/>
      <c r="D4" s="284"/>
      <c r="E4" s="284"/>
      <c r="F4" s="284"/>
      <c r="G4" s="284"/>
      <c r="H4" s="79"/>
      <c r="I4" s="294" t="str">
        <f>IFERROR(
    INDEX(
      INDEX(
        UITranslationTable[],
        0,
        IFERROR(
          MATCH(UILanguage, UITranslationTable[#Headers], 0),
          MATCH("English", UITranslationTable[#Headers], 0)
        )
      ),
      MATCH("analysisSortIntro", UITranslationTable[tag], 0)
    ),#REF!
  ) &amp; ""</f>
        <v>The "Data sorting" drop-down menu above the chart offers various options for sorting the factors:</v>
      </c>
      <c r="J4" s="295"/>
      <c r="K4" s="295"/>
      <c r="L4" s="295"/>
      <c r="M4" s="295"/>
      <c r="N4" s="295"/>
      <c r="O4" s="295"/>
      <c r="P4" s="84"/>
      <c r="Q4" s="62"/>
    </row>
    <row r="5" spans="1:17" ht="24" customHeight="1" x14ac:dyDescent="0.3">
      <c r="A5" s="73"/>
      <c r="B5" s="285"/>
      <c r="C5" s="284"/>
      <c r="D5" s="284"/>
      <c r="E5" s="284"/>
      <c r="F5" s="284"/>
      <c r="G5" s="284"/>
      <c r="H5" s="80" t="s">
        <v>266</v>
      </c>
      <c r="I5" s="294" t="str">
        <f ca="1">IFERROR(
    INDEX(
      INDEX(
        UITranslationTable[],
        0,
        IFERROR(
          MATCH(UILanguage, UITranslationTable[#Headers], 0),
          MATCH("English", UITranslationTable[#Headers], 0)
        )
      ),
      MATCH("analysisSort1", UITranslationTable[tag], 0)
    ),#REF!
  ) &amp; ""</f>
        <v>No sorting is applied. The factors are displayed in the same order as in the "Configuration" sheet.</v>
      </c>
      <c r="J5" s="295"/>
      <c r="K5" s="295"/>
      <c r="L5" s="295"/>
      <c r="M5" s="295"/>
      <c r="N5" s="295"/>
      <c r="O5" s="295"/>
      <c r="P5" s="85"/>
      <c r="Q5" s="62"/>
    </row>
    <row r="6" spans="1:17" ht="36" customHeight="1" x14ac:dyDescent="0.3">
      <c r="A6" s="73"/>
      <c r="B6" s="283" t="str">
        <f>IFERROR(
    INDEX(
      INDEX(
        UITranslationTable[],
        0,
        IFERROR(
          MATCH(UILanguage, UITranslationTable[#Headers], 0),
          MATCH("English", UITranslationTable[#Headers], 0)
        )
      ),
      MATCH("analysisText3", UITranslationTable[tag], 0)
    ),#REF!
  ) &amp; ""</f>
        <v>The table below the charts contains the displayed values. As a visual aid, the cells in the "Difference" column are coloured with a more intense hue for larger (absolute) values.</v>
      </c>
      <c r="C6" s="284"/>
      <c r="D6" s="284"/>
      <c r="E6" s="284"/>
      <c r="F6" s="284"/>
      <c r="G6" s="284"/>
      <c r="H6" s="80" t="s">
        <v>267</v>
      </c>
      <c r="I6" s="294" t="str">
        <f>IFERROR(
    INDEX(
      INDEX(
        UITranslationTable[],
        0,
        IFERROR(
          MATCH(UILanguage, UITranslationTable[#Headers], 0),
          MATCH("English", UITranslationTable[#Headers], 0)
        )
      ),
      MATCH("analysisSort2", UITranslationTable[tag], 0)
    ),#REF!
  ) &amp; ""</f>
        <v>The factors are sorted in descending order of the RELATIVE value of "Difference", i.e., from the most positive difference to the most negative difference.</v>
      </c>
      <c r="J6" s="295"/>
      <c r="K6" s="295"/>
      <c r="L6" s="295"/>
      <c r="M6" s="295"/>
      <c r="N6" s="295"/>
      <c r="O6" s="295"/>
      <c r="P6" s="85"/>
      <c r="Q6" s="62"/>
    </row>
    <row r="7" spans="1:17" ht="36" customHeight="1" thickBot="1" x14ac:dyDescent="0.35">
      <c r="A7" s="74"/>
      <c r="B7" s="285"/>
      <c r="C7" s="284"/>
      <c r="D7" s="284"/>
      <c r="E7" s="284"/>
      <c r="F7" s="284"/>
      <c r="G7" s="284"/>
      <c r="H7" s="80" t="s">
        <v>268</v>
      </c>
      <c r="I7" s="294" t="str">
        <f>IFERROR(
    INDEX(
      INDEX(
        UITranslationTable[],
        0,
        IFERROR(
          MATCH(UILanguage, UITranslationTable[#Headers], 0),
          MATCH("English", UITranslationTable[#Headers], 0)
        )
      ),
      MATCH("analysisSort3", UITranslationTable[tag], 0)
    ),#REF!
  ) &amp; ""</f>
        <v>The factors are sorted in descending order of the ABSOLUTE value of "Difference", i.e., the largest differences come first, regardless of their sign, and the smallest come last.</v>
      </c>
      <c r="J7" s="295"/>
      <c r="K7" s="295"/>
      <c r="L7" s="295"/>
      <c r="M7" s="295"/>
      <c r="N7" s="295"/>
      <c r="O7" s="295"/>
      <c r="P7" s="85"/>
      <c r="Q7" s="62"/>
    </row>
    <row r="8" spans="1:17" ht="18" customHeight="1" thickBot="1" x14ac:dyDescent="0.35">
      <c r="A8" s="74"/>
      <c r="B8" s="75"/>
      <c r="C8" s="76"/>
      <c r="D8" s="77" t="str">
        <f>IFERROR(
    INDEX(
      INDEX(
        UITranslationTable[],
        0,
        IFERROR(
          MATCH(UILanguage, UITranslationTable[#Headers], 0),
          MATCH("English", UITranslationTable[#Headers], 0)
        )
      ),
      MATCH("analysisDataSorting", UITranslationTable[tag], 0)
    ),#REF!
  ) &amp; ""</f>
        <v>Data sorting:</v>
      </c>
      <c r="E8" s="43" t="s">
        <v>126</v>
      </c>
      <c r="F8" s="76"/>
      <c r="G8" s="76"/>
      <c r="H8" s="80" t="s">
        <v>269</v>
      </c>
      <c r="I8" s="294" t="str">
        <f>IFERROR(
    INDEX(
      INDEX(
        UITranslationTable[],
        0,
        IFERROR(
          MATCH(UILanguage, UITranslationTable[#Headers], 0),
          MATCH("English", UITranslationTable[#Headers], 0)
        )
      ),
      MATCH("analysisSort4", UITranslationTable[tag], 0)
    ),#REF!
  ) &amp; ""</f>
        <v>The factors are grouped by RANAS block.</v>
      </c>
      <c r="J8" s="295"/>
      <c r="K8" s="295"/>
      <c r="L8" s="295"/>
      <c r="M8" s="295"/>
      <c r="N8" s="295"/>
      <c r="O8" s="295"/>
      <c r="P8" s="85"/>
      <c r="Q8" s="62"/>
    </row>
    <row r="9" spans="1:17" x14ac:dyDescent="0.3">
      <c r="A9" s="74"/>
      <c r="B9" s="75"/>
      <c r="C9" s="62"/>
      <c r="D9" s="62"/>
      <c r="E9" s="62"/>
      <c r="F9" s="50"/>
      <c r="G9" s="50"/>
      <c r="H9" s="76"/>
      <c r="I9" s="76"/>
      <c r="J9" s="62"/>
      <c r="K9" s="62"/>
      <c r="L9" s="76"/>
      <c r="M9" s="50"/>
      <c r="N9" s="50"/>
      <c r="O9" s="50"/>
      <c r="P9" s="85"/>
      <c r="Q9" s="62"/>
    </row>
    <row r="10" spans="1:17" x14ac:dyDescent="0.3">
      <c r="A10" s="74"/>
      <c r="B10" s="75"/>
      <c r="C10" s="76"/>
      <c r="D10" s="76"/>
      <c r="E10" s="76"/>
      <c r="F10" s="76"/>
      <c r="G10" s="76"/>
      <c r="H10" s="76"/>
      <c r="I10" s="76"/>
      <c r="J10" s="76"/>
      <c r="K10" s="76"/>
      <c r="L10" s="76"/>
      <c r="M10" s="50"/>
      <c r="N10" s="50"/>
      <c r="O10" s="50"/>
      <c r="P10" s="85"/>
      <c r="Q10" s="62"/>
    </row>
    <row r="11" spans="1:17" x14ac:dyDescent="0.3">
      <c r="A11" s="74"/>
      <c r="B11" s="75"/>
      <c r="C11" s="76"/>
      <c r="D11" s="76"/>
      <c r="E11" s="76"/>
      <c r="F11" s="76"/>
      <c r="G11" s="76"/>
      <c r="H11" s="76"/>
      <c r="I11" s="76"/>
      <c r="J11" s="76"/>
      <c r="K11" s="76"/>
      <c r="L11" s="76"/>
      <c r="M11" s="50"/>
      <c r="N11" s="50"/>
      <c r="O11" s="50"/>
      <c r="P11" s="85"/>
      <c r="Q11" s="62"/>
    </row>
    <row r="12" spans="1:17" x14ac:dyDescent="0.3">
      <c r="A12" s="74"/>
      <c r="B12" s="75"/>
      <c r="C12" s="76"/>
      <c r="D12" s="76"/>
      <c r="E12" s="76"/>
      <c r="F12" s="76"/>
      <c r="G12" s="76"/>
      <c r="H12" s="76"/>
      <c r="I12" s="76"/>
      <c r="J12" s="76"/>
      <c r="K12" s="76"/>
      <c r="L12" s="76"/>
      <c r="M12" s="50"/>
      <c r="N12" s="50"/>
      <c r="O12" s="50"/>
      <c r="P12" s="85"/>
      <c r="Q12" s="62"/>
    </row>
    <row r="13" spans="1:17" x14ac:dyDescent="0.3">
      <c r="A13" s="74"/>
      <c r="B13" s="75"/>
      <c r="C13" s="76"/>
      <c r="D13" s="76"/>
      <c r="E13" s="76"/>
      <c r="F13" s="76"/>
      <c r="G13" s="76"/>
      <c r="H13" s="76"/>
      <c r="I13" s="76"/>
      <c r="J13" s="76"/>
      <c r="K13" s="76"/>
      <c r="L13" s="76"/>
      <c r="M13" s="50"/>
      <c r="N13" s="50"/>
      <c r="O13" s="50"/>
      <c r="P13" s="85"/>
      <c r="Q13" s="62"/>
    </row>
    <row r="14" spans="1:17" x14ac:dyDescent="0.3">
      <c r="A14" s="74"/>
      <c r="B14" s="75"/>
      <c r="C14" s="76"/>
      <c r="D14" s="76"/>
      <c r="E14" s="76"/>
      <c r="F14" s="76"/>
      <c r="G14" s="76"/>
      <c r="H14" s="76"/>
      <c r="I14" s="76"/>
      <c r="J14" s="76"/>
      <c r="K14" s="76"/>
      <c r="L14" s="76"/>
      <c r="M14" s="50"/>
      <c r="N14" s="50"/>
      <c r="O14" s="50"/>
      <c r="P14" s="85"/>
      <c r="Q14" s="62"/>
    </row>
    <row r="15" spans="1:17" x14ac:dyDescent="0.3">
      <c r="A15" s="74"/>
      <c r="B15" s="75"/>
      <c r="C15" s="50"/>
      <c r="D15" s="50"/>
      <c r="E15" s="50"/>
      <c r="F15" s="78"/>
      <c r="G15" s="78"/>
      <c r="H15" s="78"/>
      <c r="I15" s="78"/>
      <c r="J15" s="78"/>
      <c r="K15" s="78"/>
      <c r="L15" s="78"/>
      <c r="M15" s="50"/>
      <c r="N15" s="50"/>
      <c r="O15" s="50"/>
      <c r="P15" s="85"/>
      <c r="Q15" s="62"/>
    </row>
    <row r="16" spans="1:17" x14ac:dyDescent="0.3">
      <c r="A16" s="62"/>
      <c r="B16" s="169"/>
      <c r="C16" s="50"/>
      <c r="D16" s="50"/>
      <c r="E16" s="50"/>
      <c r="F16" s="50"/>
      <c r="G16" s="50"/>
      <c r="H16" s="50"/>
      <c r="I16" s="50"/>
      <c r="J16" s="50"/>
      <c r="K16" s="50"/>
      <c r="L16" s="50"/>
      <c r="M16" s="50"/>
      <c r="N16" s="50"/>
      <c r="O16" s="50"/>
      <c r="P16" s="85"/>
      <c r="Q16" s="62"/>
    </row>
    <row r="17" spans="1:17" x14ac:dyDescent="0.3">
      <c r="A17" s="62"/>
      <c r="B17" s="169"/>
      <c r="C17" s="50"/>
      <c r="D17" s="50"/>
      <c r="E17" s="50"/>
      <c r="F17" s="50"/>
      <c r="G17" s="50"/>
      <c r="H17" s="50"/>
      <c r="I17" s="50"/>
      <c r="J17" s="50"/>
      <c r="K17" s="50"/>
      <c r="L17" s="50"/>
      <c r="M17" s="50"/>
      <c r="N17" s="50"/>
      <c r="O17" s="50"/>
      <c r="P17" s="85"/>
      <c r="Q17" s="62"/>
    </row>
    <row r="18" spans="1:17" x14ac:dyDescent="0.3">
      <c r="A18" s="62"/>
      <c r="B18" s="169"/>
      <c r="C18" s="50"/>
      <c r="D18" s="50"/>
      <c r="E18" s="50"/>
      <c r="F18" s="50"/>
      <c r="G18" s="50"/>
      <c r="H18" s="50"/>
      <c r="I18" s="50"/>
      <c r="J18" s="50"/>
      <c r="K18" s="50"/>
      <c r="L18" s="50"/>
      <c r="M18" s="50"/>
      <c r="N18" s="50"/>
      <c r="O18" s="50"/>
      <c r="P18" s="85"/>
      <c r="Q18" s="62"/>
    </row>
    <row r="19" spans="1:17" x14ac:dyDescent="0.3">
      <c r="A19" s="62"/>
      <c r="B19" s="169"/>
      <c r="C19" s="50"/>
      <c r="D19" s="50"/>
      <c r="E19" s="50"/>
      <c r="F19" s="50"/>
      <c r="G19" s="50"/>
      <c r="H19" s="50"/>
      <c r="I19" s="50"/>
      <c r="J19" s="50"/>
      <c r="K19" s="50"/>
      <c r="L19" s="50"/>
      <c r="M19" s="50"/>
      <c r="N19" s="50"/>
      <c r="O19" s="50"/>
      <c r="P19" s="85"/>
      <c r="Q19" s="62"/>
    </row>
    <row r="20" spans="1:17" x14ac:dyDescent="0.3">
      <c r="A20" s="62"/>
      <c r="B20" s="169"/>
      <c r="C20" s="50"/>
      <c r="D20" s="50"/>
      <c r="E20" s="50"/>
      <c r="F20" s="50"/>
      <c r="G20" s="50"/>
      <c r="H20" s="50"/>
      <c r="I20" s="50"/>
      <c r="J20" s="50"/>
      <c r="K20" s="50"/>
      <c r="L20" s="50"/>
      <c r="M20" s="50"/>
      <c r="N20" s="50"/>
      <c r="O20" s="50"/>
      <c r="P20" s="85"/>
      <c r="Q20" s="62"/>
    </row>
    <row r="21" spans="1:17" x14ac:dyDescent="0.3">
      <c r="A21" s="62"/>
      <c r="B21" s="169"/>
      <c r="C21" s="50"/>
      <c r="D21" s="50"/>
      <c r="E21" s="50"/>
      <c r="F21" s="50"/>
      <c r="G21" s="50"/>
      <c r="H21" s="50"/>
      <c r="I21" s="50"/>
      <c r="J21" s="50"/>
      <c r="K21" s="50"/>
      <c r="L21" s="50"/>
      <c r="M21" s="50"/>
      <c r="N21" s="50"/>
      <c r="O21" s="50"/>
      <c r="P21" s="85"/>
      <c r="Q21" s="62"/>
    </row>
    <row r="22" spans="1:17" x14ac:dyDescent="0.3">
      <c r="A22" s="62"/>
      <c r="B22" s="169"/>
      <c r="C22" s="50"/>
      <c r="D22" s="50"/>
      <c r="E22" s="50"/>
      <c r="F22" s="50"/>
      <c r="G22" s="50"/>
      <c r="H22" s="50"/>
      <c r="I22" s="50"/>
      <c r="J22" s="50"/>
      <c r="K22" s="50"/>
      <c r="L22" s="50"/>
      <c r="M22" s="50"/>
      <c r="N22" s="50"/>
      <c r="O22" s="50"/>
      <c r="P22" s="85"/>
      <c r="Q22" s="62"/>
    </row>
    <row r="23" spans="1:17" x14ac:dyDescent="0.3">
      <c r="A23" s="62"/>
      <c r="B23" s="169"/>
      <c r="C23" s="50"/>
      <c r="D23" s="50"/>
      <c r="E23" s="50"/>
      <c r="F23" s="50"/>
      <c r="G23" s="50"/>
      <c r="H23" s="50"/>
      <c r="I23" s="50"/>
      <c r="J23" s="50"/>
      <c r="K23" s="50"/>
      <c r="L23" s="50"/>
      <c r="M23" s="50"/>
      <c r="N23" s="50"/>
      <c r="O23" s="50"/>
      <c r="P23" s="85"/>
      <c r="Q23" s="62"/>
    </row>
    <row r="24" spans="1:17" x14ac:dyDescent="0.3">
      <c r="A24" s="62"/>
      <c r="B24" s="169"/>
      <c r="C24" s="50"/>
      <c r="D24" s="50"/>
      <c r="E24" s="50"/>
      <c r="F24" s="50"/>
      <c r="G24" s="50"/>
      <c r="H24" s="50"/>
      <c r="I24" s="50"/>
      <c r="J24" s="50"/>
      <c r="K24" s="50"/>
      <c r="L24" s="50"/>
      <c r="M24" s="50"/>
      <c r="N24" s="50"/>
      <c r="O24" s="50"/>
      <c r="P24" s="85"/>
      <c r="Q24" s="62"/>
    </row>
    <row r="25" spans="1:17" x14ac:dyDescent="0.3">
      <c r="A25" s="62"/>
      <c r="B25" s="169"/>
      <c r="C25" s="50"/>
      <c r="D25" s="50"/>
      <c r="E25" s="50"/>
      <c r="F25" s="50"/>
      <c r="G25" s="50"/>
      <c r="H25" s="50"/>
      <c r="I25" s="50"/>
      <c r="J25" s="50"/>
      <c r="K25" s="50"/>
      <c r="L25" s="50"/>
      <c r="M25" s="50"/>
      <c r="N25" s="50"/>
      <c r="O25" s="50"/>
      <c r="P25" s="85"/>
      <c r="Q25" s="62"/>
    </row>
    <row r="26" spans="1:17" x14ac:dyDescent="0.3">
      <c r="A26" s="62"/>
      <c r="B26" s="169"/>
      <c r="C26" s="50"/>
      <c r="D26" s="50"/>
      <c r="E26" s="50"/>
      <c r="F26" s="50"/>
      <c r="G26" s="50"/>
      <c r="H26" s="50"/>
      <c r="I26" s="50"/>
      <c r="J26" s="50"/>
      <c r="K26" s="50"/>
      <c r="L26" s="50"/>
      <c r="M26" s="50"/>
      <c r="N26" s="50"/>
      <c r="O26" s="50"/>
      <c r="P26" s="85"/>
      <c r="Q26" s="62"/>
    </row>
    <row r="27" spans="1:17" x14ac:dyDescent="0.3">
      <c r="A27" s="62"/>
      <c r="B27" s="169"/>
      <c r="C27" s="50"/>
      <c r="D27" s="50"/>
      <c r="E27" s="50"/>
      <c r="F27" s="50"/>
      <c r="G27" s="50"/>
      <c r="H27" s="50"/>
      <c r="I27" s="50"/>
      <c r="J27" s="50"/>
      <c r="K27" s="50"/>
      <c r="L27" s="50"/>
      <c r="M27" s="50"/>
      <c r="N27" s="50"/>
      <c r="O27" s="50"/>
      <c r="P27" s="85"/>
      <c r="Q27" s="62"/>
    </row>
    <row r="28" spans="1:17" x14ac:dyDescent="0.3">
      <c r="A28" s="62"/>
      <c r="B28" s="169"/>
      <c r="C28" s="50"/>
      <c r="D28" s="50"/>
      <c r="E28" s="50"/>
      <c r="F28" s="50"/>
      <c r="G28" s="50"/>
      <c r="H28" s="50"/>
      <c r="I28" s="50"/>
      <c r="J28" s="50"/>
      <c r="K28" s="50"/>
      <c r="L28" s="50"/>
      <c r="M28" s="50"/>
      <c r="N28" s="50"/>
      <c r="O28" s="50"/>
      <c r="P28" s="85"/>
      <c r="Q28" s="62"/>
    </row>
    <row r="29" spans="1:17" x14ac:dyDescent="0.3">
      <c r="A29" s="62"/>
      <c r="B29" s="169"/>
      <c r="C29" s="50"/>
      <c r="D29" s="50"/>
      <c r="E29" s="50"/>
      <c r="F29" s="50"/>
      <c r="G29" s="50"/>
      <c r="H29" s="50"/>
      <c r="I29" s="50"/>
      <c r="J29" s="50"/>
      <c r="K29" s="50"/>
      <c r="L29" s="50"/>
      <c r="M29" s="50"/>
      <c r="N29" s="50"/>
      <c r="O29" s="50"/>
      <c r="P29" s="85"/>
      <c r="Q29" s="62"/>
    </row>
    <row r="30" spans="1:17" x14ac:dyDescent="0.3">
      <c r="A30" s="62"/>
      <c r="B30" s="169"/>
      <c r="C30" s="50"/>
      <c r="D30" s="50"/>
      <c r="E30" s="50"/>
      <c r="F30" s="50"/>
      <c r="G30" s="50"/>
      <c r="H30" s="50"/>
      <c r="I30" s="50"/>
      <c r="J30" s="50"/>
      <c r="K30" s="50"/>
      <c r="L30" s="50"/>
      <c r="M30" s="50"/>
      <c r="N30" s="50"/>
      <c r="O30" s="50"/>
      <c r="P30" s="85"/>
      <c r="Q30" s="62"/>
    </row>
    <row r="31" spans="1:17" x14ac:dyDescent="0.3">
      <c r="A31" s="62"/>
      <c r="B31" s="169"/>
      <c r="C31" s="50"/>
      <c r="D31" s="50"/>
      <c r="E31" s="50"/>
      <c r="F31" s="50"/>
      <c r="G31" s="50"/>
      <c r="H31" s="50"/>
      <c r="I31" s="50"/>
      <c r="J31" s="50"/>
      <c r="K31" s="50"/>
      <c r="L31" s="50"/>
      <c r="M31" s="50"/>
      <c r="N31" s="50"/>
      <c r="O31" s="50"/>
      <c r="P31" s="85"/>
      <c r="Q31" s="62"/>
    </row>
    <row r="32" spans="1:17" x14ac:dyDescent="0.3">
      <c r="A32" s="62"/>
      <c r="B32" s="169"/>
      <c r="C32" s="50"/>
      <c r="D32" s="50"/>
      <c r="E32" s="50"/>
      <c r="F32" s="50"/>
      <c r="G32" s="50"/>
      <c r="H32" s="50"/>
      <c r="I32" s="50"/>
      <c r="J32" s="50"/>
      <c r="K32" s="50"/>
      <c r="L32" s="50"/>
      <c r="M32" s="50"/>
      <c r="N32" s="50"/>
      <c r="O32" s="50"/>
      <c r="P32" s="85"/>
      <c r="Q32" s="62"/>
    </row>
    <row r="33" spans="1:17" x14ac:dyDescent="0.3">
      <c r="A33" s="62"/>
      <c r="B33" s="169"/>
      <c r="C33" s="50"/>
      <c r="D33" s="50"/>
      <c r="E33" s="50"/>
      <c r="F33" s="50"/>
      <c r="G33" s="50"/>
      <c r="H33" s="50"/>
      <c r="I33" s="50"/>
      <c r="J33" s="50"/>
      <c r="K33" s="50"/>
      <c r="L33" s="50"/>
      <c r="M33" s="50"/>
      <c r="N33" s="50"/>
      <c r="O33" s="50"/>
      <c r="P33" s="85"/>
      <c r="Q33" s="62"/>
    </row>
    <row r="34" spans="1:17" x14ac:dyDescent="0.3">
      <c r="A34" s="62"/>
      <c r="B34" s="169"/>
      <c r="C34" s="50"/>
      <c r="D34" s="50"/>
      <c r="E34" s="50"/>
      <c r="F34" s="50"/>
      <c r="G34" s="50"/>
      <c r="H34" s="50"/>
      <c r="I34" s="50"/>
      <c r="J34" s="50"/>
      <c r="K34" s="50"/>
      <c r="L34" s="50"/>
      <c r="M34" s="50"/>
      <c r="N34" s="50"/>
      <c r="O34" s="50"/>
      <c r="P34" s="85"/>
      <c r="Q34" s="62"/>
    </row>
    <row r="35" spans="1:17" x14ac:dyDescent="0.3">
      <c r="A35" s="62"/>
      <c r="B35" s="169"/>
      <c r="C35" s="50"/>
      <c r="D35" s="50"/>
      <c r="E35" s="50"/>
      <c r="F35" s="50"/>
      <c r="G35" s="50"/>
      <c r="H35" s="50"/>
      <c r="I35" s="50"/>
      <c r="J35" s="50"/>
      <c r="K35" s="50"/>
      <c r="L35" s="50"/>
      <c r="M35" s="50"/>
      <c r="N35" s="50"/>
      <c r="O35" s="50"/>
      <c r="P35" s="85"/>
      <c r="Q35" s="62"/>
    </row>
    <row r="36" spans="1:17" x14ac:dyDescent="0.3">
      <c r="A36" s="62"/>
      <c r="B36" s="169"/>
      <c r="C36" s="50"/>
      <c r="D36" s="50"/>
      <c r="E36" s="50"/>
      <c r="F36" s="50"/>
      <c r="G36" s="50"/>
      <c r="H36" s="50"/>
      <c r="I36" s="50"/>
      <c r="J36" s="50"/>
      <c r="K36" s="50"/>
      <c r="L36" s="50"/>
      <c r="M36" s="50"/>
      <c r="N36" s="50"/>
      <c r="O36" s="50"/>
      <c r="P36" s="85"/>
      <c r="Q36" s="62"/>
    </row>
    <row r="37" spans="1:17" x14ac:dyDescent="0.3">
      <c r="A37" s="62"/>
      <c r="B37" s="169"/>
      <c r="C37" s="50"/>
      <c r="D37" s="50"/>
      <c r="E37" s="50"/>
      <c r="F37" s="50"/>
      <c r="G37" s="50"/>
      <c r="H37" s="50"/>
      <c r="I37" s="50"/>
      <c r="J37" s="50"/>
      <c r="K37" s="50"/>
      <c r="L37" s="50"/>
      <c r="M37" s="50"/>
      <c r="N37" s="50"/>
      <c r="O37" s="50"/>
      <c r="P37" s="85"/>
      <c r="Q37" s="62"/>
    </row>
    <row r="38" spans="1:17" x14ac:dyDescent="0.3">
      <c r="A38" s="62"/>
      <c r="B38" s="169"/>
      <c r="C38" s="50"/>
      <c r="D38" s="50"/>
      <c r="E38" s="50"/>
      <c r="F38" s="50"/>
      <c r="G38" s="50"/>
      <c r="H38" s="50"/>
      <c r="I38" s="50"/>
      <c r="J38" s="50"/>
      <c r="K38" s="50"/>
      <c r="L38" s="50"/>
      <c r="M38" s="50"/>
      <c r="N38" s="50"/>
      <c r="O38" s="50"/>
      <c r="P38" s="85"/>
      <c r="Q38" s="62"/>
    </row>
    <row r="39" spans="1:17" x14ac:dyDescent="0.3">
      <c r="A39" s="62"/>
      <c r="B39" s="169"/>
      <c r="C39" s="50"/>
      <c r="D39" s="50"/>
      <c r="E39" s="50"/>
      <c r="F39" s="50"/>
      <c r="G39" s="50"/>
      <c r="H39" s="50"/>
      <c r="I39" s="50"/>
      <c r="J39" s="50"/>
      <c r="K39" s="50"/>
      <c r="L39" s="50"/>
      <c r="M39" s="50"/>
      <c r="N39" s="50"/>
      <c r="O39" s="50"/>
      <c r="P39" s="85"/>
      <c r="Q39" s="62"/>
    </row>
    <row r="40" spans="1:17" x14ac:dyDescent="0.3">
      <c r="A40" s="62"/>
      <c r="B40" s="169"/>
      <c r="C40" s="50"/>
      <c r="D40" s="50"/>
      <c r="E40" s="50"/>
      <c r="F40" s="50"/>
      <c r="G40" s="50"/>
      <c r="H40" s="50"/>
      <c r="I40" s="50"/>
      <c r="J40" s="50"/>
      <c r="K40" s="50"/>
      <c r="L40" s="50"/>
      <c r="M40" s="50"/>
      <c r="N40" s="50"/>
      <c r="O40" s="50"/>
      <c r="P40" s="85"/>
      <c r="Q40" s="62"/>
    </row>
    <row r="41" spans="1:17" x14ac:dyDescent="0.3">
      <c r="A41" s="62"/>
      <c r="B41" s="169"/>
      <c r="C41" s="50"/>
      <c r="D41" s="50"/>
      <c r="E41" s="50"/>
      <c r="F41" s="50"/>
      <c r="G41" s="50"/>
      <c r="H41" s="50"/>
      <c r="I41" s="50"/>
      <c r="J41" s="50"/>
      <c r="K41" s="50"/>
      <c r="L41" s="50"/>
      <c r="M41" s="50"/>
      <c r="N41" s="50"/>
      <c r="O41" s="50"/>
      <c r="P41" s="85"/>
      <c r="Q41" s="62"/>
    </row>
    <row r="42" spans="1:17" x14ac:dyDescent="0.3">
      <c r="A42" s="62"/>
      <c r="B42" s="169"/>
      <c r="C42" s="50"/>
      <c r="D42" s="50"/>
      <c r="E42" s="50"/>
      <c r="F42" s="50"/>
      <c r="G42" s="50"/>
      <c r="H42" s="50"/>
      <c r="I42" s="50"/>
      <c r="J42" s="50"/>
      <c r="K42" s="50"/>
      <c r="L42" s="50"/>
      <c r="M42" s="50"/>
      <c r="N42" s="50"/>
      <c r="O42" s="50"/>
      <c r="P42" s="85"/>
      <c r="Q42" s="62"/>
    </row>
    <row r="43" spans="1:17" x14ac:dyDescent="0.3">
      <c r="A43" s="62"/>
      <c r="B43" s="169"/>
      <c r="C43" s="50"/>
      <c r="D43" s="50"/>
      <c r="E43" s="50"/>
      <c r="F43" s="50"/>
      <c r="G43" s="50"/>
      <c r="H43" s="50"/>
      <c r="I43" s="50"/>
      <c r="J43" s="50"/>
      <c r="K43" s="50"/>
      <c r="L43" s="50"/>
      <c r="M43" s="50"/>
      <c r="N43" s="50"/>
      <c r="O43" s="50"/>
      <c r="P43" s="85"/>
      <c r="Q43" s="62"/>
    </row>
    <row r="44" spans="1:17" x14ac:dyDescent="0.3">
      <c r="A44" s="62"/>
      <c r="B44" s="169"/>
      <c r="C44" s="50"/>
      <c r="D44" s="50"/>
      <c r="E44" s="50"/>
      <c r="F44" s="50"/>
      <c r="G44" s="50"/>
      <c r="H44" s="50"/>
      <c r="I44" s="50"/>
      <c r="J44" s="50"/>
      <c r="K44" s="50"/>
      <c r="L44" s="50"/>
      <c r="M44" s="50"/>
      <c r="N44" s="50"/>
      <c r="O44" s="50"/>
      <c r="P44" s="85"/>
      <c r="Q44" s="62"/>
    </row>
    <row r="45" spans="1:17" x14ac:dyDescent="0.3">
      <c r="A45" s="62"/>
      <c r="B45" s="169"/>
      <c r="C45" s="50"/>
      <c r="D45" s="50"/>
      <c r="E45" s="50"/>
      <c r="F45" s="50"/>
      <c r="G45" s="50"/>
      <c r="H45" s="50"/>
      <c r="I45" s="50"/>
      <c r="J45" s="50"/>
      <c r="K45" s="50"/>
      <c r="L45" s="50"/>
      <c r="M45" s="50"/>
      <c r="N45" s="50"/>
      <c r="O45" s="50"/>
      <c r="P45" s="85"/>
      <c r="Q45" s="62"/>
    </row>
    <row r="46" spans="1:17" x14ac:dyDescent="0.3">
      <c r="A46" s="62"/>
      <c r="B46" s="169"/>
      <c r="C46" s="50"/>
      <c r="D46" s="50"/>
      <c r="E46" s="50"/>
      <c r="F46" s="50"/>
      <c r="G46" s="50"/>
      <c r="H46" s="50"/>
      <c r="I46" s="50"/>
      <c r="J46" s="50"/>
      <c r="K46" s="50"/>
      <c r="L46" s="50"/>
      <c r="M46" s="50"/>
      <c r="N46" s="50"/>
      <c r="O46" s="50"/>
      <c r="P46" s="85"/>
      <c r="Q46" s="62"/>
    </row>
    <row r="47" spans="1:17" x14ac:dyDescent="0.3">
      <c r="A47" s="62"/>
      <c r="B47" s="169"/>
      <c r="C47" s="50"/>
      <c r="D47" s="50"/>
      <c r="E47" s="50"/>
      <c r="F47" s="50"/>
      <c r="G47" s="50"/>
      <c r="H47" s="50"/>
      <c r="I47" s="50"/>
      <c r="J47" s="50"/>
      <c r="K47" s="50"/>
      <c r="L47" s="50"/>
      <c r="M47" s="50"/>
      <c r="N47" s="50"/>
      <c r="O47" s="50"/>
      <c r="P47" s="85"/>
      <c r="Q47" s="62"/>
    </row>
    <row r="48" spans="1:17" x14ac:dyDescent="0.3">
      <c r="A48" s="62"/>
      <c r="B48" s="169"/>
      <c r="C48" s="50"/>
      <c r="D48" s="50"/>
      <c r="E48" s="50"/>
      <c r="F48" s="50"/>
      <c r="G48" s="50"/>
      <c r="H48" s="50"/>
      <c r="I48" s="50"/>
      <c r="J48" s="50"/>
      <c r="K48" s="50"/>
      <c r="L48" s="50"/>
      <c r="M48" s="50"/>
      <c r="N48" s="50"/>
      <c r="O48" s="50"/>
      <c r="P48" s="85"/>
      <c r="Q48" s="62"/>
    </row>
    <row r="49" spans="1:17" ht="14.4" customHeight="1" x14ac:dyDescent="0.3">
      <c r="A49" s="62"/>
      <c r="B49" s="169"/>
      <c r="C49" s="50"/>
      <c r="D49" s="50"/>
      <c r="E49" s="50"/>
      <c r="F49" s="68" t="str">
        <f>_xlfn.XLOOKUP("factor", chartTranslationTable[tag], chartTranslationTable[displayedText])</f>
        <v>Factor</v>
      </c>
      <c r="G49" s="68" t="str">
        <f>_xlfn.XLOOKUP("RANASBlock", chartTranslationTable[tag], chartTranslationTable[displayedText])</f>
        <v>RANAS block</v>
      </c>
      <c r="H49" s="68" t="str">
        <f>_xlfn.XLOOKUP("nondoers", chartTranslationTable[tag], chartTranslationTable[displayedText])</f>
        <v>Non-doers</v>
      </c>
      <c r="I49" s="68" t="str">
        <f>_xlfn.XLOOKUP("doers", chartTranslationTable[tag], chartTranslationTable[displayedText])</f>
        <v>Doers</v>
      </c>
      <c r="J49" s="68" t="str">
        <f>_xlfn.XLOOKUP("difference", chartTranslationTable[tag], chartTranslationTable[displayedText])</f>
        <v>Difference</v>
      </c>
      <c r="K49" s="68" t="str">
        <f>_xlfn.XLOOKUP("numResponses", chartTranslationTable[tag], chartTranslationTable[displayedText])</f>
        <v># of responses</v>
      </c>
      <c r="L49" s="299" t="str">
        <f>IFERROR(
    INDEX(
      INDEX(
        UITranslationTable[],
        0,
        IFERROR(
          MATCH(UILanguage, UITranslationTable[#Headers], 0),
          MATCH("English", UITranslationTable[#Headers], 0)
        )
      ),
      MATCH("copyTableInfo", UITranslationTable[tag], 0)
    ),#REF!
  ) &amp;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M49" s="300"/>
      <c r="N49" s="300"/>
      <c r="O49" s="300"/>
      <c r="P49" s="86"/>
      <c r="Q49" s="62"/>
    </row>
    <row r="50" spans="1:17" ht="14.4" hidden="1" customHeight="1" x14ac:dyDescent="0.3">
      <c r="A50" s="62"/>
      <c r="B50" s="169"/>
      <c r="C50" s="26" t="s">
        <v>1</v>
      </c>
      <c r="D50" s="26" t="s">
        <v>19</v>
      </c>
      <c r="E50" s="26" t="s">
        <v>164</v>
      </c>
      <c r="F50" s="26" t="s">
        <v>153</v>
      </c>
      <c r="G50" s="26" t="s">
        <v>157</v>
      </c>
      <c r="H50" s="26" t="s">
        <v>161</v>
      </c>
      <c r="I50" s="26" t="s">
        <v>162</v>
      </c>
      <c r="J50" s="26" t="s">
        <v>163</v>
      </c>
      <c r="K50" s="26" t="s">
        <v>160</v>
      </c>
      <c r="L50" s="300"/>
      <c r="M50" s="300"/>
      <c r="N50" s="300"/>
      <c r="O50" s="300"/>
      <c r="P50" s="86"/>
      <c r="Q50" s="62"/>
    </row>
    <row r="51" spans="1:17" x14ac:dyDescent="0.3">
      <c r="A51" s="62"/>
      <c r="B51" s="169"/>
      <c r="C51" s="88" cm="1">
        <f t="array" ref="C51">ROW()-ROW(analysisChartTable[#Headers])</f>
        <v>1</v>
      </c>
      <c r="D51" s="88" t="str">
        <f>_xlfn.XLOOKUP(analysisChartTable[[#This Row],[index]], factorsTable[index], factorsTable[chartLabel])</f>
        <v/>
      </c>
      <c r="E51" s="88" t="str">
        <f>_xlfn.XLOOKUP(analysisChartTable[[#This Row],[index]], factorsTable[index], factorsTable[RANASTag])</f>
        <v/>
      </c>
      <c r="F51" s="138" t="str">
        <f>_xlfn.XLOOKUP(analysisChartTable[[#This Row],[index]], factorsTable[index], factorsTable[displayedFactor])</f>
        <v/>
      </c>
      <c r="G51" s="138" t="str">
        <f>_xlfn.XLOOKUP(analysisChartTable[[#This Row],[index]], factorsTable[index], factorsTable[displayedRANASBlock])</f>
        <v/>
      </c>
      <c r="H51" s="139" t="str">
        <f>_xlfn.XLOOKUP(analysisChartTable[[#This Row],[index]], factorsTable[index], factorsTable[sortedNondoers])</f>
        <v/>
      </c>
      <c r="I51" s="139" t="str">
        <f>_xlfn.XLOOKUP(analysisChartTable[[#This Row],[index]], factorsTable[index], factorsTable[sortedDoers])</f>
        <v/>
      </c>
      <c r="J51" s="139" t="str">
        <f>_xlfn.XLOOKUP(analysisChartTable[[#This Row],[index]], factorsTable[index], factorsTable[sortedDifference])</f>
        <v/>
      </c>
      <c r="K51" s="140" t="str">
        <f>_xlfn.XLOOKUP(analysisChartTable[[#This Row],[index]], factorsTable[index], factorsTable[sortedNumTotal])</f>
        <v/>
      </c>
      <c r="L51" s="300"/>
      <c r="M51" s="300"/>
      <c r="N51" s="300"/>
      <c r="O51" s="300"/>
      <c r="P51" s="86"/>
      <c r="Q51" s="62"/>
    </row>
    <row r="52" spans="1:17" x14ac:dyDescent="0.3">
      <c r="A52" s="62"/>
      <c r="B52" s="169"/>
      <c r="C52" s="88" cm="1">
        <f t="array" ref="C52">ROW()-ROW(analysisChartTable[#Headers])</f>
        <v>2</v>
      </c>
      <c r="D52" s="88" t="str">
        <f>_xlfn.XLOOKUP(analysisChartTable[[#This Row],[index]], factorsTable[index], factorsTable[chartLabel])</f>
        <v/>
      </c>
      <c r="E52" s="88" t="str">
        <f>_xlfn.XLOOKUP(analysisChartTable[[#This Row],[index]], factorsTable[index], factorsTable[RANASTag])</f>
        <v/>
      </c>
      <c r="F52" s="141" t="str">
        <f>_xlfn.XLOOKUP(analysisChartTable[[#This Row],[index]], factorsTable[index], factorsTable[displayedFactor])</f>
        <v/>
      </c>
      <c r="G52" s="141" t="str">
        <f>_xlfn.XLOOKUP(analysisChartTable[[#This Row],[index]], factorsTable[index], factorsTable[displayedRANASBlock])</f>
        <v/>
      </c>
      <c r="H52" s="142" t="str">
        <f>_xlfn.XLOOKUP(analysisChartTable[[#This Row],[index]], factorsTable[index], factorsTable[sortedNondoers])</f>
        <v/>
      </c>
      <c r="I52" s="142" t="str">
        <f>_xlfn.XLOOKUP(analysisChartTable[[#This Row],[index]], factorsTable[index], factorsTable[sortedDoers])</f>
        <v/>
      </c>
      <c r="J52" s="142" t="str">
        <f>_xlfn.XLOOKUP(analysisChartTable[[#This Row],[index]], factorsTable[index], factorsTable[sortedDifference])</f>
        <v/>
      </c>
      <c r="K52" s="143" t="str">
        <f>_xlfn.XLOOKUP(analysisChartTable[[#This Row],[index]], factorsTable[index], factorsTable[sortedNumTotal])</f>
        <v/>
      </c>
      <c r="L52" s="300"/>
      <c r="M52" s="300"/>
      <c r="N52" s="300"/>
      <c r="O52" s="300"/>
      <c r="P52" s="86"/>
      <c r="Q52" s="62"/>
    </row>
    <row r="53" spans="1:17" x14ac:dyDescent="0.3">
      <c r="A53" s="62"/>
      <c r="B53" s="169"/>
      <c r="C53" s="88" cm="1">
        <f t="array" ref="C53">ROW()-ROW(analysisChartTable[#Headers])</f>
        <v>3</v>
      </c>
      <c r="D53" s="88" t="str">
        <f>_xlfn.XLOOKUP(analysisChartTable[[#This Row],[index]], factorsTable[index], factorsTable[chartLabel])</f>
        <v/>
      </c>
      <c r="E53" s="88" t="str">
        <f>_xlfn.XLOOKUP(analysisChartTable[[#This Row],[index]], factorsTable[index], factorsTable[RANASTag])</f>
        <v/>
      </c>
      <c r="F53" s="141" t="str">
        <f>_xlfn.XLOOKUP(analysisChartTable[[#This Row],[index]], factorsTable[index], factorsTable[displayedFactor])</f>
        <v/>
      </c>
      <c r="G53" s="141" t="str">
        <f>_xlfn.XLOOKUP(analysisChartTable[[#This Row],[index]], factorsTable[index], factorsTable[displayedRANASBlock])</f>
        <v/>
      </c>
      <c r="H53" s="142" t="str">
        <f>_xlfn.XLOOKUP(analysisChartTable[[#This Row],[index]], factorsTable[index], factorsTable[sortedNondoers])</f>
        <v/>
      </c>
      <c r="I53" s="142" t="str">
        <f>_xlfn.XLOOKUP(analysisChartTable[[#This Row],[index]], factorsTable[index], factorsTable[sortedDoers])</f>
        <v/>
      </c>
      <c r="J53" s="142" t="str">
        <f>_xlfn.XLOOKUP(analysisChartTable[[#This Row],[index]], factorsTable[index], factorsTable[sortedDifference])</f>
        <v/>
      </c>
      <c r="K53" s="143" t="str">
        <f>_xlfn.XLOOKUP(analysisChartTable[[#This Row],[index]], factorsTable[index], factorsTable[sortedNumTotal])</f>
        <v/>
      </c>
      <c r="L53" s="300"/>
      <c r="M53" s="300"/>
      <c r="N53" s="300"/>
      <c r="O53" s="300"/>
      <c r="P53" s="86"/>
      <c r="Q53" s="62"/>
    </row>
    <row r="54" spans="1:17" x14ac:dyDescent="0.3">
      <c r="A54" s="62"/>
      <c r="B54" s="169"/>
      <c r="C54" s="88" cm="1">
        <f t="array" ref="C54">ROW()-ROW(analysisChartTable[#Headers])</f>
        <v>4</v>
      </c>
      <c r="D54" s="88" t="str">
        <f>_xlfn.XLOOKUP(analysisChartTable[[#This Row],[index]], factorsTable[index], factorsTable[chartLabel])</f>
        <v/>
      </c>
      <c r="E54" s="88" t="str">
        <f>_xlfn.XLOOKUP(analysisChartTable[[#This Row],[index]], factorsTable[index], factorsTable[RANASTag])</f>
        <v/>
      </c>
      <c r="F54" s="141" t="str">
        <f>_xlfn.XLOOKUP(analysisChartTable[[#This Row],[index]], factorsTable[index], factorsTable[displayedFactor])</f>
        <v/>
      </c>
      <c r="G54" s="141" t="str">
        <f>_xlfn.XLOOKUP(analysisChartTable[[#This Row],[index]], factorsTable[index], factorsTable[displayedRANASBlock])</f>
        <v/>
      </c>
      <c r="H54" s="142" t="str">
        <f>_xlfn.XLOOKUP(analysisChartTable[[#This Row],[index]], factorsTable[index], factorsTable[sortedNondoers])</f>
        <v/>
      </c>
      <c r="I54" s="142" t="str">
        <f>_xlfn.XLOOKUP(analysisChartTable[[#This Row],[index]], factorsTable[index], factorsTable[sortedDoers])</f>
        <v/>
      </c>
      <c r="J54" s="142" t="str">
        <f>_xlfn.XLOOKUP(analysisChartTable[[#This Row],[index]], factorsTable[index], factorsTable[sortedDifference])</f>
        <v/>
      </c>
      <c r="K54" s="143" t="str">
        <f>_xlfn.XLOOKUP(analysisChartTable[[#This Row],[index]], factorsTable[index], factorsTable[sortedNumTotal])</f>
        <v/>
      </c>
      <c r="L54" s="300"/>
      <c r="M54" s="300"/>
      <c r="N54" s="300"/>
      <c r="O54" s="300"/>
      <c r="P54" s="86"/>
      <c r="Q54" s="62"/>
    </row>
    <row r="55" spans="1:17" x14ac:dyDescent="0.3">
      <c r="A55" s="62"/>
      <c r="B55" s="169"/>
      <c r="C55" s="88" cm="1">
        <f t="array" ref="C55">ROW()-ROW(analysisChartTable[#Headers])</f>
        <v>5</v>
      </c>
      <c r="D55" s="88" t="str">
        <f>_xlfn.XLOOKUP(analysisChartTable[[#This Row],[index]], factorsTable[index], factorsTable[chartLabel])</f>
        <v/>
      </c>
      <c r="E55" s="88" t="str">
        <f>_xlfn.XLOOKUP(analysisChartTable[[#This Row],[index]], factorsTable[index], factorsTable[RANASTag])</f>
        <v/>
      </c>
      <c r="F55" s="141" t="str">
        <f>_xlfn.XLOOKUP(analysisChartTable[[#This Row],[index]], factorsTable[index], factorsTable[displayedFactor])</f>
        <v/>
      </c>
      <c r="G55" s="141" t="str">
        <f>_xlfn.XLOOKUP(analysisChartTable[[#This Row],[index]], factorsTable[index], factorsTable[displayedRANASBlock])</f>
        <v/>
      </c>
      <c r="H55" s="142" t="str">
        <f>_xlfn.XLOOKUP(analysisChartTable[[#This Row],[index]], factorsTable[index], factorsTable[sortedNondoers])</f>
        <v/>
      </c>
      <c r="I55" s="142" t="str">
        <f>_xlfn.XLOOKUP(analysisChartTable[[#This Row],[index]], factorsTable[index], factorsTable[sortedDoers])</f>
        <v/>
      </c>
      <c r="J55" s="142" t="str">
        <f>_xlfn.XLOOKUP(analysisChartTable[[#This Row],[index]], factorsTable[index], factorsTable[sortedDifference])</f>
        <v/>
      </c>
      <c r="K55" s="143" t="str">
        <f>_xlfn.XLOOKUP(analysisChartTable[[#This Row],[index]], factorsTable[index], factorsTable[sortedNumTotal])</f>
        <v/>
      </c>
      <c r="L55" s="300"/>
      <c r="M55" s="300"/>
      <c r="N55" s="300"/>
      <c r="O55" s="300"/>
      <c r="P55" s="86"/>
      <c r="Q55" s="62"/>
    </row>
    <row r="56" spans="1:17" x14ac:dyDescent="0.3">
      <c r="A56" s="62"/>
      <c r="B56" s="169"/>
      <c r="C56" s="88" cm="1">
        <f t="array" ref="C56">ROW()-ROW(analysisChartTable[#Headers])</f>
        <v>6</v>
      </c>
      <c r="D56" s="88" t="str">
        <f>_xlfn.XLOOKUP(analysisChartTable[[#This Row],[index]], factorsTable[index], factorsTable[chartLabel])</f>
        <v/>
      </c>
      <c r="E56" s="88" t="str">
        <f>_xlfn.XLOOKUP(analysisChartTable[[#This Row],[index]], factorsTable[index], factorsTable[RANASTag])</f>
        <v/>
      </c>
      <c r="F56" s="141" t="str">
        <f>_xlfn.XLOOKUP(analysisChartTable[[#This Row],[index]], factorsTable[index], factorsTable[displayedFactor])</f>
        <v/>
      </c>
      <c r="G56" s="141" t="str">
        <f>_xlfn.XLOOKUP(analysisChartTable[[#This Row],[index]], factorsTable[index], factorsTable[displayedRANASBlock])</f>
        <v/>
      </c>
      <c r="H56" s="142" t="str">
        <f>_xlfn.XLOOKUP(analysisChartTable[[#This Row],[index]], factorsTable[index], factorsTable[sortedNondoers])</f>
        <v/>
      </c>
      <c r="I56" s="142" t="str">
        <f>_xlfn.XLOOKUP(analysisChartTable[[#This Row],[index]], factorsTable[index], factorsTable[sortedDoers])</f>
        <v/>
      </c>
      <c r="J56" s="142" t="str">
        <f>_xlfn.XLOOKUP(analysisChartTable[[#This Row],[index]], factorsTable[index], factorsTable[sortedDifference])</f>
        <v/>
      </c>
      <c r="K56" s="143" t="str">
        <f>_xlfn.XLOOKUP(analysisChartTable[[#This Row],[index]], factorsTable[index], factorsTable[sortedNumTotal])</f>
        <v/>
      </c>
      <c r="L56" s="300"/>
      <c r="M56" s="300"/>
      <c r="N56" s="300"/>
      <c r="O56" s="300"/>
      <c r="P56" s="86"/>
      <c r="Q56" s="62"/>
    </row>
    <row r="57" spans="1:17" x14ac:dyDescent="0.3">
      <c r="A57" s="62"/>
      <c r="B57" s="169"/>
      <c r="C57" s="88" cm="1">
        <f t="array" ref="C57">ROW()-ROW(analysisChartTable[#Headers])</f>
        <v>7</v>
      </c>
      <c r="D57" s="88" t="str">
        <f>_xlfn.XLOOKUP(analysisChartTable[[#This Row],[index]], factorsTable[index], factorsTable[chartLabel])</f>
        <v/>
      </c>
      <c r="E57" s="88" t="str">
        <f>_xlfn.XLOOKUP(analysisChartTable[[#This Row],[index]], factorsTable[index], factorsTable[RANASTag])</f>
        <v/>
      </c>
      <c r="F57" s="141" t="str">
        <f>_xlfn.XLOOKUP(analysisChartTable[[#This Row],[index]], factorsTable[index], factorsTable[displayedFactor])</f>
        <v/>
      </c>
      <c r="G57" s="141" t="str">
        <f>_xlfn.XLOOKUP(analysisChartTable[[#This Row],[index]], factorsTable[index], factorsTable[displayedRANASBlock])</f>
        <v/>
      </c>
      <c r="H57" s="142" t="str">
        <f>_xlfn.XLOOKUP(analysisChartTable[[#This Row],[index]], factorsTable[index], factorsTable[sortedNondoers])</f>
        <v/>
      </c>
      <c r="I57" s="142" t="str">
        <f>_xlfn.XLOOKUP(analysisChartTable[[#This Row],[index]], factorsTable[index], factorsTable[sortedDoers])</f>
        <v/>
      </c>
      <c r="J57" s="142" t="str">
        <f>_xlfn.XLOOKUP(analysisChartTable[[#This Row],[index]], factorsTable[index], factorsTable[sortedDifference])</f>
        <v/>
      </c>
      <c r="K57" s="143" t="str">
        <f>_xlfn.XLOOKUP(analysisChartTable[[#This Row],[index]], factorsTable[index], factorsTable[sortedNumTotal])</f>
        <v/>
      </c>
      <c r="L57" s="300"/>
      <c r="M57" s="300"/>
      <c r="N57" s="300"/>
      <c r="O57" s="300"/>
      <c r="P57" s="86"/>
      <c r="Q57" s="62"/>
    </row>
    <row r="58" spans="1:17" x14ac:dyDescent="0.3">
      <c r="A58" s="62"/>
      <c r="B58" s="169"/>
      <c r="C58" s="88" cm="1">
        <f t="array" ref="C58">ROW()-ROW(analysisChartTable[#Headers])</f>
        <v>8</v>
      </c>
      <c r="D58" s="88" t="str">
        <f>_xlfn.XLOOKUP(analysisChartTable[[#This Row],[index]], factorsTable[index], factorsTable[chartLabel])</f>
        <v/>
      </c>
      <c r="E58" s="88" t="str">
        <f>_xlfn.XLOOKUP(analysisChartTable[[#This Row],[index]], factorsTable[index], factorsTable[RANASTag])</f>
        <v/>
      </c>
      <c r="F58" s="141" t="str">
        <f>_xlfn.XLOOKUP(analysisChartTable[[#This Row],[index]], factorsTable[index], factorsTable[displayedFactor])</f>
        <v/>
      </c>
      <c r="G58" s="141" t="str">
        <f>_xlfn.XLOOKUP(analysisChartTable[[#This Row],[index]], factorsTable[index], factorsTable[displayedRANASBlock])</f>
        <v/>
      </c>
      <c r="H58" s="142" t="str">
        <f>_xlfn.XLOOKUP(analysisChartTable[[#This Row],[index]], factorsTable[index], factorsTable[sortedNondoers])</f>
        <v/>
      </c>
      <c r="I58" s="142" t="str">
        <f>_xlfn.XLOOKUP(analysisChartTable[[#This Row],[index]], factorsTable[index], factorsTable[sortedDoers])</f>
        <v/>
      </c>
      <c r="J58" s="142" t="str">
        <f>_xlfn.XLOOKUP(analysisChartTable[[#This Row],[index]], factorsTable[index], factorsTable[sortedDifference])</f>
        <v/>
      </c>
      <c r="K58" s="143" t="str">
        <f>_xlfn.XLOOKUP(analysisChartTable[[#This Row],[index]], factorsTable[index], factorsTable[sortedNumTotal])</f>
        <v/>
      </c>
      <c r="L58" s="300"/>
      <c r="M58" s="300"/>
      <c r="N58" s="300"/>
      <c r="O58" s="300"/>
      <c r="P58" s="86"/>
      <c r="Q58" s="62"/>
    </row>
    <row r="59" spans="1:17" x14ac:dyDescent="0.3">
      <c r="A59" s="62"/>
      <c r="B59" s="169"/>
      <c r="C59" s="88" cm="1">
        <f t="array" ref="C59">ROW()-ROW(analysisChartTable[#Headers])</f>
        <v>9</v>
      </c>
      <c r="D59" s="88" t="str">
        <f>_xlfn.XLOOKUP(analysisChartTable[[#This Row],[index]], factorsTable[index], factorsTable[chartLabel])</f>
        <v/>
      </c>
      <c r="E59" s="88" t="str">
        <f>_xlfn.XLOOKUP(analysisChartTable[[#This Row],[index]], factorsTable[index], factorsTable[RANASTag])</f>
        <v/>
      </c>
      <c r="F59" s="141" t="str">
        <f>_xlfn.XLOOKUP(analysisChartTable[[#This Row],[index]], factorsTable[index], factorsTable[displayedFactor])</f>
        <v/>
      </c>
      <c r="G59" s="141" t="str">
        <f>_xlfn.XLOOKUP(analysisChartTable[[#This Row],[index]], factorsTable[index], factorsTable[displayedRANASBlock])</f>
        <v/>
      </c>
      <c r="H59" s="142" t="str">
        <f>_xlfn.XLOOKUP(analysisChartTable[[#This Row],[index]], factorsTable[index], factorsTable[sortedNondoers])</f>
        <v/>
      </c>
      <c r="I59" s="142" t="str">
        <f>_xlfn.XLOOKUP(analysisChartTable[[#This Row],[index]], factorsTable[index], factorsTable[sortedDoers])</f>
        <v/>
      </c>
      <c r="J59" s="142" t="str">
        <f>_xlfn.XLOOKUP(analysisChartTable[[#This Row],[index]], factorsTable[index], factorsTable[sortedDifference])</f>
        <v/>
      </c>
      <c r="K59" s="143" t="str">
        <f>_xlfn.XLOOKUP(analysisChartTable[[#This Row],[index]], factorsTable[index], factorsTable[sortedNumTotal])</f>
        <v/>
      </c>
      <c r="L59" s="300"/>
      <c r="M59" s="300"/>
      <c r="N59" s="300"/>
      <c r="O59" s="300"/>
      <c r="P59" s="86"/>
      <c r="Q59" s="62"/>
    </row>
    <row r="60" spans="1:17" x14ac:dyDescent="0.3">
      <c r="A60" s="62"/>
      <c r="B60" s="169"/>
      <c r="C60" s="88" cm="1">
        <f t="array" ref="C60">ROW()-ROW(analysisChartTable[#Headers])</f>
        <v>10</v>
      </c>
      <c r="D60" s="88" t="str">
        <f>_xlfn.XLOOKUP(analysisChartTable[[#This Row],[index]], factorsTable[index], factorsTable[chartLabel])</f>
        <v/>
      </c>
      <c r="E60" s="88" t="str">
        <f>_xlfn.XLOOKUP(analysisChartTable[[#This Row],[index]], factorsTable[index], factorsTable[RANASTag])</f>
        <v/>
      </c>
      <c r="F60" s="141" t="str">
        <f>_xlfn.XLOOKUP(analysisChartTable[[#This Row],[index]], factorsTable[index], factorsTable[displayedFactor])</f>
        <v/>
      </c>
      <c r="G60" s="141" t="str">
        <f>_xlfn.XLOOKUP(analysisChartTable[[#This Row],[index]], factorsTable[index], factorsTable[displayedRANASBlock])</f>
        <v/>
      </c>
      <c r="H60" s="142" t="str">
        <f>_xlfn.XLOOKUP(analysisChartTable[[#This Row],[index]], factorsTable[index], factorsTable[sortedNondoers])</f>
        <v/>
      </c>
      <c r="I60" s="142" t="str">
        <f>_xlfn.XLOOKUP(analysisChartTable[[#This Row],[index]], factorsTable[index], factorsTable[sortedDoers])</f>
        <v/>
      </c>
      <c r="J60" s="142" t="str">
        <f>_xlfn.XLOOKUP(analysisChartTable[[#This Row],[index]], factorsTable[index], factorsTable[sortedDifference])</f>
        <v/>
      </c>
      <c r="K60" s="143" t="str">
        <f>_xlfn.XLOOKUP(analysisChartTable[[#This Row],[index]], factorsTable[index], factorsTable[sortedNumTotal])</f>
        <v/>
      </c>
      <c r="L60" s="300"/>
      <c r="M60" s="300"/>
      <c r="N60" s="300"/>
      <c r="O60" s="300"/>
      <c r="P60" s="86"/>
      <c r="Q60" s="62"/>
    </row>
    <row r="61" spans="1:17" x14ac:dyDescent="0.3">
      <c r="A61" s="62"/>
      <c r="B61" s="169"/>
      <c r="C61" s="89" cm="1">
        <f t="array" ref="C61">ROW()-ROW(analysisChartTable[#Headers])</f>
        <v>11</v>
      </c>
      <c r="D61" s="89" t="str">
        <f>_xlfn.XLOOKUP(analysisChartTable[[#This Row],[index]], factorsTable[index], factorsTable[chartLabel])</f>
        <v/>
      </c>
      <c r="E61" s="89" t="str">
        <f>_xlfn.XLOOKUP(analysisChartTable[[#This Row],[index]], factorsTable[index], factorsTable[RANASTag])</f>
        <v/>
      </c>
      <c r="F61" s="141" t="str">
        <f>_xlfn.XLOOKUP(analysisChartTable[[#This Row],[index]], factorsTable[index], factorsTable[displayedFactor])</f>
        <v/>
      </c>
      <c r="G61" s="141" t="str">
        <f>_xlfn.XLOOKUP(analysisChartTable[[#This Row],[index]], factorsTable[index], factorsTable[displayedRANASBlock])</f>
        <v/>
      </c>
      <c r="H61" s="142" t="str">
        <f>_xlfn.XLOOKUP(analysisChartTable[[#This Row],[index]], factorsTable[index], factorsTable[sortedNondoers])</f>
        <v/>
      </c>
      <c r="I61" s="142" t="str">
        <f>_xlfn.XLOOKUP(analysisChartTable[[#This Row],[index]], factorsTable[index], factorsTable[sortedDoers])</f>
        <v/>
      </c>
      <c r="J61" s="142" t="str">
        <f>_xlfn.XLOOKUP(analysisChartTable[[#This Row],[index]], factorsTable[index], factorsTable[sortedDifference])</f>
        <v/>
      </c>
      <c r="K61" s="143" t="str">
        <f>_xlfn.XLOOKUP(analysisChartTable[[#This Row],[index]], factorsTable[index], factorsTable[sortedNumTotal])</f>
        <v/>
      </c>
      <c r="L61" s="300"/>
      <c r="M61" s="300"/>
      <c r="N61" s="300"/>
      <c r="O61" s="300"/>
      <c r="P61" s="86"/>
      <c r="Q61" s="62"/>
    </row>
    <row r="62" spans="1:17" x14ac:dyDescent="0.3">
      <c r="A62" s="62"/>
      <c r="B62" s="169"/>
      <c r="C62" s="89" cm="1">
        <f t="array" ref="C62">ROW()-ROW(analysisChartTable[#Headers])</f>
        <v>12</v>
      </c>
      <c r="D62" s="89" t="str">
        <f>_xlfn.XLOOKUP(analysisChartTable[[#This Row],[index]], factorsTable[index], factorsTable[chartLabel])</f>
        <v/>
      </c>
      <c r="E62" s="89" t="str">
        <f>_xlfn.XLOOKUP(analysisChartTable[[#This Row],[index]], factorsTable[index], factorsTable[RANASTag])</f>
        <v/>
      </c>
      <c r="F62" s="141" t="str">
        <f>_xlfn.XLOOKUP(analysisChartTable[[#This Row],[index]], factorsTable[index], factorsTable[displayedFactor])</f>
        <v/>
      </c>
      <c r="G62" s="141" t="str">
        <f>_xlfn.XLOOKUP(analysisChartTable[[#This Row],[index]], factorsTable[index], factorsTable[displayedRANASBlock])</f>
        <v/>
      </c>
      <c r="H62" s="142" t="str">
        <f>_xlfn.XLOOKUP(analysisChartTable[[#This Row],[index]], factorsTable[index], factorsTable[sortedNondoers])</f>
        <v/>
      </c>
      <c r="I62" s="142" t="str">
        <f>_xlfn.XLOOKUP(analysisChartTable[[#This Row],[index]], factorsTable[index], factorsTable[sortedDoers])</f>
        <v/>
      </c>
      <c r="J62" s="142" t="str">
        <f>_xlfn.XLOOKUP(analysisChartTable[[#This Row],[index]], factorsTable[index], factorsTable[sortedDifference])</f>
        <v/>
      </c>
      <c r="K62" s="143" t="str">
        <f>_xlfn.XLOOKUP(analysisChartTable[[#This Row],[index]], factorsTable[index], factorsTable[sortedNumTotal])</f>
        <v/>
      </c>
      <c r="L62" s="300"/>
      <c r="M62" s="300"/>
      <c r="N62" s="300"/>
      <c r="O62" s="300"/>
      <c r="P62" s="86"/>
      <c r="Q62" s="62"/>
    </row>
    <row r="63" spans="1:17" x14ac:dyDescent="0.3">
      <c r="A63" s="62"/>
      <c r="B63" s="169"/>
      <c r="C63" s="89" cm="1">
        <f t="array" ref="C63">ROW()-ROW(analysisChartTable[#Headers])</f>
        <v>13</v>
      </c>
      <c r="D63" s="89" t="str">
        <f>_xlfn.XLOOKUP(analysisChartTable[[#This Row],[index]], factorsTable[index], factorsTable[chartLabel])</f>
        <v/>
      </c>
      <c r="E63" s="89" t="str">
        <f>_xlfn.XLOOKUP(analysisChartTable[[#This Row],[index]], factorsTable[index], factorsTable[RANASTag])</f>
        <v/>
      </c>
      <c r="F63" s="141" t="str">
        <f>_xlfn.XLOOKUP(analysisChartTable[[#This Row],[index]], factorsTable[index], factorsTable[displayedFactor])</f>
        <v/>
      </c>
      <c r="G63" s="141" t="str">
        <f>_xlfn.XLOOKUP(analysisChartTable[[#This Row],[index]], factorsTable[index], factorsTable[displayedRANASBlock])</f>
        <v/>
      </c>
      <c r="H63" s="142" t="str">
        <f>_xlfn.XLOOKUP(analysisChartTable[[#This Row],[index]], factorsTable[index], factorsTable[sortedNondoers])</f>
        <v/>
      </c>
      <c r="I63" s="142" t="str">
        <f>_xlfn.XLOOKUP(analysisChartTable[[#This Row],[index]], factorsTable[index], factorsTable[sortedDoers])</f>
        <v/>
      </c>
      <c r="J63" s="142" t="str">
        <f>_xlfn.XLOOKUP(analysisChartTable[[#This Row],[index]], factorsTable[index], factorsTable[sortedDifference])</f>
        <v/>
      </c>
      <c r="K63" s="143" t="str">
        <f>_xlfn.XLOOKUP(analysisChartTable[[#This Row],[index]], factorsTable[index], factorsTable[sortedNumTotal])</f>
        <v/>
      </c>
      <c r="L63" s="300"/>
      <c r="M63" s="300"/>
      <c r="N63" s="300"/>
      <c r="O63" s="300"/>
      <c r="P63" s="86"/>
      <c r="Q63" s="62"/>
    </row>
    <row r="64" spans="1:17" x14ac:dyDescent="0.3">
      <c r="A64" s="62"/>
      <c r="B64" s="169"/>
      <c r="C64" s="89" cm="1">
        <f t="array" ref="C64">ROW()-ROW(analysisChartTable[#Headers])</f>
        <v>14</v>
      </c>
      <c r="D64" s="89" t="str">
        <f>_xlfn.XLOOKUP(analysisChartTable[[#This Row],[index]], factorsTable[index], factorsTable[chartLabel])</f>
        <v/>
      </c>
      <c r="E64" s="89" t="str">
        <f>_xlfn.XLOOKUP(analysisChartTable[[#This Row],[index]], factorsTable[index], factorsTable[RANASTag])</f>
        <v/>
      </c>
      <c r="F64" s="141" t="str">
        <f>_xlfn.XLOOKUP(analysisChartTable[[#This Row],[index]], factorsTable[index], factorsTable[displayedFactor])</f>
        <v/>
      </c>
      <c r="G64" s="141" t="str">
        <f>_xlfn.XLOOKUP(analysisChartTable[[#This Row],[index]], factorsTable[index], factorsTable[displayedRANASBlock])</f>
        <v/>
      </c>
      <c r="H64" s="142" t="str">
        <f>_xlfn.XLOOKUP(analysisChartTable[[#This Row],[index]], factorsTable[index], factorsTable[sortedNondoers])</f>
        <v/>
      </c>
      <c r="I64" s="142" t="str">
        <f>_xlfn.XLOOKUP(analysisChartTable[[#This Row],[index]], factorsTable[index], factorsTable[sortedDoers])</f>
        <v/>
      </c>
      <c r="J64" s="142" t="str">
        <f>_xlfn.XLOOKUP(analysisChartTable[[#This Row],[index]], factorsTable[index], factorsTable[sortedDifference])</f>
        <v/>
      </c>
      <c r="K64" s="143" t="str">
        <f>_xlfn.XLOOKUP(analysisChartTable[[#This Row],[index]], factorsTable[index], factorsTable[sortedNumTotal])</f>
        <v/>
      </c>
      <c r="L64" s="300"/>
      <c r="M64" s="300"/>
      <c r="N64" s="300"/>
      <c r="O64" s="300"/>
      <c r="P64" s="86"/>
      <c r="Q64" s="62"/>
    </row>
    <row r="65" spans="1:17" x14ac:dyDescent="0.3">
      <c r="A65" s="62"/>
      <c r="B65" s="169"/>
      <c r="C65" s="89" cm="1">
        <f t="array" ref="C65">ROW()-ROW(analysisChartTable[#Headers])</f>
        <v>15</v>
      </c>
      <c r="D65" s="89" t="str">
        <f>_xlfn.XLOOKUP(analysisChartTable[[#This Row],[index]], factorsTable[index], factorsTable[chartLabel])</f>
        <v/>
      </c>
      <c r="E65" s="89" t="str">
        <f>_xlfn.XLOOKUP(analysisChartTable[[#This Row],[index]], factorsTable[index], factorsTable[RANASTag])</f>
        <v/>
      </c>
      <c r="F65" s="141" t="str">
        <f>_xlfn.XLOOKUP(analysisChartTable[[#This Row],[index]], factorsTable[index], factorsTable[displayedFactor])</f>
        <v/>
      </c>
      <c r="G65" s="141" t="str">
        <f>_xlfn.XLOOKUP(analysisChartTable[[#This Row],[index]], factorsTable[index], factorsTable[displayedRANASBlock])</f>
        <v/>
      </c>
      <c r="H65" s="142" t="str">
        <f>_xlfn.XLOOKUP(analysisChartTable[[#This Row],[index]], factorsTable[index], factorsTable[sortedNondoers])</f>
        <v/>
      </c>
      <c r="I65" s="142" t="str">
        <f>_xlfn.XLOOKUP(analysisChartTable[[#This Row],[index]], factorsTable[index], factorsTable[sortedDoers])</f>
        <v/>
      </c>
      <c r="J65" s="142" t="str">
        <f>_xlfn.XLOOKUP(analysisChartTable[[#This Row],[index]], factorsTable[index], factorsTable[sortedDifference])</f>
        <v/>
      </c>
      <c r="K65" s="143" t="str">
        <f>_xlfn.XLOOKUP(analysisChartTable[[#This Row],[index]], factorsTable[index], factorsTable[sortedNumTotal])</f>
        <v/>
      </c>
      <c r="L65" s="300"/>
      <c r="M65" s="300"/>
      <c r="N65" s="300"/>
      <c r="O65" s="300"/>
      <c r="P65" s="85"/>
      <c r="Q65" s="62"/>
    </row>
    <row r="66" spans="1:17" x14ac:dyDescent="0.3">
      <c r="A66" s="62"/>
      <c r="B66" s="169"/>
      <c r="C66" s="89" cm="1">
        <f t="array" ref="C66">ROW()-ROW(analysisChartTable[#Headers])</f>
        <v>16</v>
      </c>
      <c r="D66" s="89" t="str">
        <f>_xlfn.XLOOKUP(analysisChartTable[[#This Row],[index]], factorsTable[index], factorsTable[chartLabel])</f>
        <v/>
      </c>
      <c r="E66" s="89" t="str">
        <f>_xlfn.XLOOKUP(analysisChartTable[[#This Row],[index]], factorsTable[index], factorsTable[RANASTag])</f>
        <v/>
      </c>
      <c r="F66" s="141" t="str">
        <f>_xlfn.XLOOKUP(analysisChartTable[[#This Row],[index]], factorsTable[index], factorsTable[displayedFactor])</f>
        <v/>
      </c>
      <c r="G66" s="141" t="str">
        <f>_xlfn.XLOOKUP(analysisChartTable[[#This Row],[index]], factorsTable[index], factorsTable[displayedRANASBlock])</f>
        <v/>
      </c>
      <c r="H66" s="142" t="str">
        <f>_xlfn.XLOOKUP(analysisChartTable[[#This Row],[index]], factorsTable[index], factorsTable[sortedNondoers])</f>
        <v/>
      </c>
      <c r="I66" s="142" t="str">
        <f>_xlfn.XLOOKUP(analysisChartTable[[#This Row],[index]], factorsTable[index], factorsTable[sortedDoers])</f>
        <v/>
      </c>
      <c r="J66" s="142" t="str">
        <f>_xlfn.XLOOKUP(analysisChartTable[[#This Row],[index]], factorsTable[index], factorsTable[sortedDifference])</f>
        <v/>
      </c>
      <c r="K66" s="143" t="str">
        <f>_xlfn.XLOOKUP(analysisChartTable[[#This Row],[index]], factorsTable[index], factorsTable[sortedNumTotal])</f>
        <v/>
      </c>
      <c r="L66" s="296" t="str">
        <f>IFERROR(
    INDEX(
      INDEX(
        UITranslationTable[],
        0,
        IFERROR(
          MATCH(UILanguage, UITranslationTable[#Headers], 0),
          MATCH("English", UITranslationTable[#Headers], 0)
        )
      ),
      MATCH("copyChartInfo", UITranslationTable[tag], 0)
    ),#REF!
  ) &amp;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M66" s="297"/>
      <c r="N66" s="297"/>
      <c r="O66" s="297"/>
      <c r="P66" s="85"/>
      <c r="Q66" s="62"/>
    </row>
    <row r="67" spans="1:17" ht="14.4" customHeight="1" x14ac:dyDescent="0.3">
      <c r="A67" s="62"/>
      <c r="B67" s="169"/>
      <c r="C67" s="89" cm="1">
        <f t="array" ref="C67">ROW()-ROW(analysisChartTable[#Headers])</f>
        <v>17</v>
      </c>
      <c r="D67" s="89" t="str">
        <f>_xlfn.XLOOKUP(analysisChartTable[[#This Row],[index]], factorsTable[index], factorsTable[chartLabel])</f>
        <v/>
      </c>
      <c r="E67" s="89" t="str">
        <f>_xlfn.XLOOKUP(analysisChartTable[[#This Row],[index]], factorsTable[index], factorsTable[RANASTag])</f>
        <v/>
      </c>
      <c r="F67" s="141" t="str">
        <f>_xlfn.XLOOKUP(analysisChartTable[[#This Row],[index]], factorsTable[index], factorsTable[displayedFactor])</f>
        <v/>
      </c>
      <c r="G67" s="141" t="str">
        <f>_xlfn.XLOOKUP(analysisChartTable[[#This Row],[index]], factorsTable[index], factorsTable[displayedRANASBlock])</f>
        <v/>
      </c>
      <c r="H67" s="142" t="str">
        <f>_xlfn.XLOOKUP(analysisChartTable[[#This Row],[index]], factorsTable[index], factorsTable[sortedNondoers])</f>
        <v/>
      </c>
      <c r="I67" s="142" t="str">
        <f>_xlfn.XLOOKUP(analysisChartTable[[#This Row],[index]], factorsTable[index], factorsTable[sortedDoers])</f>
        <v/>
      </c>
      <c r="J67" s="142" t="str">
        <f>_xlfn.XLOOKUP(analysisChartTable[[#This Row],[index]], factorsTable[index], factorsTable[sortedDifference])</f>
        <v/>
      </c>
      <c r="K67" s="143" t="str">
        <f>_xlfn.XLOOKUP(analysisChartTable[[#This Row],[index]], factorsTable[index], factorsTable[sortedNumTotal])</f>
        <v/>
      </c>
      <c r="L67" s="297"/>
      <c r="M67" s="297"/>
      <c r="N67" s="297"/>
      <c r="O67" s="297"/>
      <c r="P67" s="85"/>
      <c r="Q67" s="62"/>
    </row>
    <row r="68" spans="1:17" x14ac:dyDescent="0.3">
      <c r="A68" s="62"/>
      <c r="B68" s="169"/>
      <c r="C68" s="89" cm="1">
        <f t="array" ref="C68">ROW()-ROW(analysisChartTable[#Headers])</f>
        <v>18</v>
      </c>
      <c r="D68" s="89" t="str">
        <f>_xlfn.XLOOKUP(analysisChartTable[[#This Row],[index]], factorsTable[index], factorsTable[chartLabel])</f>
        <v/>
      </c>
      <c r="E68" s="89" t="str">
        <f>_xlfn.XLOOKUP(analysisChartTable[[#This Row],[index]], factorsTable[index], factorsTable[RANASTag])</f>
        <v/>
      </c>
      <c r="F68" s="141" t="str">
        <f>_xlfn.XLOOKUP(analysisChartTable[[#This Row],[index]], factorsTable[index], factorsTable[displayedFactor])</f>
        <v/>
      </c>
      <c r="G68" s="141" t="str">
        <f>_xlfn.XLOOKUP(analysisChartTable[[#This Row],[index]], factorsTable[index], factorsTable[displayedRANASBlock])</f>
        <v/>
      </c>
      <c r="H68" s="142" t="str">
        <f>_xlfn.XLOOKUP(analysisChartTable[[#This Row],[index]], factorsTable[index], factorsTable[sortedNondoers])</f>
        <v/>
      </c>
      <c r="I68" s="142" t="str">
        <f>_xlfn.XLOOKUP(analysisChartTable[[#This Row],[index]], factorsTable[index], factorsTable[sortedDoers])</f>
        <v/>
      </c>
      <c r="J68" s="142" t="str">
        <f>_xlfn.XLOOKUP(analysisChartTable[[#This Row],[index]], factorsTable[index], factorsTable[sortedDifference])</f>
        <v/>
      </c>
      <c r="K68" s="143" t="str">
        <f>_xlfn.XLOOKUP(analysisChartTable[[#This Row],[index]], factorsTable[index], factorsTable[sortedNumTotal])</f>
        <v/>
      </c>
      <c r="L68" s="297"/>
      <c r="M68" s="297"/>
      <c r="N68" s="297"/>
      <c r="O68" s="297"/>
      <c r="P68" s="85"/>
      <c r="Q68" s="62"/>
    </row>
    <row r="69" spans="1:17" x14ac:dyDescent="0.3">
      <c r="A69" s="62"/>
      <c r="B69" s="169"/>
      <c r="C69" s="89" cm="1">
        <f t="array" ref="C69">ROW()-ROW(analysisChartTable[#Headers])</f>
        <v>19</v>
      </c>
      <c r="D69" s="89" t="str">
        <f>_xlfn.XLOOKUP(analysisChartTable[[#This Row],[index]], factorsTable[index], factorsTable[chartLabel])</f>
        <v/>
      </c>
      <c r="E69" s="89" t="str">
        <f>_xlfn.XLOOKUP(analysisChartTable[[#This Row],[index]], factorsTable[index], factorsTable[RANASTag])</f>
        <v/>
      </c>
      <c r="F69" s="141" t="str">
        <f>_xlfn.XLOOKUP(analysisChartTable[[#This Row],[index]], factorsTable[index], factorsTable[displayedFactor])</f>
        <v/>
      </c>
      <c r="G69" s="141" t="str">
        <f>_xlfn.XLOOKUP(analysisChartTable[[#This Row],[index]], factorsTable[index], factorsTable[displayedRANASBlock])</f>
        <v/>
      </c>
      <c r="H69" s="142" t="str">
        <f>_xlfn.XLOOKUP(analysisChartTable[[#This Row],[index]], factorsTable[index], factorsTable[sortedNondoers])</f>
        <v/>
      </c>
      <c r="I69" s="142" t="str">
        <f>_xlfn.XLOOKUP(analysisChartTable[[#This Row],[index]], factorsTable[index], factorsTable[sortedDoers])</f>
        <v/>
      </c>
      <c r="J69" s="142" t="str">
        <f>_xlfn.XLOOKUP(analysisChartTable[[#This Row],[index]], factorsTable[index], factorsTable[sortedDifference])</f>
        <v/>
      </c>
      <c r="K69" s="143" t="str">
        <f>_xlfn.XLOOKUP(analysisChartTable[[#This Row],[index]], factorsTable[index], factorsTable[sortedNumTotal])</f>
        <v/>
      </c>
      <c r="L69" s="297"/>
      <c r="M69" s="297"/>
      <c r="N69" s="297"/>
      <c r="O69" s="297"/>
      <c r="P69" s="85"/>
      <c r="Q69" s="62"/>
    </row>
    <row r="70" spans="1:17" x14ac:dyDescent="0.3">
      <c r="A70" s="62"/>
      <c r="B70" s="169"/>
      <c r="C70" s="89" cm="1">
        <f t="array" ref="C70">ROW()-ROW(analysisChartTable[#Headers])</f>
        <v>20</v>
      </c>
      <c r="D70" s="89" t="str">
        <f>_xlfn.XLOOKUP(analysisChartTable[[#This Row],[index]], factorsTable[index], factorsTable[chartLabel])</f>
        <v/>
      </c>
      <c r="E70" s="89" t="str">
        <f>_xlfn.XLOOKUP(analysisChartTable[[#This Row],[index]], factorsTable[index], factorsTable[RANASTag])</f>
        <v/>
      </c>
      <c r="F70" s="141" t="str">
        <f>_xlfn.XLOOKUP(analysisChartTable[[#This Row],[index]], factorsTable[index], factorsTable[displayedFactor])</f>
        <v/>
      </c>
      <c r="G70" s="141" t="str">
        <f>_xlfn.XLOOKUP(analysisChartTable[[#This Row],[index]], factorsTable[index], factorsTable[displayedRANASBlock])</f>
        <v/>
      </c>
      <c r="H70" s="142" t="str">
        <f>_xlfn.XLOOKUP(analysisChartTable[[#This Row],[index]], factorsTable[index], factorsTable[sortedNondoers])</f>
        <v/>
      </c>
      <c r="I70" s="142" t="str">
        <f>_xlfn.XLOOKUP(analysisChartTable[[#This Row],[index]], factorsTable[index], factorsTable[sortedDoers])</f>
        <v/>
      </c>
      <c r="J70" s="142" t="str">
        <f>_xlfn.XLOOKUP(analysisChartTable[[#This Row],[index]], factorsTable[index], factorsTable[sortedDifference])</f>
        <v/>
      </c>
      <c r="K70" s="143" t="str">
        <f>_xlfn.XLOOKUP(analysisChartTable[[#This Row],[index]], factorsTable[index], factorsTable[sortedNumTotal])</f>
        <v/>
      </c>
      <c r="L70" s="297"/>
      <c r="M70" s="297"/>
      <c r="N70" s="297"/>
      <c r="O70" s="297"/>
      <c r="P70" s="85"/>
      <c r="Q70" s="62"/>
    </row>
    <row r="71" spans="1:17" x14ac:dyDescent="0.3">
      <c r="A71" s="62"/>
      <c r="B71" s="169"/>
      <c r="C71" s="89" cm="1">
        <f t="array" ref="C71">ROW()-ROW(analysisChartTable[#Headers])</f>
        <v>21</v>
      </c>
      <c r="D71" s="89" t="str">
        <f>_xlfn.XLOOKUP(analysisChartTable[[#This Row],[index]], factorsTable[index], factorsTable[chartLabel])</f>
        <v/>
      </c>
      <c r="E71" s="89" t="str">
        <f>_xlfn.XLOOKUP(analysisChartTable[[#This Row],[index]], factorsTable[index], factorsTable[RANASTag])</f>
        <v/>
      </c>
      <c r="F71" s="141" t="str">
        <f>_xlfn.XLOOKUP(analysisChartTable[[#This Row],[index]], factorsTable[index], factorsTable[displayedFactor])</f>
        <v/>
      </c>
      <c r="G71" s="141" t="str">
        <f>_xlfn.XLOOKUP(analysisChartTable[[#This Row],[index]], factorsTable[index], factorsTable[displayedRANASBlock])</f>
        <v/>
      </c>
      <c r="H71" s="142" t="str">
        <f>_xlfn.XLOOKUP(analysisChartTable[[#This Row],[index]], factorsTable[index], factorsTable[sortedNondoers])</f>
        <v/>
      </c>
      <c r="I71" s="142" t="str">
        <f>_xlfn.XLOOKUP(analysisChartTable[[#This Row],[index]], factorsTable[index], factorsTable[sortedDoers])</f>
        <v/>
      </c>
      <c r="J71" s="142" t="str">
        <f>_xlfn.XLOOKUP(analysisChartTable[[#This Row],[index]], factorsTable[index], factorsTable[sortedDifference])</f>
        <v/>
      </c>
      <c r="K71" s="143" t="str">
        <f>_xlfn.XLOOKUP(analysisChartTable[[#This Row],[index]], factorsTable[index], factorsTable[sortedNumTotal])</f>
        <v/>
      </c>
      <c r="L71" s="297"/>
      <c r="M71" s="297"/>
      <c r="N71" s="297"/>
      <c r="O71" s="297"/>
      <c r="P71" s="85"/>
      <c r="Q71" s="62"/>
    </row>
    <row r="72" spans="1:17" x14ac:dyDescent="0.3">
      <c r="A72" s="62"/>
      <c r="B72" s="169"/>
      <c r="C72" s="89" cm="1">
        <f t="array" ref="C72">ROW()-ROW(analysisChartTable[#Headers])</f>
        <v>22</v>
      </c>
      <c r="D72" s="89" t="str">
        <f>_xlfn.XLOOKUP(analysisChartTable[[#This Row],[index]], factorsTable[index], factorsTable[chartLabel])</f>
        <v/>
      </c>
      <c r="E72" s="89" t="str">
        <f>_xlfn.XLOOKUP(analysisChartTable[[#This Row],[index]], factorsTable[index], factorsTable[RANASTag])</f>
        <v/>
      </c>
      <c r="F72" s="141" t="str">
        <f>_xlfn.XLOOKUP(analysisChartTable[[#This Row],[index]], factorsTable[index], factorsTable[displayedFactor])</f>
        <v/>
      </c>
      <c r="G72" s="141" t="str">
        <f>_xlfn.XLOOKUP(analysisChartTable[[#This Row],[index]], factorsTable[index], factorsTable[displayedRANASBlock])</f>
        <v/>
      </c>
      <c r="H72" s="142" t="str">
        <f>_xlfn.XLOOKUP(analysisChartTable[[#This Row],[index]], factorsTable[index], factorsTable[sortedNondoers])</f>
        <v/>
      </c>
      <c r="I72" s="142" t="str">
        <f>_xlfn.XLOOKUP(analysisChartTable[[#This Row],[index]], factorsTable[index], factorsTable[sortedDoers])</f>
        <v/>
      </c>
      <c r="J72" s="142" t="str">
        <f>_xlfn.XLOOKUP(analysisChartTable[[#This Row],[index]], factorsTable[index], factorsTable[sortedDifference])</f>
        <v/>
      </c>
      <c r="K72" s="143" t="str">
        <f>_xlfn.XLOOKUP(analysisChartTable[[#This Row],[index]], factorsTable[index], factorsTable[sortedNumTotal])</f>
        <v/>
      </c>
      <c r="L72" s="297"/>
      <c r="M72" s="297"/>
      <c r="N72" s="297"/>
      <c r="O72" s="297"/>
      <c r="P72" s="85"/>
      <c r="Q72" s="62"/>
    </row>
    <row r="73" spans="1:17" x14ac:dyDescent="0.3">
      <c r="A73" s="62"/>
      <c r="B73" s="169"/>
      <c r="C73" s="89" cm="1">
        <f t="array" ref="C73">ROW()-ROW(analysisChartTable[#Headers])</f>
        <v>23</v>
      </c>
      <c r="D73" s="89" t="str">
        <f>_xlfn.XLOOKUP(analysisChartTable[[#This Row],[index]], factorsTable[index], factorsTable[chartLabel])</f>
        <v/>
      </c>
      <c r="E73" s="89" t="str">
        <f>_xlfn.XLOOKUP(analysisChartTable[[#This Row],[index]], factorsTable[index], factorsTable[RANASTag])</f>
        <v/>
      </c>
      <c r="F73" s="141" t="str">
        <f>_xlfn.XLOOKUP(analysisChartTable[[#This Row],[index]], factorsTable[index], factorsTable[displayedFactor])</f>
        <v/>
      </c>
      <c r="G73" s="141" t="str">
        <f>_xlfn.XLOOKUP(analysisChartTable[[#This Row],[index]], factorsTable[index], factorsTable[displayedRANASBlock])</f>
        <v/>
      </c>
      <c r="H73" s="142" t="str">
        <f>_xlfn.XLOOKUP(analysisChartTable[[#This Row],[index]], factorsTable[index], factorsTable[sortedNondoers])</f>
        <v/>
      </c>
      <c r="I73" s="142" t="str">
        <f>_xlfn.XLOOKUP(analysisChartTable[[#This Row],[index]], factorsTable[index], factorsTable[sortedDoers])</f>
        <v/>
      </c>
      <c r="J73" s="142" t="str">
        <f>_xlfn.XLOOKUP(analysisChartTable[[#This Row],[index]], factorsTable[index], factorsTable[sortedDifference])</f>
        <v/>
      </c>
      <c r="K73" s="143" t="str">
        <f>_xlfn.XLOOKUP(analysisChartTable[[#This Row],[index]], factorsTable[index], factorsTable[sortedNumTotal])</f>
        <v/>
      </c>
      <c r="L73" s="297"/>
      <c r="M73" s="297"/>
      <c r="N73" s="297"/>
      <c r="O73" s="297"/>
      <c r="P73" s="85"/>
      <c r="Q73" s="62"/>
    </row>
    <row r="74" spans="1:17" x14ac:dyDescent="0.3">
      <c r="A74" s="62"/>
      <c r="B74" s="169"/>
      <c r="C74" s="89" cm="1">
        <f t="array" ref="C74">ROW()-ROW(analysisChartTable[#Headers])</f>
        <v>24</v>
      </c>
      <c r="D74" s="89" t="str">
        <f>_xlfn.XLOOKUP(analysisChartTable[[#This Row],[index]], factorsTable[index], factorsTable[chartLabel])</f>
        <v/>
      </c>
      <c r="E74" s="89" t="str">
        <f>_xlfn.XLOOKUP(analysisChartTable[[#This Row],[index]], factorsTable[index], factorsTable[RANASTag])</f>
        <v/>
      </c>
      <c r="F74" s="141" t="str">
        <f>_xlfn.XLOOKUP(analysisChartTable[[#This Row],[index]], factorsTable[index], factorsTable[displayedFactor])</f>
        <v/>
      </c>
      <c r="G74" s="141" t="str">
        <f>_xlfn.XLOOKUP(analysisChartTable[[#This Row],[index]], factorsTable[index], factorsTable[displayedRANASBlock])</f>
        <v/>
      </c>
      <c r="H74" s="142" t="str">
        <f>_xlfn.XLOOKUP(analysisChartTable[[#This Row],[index]], factorsTable[index], factorsTable[sortedNondoers])</f>
        <v/>
      </c>
      <c r="I74" s="142" t="str">
        <f>_xlfn.XLOOKUP(analysisChartTable[[#This Row],[index]], factorsTable[index], factorsTable[sortedDoers])</f>
        <v/>
      </c>
      <c r="J74" s="142" t="str">
        <f>_xlfn.XLOOKUP(analysisChartTable[[#This Row],[index]], factorsTable[index], factorsTable[sortedDifference])</f>
        <v/>
      </c>
      <c r="K74" s="143" t="str">
        <f>_xlfn.XLOOKUP(analysisChartTable[[#This Row],[index]], factorsTable[index], factorsTable[sortedNumTotal])</f>
        <v/>
      </c>
      <c r="L74" s="297"/>
      <c r="M74" s="297"/>
      <c r="N74" s="297"/>
      <c r="O74" s="297"/>
      <c r="P74" s="85"/>
      <c r="Q74" s="62"/>
    </row>
    <row r="75" spans="1:17" x14ac:dyDescent="0.3">
      <c r="A75" s="62"/>
      <c r="B75" s="169"/>
      <c r="C75" s="89" cm="1">
        <f t="array" ref="C75">ROW()-ROW(analysisChartTable[#Headers])</f>
        <v>25</v>
      </c>
      <c r="D75" s="89" t="str">
        <f>_xlfn.XLOOKUP(analysisChartTable[[#This Row],[index]], factorsTable[index], factorsTable[chartLabel])</f>
        <v/>
      </c>
      <c r="E75" s="89" t="str">
        <f>_xlfn.XLOOKUP(analysisChartTable[[#This Row],[index]], factorsTable[index], factorsTable[RANASTag])</f>
        <v/>
      </c>
      <c r="F75" s="141" t="str">
        <f>_xlfn.XLOOKUP(analysisChartTable[[#This Row],[index]], factorsTable[index], factorsTable[displayedFactor])</f>
        <v/>
      </c>
      <c r="G75" s="141" t="str">
        <f>_xlfn.XLOOKUP(analysisChartTable[[#This Row],[index]], factorsTable[index], factorsTable[displayedRANASBlock])</f>
        <v/>
      </c>
      <c r="H75" s="142" t="str">
        <f>_xlfn.XLOOKUP(analysisChartTable[[#This Row],[index]], factorsTable[index], factorsTable[sortedNondoers])</f>
        <v/>
      </c>
      <c r="I75" s="142" t="str">
        <f>_xlfn.XLOOKUP(analysisChartTable[[#This Row],[index]], factorsTable[index], factorsTable[sortedDoers])</f>
        <v/>
      </c>
      <c r="J75" s="142" t="str">
        <f>_xlfn.XLOOKUP(analysisChartTable[[#This Row],[index]], factorsTable[index], factorsTable[sortedDifference])</f>
        <v/>
      </c>
      <c r="K75" s="143" t="str">
        <f>_xlfn.XLOOKUP(analysisChartTable[[#This Row],[index]], factorsTable[index], factorsTable[sortedNumTotal])</f>
        <v/>
      </c>
      <c r="L75" s="297"/>
      <c r="M75" s="297"/>
      <c r="N75" s="297"/>
      <c r="O75" s="297"/>
      <c r="P75" s="85"/>
      <c r="Q75" s="62"/>
    </row>
    <row r="76" spans="1:17" x14ac:dyDescent="0.3">
      <c r="A76" s="62"/>
      <c r="B76" s="169"/>
      <c r="C76" s="89" cm="1">
        <f t="array" ref="C76">ROW()-ROW(analysisChartTable[#Headers])</f>
        <v>26</v>
      </c>
      <c r="D76" s="89" t="str">
        <f>_xlfn.XLOOKUP(analysisChartTable[[#This Row],[index]], factorsTable[index], factorsTable[chartLabel])</f>
        <v/>
      </c>
      <c r="E76" s="89" t="str">
        <f>_xlfn.XLOOKUP(analysisChartTable[[#This Row],[index]], factorsTable[index], factorsTable[RANASTag])</f>
        <v/>
      </c>
      <c r="F76" s="141" t="str">
        <f>_xlfn.XLOOKUP(analysisChartTable[[#This Row],[index]], factorsTable[index], factorsTable[displayedFactor])</f>
        <v/>
      </c>
      <c r="G76" s="141" t="str">
        <f>_xlfn.XLOOKUP(analysisChartTable[[#This Row],[index]], factorsTable[index], factorsTable[displayedRANASBlock])</f>
        <v/>
      </c>
      <c r="H76" s="142" t="str">
        <f>_xlfn.XLOOKUP(analysisChartTable[[#This Row],[index]], factorsTable[index], factorsTable[sortedNondoers])</f>
        <v/>
      </c>
      <c r="I76" s="142" t="str">
        <f>_xlfn.XLOOKUP(analysisChartTable[[#This Row],[index]], factorsTable[index], factorsTable[sortedDoers])</f>
        <v/>
      </c>
      <c r="J76" s="142" t="str">
        <f>_xlfn.XLOOKUP(analysisChartTable[[#This Row],[index]], factorsTable[index], factorsTable[sortedDifference])</f>
        <v/>
      </c>
      <c r="K76" s="143" t="str">
        <f>_xlfn.XLOOKUP(analysisChartTable[[#This Row],[index]], factorsTable[index], factorsTable[sortedNumTotal])</f>
        <v/>
      </c>
      <c r="L76" s="297"/>
      <c r="M76" s="297"/>
      <c r="N76" s="297"/>
      <c r="O76" s="297"/>
      <c r="P76" s="85"/>
      <c r="Q76" s="62"/>
    </row>
    <row r="77" spans="1:17" x14ac:dyDescent="0.3">
      <c r="A77" s="62"/>
      <c r="B77" s="169"/>
      <c r="C77" s="89" cm="1">
        <f t="array" ref="C77">ROW()-ROW(analysisChartTable[#Headers])</f>
        <v>27</v>
      </c>
      <c r="D77" s="89" t="str">
        <f>_xlfn.XLOOKUP(analysisChartTable[[#This Row],[index]], factorsTable[index], factorsTable[chartLabel])</f>
        <v/>
      </c>
      <c r="E77" s="89" t="str">
        <f>_xlfn.XLOOKUP(analysisChartTable[[#This Row],[index]], factorsTable[index], factorsTable[RANASTag])</f>
        <v/>
      </c>
      <c r="F77" s="141" t="str">
        <f>_xlfn.XLOOKUP(analysisChartTable[[#This Row],[index]], factorsTable[index], factorsTable[displayedFactor])</f>
        <v/>
      </c>
      <c r="G77" s="141" t="str">
        <f>_xlfn.XLOOKUP(analysisChartTable[[#This Row],[index]], factorsTable[index], factorsTable[displayedRANASBlock])</f>
        <v/>
      </c>
      <c r="H77" s="142" t="str">
        <f>_xlfn.XLOOKUP(analysisChartTable[[#This Row],[index]], factorsTable[index], factorsTable[sortedNondoers])</f>
        <v/>
      </c>
      <c r="I77" s="142" t="str">
        <f>_xlfn.XLOOKUP(analysisChartTable[[#This Row],[index]], factorsTable[index], factorsTable[sortedDoers])</f>
        <v/>
      </c>
      <c r="J77" s="142" t="str">
        <f>_xlfn.XLOOKUP(analysisChartTable[[#This Row],[index]], factorsTable[index], factorsTable[sortedDifference])</f>
        <v/>
      </c>
      <c r="K77" s="143" t="str">
        <f>_xlfn.XLOOKUP(analysisChartTable[[#This Row],[index]], factorsTable[index], factorsTable[sortedNumTotal])</f>
        <v/>
      </c>
      <c r="L77" s="297"/>
      <c r="M77" s="297"/>
      <c r="N77" s="297"/>
      <c r="O77" s="297"/>
      <c r="P77" s="85"/>
      <c r="Q77" s="62"/>
    </row>
    <row r="78" spans="1:17" x14ac:dyDescent="0.3">
      <c r="A78" s="62"/>
      <c r="B78" s="169"/>
      <c r="C78" s="89" cm="1">
        <f t="array" ref="C78">ROW()-ROW(analysisChartTable[#Headers])</f>
        <v>28</v>
      </c>
      <c r="D78" s="89" t="str">
        <f>_xlfn.XLOOKUP(analysisChartTable[[#This Row],[index]], factorsTable[index], factorsTable[chartLabel])</f>
        <v/>
      </c>
      <c r="E78" s="89" t="str">
        <f>_xlfn.XLOOKUP(analysisChartTable[[#This Row],[index]], factorsTable[index], factorsTable[RANASTag])</f>
        <v/>
      </c>
      <c r="F78" s="141" t="str">
        <f>_xlfn.XLOOKUP(analysisChartTable[[#This Row],[index]], factorsTable[index], factorsTable[displayedFactor])</f>
        <v/>
      </c>
      <c r="G78" s="141" t="str">
        <f>_xlfn.XLOOKUP(analysisChartTable[[#This Row],[index]], factorsTable[index], factorsTable[displayedRANASBlock])</f>
        <v/>
      </c>
      <c r="H78" s="142" t="str">
        <f>_xlfn.XLOOKUP(analysisChartTable[[#This Row],[index]], factorsTable[index], factorsTable[sortedNondoers])</f>
        <v/>
      </c>
      <c r="I78" s="142" t="str">
        <f>_xlfn.XLOOKUP(analysisChartTable[[#This Row],[index]], factorsTable[index], factorsTable[sortedDoers])</f>
        <v/>
      </c>
      <c r="J78" s="142" t="str">
        <f>_xlfn.XLOOKUP(analysisChartTable[[#This Row],[index]], factorsTable[index], factorsTable[sortedDifference])</f>
        <v/>
      </c>
      <c r="K78" s="143" t="str">
        <f>_xlfn.XLOOKUP(analysisChartTable[[#This Row],[index]], factorsTable[index], factorsTable[sortedNumTotal])</f>
        <v/>
      </c>
      <c r="L78" s="297"/>
      <c r="M78" s="297"/>
      <c r="N78" s="297"/>
      <c r="O78" s="297"/>
      <c r="P78" s="85"/>
      <c r="Q78" s="62"/>
    </row>
    <row r="79" spans="1:17" x14ac:dyDescent="0.3">
      <c r="A79" s="62"/>
      <c r="B79" s="169"/>
      <c r="C79" s="89" cm="1">
        <f t="array" ref="C79">ROW()-ROW(analysisChartTable[#Headers])</f>
        <v>29</v>
      </c>
      <c r="D79" s="89" t="str">
        <f>_xlfn.XLOOKUP(analysisChartTable[[#This Row],[index]], factorsTable[index], factorsTable[chartLabel])</f>
        <v/>
      </c>
      <c r="E79" s="89" t="str">
        <f>_xlfn.XLOOKUP(analysisChartTable[[#This Row],[index]], factorsTable[index], factorsTable[RANASTag])</f>
        <v/>
      </c>
      <c r="F79" s="141" t="str">
        <f>_xlfn.XLOOKUP(analysisChartTable[[#This Row],[index]], factorsTable[index], factorsTable[displayedFactor])</f>
        <v/>
      </c>
      <c r="G79" s="141" t="str">
        <f>_xlfn.XLOOKUP(analysisChartTable[[#This Row],[index]], factorsTable[index], factorsTable[displayedRANASBlock])</f>
        <v/>
      </c>
      <c r="H79" s="142" t="str">
        <f>_xlfn.XLOOKUP(analysisChartTable[[#This Row],[index]], factorsTable[index], factorsTable[sortedNondoers])</f>
        <v/>
      </c>
      <c r="I79" s="142" t="str">
        <f>_xlfn.XLOOKUP(analysisChartTable[[#This Row],[index]], factorsTable[index], factorsTable[sortedDoers])</f>
        <v/>
      </c>
      <c r="J79" s="142" t="str">
        <f>_xlfn.XLOOKUP(analysisChartTable[[#This Row],[index]], factorsTable[index], factorsTable[sortedDifference])</f>
        <v/>
      </c>
      <c r="K79" s="143" t="str">
        <f>_xlfn.XLOOKUP(analysisChartTable[[#This Row],[index]], factorsTable[index], factorsTable[sortedNumTotal])</f>
        <v/>
      </c>
      <c r="L79" s="297"/>
      <c r="M79" s="297"/>
      <c r="N79" s="297"/>
      <c r="O79" s="297"/>
      <c r="P79" s="85"/>
      <c r="Q79" s="62"/>
    </row>
    <row r="80" spans="1:17" x14ac:dyDescent="0.3">
      <c r="A80" s="62"/>
      <c r="B80" s="169"/>
      <c r="C80" s="89" cm="1">
        <f t="array" ref="C80">ROW()-ROW(analysisChartTable[#Headers])</f>
        <v>30</v>
      </c>
      <c r="D80" s="89" t="str">
        <f>_xlfn.XLOOKUP(analysisChartTable[[#This Row],[index]], factorsTable[index], factorsTable[chartLabel])</f>
        <v/>
      </c>
      <c r="E80" s="89" t="str">
        <f>_xlfn.XLOOKUP(analysisChartTable[[#This Row],[index]], factorsTable[index], factorsTable[RANASTag])</f>
        <v/>
      </c>
      <c r="F80" s="144" t="str">
        <f>_xlfn.XLOOKUP(analysisChartTable[[#This Row],[index]], factorsTable[index], factorsTable[displayedFactor])</f>
        <v/>
      </c>
      <c r="G80" s="144" t="str">
        <f>_xlfn.XLOOKUP(analysisChartTable[[#This Row],[index]], factorsTable[index], factorsTable[displayedRANASBlock])</f>
        <v/>
      </c>
      <c r="H80" s="145" t="str">
        <f>_xlfn.XLOOKUP(analysisChartTable[[#This Row],[index]], factorsTable[index], factorsTable[sortedNondoers])</f>
        <v/>
      </c>
      <c r="I80" s="145" t="str">
        <f>_xlfn.XLOOKUP(analysisChartTable[[#This Row],[index]], factorsTable[index], factorsTable[sortedDoers])</f>
        <v/>
      </c>
      <c r="J80" s="145" t="str">
        <f>_xlfn.XLOOKUP(analysisChartTable[[#This Row],[index]], factorsTable[index], factorsTable[sortedDifference])</f>
        <v/>
      </c>
      <c r="K80" s="146" t="str">
        <f>_xlfn.XLOOKUP(analysisChartTable[[#This Row],[index]], factorsTable[index], factorsTable[sortedNumTotal])</f>
        <v/>
      </c>
      <c r="L80" s="297"/>
      <c r="M80" s="297"/>
      <c r="N80" s="297"/>
      <c r="O80" s="297"/>
      <c r="P80" s="85"/>
      <c r="Q80" s="62"/>
    </row>
    <row r="81" spans="1:17" x14ac:dyDescent="0.3">
      <c r="A81" s="62"/>
      <c r="B81" s="81"/>
      <c r="C81" s="82"/>
      <c r="D81" s="82"/>
      <c r="E81" s="82"/>
      <c r="F81" s="82"/>
      <c r="G81" s="82"/>
      <c r="H81" s="82"/>
      <c r="I81" s="82"/>
      <c r="J81" s="82"/>
      <c r="K81" s="82"/>
      <c r="L81" s="298"/>
      <c r="M81" s="298"/>
      <c r="N81" s="298"/>
      <c r="O81" s="298"/>
      <c r="P81" s="87"/>
      <c r="Q81" s="62"/>
    </row>
    <row r="82" spans="1:17" x14ac:dyDescent="0.3">
      <c r="A82" s="62"/>
      <c r="B82" s="62"/>
      <c r="C82" s="62"/>
      <c r="D82" s="62"/>
      <c r="E82" s="62"/>
      <c r="F82" s="62"/>
      <c r="G82" s="62"/>
      <c r="H82" s="62"/>
      <c r="I82" s="62"/>
      <c r="J82" s="62"/>
      <c r="K82" s="62"/>
      <c r="L82" s="62"/>
      <c r="M82" s="62"/>
      <c r="N82" s="62"/>
      <c r="O82" s="62"/>
      <c r="P82" s="62"/>
      <c r="Q82" s="62"/>
    </row>
  </sheetData>
  <sheetProtection algorithmName="SHA-512" hashValue="so3kJYUsHNSqZEK4jzIR88eqvFD7z5SIYK74o/0iaGzOeylR+X9PoxsSk6DaesJeYh++cYE7hzxDiDyE73AnHQ==" saltValue="x7iM0/9nkyr4TjmC7wcnsw==" spinCount="100000" sheet="1" objects="1" scenarios="1"/>
  <mergeCells count="11">
    <mergeCell ref="L66:O81"/>
    <mergeCell ref="L49:O65"/>
    <mergeCell ref="I7:O7"/>
    <mergeCell ref="I8:O8"/>
    <mergeCell ref="B4:G5"/>
    <mergeCell ref="B6:G7"/>
    <mergeCell ref="B3:G3"/>
    <mergeCell ref="I3:O3"/>
    <mergeCell ref="I4:O4"/>
    <mergeCell ref="I5:O5"/>
    <mergeCell ref="I6:O6"/>
  </mergeCells>
  <conditionalFormatting sqref="E8">
    <cfRule type="expression" dxfId="7" priority="1">
      <formula>ISERROR(MATCH(sortingMethod, sortMenuList, 0))</formula>
    </cfRule>
  </conditionalFormatting>
  <conditionalFormatting sqref="G51:G80">
    <cfRule type="expression" dxfId="6" priority="2">
      <formula>$E51 = "selfRegulation"</formula>
    </cfRule>
    <cfRule type="expression" dxfId="5" priority="3">
      <formula>$E51 = "abilities"</formula>
    </cfRule>
    <cfRule type="expression" dxfId="4" priority="4">
      <formula>$E51 = "norms"</formula>
    </cfRule>
    <cfRule type="expression" dxfId="3" priority="5">
      <formula>$E51 = "attitudes"</formula>
    </cfRule>
    <cfRule type="expression" dxfId="2" priority="6">
      <formula>$E51 = "risks"</formula>
    </cfRule>
  </conditionalFormatting>
  <conditionalFormatting sqref="H51:H80">
    <cfRule type="notContainsBlanks" dxfId="1" priority="16">
      <formula>LEN(TRIM(H51))&gt;0</formula>
    </cfRule>
  </conditionalFormatting>
  <conditionalFormatting sqref="I51:I80">
    <cfRule type="notContainsBlanks" dxfId="0" priority="15">
      <formula>LEN(TRIM(I51))&gt;0</formula>
    </cfRule>
  </conditionalFormatting>
  <conditionalFormatting sqref="J51:J80">
    <cfRule type="colorScale" priority="8">
      <colorScale>
        <cfvo type="formula" val="-maxAbsDiff"/>
        <cfvo type="num" val="0"/>
        <cfvo type="formula" val="maxAbsDiff"/>
        <color theme="6"/>
        <color theme="0"/>
        <color theme="6"/>
      </colorScale>
    </cfRule>
  </conditionalFormatting>
  <dataValidations count="1">
    <dataValidation type="list" allowBlank="1" showInputMessage="1" showErrorMessage="1" error="Please select a value from the drop-down menu for this cell._x000a__x000a_Veuillez sélectionner une valeur dans le menu déroulant pour cette cellule." sqref="E8" xr:uid="{76DDE5F7-1150-440D-AE51-F38B6355A6C7}">
      <formula1>sortMenuList</formula1>
    </dataValidation>
  </dataValidation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9D361-F4E8-4D8F-AFEC-4B9E429DA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Introduction</vt:lpstr>
      <vt:lpstr>Configuration</vt:lpstr>
      <vt:lpstr>Cutoff - Seuil</vt:lpstr>
      <vt:lpstr>Analysis</vt:lpstr>
      <vt:lpstr>behaviourColNumColumn</vt:lpstr>
      <vt:lpstr>behaviourMaxOutOfRangeColumn</vt:lpstr>
      <vt:lpstr>behaviourMinOutOfRangeColumn</vt:lpstr>
      <vt:lpstr>chartLanguage</vt:lpstr>
      <vt:lpstr>cutoffLevelColumn</vt:lpstr>
      <vt:lpstr>editableAreas</vt:lpstr>
      <vt:lpstr>factorColNumColumn</vt:lpstr>
      <vt:lpstr>factorsMaxOutOfRangeColumn</vt:lpstr>
      <vt:lpstr>factorsMinOutOfRangeColumn</vt:lpstr>
      <vt:lpstr>languageHeadersList</vt:lpstr>
      <vt:lpstr>RANASList</vt:lpstr>
      <vt:lpstr>sortingMethod</vt:lpstr>
      <vt:lpstr>sortMenuList</vt:lpstr>
      <vt:lpstr>UILanguage</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MERCIER</dc:creator>
  <cp:lastModifiedBy>Sébastien MERCIER</cp:lastModifiedBy>
  <cp:lastPrinted>2023-02-28T20:15:52Z</cp:lastPrinted>
  <dcterms:created xsi:type="dcterms:W3CDTF">2022-05-12T10:58:49Z</dcterms:created>
  <dcterms:modified xsi:type="dcterms:W3CDTF">2026-02-05T19:30:04Z</dcterms:modified>
  <cp:contentStatus/>
</cp:coreProperties>
</file>